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UT\DMD\"/>
    </mc:Choice>
  </mc:AlternateContent>
  <xr:revisionPtr revIDLastSave="0" documentId="13_ncr:1_{C7E08813-D353-428A-80CE-69A5390A58E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aster Data 9-9-26" sheetId="8" r:id="rId1"/>
    <sheet name="Master Data 14-9-2026" sheetId="10" r:id="rId2"/>
    <sheet name="Tagihan" sheetId="6" r:id="rId3"/>
    <sheet name="ID Project" sheetId="7" r:id="rId4"/>
    <sheet name="Sheet1" sheetId="9" r:id="rId5"/>
    <sheet name="DC_Detail" sheetId="2" state="hidden" r:id="rId6"/>
    <sheet name="QC_Detail" sheetId="3" state="hidden" r:id="rId7"/>
    <sheet name="SE_Detail" sheetId="4" state="hidden" r:id="rId8"/>
    <sheet name="PE_Detail" sheetId="5" state="hidden" r:id="rId9"/>
  </sheets>
  <externalReferences>
    <externalReference r:id="rId10"/>
  </externalReferences>
  <definedNames>
    <definedName name="_xlnm._FilterDatabase" localSheetId="2" hidden="1">Tagihan!$A$2:$AJ$1149</definedName>
    <definedName name="ExternalData_1" localSheetId="1" hidden="1">'Master Data 14-9-2026'!$A$1:$AF$1521</definedName>
    <definedName name="ExternalData_1" localSheetId="0" hidden="1">'Master Data 9-9-26'!$A$1:$AD$1220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742" i="6" l="1"/>
  <c r="I48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J27" i="7"/>
  <c r="J26" i="7"/>
  <c r="J25" i="7"/>
  <c r="L968" i="6"/>
  <c r="L951" i="6"/>
  <c r="L374" i="6"/>
  <c r="L214" i="6"/>
  <c r="L213" i="6"/>
  <c r="L211" i="6"/>
  <c r="Z948" i="6"/>
  <c r="Z945" i="6"/>
  <c r="Z940" i="6"/>
  <c r="Z900" i="6"/>
  <c r="Z898" i="6"/>
  <c r="Z894" i="6"/>
  <c r="Z886" i="6"/>
  <c r="Z885" i="6"/>
  <c r="Z884" i="6"/>
  <c r="Z883" i="6"/>
  <c r="Z882" i="6"/>
  <c r="Z850" i="6"/>
  <c r="Z847" i="6"/>
  <c r="Z829" i="6"/>
  <c r="Z823" i="6"/>
  <c r="Z811" i="6"/>
  <c r="Z809" i="6"/>
  <c r="Z753" i="6"/>
  <c r="Z751" i="6"/>
  <c r="Z742" i="6"/>
  <c r="Z687" i="6"/>
  <c r="Z686" i="6"/>
  <c r="Z683" i="6"/>
  <c r="Z682" i="6"/>
  <c r="Z677" i="6"/>
  <c r="Z654" i="6"/>
  <c r="Z652" i="6"/>
  <c r="Z638" i="6"/>
  <c r="Z631" i="6"/>
  <c r="Z629" i="6"/>
  <c r="Z623" i="6"/>
  <c r="Z621" i="6"/>
  <c r="Z620" i="6"/>
  <c r="Z619" i="6"/>
  <c r="Z559" i="6"/>
  <c r="Z558" i="6"/>
  <c r="Z547" i="6"/>
  <c r="Z545" i="6"/>
  <c r="Z543" i="6"/>
  <c r="Z542" i="6"/>
  <c r="Z531" i="6"/>
  <c r="Z530" i="6"/>
  <c r="Z503" i="6"/>
  <c r="Z502" i="6"/>
  <c r="Z500" i="6"/>
  <c r="Z499" i="6"/>
  <c r="Z458" i="6"/>
  <c r="Z456" i="6"/>
  <c r="Z452" i="6"/>
  <c r="Z449" i="6"/>
  <c r="Z447" i="6"/>
  <c r="Z446" i="6"/>
  <c r="Z444" i="6"/>
  <c r="Z441" i="6"/>
  <c r="Z440" i="6"/>
  <c r="Z437" i="6"/>
  <c r="Z431" i="6"/>
  <c r="Z382" i="6"/>
  <c r="Z381" i="6"/>
  <c r="Z379" i="6"/>
  <c r="Z374" i="6"/>
  <c r="Z363" i="6"/>
  <c r="Z362" i="6"/>
  <c r="Z358" i="6"/>
  <c r="Z352" i="6"/>
  <c r="Z334" i="6"/>
  <c r="Z309" i="6"/>
  <c r="Z303" i="6"/>
  <c r="Z302" i="6"/>
  <c r="Z264" i="6"/>
  <c r="Z258" i="6"/>
  <c r="Z238" i="6"/>
  <c r="Z236" i="6"/>
  <c r="Z235" i="6"/>
  <c r="Z231" i="6"/>
  <c r="Z223" i="6"/>
  <c r="Z222" i="6"/>
  <c r="Z221" i="6"/>
  <c r="Z220" i="6"/>
  <c r="Z219" i="6"/>
  <c r="Z217" i="6"/>
  <c r="Z216" i="6"/>
  <c r="Z215" i="6"/>
  <c r="Z214" i="6"/>
  <c r="Z213" i="6"/>
  <c r="Z211" i="6"/>
  <c r="Z210" i="6"/>
  <c r="Z206" i="6"/>
  <c r="Z205" i="6"/>
  <c r="Z203" i="6"/>
  <c r="Z199" i="6"/>
  <c r="Z194" i="6"/>
  <c r="Z179" i="6"/>
  <c r="Z158" i="6"/>
  <c r="Z153" i="6"/>
  <c r="Z146" i="6"/>
  <c r="Z142" i="6"/>
  <c r="Z139" i="6"/>
  <c r="Z137" i="6"/>
  <c r="Z135" i="6"/>
  <c r="Z133" i="6"/>
  <c r="Z131" i="6"/>
  <c r="Z129" i="6"/>
  <c r="Z128" i="6"/>
  <c r="Z124" i="6"/>
  <c r="Z118" i="6"/>
  <c r="Z115" i="6"/>
  <c r="Z114" i="6"/>
  <c r="Z111" i="6"/>
  <c r="Z110" i="6"/>
  <c r="Z104" i="6"/>
  <c r="Z82" i="6"/>
  <c r="Z76" i="6"/>
  <c r="Z75" i="6"/>
  <c r="Z68" i="6"/>
  <c r="Z64" i="6"/>
  <c r="Z58" i="6"/>
  <c r="Z56" i="6"/>
  <c r="Z50" i="6"/>
  <c r="Z47" i="6"/>
  <c r="Z42" i="6"/>
  <c r="Z15" i="6"/>
  <c r="Z7" i="6"/>
  <c r="Z1039" i="6"/>
  <c r="Z1037" i="6"/>
  <c r="Z1031" i="6"/>
  <c r="Z1030" i="6"/>
  <c r="Z943" i="6"/>
  <c r="Z913" i="6"/>
  <c r="Z888" i="6"/>
  <c r="Z875" i="6"/>
  <c r="Z874" i="6"/>
  <c r="Z870" i="6"/>
  <c r="Z804" i="6"/>
  <c r="Z800" i="6"/>
  <c r="Z794" i="6"/>
  <c r="Z747" i="6"/>
  <c r="Z725" i="6"/>
  <c r="Z717" i="6"/>
  <c r="Z685" i="6"/>
  <c r="Z668" i="6"/>
  <c r="Z666" i="6"/>
  <c r="Z664" i="6"/>
  <c r="Z662" i="6"/>
  <c r="Z660" i="6"/>
  <c r="Z658" i="6"/>
  <c r="Z656" i="6"/>
  <c r="Z642" i="6"/>
  <c r="Z636" i="6"/>
  <c r="Z633" i="6"/>
  <c r="Z628" i="6"/>
  <c r="Z625" i="6"/>
  <c r="Z610" i="6"/>
  <c r="Z607" i="6"/>
  <c r="Z605" i="6"/>
  <c r="Z603" i="6"/>
  <c r="Z599" i="6"/>
  <c r="Z597" i="6"/>
  <c r="Z581" i="6"/>
  <c r="Z575" i="6"/>
  <c r="Z571" i="6"/>
  <c r="Z570" i="6"/>
  <c r="Z568" i="6"/>
  <c r="Z565" i="6"/>
  <c r="Z564" i="6"/>
  <c r="Z561" i="6"/>
  <c r="Z555" i="6"/>
  <c r="Z552" i="6"/>
  <c r="Z548" i="6"/>
  <c r="Z546" i="6"/>
  <c r="Z540" i="6"/>
  <c r="Z538" i="6"/>
  <c r="Z535" i="6"/>
  <c r="Z528" i="6"/>
  <c r="Z492" i="6"/>
  <c r="Z491" i="6"/>
  <c r="Z490" i="6"/>
  <c r="Z486" i="6"/>
  <c r="Z485" i="6"/>
  <c r="Z484" i="6"/>
  <c r="Z483" i="6"/>
  <c r="Z482" i="6"/>
  <c r="Z481" i="6"/>
  <c r="Z480" i="6"/>
  <c r="Z479" i="6"/>
  <c r="Z478" i="6"/>
  <c r="Z477" i="6"/>
  <c r="Z476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4" i="6"/>
  <c r="Z453" i="6"/>
  <c r="Z445" i="6"/>
  <c r="Z436" i="6"/>
  <c r="Z430" i="6"/>
  <c r="Z429" i="6"/>
  <c r="Z428" i="6"/>
  <c r="Z427" i="6"/>
  <c r="Z425" i="6"/>
  <c r="Z423" i="6"/>
  <c r="Z421" i="6"/>
  <c r="Z419" i="6"/>
  <c r="Z415" i="6"/>
  <c r="Z413" i="6"/>
  <c r="Z411" i="6"/>
  <c r="Z409" i="6"/>
  <c r="Z407" i="6"/>
  <c r="Z405" i="6"/>
  <c r="Z401" i="6"/>
  <c r="Z398" i="6"/>
  <c r="Z395" i="6"/>
  <c r="Z393" i="6"/>
  <c r="Z391" i="6"/>
  <c r="Z389" i="6"/>
  <c r="Z387" i="6"/>
  <c r="Z377" i="6"/>
  <c r="Z375" i="6"/>
  <c r="Z373" i="6"/>
  <c r="Z370" i="6"/>
  <c r="Z367" i="6"/>
  <c r="Z365" i="6"/>
  <c r="Z360" i="6"/>
  <c r="Z357" i="6"/>
  <c r="Z339" i="6"/>
  <c r="Z338" i="6"/>
  <c r="Z337" i="6"/>
  <c r="Z336" i="6"/>
  <c r="Z327" i="6"/>
  <c r="Z323" i="6"/>
  <c r="Z322" i="6"/>
  <c r="Z315" i="6"/>
  <c r="Z314" i="6"/>
  <c r="Z307" i="6"/>
  <c r="Z297" i="6"/>
  <c r="Z296" i="6"/>
  <c r="Z292" i="6"/>
  <c r="Z288" i="6"/>
  <c r="Z287" i="6"/>
  <c r="Z283" i="6"/>
  <c r="Z281" i="6"/>
  <c r="Z280" i="6"/>
  <c r="Z277" i="6"/>
  <c r="Z276" i="6"/>
  <c r="Z272" i="6"/>
  <c r="Z271" i="6"/>
  <c r="Z270" i="6"/>
  <c r="Z268" i="6"/>
  <c r="Z266" i="6"/>
  <c r="Z259" i="6"/>
  <c r="Z256" i="6"/>
  <c r="Z254" i="6"/>
  <c r="Z250" i="6"/>
  <c r="Z245" i="6"/>
  <c r="Z244" i="6"/>
  <c r="Z239" i="6"/>
  <c r="Z226" i="6"/>
  <c r="Z207" i="6"/>
  <c r="Z204" i="6"/>
  <c r="Z201" i="6"/>
  <c r="Z200" i="6"/>
  <c r="Z165" i="6"/>
  <c r="Z161" i="6"/>
  <c r="Z159" i="6"/>
  <c r="Z151" i="6"/>
  <c r="Z144" i="6"/>
  <c r="Z136" i="6"/>
  <c r="Z120" i="6"/>
  <c r="Z100" i="6"/>
  <c r="Z99" i="6"/>
  <c r="Z96" i="6"/>
  <c r="Z94" i="6"/>
  <c r="Z89" i="6"/>
  <c r="Z85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" i="6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AE256" i="6"/>
  <c r="B2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950" i="6"/>
  <c r="X1149" i="6"/>
  <c r="X1148" i="6"/>
  <c r="X1147" i="6"/>
  <c r="X1146" i="6"/>
  <c r="X1145" i="6"/>
  <c r="X1144" i="6"/>
  <c r="X1143" i="6"/>
  <c r="X1142" i="6"/>
  <c r="X1141" i="6"/>
  <c r="X1140" i="6"/>
  <c r="X1139" i="6"/>
  <c r="X1138" i="6"/>
  <c r="X1137" i="6"/>
  <c r="X1136" i="6"/>
  <c r="X1135" i="6"/>
  <c r="X1134" i="6"/>
  <c r="X1133" i="6"/>
  <c r="X1132" i="6"/>
  <c r="X1131" i="6"/>
  <c r="X1130" i="6"/>
  <c r="X1129" i="6"/>
  <c r="X1128" i="6"/>
  <c r="X1127" i="6"/>
  <c r="X1126" i="6"/>
  <c r="X1125" i="6"/>
  <c r="X1124" i="6"/>
  <c r="X1123" i="6"/>
  <c r="X1122" i="6"/>
  <c r="X1121" i="6"/>
  <c r="X1120" i="6"/>
  <c r="X1119" i="6"/>
  <c r="X1118" i="6"/>
  <c r="X1117" i="6"/>
  <c r="X1116" i="6"/>
  <c r="X1115" i="6"/>
  <c r="X1114" i="6"/>
  <c r="X1113" i="6"/>
  <c r="X1112" i="6"/>
  <c r="X1111" i="6"/>
  <c r="X1110" i="6"/>
  <c r="X1109" i="6"/>
  <c r="X1108" i="6"/>
  <c r="X1107" i="6"/>
  <c r="X1106" i="6"/>
  <c r="X1105" i="6"/>
  <c r="X1104" i="6"/>
  <c r="X1103" i="6"/>
  <c r="X1102" i="6"/>
  <c r="X1101" i="6"/>
  <c r="X1100" i="6"/>
  <c r="X1099" i="6"/>
  <c r="X1098" i="6"/>
  <c r="X1097" i="6"/>
  <c r="X1096" i="6"/>
  <c r="X1095" i="6"/>
  <c r="X1094" i="6"/>
  <c r="X1093" i="6"/>
  <c r="X1092" i="6"/>
  <c r="X1091" i="6"/>
  <c r="X1090" i="6"/>
  <c r="X1089" i="6"/>
  <c r="X1088" i="6"/>
  <c r="X1087" i="6"/>
  <c r="X1086" i="6"/>
  <c r="X1085" i="6"/>
  <c r="X1084" i="6"/>
  <c r="X1083" i="6"/>
  <c r="X1082" i="6"/>
  <c r="X1081" i="6"/>
  <c r="X1080" i="6"/>
  <c r="X1079" i="6"/>
  <c r="X1078" i="6"/>
  <c r="X1077" i="6"/>
  <c r="X1076" i="6"/>
  <c r="X1075" i="6"/>
  <c r="X1074" i="6"/>
  <c r="X1073" i="6"/>
  <c r="X1072" i="6"/>
  <c r="X1071" i="6"/>
  <c r="X1070" i="6"/>
  <c r="X1069" i="6"/>
  <c r="X1068" i="6"/>
  <c r="X1067" i="6"/>
  <c r="X1066" i="6"/>
  <c r="X1065" i="6"/>
  <c r="X1064" i="6"/>
  <c r="X1063" i="6"/>
  <c r="X1062" i="6"/>
  <c r="X1061" i="6"/>
  <c r="X1060" i="6"/>
  <c r="X1059" i="6"/>
  <c r="X1058" i="6"/>
  <c r="X1057" i="6"/>
  <c r="X1056" i="6"/>
  <c r="X1055" i="6"/>
  <c r="X1054" i="6"/>
  <c r="X1053" i="6"/>
  <c r="X1052" i="6"/>
  <c r="X1051" i="6"/>
  <c r="X1050" i="6"/>
  <c r="X1049" i="6"/>
  <c r="X1048" i="6"/>
  <c r="X1047" i="6"/>
  <c r="X1046" i="6"/>
  <c r="X1045" i="6"/>
  <c r="X1044" i="6"/>
  <c r="X1043" i="6"/>
  <c r="X1042" i="6"/>
  <c r="X1041" i="6"/>
  <c r="X1040" i="6"/>
  <c r="X1039" i="6"/>
  <c r="X1038" i="6"/>
  <c r="X1037" i="6"/>
  <c r="X1036" i="6"/>
  <c r="X1035" i="6"/>
  <c r="X1034" i="6"/>
  <c r="X1033" i="6"/>
  <c r="X1032" i="6"/>
  <c r="X1031" i="6"/>
  <c r="X1030" i="6"/>
  <c r="X1029" i="6"/>
  <c r="X1028" i="6"/>
  <c r="X1027" i="6"/>
  <c r="X1026" i="6"/>
  <c r="X1025" i="6"/>
  <c r="X1024" i="6"/>
  <c r="X1023" i="6"/>
  <c r="X1022" i="6"/>
  <c r="X1021" i="6"/>
  <c r="X1020" i="6"/>
  <c r="X1019" i="6"/>
  <c r="X1018" i="6"/>
  <c r="X1017" i="6"/>
  <c r="X1016" i="6"/>
  <c r="X1015" i="6"/>
  <c r="X1014" i="6"/>
  <c r="X1013" i="6"/>
  <c r="X1012" i="6"/>
  <c r="X1011" i="6"/>
  <c r="X1010" i="6"/>
  <c r="X1009" i="6"/>
  <c r="X1008" i="6"/>
  <c r="X1007" i="6"/>
  <c r="X1006" i="6"/>
  <c r="X1005" i="6"/>
  <c r="X1004" i="6"/>
  <c r="X1003" i="6"/>
  <c r="X1002" i="6"/>
  <c r="X1001" i="6"/>
  <c r="X1000" i="6"/>
  <c r="X999" i="6"/>
  <c r="X998" i="6"/>
  <c r="X997" i="6"/>
  <c r="X996" i="6"/>
  <c r="X995" i="6"/>
  <c r="X994" i="6"/>
  <c r="X993" i="6"/>
  <c r="X992" i="6"/>
  <c r="X991" i="6"/>
  <c r="X990" i="6"/>
  <c r="X989" i="6"/>
  <c r="X988" i="6"/>
  <c r="X987" i="6"/>
  <c r="X986" i="6"/>
  <c r="X985" i="6"/>
  <c r="X984" i="6"/>
  <c r="X983" i="6"/>
  <c r="X982" i="6"/>
  <c r="X981" i="6"/>
  <c r="X980" i="6"/>
  <c r="X979" i="6"/>
  <c r="X978" i="6"/>
  <c r="X977" i="6"/>
  <c r="X976" i="6"/>
  <c r="X975" i="6"/>
  <c r="X974" i="6"/>
  <c r="X973" i="6"/>
  <c r="X972" i="6"/>
  <c r="X971" i="6"/>
  <c r="X970" i="6"/>
  <c r="X969" i="6"/>
  <c r="X968" i="6"/>
  <c r="X967" i="6"/>
  <c r="X966" i="6"/>
  <c r="X965" i="6"/>
  <c r="X964" i="6"/>
  <c r="X963" i="6"/>
  <c r="X962" i="6"/>
  <c r="X961" i="6"/>
  <c r="X960" i="6"/>
  <c r="X959" i="6"/>
  <c r="X958" i="6"/>
  <c r="X957" i="6"/>
  <c r="X956" i="6"/>
  <c r="X955" i="6"/>
  <c r="X954" i="6"/>
  <c r="X953" i="6"/>
  <c r="X952" i="6"/>
  <c r="X951" i="6"/>
  <c r="X950" i="6"/>
  <c r="I949" i="6"/>
  <c r="I948" i="6"/>
  <c r="AE947" i="6"/>
  <c r="X947" i="6"/>
  <c r="I947" i="6"/>
  <c r="AE946" i="6"/>
  <c r="X946" i="6"/>
  <c r="I946" i="6"/>
  <c r="AE945" i="6"/>
  <c r="X945" i="6"/>
  <c r="I945" i="6"/>
  <c r="AE944" i="6"/>
  <c r="X944" i="6"/>
  <c r="I944" i="6"/>
  <c r="AE943" i="6"/>
  <c r="X943" i="6"/>
  <c r="I943" i="6"/>
  <c r="AE942" i="6"/>
  <c r="X942" i="6"/>
  <c r="I942" i="6"/>
  <c r="AE941" i="6"/>
  <c r="X941" i="6"/>
  <c r="I941" i="6"/>
  <c r="AE940" i="6"/>
  <c r="X940" i="6"/>
  <c r="I940" i="6"/>
  <c r="AE939" i="6"/>
  <c r="X939" i="6"/>
  <c r="I939" i="6"/>
  <c r="AE938" i="6"/>
  <c r="X938" i="6"/>
  <c r="I938" i="6"/>
  <c r="AE937" i="6"/>
  <c r="X937" i="6"/>
  <c r="I937" i="6"/>
  <c r="AE936" i="6"/>
  <c r="X936" i="6"/>
  <c r="I936" i="6"/>
  <c r="AE935" i="6"/>
  <c r="X935" i="6"/>
  <c r="I935" i="6"/>
  <c r="AE934" i="6"/>
  <c r="X934" i="6"/>
  <c r="I934" i="6"/>
  <c r="AE933" i="6"/>
  <c r="X933" i="6"/>
  <c r="I933" i="6"/>
  <c r="AE932" i="6"/>
  <c r="X932" i="6"/>
  <c r="I932" i="6"/>
  <c r="AE931" i="6"/>
  <c r="X931" i="6"/>
  <c r="I931" i="6"/>
  <c r="AE930" i="6"/>
  <c r="X930" i="6"/>
  <c r="I930" i="6"/>
  <c r="AE929" i="6"/>
  <c r="X929" i="6"/>
  <c r="I929" i="6"/>
  <c r="AE928" i="6"/>
  <c r="X928" i="6"/>
  <c r="I928" i="6"/>
  <c r="AE927" i="6"/>
  <c r="X927" i="6"/>
  <c r="I927" i="6"/>
  <c r="AE926" i="6"/>
  <c r="X926" i="6"/>
  <c r="I926" i="6"/>
  <c r="AE925" i="6"/>
  <c r="X925" i="6"/>
  <c r="I925" i="6"/>
  <c r="AE924" i="6"/>
  <c r="X924" i="6"/>
  <c r="I924" i="6"/>
  <c r="AE923" i="6"/>
  <c r="X923" i="6"/>
  <c r="I923" i="6"/>
  <c r="AE922" i="6"/>
  <c r="X922" i="6"/>
  <c r="I922" i="6"/>
  <c r="AE921" i="6"/>
  <c r="X921" i="6"/>
  <c r="I921" i="6"/>
  <c r="AE920" i="6"/>
  <c r="X920" i="6"/>
  <c r="I920" i="6"/>
  <c r="AE919" i="6"/>
  <c r="X919" i="6"/>
  <c r="I919" i="6"/>
  <c r="AE918" i="6"/>
  <c r="X918" i="6"/>
  <c r="I918" i="6"/>
  <c r="AE917" i="6"/>
  <c r="X917" i="6"/>
  <c r="I917" i="6"/>
  <c r="AE916" i="6"/>
  <c r="X916" i="6"/>
  <c r="I916" i="6"/>
  <c r="AE915" i="6"/>
  <c r="X915" i="6"/>
  <c r="I915" i="6"/>
  <c r="AE914" i="6"/>
  <c r="X914" i="6"/>
  <c r="I914" i="6"/>
  <c r="AE913" i="6"/>
  <c r="X913" i="6"/>
  <c r="I913" i="6"/>
  <c r="AE912" i="6"/>
  <c r="X912" i="6"/>
  <c r="I912" i="6"/>
  <c r="AE911" i="6"/>
  <c r="X911" i="6"/>
  <c r="I911" i="6"/>
  <c r="AE910" i="6"/>
  <c r="X910" i="6"/>
  <c r="I910" i="6"/>
  <c r="AE909" i="6"/>
  <c r="X909" i="6"/>
  <c r="I909" i="6"/>
  <c r="AE908" i="6"/>
  <c r="X908" i="6"/>
  <c r="I908" i="6"/>
  <c r="AE907" i="6"/>
  <c r="X907" i="6"/>
  <c r="I907" i="6"/>
  <c r="AE906" i="6"/>
  <c r="X906" i="6"/>
  <c r="I906" i="6"/>
  <c r="AE905" i="6"/>
  <c r="X905" i="6"/>
  <c r="I905" i="6"/>
  <c r="AE904" i="6"/>
  <c r="X904" i="6"/>
  <c r="I904" i="6"/>
  <c r="AE903" i="6"/>
  <c r="X903" i="6"/>
  <c r="I903" i="6"/>
  <c r="AE902" i="6"/>
  <c r="X902" i="6"/>
  <c r="I902" i="6"/>
  <c r="AE901" i="6"/>
  <c r="X901" i="6"/>
  <c r="I901" i="6"/>
  <c r="AE900" i="6"/>
  <c r="X900" i="6"/>
  <c r="I900" i="6"/>
  <c r="AE899" i="6"/>
  <c r="X899" i="6"/>
  <c r="I899" i="6"/>
  <c r="AE898" i="6"/>
  <c r="X898" i="6"/>
  <c r="I898" i="6"/>
  <c r="AE897" i="6"/>
  <c r="X897" i="6"/>
  <c r="I897" i="6"/>
  <c r="AE896" i="6"/>
  <c r="X896" i="6"/>
  <c r="I896" i="6"/>
  <c r="AE895" i="6"/>
  <c r="X895" i="6"/>
  <c r="I895" i="6"/>
  <c r="AE894" i="6"/>
  <c r="X894" i="6"/>
  <c r="I894" i="6"/>
  <c r="AE893" i="6"/>
  <c r="X893" i="6"/>
  <c r="I893" i="6"/>
  <c r="AE892" i="6"/>
  <c r="I892" i="6"/>
  <c r="AE891" i="6"/>
  <c r="I891" i="6"/>
  <c r="AE890" i="6"/>
  <c r="I890" i="6"/>
  <c r="AE889" i="6"/>
  <c r="I889" i="6"/>
  <c r="AE888" i="6"/>
  <c r="I888" i="6"/>
  <c r="AE887" i="6"/>
  <c r="I887" i="6"/>
  <c r="AE886" i="6"/>
  <c r="I886" i="6"/>
  <c r="AE885" i="6"/>
  <c r="I885" i="6"/>
  <c r="AE884" i="6"/>
  <c r="I884" i="6"/>
  <c r="AE883" i="6"/>
  <c r="I883" i="6"/>
  <c r="AE882" i="6"/>
  <c r="I882" i="6"/>
  <c r="AE881" i="6"/>
  <c r="I881" i="6"/>
  <c r="AE880" i="6"/>
  <c r="I880" i="6"/>
  <c r="AE879" i="6"/>
  <c r="I879" i="6"/>
  <c r="AE878" i="6"/>
  <c r="I878" i="6"/>
  <c r="AE877" i="6"/>
  <c r="I877" i="6"/>
  <c r="AE876" i="6"/>
  <c r="I876" i="6"/>
  <c r="AE875" i="6"/>
  <c r="I875" i="6"/>
  <c r="AE874" i="6"/>
  <c r="I874" i="6"/>
  <c r="AE873" i="6"/>
  <c r="I873" i="6"/>
  <c r="AE872" i="6"/>
  <c r="I872" i="6"/>
  <c r="AE871" i="6"/>
  <c r="I871" i="6"/>
  <c r="AE870" i="6"/>
  <c r="I870" i="6"/>
  <c r="AE869" i="6"/>
  <c r="I869" i="6"/>
  <c r="AE868" i="6"/>
  <c r="I868" i="6"/>
  <c r="AE867" i="6"/>
  <c r="I867" i="6"/>
  <c r="AE866" i="6"/>
  <c r="I866" i="6"/>
  <c r="AE865" i="6"/>
  <c r="I865" i="6"/>
  <c r="AE864" i="6"/>
  <c r="I864" i="6"/>
  <c r="AE863" i="6"/>
  <c r="I863" i="6"/>
  <c r="AE862" i="6"/>
  <c r="I862" i="6"/>
  <c r="AE861" i="6"/>
  <c r="I861" i="6"/>
  <c r="AE860" i="6"/>
  <c r="I860" i="6"/>
  <c r="AE859" i="6"/>
  <c r="I859" i="6"/>
  <c r="AE858" i="6"/>
  <c r="I858" i="6"/>
  <c r="AE857" i="6"/>
  <c r="I857" i="6"/>
  <c r="AE856" i="6"/>
  <c r="I856" i="6"/>
  <c r="AE855" i="6"/>
  <c r="I855" i="6"/>
  <c r="AE854" i="6"/>
  <c r="I854" i="6"/>
  <c r="AE853" i="6"/>
  <c r="I853" i="6"/>
  <c r="AE852" i="6"/>
  <c r="I852" i="6"/>
  <c r="AE851" i="6"/>
  <c r="I851" i="6"/>
  <c r="AE850" i="6"/>
  <c r="I850" i="6"/>
  <c r="AE849" i="6"/>
  <c r="I849" i="6"/>
  <c r="AE848" i="6"/>
  <c r="I848" i="6"/>
  <c r="AE847" i="6"/>
  <c r="I847" i="6"/>
  <c r="AE846" i="6"/>
  <c r="I846" i="6"/>
  <c r="AE845" i="6"/>
  <c r="I845" i="6"/>
  <c r="AE844" i="6"/>
  <c r="I844" i="6"/>
  <c r="AE843" i="6"/>
  <c r="I843" i="6"/>
  <c r="AE842" i="6"/>
  <c r="I842" i="6"/>
  <c r="AE841" i="6"/>
  <c r="I841" i="6"/>
  <c r="AE840" i="6"/>
  <c r="I840" i="6"/>
  <c r="AE839" i="6"/>
  <c r="I839" i="6"/>
  <c r="AE838" i="6"/>
  <c r="I838" i="6"/>
  <c r="AE837" i="6"/>
  <c r="I837" i="6"/>
  <c r="AE836" i="6"/>
  <c r="I836" i="6"/>
  <c r="AE835" i="6"/>
  <c r="I835" i="6"/>
  <c r="AE834" i="6"/>
  <c r="I834" i="6"/>
  <c r="AE833" i="6"/>
  <c r="I833" i="6"/>
  <c r="AE832" i="6"/>
  <c r="I832" i="6"/>
  <c r="AE831" i="6"/>
  <c r="I831" i="6"/>
  <c r="AE830" i="6"/>
  <c r="I830" i="6"/>
  <c r="AE829" i="6"/>
  <c r="I829" i="6"/>
  <c r="AE828" i="6"/>
  <c r="I828" i="6"/>
  <c r="AE827" i="6"/>
  <c r="I827" i="6"/>
  <c r="AE826" i="6"/>
  <c r="I826" i="6"/>
  <c r="AE825" i="6"/>
  <c r="I825" i="6"/>
  <c r="AE824" i="6"/>
  <c r="I824" i="6"/>
  <c r="AE823" i="6"/>
  <c r="I823" i="6"/>
  <c r="AE822" i="6"/>
  <c r="I822" i="6"/>
  <c r="AE821" i="6"/>
  <c r="I821" i="6"/>
  <c r="AE820" i="6"/>
  <c r="I820" i="6"/>
  <c r="AE819" i="6"/>
  <c r="I819" i="6"/>
  <c r="AE818" i="6"/>
  <c r="I818" i="6"/>
  <c r="AE817" i="6"/>
  <c r="I817" i="6"/>
  <c r="AE816" i="6"/>
  <c r="I816" i="6"/>
  <c r="AE815" i="6"/>
  <c r="I815" i="6"/>
  <c r="AE814" i="6"/>
  <c r="I814" i="6"/>
  <c r="AE813" i="6"/>
  <c r="I813" i="6"/>
  <c r="AE812" i="6"/>
  <c r="I812" i="6"/>
  <c r="AE811" i="6"/>
  <c r="I811" i="6"/>
  <c r="AE810" i="6"/>
  <c r="I810" i="6"/>
  <c r="AE809" i="6"/>
  <c r="I809" i="6"/>
  <c r="AE808" i="6"/>
  <c r="I808" i="6"/>
  <c r="AE807" i="6"/>
  <c r="I807" i="6"/>
  <c r="AE806" i="6"/>
  <c r="I806" i="6"/>
  <c r="AE805" i="6"/>
  <c r="I805" i="6"/>
  <c r="AE804" i="6"/>
  <c r="I804" i="6"/>
  <c r="AE803" i="6"/>
  <c r="I803" i="6"/>
  <c r="AE802" i="6"/>
  <c r="I802" i="6"/>
  <c r="AE801" i="6"/>
  <c r="I801" i="6"/>
  <c r="AE800" i="6"/>
  <c r="I800" i="6"/>
  <c r="AE799" i="6"/>
  <c r="I799" i="6"/>
  <c r="AE798" i="6"/>
  <c r="I798" i="6"/>
  <c r="AE797" i="6"/>
  <c r="I797" i="6"/>
  <c r="AE796" i="6"/>
  <c r="I796" i="6"/>
  <c r="AE795" i="6"/>
  <c r="I795" i="6"/>
  <c r="AE794" i="6"/>
  <c r="I794" i="6"/>
  <c r="AE793" i="6"/>
  <c r="I793" i="6"/>
  <c r="AE792" i="6"/>
  <c r="I792" i="6"/>
  <c r="AE791" i="6"/>
  <c r="I791" i="6"/>
  <c r="AE790" i="6"/>
  <c r="I790" i="6"/>
  <c r="AE789" i="6"/>
  <c r="I789" i="6"/>
  <c r="AE788" i="6"/>
  <c r="I788" i="6"/>
  <c r="AE787" i="6"/>
  <c r="I787" i="6"/>
  <c r="AE786" i="6"/>
  <c r="I786" i="6"/>
  <c r="AE785" i="6"/>
  <c r="I785" i="6"/>
  <c r="AE784" i="6"/>
  <c r="I784" i="6"/>
  <c r="AE783" i="6"/>
  <c r="I783" i="6"/>
  <c r="AE782" i="6"/>
  <c r="I782" i="6"/>
  <c r="AE781" i="6"/>
  <c r="I781" i="6"/>
  <c r="AE780" i="6"/>
  <c r="I780" i="6"/>
  <c r="AE779" i="6"/>
  <c r="I779" i="6"/>
  <c r="AE778" i="6"/>
  <c r="I778" i="6"/>
  <c r="AE777" i="6"/>
  <c r="I777" i="6"/>
  <c r="AE776" i="6"/>
  <c r="I776" i="6"/>
  <c r="AE775" i="6"/>
  <c r="I775" i="6"/>
  <c r="AE774" i="6"/>
  <c r="I774" i="6"/>
  <c r="AE773" i="6"/>
  <c r="I773" i="6"/>
  <c r="AE772" i="6"/>
  <c r="I772" i="6"/>
  <c r="AE771" i="6"/>
  <c r="I771" i="6"/>
  <c r="AE770" i="6"/>
  <c r="I770" i="6"/>
  <c r="AE769" i="6"/>
  <c r="I769" i="6"/>
  <c r="AE768" i="6"/>
  <c r="I768" i="6"/>
  <c r="AE767" i="6"/>
  <c r="I767" i="6"/>
  <c r="AE766" i="6"/>
  <c r="I766" i="6"/>
  <c r="AE765" i="6"/>
  <c r="I765" i="6"/>
  <c r="AE764" i="6"/>
  <c r="I764" i="6"/>
  <c r="AE763" i="6"/>
  <c r="I763" i="6"/>
  <c r="AE762" i="6"/>
  <c r="I762" i="6"/>
  <c r="AE761" i="6"/>
  <c r="I761" i="6"/>
  <c r="AE760" i="6"/>
  <c r="I760" i="6"/>
  <c r="AE759" i="6"/>
  <c r="I759" i="6"/>
  <c r="AE758" i="6"/>
  <c r="I758" i="6"/>
  <c r="AE757" i="6"/>
  <c r="I757" i="6"/>
  <c r="AE756" i="6"/>
  <c r="I756" i="6"/>
  <c r="AE755" i="6"/>
  <c r="I755" i="6"/>
  <c r="AE754" i="6"/>
  <c r="I754" i="6"/>
  <c r="AE753" i="6"/>
  <c r="I753" i="6"/>
  <c r="AE752" i="6"/>
  <c r="I752" i="6"/>
  <c r="AE751" i="6"/>
  <c r="I751" i="6"/>
  <c r="AE750" i="6"/>
  <c r="I750" i="6"/>
  <c r="AE749" i="6"/>
  <c r="I749" i="6"/>
  <c r="AE748" i="6"/>
  <c r="I748" i="6"/>
  <c r="AE747" i="6"/>
  <c r="I747" i="6"/>
  <c r="AE746" i="6"/>
  <c r="I746" i="6"/>
  <c r="AE745" i="6"/>
  <c r="I745" i="6"/>
  <c r="AE744" i="6"/>
  <c r="I744" i="6"/>
  <c r="AE743" i="6"/>
  <c r="I743" i="6"/>
  <c r="I742" i="6"/>
  <c r="AE741" i="6"/>
  <c r="I741" i="6"/>
  <c r="AE740" i="6"/>
  <c r="I740" i="6"/>
  <c r="AE739" i="6"/>
  <c r="I739" i="6"/>
  <c r="AE738" i="6"/>
  <c r="I738" i="6"/>
  <c r="AE737" i="6"/>
  <c r="I737" i="6"/>
  <c r="AE736" i="6"/>
  <c r="I736" i="6"/>
  <c r="AE735" i="6"/>
  <c r="I735" i="6"/>
  <c r="I734" i="6"/>
  <c r="AE733" i="6"/>
  <c r="I733" i="6"/>
  <c r="AE732" i="6"/>
  <c r="I732" i="6"/>
  <c r="AE731" i="6"/>
  <c r="I731" i="6"/>
  <c r="AE730" i="6"/>
  <c r="I730" i="6"/>
  <c r="AE729" i="6"/>
  <c r="I729" i="6"/>
  <c r="AE728" i="6"/>
  <c r="I728" i="6"/>
  <c r="AE727" i="6"/>
  <c r="I727" i="6"/>
  <c r="AE726" i="6"/>
  <c r="I726" i="6"/>
  <c r="AE725" i="6"/>
  <c r="I725" i="6"/>
  <c r="AE724" i="6"/>
  <c r="I724" i="6"/>
  <c r="AE723" i="6"/>
  <c r="I723" i="6"/>
  <c r="AE722" i="6"/>
  <c r="I722" i="6"/>
  <c r="AE721" i="6"/>
  <c r="I721" i="6"/>
  <c r="AE720" i="6"/>
  <c r="I720" i="6"/>
  <c r="AE719" i="6"/>
  <c r="I719" i="6"/>
  <c r="AE718" i="6"/>
  <c r="I718" i="6"/>
  <c r="AE717" i="6"/>
  <c r="I717" i="6"/>
  <c r="AE716" i="6"/>
  <c r="I716" i="6"/>
  <c r="AE715" i="6"/>
  <c r="I715" i="6"/>
  <c r="AE714" i="6"/>
  <c r="I714" i="6"/>
  <c r="AE713" i="6"/>
  <c r="I713" i="6"/>
  <c r="AE712" i="6"/>
  <c r="I712" i="6"/>
  <c r="AE711" i="6"/>
  <c r="I711" i="6"/>
  <c r="AE710" i="6"/>
  <c r="I710" i="6"/>
  <c r="AE709" i="6"/>
  <c r="I709" i="6"/>
  <c r="AE708" i="6"/>
  <c r="I708" i="6"/>
  <c r="AE707" i="6"/>
  <c r="I707" i="6"/>
  <c r="AE706" i="6"/>
  <c r="I706" i="6"/>
  <c r="AE705" i="6"/>
  <c r="I705" i="6"/>
  <c r="AE704" i="6"/>
  <c r="I704" i="6"/>
  <c r="AE703" i="6"/>
  <c r="I703" i="6"/>
  <c r="AE702" i="6"/>
  <c r="I702" i="6"/>
  <c r="AE701" i="6"/>
  <c r="I701" i="6"/>
  <c r="AE700" i="6"/>
  <c r="I700" i="6"/>
  <c r="AE699" i="6"/>
  <c r="I699" i="6"/>
  <c r="AE698" i="6"/>
  <c r="I698" i="6"/>
  <c r="AE697" i="6"/>
  <c r="I697" i="6"/>
  <c r="AE696" i="6"/>
  <c r="I696" i="6"/>
  <c r="AE695" i="6"/>
  <c r="I695" i="6"/>
  <c r="AE694" i="6"/>
  <c r="I694" i="6"/>
  <c r="AE693" i="6"/>
  <c r="I693" i="6"/>
  <c r="AE692" i="6"/>
  <c r="I692" i="6"/>
  <c r="AE691" i="6"/>
  <c r="I691" i="6"/>
  <c r="AE690" i="6"/>
  <c r="I690" i="6"/>
  <c r="AE689" i="6"/>
  <c r="I689" i="6"/>
  <c r="AE688" i="6"/>
  <c r="I688" i="6"/>
  <c r="AE687" i="6"/>
  <c r="I687" i="6"/>
  <c r="AE686" i="6"/>
  <c r="I686" i="6"/>
  <c r="AE685" i="6"/>
  <c r="I685" i="6"/>
  <c r="AE684" i="6"/>
  <c r="I684" i="6"/>
  <c r="AE683" i="6"/>
  <c r="I683" i="6"/>
  <c r="AE682" i="6"/>
  <c r="I682" i="6"/>
  <c r="AE681" i="6"/>
  <c r="I681" i="6"/>
  <c r="AE680" i="6"/>
  <c r="I680" i="6"/>
  <c r="AE679" i="6"/>
  <c r="I679" i="6"/>
  <c r="AE678" i="6"/>
  <c r="I678" i="6"/>
  <c r="AE677" i="6"/>
  <c r="I677" i="6"/>
  <c r="AE676" i="6"/>
  <c r="I676" i="6"/>
  <c r="AE675" i="6"/>
  <c r="I675" i="6"/>
  <c r="AE674" i="6"/>
  <c r="I674" i="6"/>
  <c r="AE673" i="6"/>
  <c r="I673" i="6"/>
  <c r="AE672" i="6"/>
  <c r="I672" i="6"/>
  <c r="AE671" i="6"/>
  <c r="I671" i="6"/>
  <c r="AE670" i="6"/>
  <c r="I670" i="6"/>
  <c r="AE669" i="6"/>
  <c r="I669" i="6"/>
  <c r="AE668" i="6"/>
  <c r="I668" i="6"/>
  <c r="AE667" i="6"/>
  <c r="I667" i="6"/>
  <c r="AE666" i="6"/>
  <c r="I666" i="6"/>
  <c r="AE665" i="6"/>
  <c r="I665" i="6"/>
  <c r="AE664" i="6"/>
  <c r="I664" i="6"/>
  <c r="AE663" i="6"/>
  <c r="I663" i="6"/>
  <c r="AE662" i="6"/>
  <c r="I662" i="6"/>
  <c r="AE661" i="6"/>
  <c r="I661" i="6"/>
  <c r="AE660" i="6"/>
  <c r="I660" i="6"/>
  <c r="AE659" i="6"/>
  <c r="I659" i="6"/>
  <c r="AE658" i="6"/>
  <c r="I658" i="6"/>
  <c r="AE657" i="6"/>
  <c r="I657" i="6"/>
  <c r="AE656" i="6"/>
  <c r="I656" i="6"/>
  <c r="AE655" i="6"/>
  <c r="I655" i="6"/>
  <c r="AE654" i="6"/>
  <c r="I654" i="6"/>
  <c r="AE653" i="6"/>
  <c r="I653" i="6"/>
  <c r="AE652" i="6"/>
  <c r="I652" i="6"/>
  <c r="AE651" i="6"/>
  <c r="I651" i="6"/>
  <c r="AE650" i="6"/>
  <c r="I650" i="6"/>
  <c r="AE649" i="6"/>
  <c r="I649" i="6"/>
  <c r="AE648" i="6"/>
  <c r="I648" i="6"/>
  <c r="AE647" i="6"/>
  <c r="I647" i="6"/>
  <c r="AE646" i="6"/>
  <c r="I646" i="6"/>
  <c r="AE645" i="6"/>
  <c r="I645" i="6"/>
  <c r="AE644" i="6"/>
  <c r="I644" i="6"/>
  <c r="AE643" i="6"/>
  <c r="I643" i="6"/>
  <c r="AE642" i="6"/>
  <c r="I642" i="6"/>
  <c r="AE641" i="6"/>
  <c r="I641" i="6"/>
  <c r="AE640" i="6"/>
  <c r="I640" i="6"/>
  <c r="AE639" i="6"/>
  <c r="I639" i="6"/>
  <c r="AE638" i="6"/>
  <c r="I638" i="6"/>
  <c r="AE637" i="6"/>
  <c r="I637" i="6"/>
  <c r="AE636" i="6"/>
  <c r="I636" i="6"/>
  <c r="AE635" i="6"/>
  <c r="I635" i="6"/>
  <c r="AE634" i="6"/>
  <c r="I634" i="6"/>
  <c r="AE633" i="6"/>
  <c r="I633" i="6"/>
  <c r="AE632" i="6"/>
  <c r="I632" i="6"/>
  <c r="AE631" i="6"/>
  <c r="I631" i="6"/>
  <c r="AE630" i="6"/>
  <c r="I630" i="6"/>
  <c r="AE629" i="6"/>
  <c r="I629" i="6"/>
  <c r="AE628" i="6"/>
  <c r="I628" i="6"/>
  <c r="AE627" i="6"/>
  <c r="I627" i="6"/>
  <c r="AE626" i="6"/>
  <c r="I626" i="6"/>
  <c r="AE625" i="6"/>
  <c r="I625" i="6"/>
  <c r="AE624" i="6"/>
  <c r="I624" i="6"/>
  <c r="AE623" i="6"/>
  <c r="I623" i="6"/>
  <c r="AE622" i="6"/>
  <c r="I622" i="6"/>
  <c r="AE621" i="6"/>
  <c r="I621" i="6"/>
  <c r="AE620" i="6"/>
  <c r="I620" i="6"/>
  <c r="AE619" i="6"/>
  <c r="I619" i="6"/>
  <c r="AE618" i="6"/>
  <c r="I618" i="6"/>
  <c r="AE617" i="6"/>
  <c r="I617" i="6"/>
  <c r="AE616" i="6"/>
  <c r="I616" i="6"/>
  <c r="AE615" i="6"/>
  <c r="I615" i="6"/>
  <c r="AE614" i="6"/>
  <c r="I614" i="6"/>
  <c r="AE613" i="6"/>
  <c r="I613" i="6"/>
  <c r="AE612" i="6"/>
  <c r="I612" i="6"/>
  <c r="AE611" i="6"/>
  <c r="I611" i="6"/>
  <c r="AE610" i="6"/>
  <c r="I610" i="6"/>
  <c r="AE609" i="6"/>
  <c r="I609" i="6"/>
  <c r="AE608" i="6"/>
  <c r="I608" i="6"/>
  <c r="AE607" i="6"/>
  <c r="I607" i="6"/>
  <c r="AE606" i="6"/>
  <c r="I606" i="6"/>
  <c r="AE605" i="6"/>
  <c r="I605" i="6"/>
  <c r="AE604" i="6"/>
  <c r="I604" i="6"/>
  <c r="AE603" i="6"/>
  <c r="I603" i="6"/>
  <c r="AE602" i="6"/>
  <c r="I602" i="6"/>
  <c r="AE601" i="6"/>
  <c r="I601" i="6"/>
  <c r="AE600" i="6"/>
  <c r="I600" i="6"/>
  <c r="AE599" i="6"/>
  <c r="I599" i="6"/>
  <c r="AE598" i="6"/>
  <c r="I598" i="6"/>
  <c r="AE597" i="6"/>
  <c r="I597" i="6"/>
  <c r="AE596" i="6"/>
  <c r="I596" i="6"/>
  <c r="AE595" i="6"/>
  <c r="I595" i="6"/>
  <c r="AE594" i="6"/>
  <c r="I594" i="6"/>
  <c r="AE593" i="6"/>
  <c r="I593" i="6"/>
  <c r="AE592" i="6"/>
  <c r="I592" i="6"/>
  <c r="AE591" i="6"/>
  <c r="I591" i="6"/>
  <c r="AE590" i="6"/>
  <c r="I590" i="6"/>
  <c r="AE589" i="6"/>
  <c r="I589" i="6"/>
  <c r="AE588" i="6"/>
  <c r="I588" i="6"/>
  <c r="AE587" i="6"/>
  <c r="I587" i="6"/>
  <c r="AE586" i="6"/>
  <c r="I586" i="6"/>
  <c r="AE585" i="6"/>
  <c r="I585" i="6"/>
  <c r="AE584" i="6"/>
  <c r="I584" i="6"/>
  <c r="AE583" i="6"/>
  <c r="I583" i="6"/>
  <c r="AE582" i="6"/>
  <c r="I582" i="6"/>
  <c r="AE581" i="6"/>
  <c r="I581" i="6"/>
  <c r="AE580" i="6"/>
  <c r="I580" i="6"/>
  <c r="AE579" i="6"/>
  <c r="I579" i="6"/>
  <c r="AE578" i="6"/>
  <c r="I578" i="6"/>
  <c r="AE577" i="6"/>
  <c r="I577" i="6"/>
  <c r="AE576" i="6"/>
  <c r="I576" i="6"/>
  <c r="AE575" i="6"/>
  <c r="I575" i="6"/>
  <c r="AE574" i="6"/>
  <c r="I574" i="6"/>
  <c r="AE573" i="6"/>
  <c r="I573" i="6"/>
  <c r="AE572" i="6"/>
  <c r="I572" i="6"/>
  <c r="AE571" i="6"/>
  <c r="I571" i="6"/>
  <c r="AE570" i="6"/>
  <c r="I570" i="6"/>
  <c r="AE569" i="6"/>
  <c r="I569" i="6"/>
  <c r="AE568" i="6"/>
  <c r="I568" i="6"/>
  <c r="AE567" i="6"/>
  <c r="I567" i="6"/>
  <c r="AE566" i="6"/>
  <c r="I566" i="6"/>
  <c r="AE565" i="6"/>
  <c r="I565" i="6"/>
  <c r="AE564" i="6"/>
  <c r="I564" i="6"/>
  <c r="AE563" i="6"/>
  <c r="I563" i="6"/>
  <c r="AE562" i="6"/>
  <c r="I562" i="6"/>
  <c r="AE561" i="6"/>
  <c r="I561" i="6"/>
  <c r="AE560" i="6"/>
  <c r="I560" i="6"/>
  <c r="AE559" i="6"/>
  <c r="I559" i="6"/>
  <c r="AE558" i="6"/>
  <c r="I558" i="6"/>
  <c r="AE557" i="6"/>
  <c r="I557" i="6"/>
  <c r="AE556" i="6"/>
  <c r="I556" i="6"/>
  <c r="AE555" i="6"/>
  <c r="I555" i="6"/>
  <c r="AE554" i="6"/>
  <c r="I554" i="6"/>
  <c r="AE553" i="6"/>
  <c r="I553" i="6"/>
  <c r="AE552" i="6"/>
  <c r="I552" i="6"/>
  <c r="AE551" i="6"/>
  <c r="I551" i="6"/>
  <c r="AE550" i="6"/>
  <c r="I550" i="6"/>
  <c r="AE549" i="6"/>
  <c r="I549" i="6"/>
  <c r="AE548" i="6"/>
  <c r="I548" i="6"/>
  <c r="AE547" i="6"/>
  <c r="I547" i="6"/>
  <c r="AE546" i="6"/>
  <c r="I546" i="6"/>
  <c r="AE545" i="6"/>
  <c r="I545" i="6"/>
  <c r="AE544" i="6"/>
  <c r="I544" i="6"/>
  <c r="AE543" i="6"/>
  <c r="I543" i="6"/>
  <c r="AE542" i="6"/>
  <c r="I542" i="6"/>
  <c r="AE541" i="6"/>
  <c r="I541" i="6"/>
  <c r="AE540" i="6"/>
  <c r="I540" i="6"/>
  <c r="AE539" i="6"/>
  <c r="I539" i="6"/>
  <c r="AE538" i="6"/>
  <c r="I538" i="6"/>
  <c r="AE537" i="6"/>
  <c r="I537" i="6"/>
  <c r="AE536" i="6"/>
  <c r="I536" i="6"/>
  <c r="AE535" i="6"/>
  <c r="I535" i="6"/>
  <c r="AE534" i="6"/>
  <c r="I534" i="6"/>
  <c r="AE533" i="6"/>
  <c r="I533" i="6"/>
  <c r="AE532" i="6"/>
  <c r="I532" i="6"/>
  <c r="AE531" i="6"/>
  <c r="I531" i="6"/>
  <c r="AE530" i="6"/>
  <c r="I530" i="6"/>
  <c r="AE529" i="6"/>
  <c r="I529" i="6"/>
  <c r="AE528" i="6"/>
  <c r="I528" i="6"/>
  <c r="AE527" i="6"/>
  <c r="I527" i="6"/>
  <c r="AE526" i="6"/>
  <c r="I526" i="6"/>
  <c r="AE525" i="6"/>
  <c r="I525" i="6"/>
  <c r="AE524" i="6"/>
  <c r="I524" i="6"/>
  <c r="AE523" i="6"/>
  <c r="I523" i="6"/>
  <c r="AE522" i="6"/>
  <c r="I522" i="6"/>
  <c r="AE521" i="6"/>
  <c r="I521" i="6"/>
  <c r="AE520" i="6"/>
  <c r="I520" i="6"/>
  <c r="AE519" i="6"/>
  <c r="I519" i="6"/>
  <c r="AE518" i="6"/>
  <c r="I518" i="6"/>
  <c r="AE517" i="6"/>
  <c r="I517" i="6"/>
  <c r="AE516" i="6"/>
  <c r="I516" i="6"/>
  <c r="AE515" i="6"/>
  <c r="I515" i="6"/>
  <c r="AE514" i="6"/>
  <c r="I514" i="6"/>
  <c r="AE513" i="6"/>
  <c r="I513" i="6"/>
  <c r="AE512" i="6"/>
  <c r="I512" i="6"/>
  <c r="AE511" i="6"/>
  <c r="I511" i="6"/>
  <c r="AE510" i="6"/>
  <c r="I510" i="6"/>
  <c r="AE509" i="6"/>
  <c r="I509" i="6"/>
  <c r="AE508" i="6"/>
  <c r="I508" i="6"/>
  <c r="AE507" i="6"/>
  <c r="I507" i="6"/>
  <c r="AE506" i="6"/>
  <c r="I506" i="6"/>
  <c r="AE505" i="6"/>
  <c r="I505" i="6"/>
  <c r="AE504" i="6"/>
  <c r="I504" i="6"/>
  <c r="AE503" i="6"/>
  <c r="I503" i="6"/>
  <c r="AE502" i="6"/>
  <c r="I502" i="6"/>
  <c r="AE501" i="6"/>
  <c r="I501" i="6"/>
  <c r="AE500" i="6"/>
  <c r="I500" i="6"/>
  <c r="AE499" i="6"/>
  <c r="I499" i="6"/>
  <c r="AE498" i="6"/>
  <c r="I498" i="6"/>
  <c r="AE497" i="6"/>
  <c r="I497" i="6"/>
  <c r="AE496" i="6"/>
  <c r="I496" i="6"/>
  <c r="AE495" i="6"/>
  <c r="I495" i="6"/>
  <c r="AE494" i="6"/>
  <c r="I494" i="6"/>
  <c r="AE493" i="6"/>
  <c r="I493" i="6"/>
  <c r="AE492" i="6"/>
  <c r="I492" i="6"/>
  <c r="AE491" i="6"/>
  <c r="I491" i="6"/>
  <c r="AE490" i="6"/>
  <c r="I490" i="6"/>
  <c r="AE489" i="6"/>
  <c r="I489" i="6"/>
  <c r="AE488" i="6"/>
  <c r="I488" i="6"/>
  <c r="AE487" i="6"/>
  <c r="I487" i="6"/>
  <c r="AE486" i="6"/>
  <c r="I486" i="6"/>
  <c r="AE485" i="6"/>
  <c r="I485" i="6"/>
  <c r="AE484" i="6"/>
  <c r="I484" i="6"/>
  <c r="AE483" i="6"/>
  <c r="I483" i="6"/>
  <c r="AE482" i="6"/>
  <c r="I482" i="6"/>
  <c r="AE481" i="6"/>
  <c r="I481" i="6"/>
  <c r="AE480" i="6"/>
  <c r="I480" i="6"/>
  <c r="AE479" i="6"/>
  <c r="I479" i="6"/>
  <c r="AE478" i="6"/>
  <c r="I478" i="6"/>
  <c r="AE477" i="6"/>
  <c r="I477" i="6"/>
  <c r="AE476" i="6"/>
  <c r="I476" i="6"/>
  <c r="AE475" i="6"/>
  <c r="I475" i="6"/>
  <c r="AE474" i="6"/>
  <c r="I474" i="6"/>
  <c r="AE473" i="6"/>
  <c r="I473" i="6"/>
  <c r="AE472" i="6"/>
  <c r="I472" i="6"/>
  <c r="AE471" i="6"/>
  <c r="I471" i="6"/>
  <c r="AE470" i="6"/>
  <c r="I470" i="6"/>
  <c r="AE469" i="6"/>
  <c r="I469" i="6"/>
  <c r="AE468" i="6"/>
  <c r="I468" i="6"/>
  <c r="AE467" i="6"/>
  <c r="I467" i="6"/>
  <c r="AE466" i="6"/>
  <c r="I466" i="6"/>
  <c r="AE465" i="6"/>
  <c r="I465" i="6"/>
  <c r="AE464" i="6"/>
  <c r="I464" i="6"/>
  <c r="AE463" i="6"/>
  <c r="I463" i="6"/>
  <c r="AE462" i="6"/>
  <c r="I462" i="6"/>
  <c r="AE461" i="6"/>
  <c r="I461" i="6"/>
  <c r="AE460" i="6"/>
  <c r="I460" i="6"/>
  <c r="AE459" i="6"/>
  <c r="I459" i="6"/>
  <c r="AE458" i="6"/>
  <c r="I458" i="6"/>
  <c r="AE457" i="6"/>
  <c r="I457" i="6"/>
  <c r="AE456" i="6"/>
  <c r="I456" i="6"/>
  <c r="AE455" i="6"/>
  <c r="I455" i="6"/>
  <c r="AE454" i="6"/>
  <c r="I454" i="6"/>
  <c r="AE453" i="6"/>
  <c r="I453" i="6"/>
  <c r="AE452" i="6"/>
  <c r="I452" i="6"/>
  <c r="AE451" i="6"/>
  <c r="I451" i="6"/>
  <c r="AE450" i="6"/>
  <c r="I450" i="6"/>
  <c r="AE449" i="6"/>
  <c r="I449" i="6"/>
  <c r="AE448" i="6"/>
  <c r="I448" i="6"/>
  <c r="AE447" i="6"/>
  <c r="I447" i="6"/>
  <c r="AE446" i="6"/>
  <c r="I446" i="6"/>
  <c r="AE445" i="6"/>
  <c r="I445" i="6"/>
  <c r="AE444" i="6"/>
  <c r="I444" i="6"/>
  <c r="AE443" i="6"/>
  <c r="I443" i="6"/>
  <c r="AE442" i="6"/>
  <c r="I442" i="6"/>
  <c r="AE441" i="6"/>
  <c r="I441" i="6"/>
  <c r="AE440" i="6"/>
  <c r="I440" i="6"/>
  <c r="AE439" i="6"/>
  <c r="I439" i="6"/>
  <c r="AE438" i="6"/>
  <c r="I438" i="6"/>
  <c r="AE437" i="6"/>
  <c r="I437" i="6"/>
  <c r="AE436" i="6"/>
  <c r="I436" i="6"/>
  <c r="AE435" i="6"/>
  <c r="I435" i="6"/>
  <c r="AE434" i="6"/>
  <c r="I434" i="6"/>
  <c r="AE433" i="6"/>
  <c r="I433" i="6"/>
  <c r="AE432" i="6"/>
  <c r="I432" i="6"/>
  <c r="I431" i="6"/>
  <c r="AE430" i="6"/>
  <c r="I430" i="6"/>
  <c r="AE429" i="6"/>
  <c r="I429" i="6"/>
  <c r="AE428" i="6"/>
  <c r="I428" i="6"/>
  <c r="AE427" i="6"/>
  <c r="I427" i="6"/>
  <c r="AE426" i="6"/>
  <c r="I426" i="6"/>
  <c r="AE425" i="6"/>
  <c r="I425" i="6"/>
  <c r="AE424" i="6"/>
  <c r="I424" i="6"/>
  <c r="AE423" i="6"/>
  <c r="I423" i="6"/>
  <c r="AE422" i="6"/>
  <c r="I422" i="6"/>
  <c r="AE421" i="6"/>
  <c r="I421" i="6"/>
  <c r="AE420" i="6"/>
  <c r="I420" i="6"/>
  <c r="AE419" i="6"/>
  <c r="I419" i="6"/>
  <c r="AE418" i="6"/>
  <c r="I418" i="6"/>
  <c r="AE417" i="6"/>
  <c r="I417" i="6"/>
  <c r="AE416" i="6"/>
  <c r="I416" i="6"/>
  <c r="AE415" i="6"/>
  <c r="I415" i="6"/>
  <c r="AE414" i="6"/>
  <c r="I414" i="6"/>
  <c r="AE413" i="6"/>
  <c r="I413" i="6"/>
  <c r="AE412" i="6"/>
  <c r="I412" i="6"/>
  <c r="AE411" i="6"/>
  <c r="I411" i="6"/>
  <c r="AE410" i="6"/>
  <c r="I410" i="6"/>
  <c r="AE409" i="6"/>
  <c r="I409" i="6"/>
  <c r="AE408" i="6"/>
  <c r="I408" i="6"/>
  <c r="AE407" i="6"/>
  <c r="I407" i="6"/>
  <c r="AE406" i="6"/>
  <c r="I406" i="6"/>
  <c r="AE405" i="6"/>
  <c r="I405" i="6"/>
  <c r="AE404" i="6"/>
  <c r="I404" i="6"/>
  <c r="AE403" i="6"/>
  <c r="I403" i="6"/>
  <c r="AE402" i="6"/>
  <c r="I402" i="6"/>
  <c r="AE401" i="6"/>
  <c r="I401" i="6"/>
  <c r="AE400" i="6"/>
  <c r="I400" i="6"/>
  <c r="AE399" i="6"/>
  <c r="I399" i="6"/>
  <c r="AE398" i="6"/>
  <c r="I398" i="6"/>
  <c r="AE397" i="6"/>
  <c r="I397" i="6"/>
  <c r="AE396" i="6"/>
  <c r="I396" i="6"/>
  <c r="AE395" i="6"/>
  <c r="I395" i="6"/>
  <c r="AE394" i="6"/>
  <c r="I394" i="6"/>
  <c r="AE393" i="6"/>
  <c r="I393" i="6"/>
  <c r="AE392" i="6"/>
  <c r="I392" i="6"/>
  <c r="AE391" i="6"/>
  <c r="I391" i="6"/>
  <c r="AE390" i="6"/>
  <c r="I390" i="6"/>
  <c r="AE389" i="6"/>
  <c r="I389" i="6"/>
  <c r="AE388" i="6"/>
  <c r="I388" i="6"/>
  <c r="AE387" i="6"/>
  <c r="I387" i="6"/>
  <c r="AE386" i="6"/>
  <c r="I386" i="6"/>
  <c r="AE385" i="6"/>
  <c r="I385" i="6"/>
  <c r="AE384" i="6"/>
  <c r="I384" i="6"/>
  <c r="AE383" i="6"/>
  <c r="I383" i="6"/>
  <c r="AE382" i="6"/>
  <c r="I382" i="6"/>
  <c r="AE381" i="6"/>
  <c r="I381" i="6"/>
  <c r="AE380" i="6"/>
  <c r="I380" i="6"/>
  <c r="AE379" i="6"/>
  <c r="I379" i="6"/>
  <c r="AE378" i="6"/>
  <c r="I378" i="6"/>
  <c r="AE377" i="6"/>
  <c r="I377" i="6"/>
  <c r="AE376" i="6"/>
  <c r="I376" i="6"/>
  <c r="AE375" i="6"/>
  <c r="I375" i="6"/>
  <c r="AE374" i="6"/>
  <c r="I374" i="6"/>
  <c r="AE373" i="6"/>
  <c r="I373" i="6"/>
  <c r="AE372" i="6"/>
  <c r="I372" i="6"/>
  <c r="AE371" i="6"/>
  <c r="I371" i="6"/>
  <c r="AE370" i="6"/>
  <c r="I370" i="6"/>
  <c r="AE369" i="6"/>
  <c r="I369" i="6"/>
  <c r="AE368" i="6"/>
  <c r="I368" i="6"/>
  <c r="AE367" i="6"/>
  <c r="I367" i="6"/>
  <c r="AE366" i="6"/>
  <c r="I366" i="6"/>
  <c r="AE365" i="6"/>
  <c r="I365" i="6"/>
  <c r="AE364" i="6"/>
  <c r="I364" i="6"/>
  <c r="AE363" i="6"/>
  <c r="I363" i="6"/>
  <c r="I362" i="6"/>
  <c r="AE361" i="6"/>
  <c r="I361" i="6"/>
  <c r="AE360" i="6"/>
  <c r="I360" i="6"/>
  <c r="AE359" i="6"/>
  <c r="I359" i="6"/>
  <c r="AE358" i="6"/>
  <c r="I358" i="6"/>
  <c r="AE357" i="6"/>
  <c r="I357" i="6"/>
  <c r="AE356" i="6"/>
  <c r="I356" i="6"/>
  <c r="AE355" i="6"/>
  <c r="I355" i="6"/>
  <c r="AE354" i="6"/>
  <c r="I354" i="6"/>
  <c r="AE353" i="6"/>
  <c r="I353" i="6"/>
  <c r="AE352" i="6"/>
  <c r="I352" i="6"/>
  <c r="AE351" i="6"/>
  <c r="I351" i="6"/>
  <c r="AE350" i="6"/>
  <c r="I350" i="6"/>
  <c r="AE349" i="6"/>
  <c r="I349" i="6"/>
  <c r="AE348" i="6"/>
  <c r="I348" i="6"/>
  <c r="AE347" i="6"/>
  <c r="I347" i="6"/>
  <c r="AE346" i="6"/>
  <c r="I346" i="6"/>
  <c r="AE345" i="6"/>
  <c r="I345" i="6"/>
  <c r="AE344" i="6"/>
  <c r="I344" i="6"/>
  <c r="AE343" i="6"/>
  <c r="I343" i="6"/>
  <c r="AE342" i="6"/>
  <c r="I342" i="6"/>
  <c r="AE341" i="6"/>
  <c r="I341" i="6"/>
  <c r="AE340" i="6"/>
  <c r="I340" i="6"/>
  <c r="AE339" i="6"/>
  <c r="I339" i="6"/>
  <c r="AE338" i="6"/>
  <c r="I338" i="6"/>
  <c r="AE337" i="6"/>
  <c r="I337" i="6"/>
  <c r="AE336" i="6"/>
  <c r="I336" i="6"/>
  <c r="AE335" i="6"/>
  <c r="I335" i="6"/>
  <c r="AE334" i="6"/>
  <c r="I334" i="6"/>
  <c r="AE333" i="6"/>
  <c r="I333" i="6"/>
  <c r="AE332" i="6"/>
  <c r="I332" i="6"/>
  <c r="AE331" i="6"/>
  <c r="I331" i="6"/>
  <c r="AE330" i="6"/>
  <c r="I330" i="6"/>
  <c r="AE329" i="6"/>
  <c r="I329" i="6"/>
  <c r="AE328" i="6"/>
  <c r="I328" i="6"/>
  <c r="AE327" i="6"/>
  <c r="I327" i="6"/>
  <c r="AE326" i="6"/>
  <c r="I326" i="6"/>
  <c r="AE325" i="6"/>
  <c r="I325" i="6"/>
  <c r="AE324" i="6"/>
  <c r="I324" i="6"/>
  <c r="AE323" i="6"/>
  <c r="I323" i="6"/>
  <c r="AE322" i="6"/>
  <c r="I322" i="6"/>
  <c r="AE321" i="6"/>
  <c r="I321" i="6"/>
  <c r="AE320" i="6"/>
  <c r="I320" i="6"/>
  <c r="AE319" i="6"/>
  <c r="I319" i="6"/>
  <c r="AE318" i="6"/>
  <c r="I318" i="6"/>
  <c r="AE317" i="6"/>
  <c r="I317" i="6"/>
  <c r="AE316" i="6"/>
  <c r="I316" i="6"/>
  <c r="AE315" i="6"/>
  <c r="I315" i="6"/>
  <c r="AE314" i="6"/>
  <c r="I314" i="6"/>
  <c r="AE313" i="6"/>
  <c r="I313" i="6"/>
  <c r="AE312" i="6"/>
  <c r="I312" i="6"/>
  <c r="AE311" i="6"/>
  <c r="I311" i="6"/>
  <c r="AE310" i="6"/>
  <c r="I310" i="6"/>
  <c r="AE309" i="6"/>
  <c r="I309" i="6"/>
  <c r="AE308" i="6"/>
  <c r="I308" i="6"/>
  <c r="AE307" i="6"/>
  <c r="I307" i="6"/>
  <c r="AE306" i="6"/>
  <c r="I306" i="6"/>
  <c r="AE305" i="6"/>
  <c r="I305" i="6"/>
  <c r="AE304" i="6"/>
  <c r="I304" i="6"/>
  <c r="AE303" i="6"/>
  <c r="I303" i="6"/>
  <c r="AE302" i="6"/>
  <c r="I302" i="6"/>
  <c r="AE301" i="6"/>
  <c r="I301" i="6"/>
  <c r="AE300" i="6"/>
  <c r="I300" i="6"/>
  <c r="AE299" i="6"/>
  <c r="I299" i="6"/>
  <c r="AE298" i="6"/>
  <c r="I298" i="6"/>
  <c r="AE297" i="6"/>
  <c r="I297" i="6"/>
  <c r="AE296" i="6"/>
  <c r="I296" i="6"/>
  <c r="AE295" i="6"/>
  <c r="I295" i="6"/>
  <c r="AE294" i="6"/>
  <c r="I294" i="6"/>
  <c r="AE293" i="6"/>
  <c r="I293" i="6"/>
  <c r="AE292" i="6"/>
  <c r="I292" i="6"/>
  <c r="AE291" i="6"/>
  <c r="I291" i="6"/>
  <c r="AE290" i="6"/>
  <c r="I290" i="6"/>
  <c r="AE289" i="6"/>
  <c r="I289" i="6"/>
  <c r="AE288" i="6"/>
  <c r="I288" i="6"/>
  <c r="AE287" i="6"/>
  <c r="I287" i="6"/>
  <c r="AE286" i="6"/>
  <c r="I286" i="6"/>
  <c r="AE285" i="6"/>
  <c r="I285" i="6"/>
  <c r="AE284" i="6"/>
  <c r="I284" i="6"/>
  <c r="AE283" i="6"/>
  <c r="I283" i="6"/>
  <c r="AE282" i="6"/>
  <c r="I282" i="6"/>
  <c r="AE281" i="6"/>
  <c r="I281" i="6"/>
  <c r="AE280" i="6"/>
  <c r="I280" i="6"/>
  <c r="AE279" i="6"/>
  <c r="I279" i="6"/>
  <c r="AE278" i="6"/>
  <c r="I278" i="6"/>
  <c r="AE277" i="6"/>
  <c r="I277" i="6"/>
  <c r="AE276" i="6"/>
  <c r="I276" i="6"/>
  <c r="AE275" i="6"/>
  <c r="I275" i="6"/>
  <c r="AE274" i="6"/>
  <c r="I274" i="6"/>
  <c r="AE273" i="6"/>
  <c r="I273" i="6"/>
  <c r="AE272" i="6"/>
  <c r="I272" i="6"/>
  <c r="AE271" i="6"/>
  <c r="I271" i="6"/>
  <c r="AE270" i="6"/>
  <c r="I270" i="6"/>
  <c r="AE269" i="6"/>
  <c r="I269" i="6"/>
  <c r="AE268" i="6"/>
  <c r="I268" i="6"/>
  <c r="AE267" i="6"/>
  <c r="I267" i="6"/>
  <c r="AE266" i="6"/>
  <c r="I266" i="6"/>
  <c r="AE265" i="6"/>
  <c r="I265" i="6"/>
  <c r="AE264" i="6"/>
  <c r="I264" i="6"/>
  <c r="AE263" i="6"/>
  <c r="I263" i="6"/>
  <c r="AE262" i="6"/>
  <c r="I262" i="6"/>
  <c r="AE261" i="6"/>
  <c r="I261" i="6"/>
  <c r="AE260" i="6"/>
  <c r="I260" i="6"/>
  <c r="AE259" i="6"/>
  <c r="I259" i="6"/>
  <c r="AE258" i="6"/>
  <c r="I258" i="6"/>
  <c r="AE257" i="6"/>
  <c r="I257" i="6"/>
  <c r="I256" i="6"/>
  <c r="AE255" i="6"/>
  <c r="I255" i="6"/>
  <c r="AE254" i="6"/>
  <c r="I254" i="6"/>
  <c r="AE253" i="6"/>
  <c r="I253" i="6"/>
  <c r="AE252" i="6"/>
  <c r="I252" i="6"/>
  <c r="AE251" i="6"/>
  <c r="I251" i="6"/>
  <c r="AE250" i="6"/>
  <c r="I250" i="6"/>
  <c r="AE249" i="6"/>
  <c r="I249" i="6"/>
  <c r="AE248" i="6"/>
  <c r="I248" i="6"/>
  <c r="AE247" i="6"/>
  <c r="I247" i="6"/>
  <c r="AE246" i="6"/>
  <c r="I246" i="6"/>
  <c r="AE245" i="6"/>
  <c r="I245" i="6"/>
  <c r="AE244" i="6"/>
  <c r="I244" i="6"/>
  <c r="AE243" i="6"/>
  <c r="I243" i="6"/>
  <c r="AE242" i="6"/>
  <c r="I242" i="6"/>
  <c r="AE241" i="6"/>
  <c r="I241" i="6"/>
  <c r="AE240" i="6"/>
  <c r="I240" i="6"/>
  <c r="AE239" i="6"/>
  <c r="I239" i="6"/>
  <c r="AE238" i="6"/>
  <c r="I238" i="6"/>
  <c r="AE237" i="6"/>
  <c r="I237" i="6"/>
  <c r="AE236" i="6"/>
  <c r="I236" i="6"/>
  <c r="AE235" i="6"/>
  <c r="I235" i="6"/>
  <c r="AE234" i="6"/>
  <c r="I234" i="6"/>
  <c r="AE233" i="6"/>
  <c r="I233" i="6"/>
  <c r="AE232" i="6"/>
  <c r="I232" i="6"/>
  <c r="AE231" i="6"/>
  <c r="I231" i="6"/>
  <c r="AE230" i="6"/>
  <c r="I230" i="6"/>
  <c r="AE229" i="6"/>
  <c r="I229" i="6"/>
  <c r="AE228" i="6"/>
  <c r="I228" i="6"/>
  <c r="AE227" i="6"/>
  <c r="I227" i="6"/>
  <c r="AE226" i="6"/>
  <c r="I226" i="6"/>
  <c r="AE225" i="6"/>
  <c r="I225" i="6"/>
  <c r="AE224" i="6"/>
  <c r="I224" i="6"/>
  <c r="AE223" i="6"/>
  <c r="I223" i="6"/>
  <c r="AE222" i="6"/>
  <c r="I222" i="6"/>
  <c r="AE221" i="6"/>
  <c r="I221" i="6"/>
  <c r="AE220" i="6"/>
  <c r="I220" i="6"/>
  <c r="AE219" i="6"/>
  <c r="I219" i="6"/>
  <c r="AE218" i="6"/>
  <c r="I218" i="6"/>
  <c r="AE217" i="6"/>
  <c r="I217" i="6"/>
  <c r="AE216" i="6"/>
  <c r="I216" i="6"/>
  <c r="AE215" i="6"/>
  <c r="I215" i="6"/>
  <c r="AE214" i="6"/>
  <c r="I214" i="6"/>
  <c r="AE213" i="6"/>
  <c r="I213" i="6"/>
  <c r="AE212" i="6"/>
  <c r="I212" i="6"/>
  <c r="AE211" i="6"/>
  <c r="I211" i="6"/>
  <c r="AE210" i="6"/>
  <c r="I210" i="6"/>
  <c r="AE209" i="6"/>
  <c r="I209" i="6"/>
  <c r="AE208" i="6"/>
  <c r="I208" i="6"/>
  <c r="AE207" i="6"/>
  <c r="I207" i="6"/>
  <c r="AE206" i="6"/>
  <c r="I206" i="6"/>
  <c r="AE205" i="6"/>
  <c r="I205" i="6"/>
  <c r="AE204" i="6"/>
  <c r="I204" i="6"/>
  <c r="AE203" i="6"/>
  <c r="I203" i="6"/>
  <c r="AE202" i="6"/>
  <c r="I202" i="6"/>
  <c r="AE201" i="6"/>
  <c r="I201" i="6"/>
  <c r="AE200" i="6"/>
  <c r="I200" i="6"/>
  <c r="AE199" i="6"/>
  <c r="I199" i="6"/>
  <c r="AE198" i="6"/>
  <c r="I198" i="6"/>
  <c r="AE197" i="6"/>
  <c r="I197" i="6"/>
  <c r="AE196" i="6"/>
  <c r="I196" i="6"/>
  <c r="AE195" i="6"/>
  <c r="I195" i="6"/>
  <c r="AE194" i="6"/>
  <c r="I194" i="6"/>
  <c r="AE193" i="6"/>
  <c r="I193" i="6"/>
  <c r="AE192" i="6"/>
  <c r="I192" i="6"/>
  <c r="AE191" i="6"/>
  <c r="I191" i="6"/>
  <c r="AE190" i="6"/>
  <c r="I190" i="6"/>
  <c r="AE189" i="6"/>
  <c r="I189" i="6"/>
  <c r="AE188" i="6"/>
  <c r="I188" i="6"/>
  <c r="AE187" i="6"/>
  <c r="I187" i="6"/>
  <c r="AE186" i="6"/>
  <c r="I186" i="6"/>
  <c r="AE185" i="6"/>
  <c r="I185" i="6"/>
  <c r="AE184" i="6"/>
  <c r="I184" i="6"/>
  <c r="AE183" i="6"/>
  <c r="I183" i="6"/>
  <c r="AE182" i="6"/>
  <c r="I182" i="6"/>
  <c r="AE181" i="6"/>
  <c r="I181" i="6"/>
  <c r="AE180" i="6"/>
  <c r="I180" i="6"/>
  <c r="AE179" i="6"/>
  <c r="I179" i="6"/>
  <c r="AE178" i="6"/>
  <c r="I178" i="6"/>
  <c r="AE177" i="6"/>
  <c r="I177" i="6"/>
  <c r="AE176" i="6"/>
  <c r="I176" i="6"/>
  <c r="AE175" i="6"/>
  <c r="I175" i="6"/>
  <c r="AE174" i="6"/>
  <c r="I174" i="6"/>
  <c r="AE173" i="6"/>
  <c r="I173" i="6"/>
  <c r="AE172" i="6"/>
  <c r="I172" i="6"/>
  <c r="AE171" i="6"/>
  <c r="I171" i="6"/>
  <c r="AE170" i="6"/>
  <c r="I170" i="6"/>
  <c r="AE169" i="6"/>
  <c r="I169" i="6"/>
  <c r="AE168" i="6"/>
  <c r="I168" i="6"/>
  <c r="AE167" i="6"/>
  <c r="I167" i="6"/>
  <c r="AE166" i="6"/>
  <c r="I166" i="6"/>
  <c r="AE165" i="6"/>
  <c r="I165" i="6"/>
  <c r="AE164" i="6"/>
  <c r="I164" i="6"/>
  <c r="AE163" i="6"/>
  <c r="I163" i="6"/>
  <c r="AE162" i="6"/>
  <c r="I162" i="6"/>
  <c r="AE161" i="6"/>
  <c r="I161" i="6"/>
  <c r="AE160" i="6"/>
  <c r="I160" i="6"/>
  <c r="AE159" i="6"/>
  <c r="I159" i="6"/>
  <c r="AE158" i="6"/>
  <c r="I158" i="6"/>
  <c r="AE157" i="6"/>
  <c r="I157" i="6"/>
  <c r="AE156" i="6"/>
  <c r="I156" i="6"/>
  <c r="AE155" i="6"/>
  <c r="I155" i="6"/>
  <c r="AE154" i="6"/>
  <c r="I154" i="6"/>
  <c r="AE153" i="6"/>
  <c r="I153" i="6"/>
  <c r="AE152" i="6"/>
  <c r="I152" i="6"/>
  <c r="AE151" i="6"/>
  <c r="I151" i="6"/>
  <c r="AE150" i="6"/>
  <c r="I150" i="6"/>
  <c r="AE149" i="6"/>
  <c r="I149" i="6"/>
  <c r="AE148" i="6"/>
  <c r="I148" i="6"/>
  <c r="AE147" i="6"/>
  <c r="I147" i="6"/>
  <c r="AE146" i="6"/>
  <c r="I146" i="6"/>
  <c r="AE145" i="6"/>
  <c r="I145" i="6"/>
  <c r="AE144" i="6"/>
  <c r="I144" i="6"/>
  <c r="AE143" i="6"/>
  <c r="I143" i="6"/>
  <c r="AE142" i="6"/>
  <c r="I142" i="6"/>
  <c r="AE141" i="6"/>
  <c r="I141" i="6"/>
  <c r="AE140" i="6"/>
  <c r="I140" i="6"/>
  <c r="AE139" i="6"/>
  <c r="I139" i="6"/>
  <c r="AE138" i="6"/>
  <c r="I138" i="6"/>
  <c r="AE137" i="6"/>
  <c r="I137" i="6"/>
  <c r="AE136" i="6"/>
  <c r="I136" i="6"/>
  <c r="AE135" i="6"/>
  <c r="I135" i="6"/>
  <c r="AE134" i="6"/>
  <c r="I134" i="6"/>
  <c r="AE133" i="6"/>
  <c r="I133" i="6"/>
  <c r="AE132" i="6"/>
  <c r="I132" i="6"/>
  <c r="AE131" i="6"/>
  <c r="I131" i="6"/>
  <c r="AE130" i="6"/>
  <c r="I130" i="6"/>
  <c r="AE129" i="6"/>
  <c r="I129" i="6"/>
  <c r="AE128" i="6"/>
  <c r="I128" i="6"/>
  <c r="AE127" i="6"/>
  <c r="I127" i="6"/>
  <c r="AE126" i="6"/>
  <c r="I126" i="6"/>
  <c r="AE125" i="6"/>
  <c r="I125" i="6"/>
  <c r="AE124" i="6"/>
  <c r="I124" i="6"/>
  <c r="AE123" i="6"/>
  <c r="I123" i="6"/>
  <c r="AE122" i="6"/>
  <c r="I122" i="6"/>
  <c r="AE121" i="6"/>
  <c r="I121" i="6"/>
  <c r="AE120" i="6"/>
  <c r="I120" i="6"/>
  <c r="AE119" i="6"/>
  <c r="I119" i="6"/>
  <c r="AE118" i="6"/>
  <c r="I118" i="6"/>
  <c r="AE117" i="6"/>
  <c r="I117" i="6"/>
  <c r="AE116" i="6"/>
  <c r="I116" i="6"/>
  <c r="AE115" i="6"/>
  <c r="I115" i="6"/>
  <c r="AE114" i="6"/>
  <c r="I114" i="6"/>
  <c r="AE113" i="6"/>
  <c r="I113" i="6"/>
  <c r="AE112" i="6"/>
  <c r="I112" i="6"/>
  <c r="AE111" i="6"/>
  <c r="I111" i="6"/>
  <c r="AE110" i="6"/>
  <c r="I110" i="6"/>
  <c r="AE109" i="6"/>
  <c r="I109" i="6"/>
  <c r="AE108" i="6"/>
  <c r="I108" i="6"/>
  <c r="AE107" i="6"/>
  <c r="I107" i="6"/>
  <c r="AE106" i="6"/>
  <c r="I106" i="6"/>
  <c r="AE105" i="6"/>
  <c r="I105" i="6"/>
  <c r="AE104" i="6"/>
  <c r="I104" i="6"/>
  <c r="AE103" i="6"/>
  <c r="I103" i="6"/>
  <c r="AE102" i="6"/>
  <c r="I102" i="6"/>
  <c r="AE101" i="6"/>
  <c r="I101" i="6"/>
  <c r="AE100" i="6"/>
  <c r="I100" i="6"/>
  <c r="AE99" i="6"/>
  <c r="I99" i="6"/>
  <c r="AE98" i="6"/>
  <c r="I98" i="6"/>
  <c r="AE97" i="6"/>
  <c r="I97" i="6"/>
  <c r="AE96" i="6"/>
  <c r="I96" i="6"/>
  <c r="AE95" i="6"/>
  <c r="I95" i="6"/>
  <c r="AE94" i="6"/>
  <c r="I94" i="6"/>
  <c r="AE93" i="6"/>
  <c r="I93" i="6"/>
  <c r="AE92" i="6"/>
  <c r="I92" i="6"/>
  <c r="AE91" i="6"/>
  <c r="I91" i="6"/>
  <c r="AE90" i="6"/>
  <c r="I90" i="6"/>
  <c r="AE89" i="6"/>
  <c r="I89" i="6"/>
  <c r="AE88" i="6"/>
  <c r="I88" i="6"/>
  <c r="AE87" i="6"/>
  <c r="I87" i="6"/>
  <c r="AE86" i="6"/>
  <c r="I86" i="6"/>
  <c r="AE85" i="6"/>
  <c r="I85" i="6"/>
  <c r="AE84" i="6"/>
  <c r="X84" i="6"/>
  <c r="I84" i="6"/>
  <c r="AE83" i="6"/>
  <c r="I83" i="6"/>
  <c r="AE82" i="6"/>
  <c r="I82" i="6"/>
  <c r="AE81" i="6"/>
  <c r="I81" i="6"/>
  <c r="AE80" i="6"/>
  <c r="I80" i="6"/>
  <c r="AE79" i="6"/>
  <c r="I79" i="6"/>
  <c r="AE78" i="6"/>
  <c r="I78" i="6"/>
  <c r="AE77" i="6"/>
  <c r="I77" i="6"/>
  <c r="AE76" i="6"/>
  <c r="I76" i="6"/>
  <c r="AE75" i="6"/>
  <c r="I75" i="6"/>
  <c r="AE74" i="6"/>
  <c r="I74" i="6"/>
  <c r="AE73" i="6"/>
  <c r="I73" i="6"/>
  <c r="AE72" i="6"/>
  <c r="I72" i="6"/>
  <c r="AE71" i="6"/>
  <c r="I71" i="6"/>
  <c r="AE70" i="6"/>
  <c r="I70" i="6"/>
  <c r="AE69" i="6"/>
  <c r="I69" i="6"/>
  <c r="AE68" i="6"/>
  <c r="I68" i="6"/>
  <c r="AE67" i="6"/>
  <c r="I67" i="6"/>
  <c r="AE66" i="6"/>
  <c r="I66" i="6"/>
  <c r="AE65" i="6"/>
  <c r="I65" i="6"/>
  <c r="AE64" i="6"/>
  <c r="I64" i="6"/>
  <c r="AE63" i="6"/>
  <c r="I63" i="6"/>
  <c r="AE62" i="6"/>
  <c r="I62" i="6"/>
  <c r="AE61" i="6"/>
  <c r="I61" i="6"/>
  <c r="AE60" i="6"/>
  <c r="I60" i="6"/>
  <c r="AE59" i="6"/>
  <c r="I59" i="6"/>
  <c r="AE58" i="6"/>
  <c r="I58" i="6"/>
  <c r="AE57" i="6"/>
  <c r="I57" i="6"/>
  <c r="AE56" i="6"/>
  <c r="I56" i="6"/>
  <c r="AE55" i="6"/>
  <c r="I55" i="6"/>
  <c r="AE54" i="6"/>
  <c r="I54" i="6"/>
  <c r="AE53" i="6"/>
  <c r="I53" i="6"/>
  <c r="AE52" i="6"/>
  <c r="I52" i="6"/>
  <c r="AE51" i="6"/>
  <c r="I51" i="6"/>
  <c r="AE50" i="6"/>
  <c r="I50" i="6"/>
  <c r="AE49" i="6"/>
  <c r="I49" i="6"/>
  <c r="AE48" i="6"/>
  <c r="I48" i="6"/>
  <c r="AE47" i="6"/>
  <c r="I47" i="6"/>
  <c r="AE46" i="6"/>
  <c r="I46" i="6"/>
  <c r="AE45" i="6"/>
  <c r="I45" i="6"/>
  <c r="AE44" i="6"/>
  <c r="I44" i="6"/>
  <c r="AE43" i="6"/>
  <c r="I43" i="6"/>
  <c r="AE42" i="6"/>
  <c r="I42" i="6"/>
  <c r="AE41" i="6"/>
  <c r="I41" i="6"/>
  <c r="AE40" i="6"/>
  <c r="I40" i="6"/>
  <c r="AE39" i="6"/>
  <c r="I39" i="6"/>
  <c r="AE38" i="6"/>
  <c r="I38" i="6"/>
  <c r="AE37" i="6"/>
  <c r="I37" i="6"/>
  <c r="AE36" i="6"/>
  <c r="I36" i="6"/>
  <c r="AE35" i="6"/>
  <c r="I35" i="6"/>
  <c r="AE34" i="6"/>
  <c r="I34" i="6"/>
  <c r="AE33" i="6"/>
  <c r="I33" i="6"/>
  <c r="AE32" i="6"/>
  <c r="I32" i="6"/>
  <c r="AE31" i="6"/>
  <c r="I31" i="6"/>
  <c r="AE30" i="6"/>
  <c r="I30" i="6"/>
  <c r="AE29" i="6"/>
  <c r="I29" i="6"/>
  <c r="AE28" i="6"/>
  <c r="I28" i="6"/>
  <c r="AE27" i="6"/>
  <c r="I27" i="6"/>
  <c r="AE26" i="6"/>
  <c r="I26" i="6"/>
  <c r="AE25" i="6"/>
  <c r="I25" i="6"/>
  <c r="AE24" i="6"/>
  <c r="I24" i="6"/>
  <c r="AE23" i="6"/>
  <c r="I23" i="6"/>
  <c r="AE22" i="6"/>
  <c r="I22" i="6"/>
  <c r="AE21" i="6"/>
  <c r="I21" i="6"/>
  <c r="AE20" i="6"/>
  <c r="I20" i="6"/>
  <c r="AE19" i="6"/>
  <c r="I19" i="6"/>
  <c r="AE18" i="6"/>
  <c r="I18" i="6"/>
  <c r="AE17" i="6"/>
  <c r="I17" i="6"/>
  <c r="AE16" i="6"/>
  <c r="I16" i="6"/>
  <c r="AE15" i="6"/>
  <c r="I15" i="6"/>
  <c r="AE14" i="6"/>
  <c r="I14" i="6"/>
  <c r="AE13" i="6"/>
  <c r="I13" i="6"/>
  <c r="AE12" i="6"/>
  <c r="I12" i="6"/>
  <c r="AE11" i="6"/>
  <c r="I11" i="6"/>
  <c r="AE10" i="6"/>
  <c r="I10" i="6"/>
  <c r="AE9" i="6"/>
  <c r="I9" i="6"/>
  <c r="AE8" i="6"/>
  <c r="I8" i="6"/>
  <c r="AE7" i="6"/>
  <c r="I7" i="6"/>
  <c r="AE6" i="6"/>
  <c r="I6" i="6"/>
  <c r="AE5" i="6"/>
  <c r="I5" i="6"/>
  <c r="AE4" i="6"/>
  <c r="I4" i="6"/>
  <c r="AE3" i="6"/>
  <c r="I3" i="6"/>
  <c r="Z1130" i="6" l="1"/>
  <c r="Z969" i="6"/>
  <c r="Z968" i="6"/>
  <c r="Z951" i="6"/>
  <c r="Z1132" i="6"/>
  <c r="X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253" authorId="0" shapeId="0" xr:uid="{00000000-0006-0000-0100-000001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akhir agustus resign</t>
        </r>
      </text>
    </comment>
    <comment ref="B387" authorId="0" shapeId="0" xr:uid="{00000000-0006-0000-0100-000002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resign akhir agustus
</t>
        </r>
      </text>
    </comment>
    <comment ref="B667" authorId="0" shapeId="0" xr:uid="{00000000-0006-0000-0100-000003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resign terakhior 31 aug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4ADF44-0553-4DD6-84AD-2C1B8E213936}" keepAlive="1" name="Kueri - Master_Data_Productivity" description="Sambungan ke kueri 'Master_Data_Productivity' pada workbook." type="5" refreshedVersion="8" background="1" saveData="1">
    <dbPr connection="Provider=Microsoft.Mashup.OleDb.1;Data Source=$Workbook$;Location=Master_Data_Productivity;Extended Properties=&quot;&quot;" command="SELECT * FROM [Master_Data_Productivity]"/>
  </connection>
  <connection id="2" xr16:uid="{8C11F6D2-3A75-45A5-8875-EAF4B512B259}" keepAlive="1" name="Query - Data Master" description="Connection to the 'Data Master' query in the workbook." type="5" refreshedVersion="8" background="1" saveData="1">
    <dbPr connection="Provider=Microsoft.Mashup.OleDb.1;Data Source=$Workbook$;Location=&quot;Data Master&quot;;Extended Properties=&quot;&quot;" command="SELECT * FROM [Data Master]"/>
  </connection>
</connections>
</file>

<file path=xl/sharedStrings.xml><?xml version="1.0" encoding="utf-8"?>
<sst xmlns="http://schemas.openxmlformats.org/spreadsheetml/2006/main" count="74712" uniqueCount="4197">
  <si>
    <t>Uniq-ID</t>
  </si>
  <si>
    <t>Name ID</t>
  </si>
  <si>
    <t>Account</t>
  </si>
  <si>
    <t>Region</t>
  </si>
  <si>
    <t>Period</t>
  </si>
  <si>
    <t>Period Date</t>
  </si>
  <si>
    <t>Period Status</t>
  </si>
  <si>
    <t>Payment Coef.</t>
  </si>
  <si>
    <t>DC</t>
  </si>
  <si>
    <t>DC-Document_Controller-021</t>
  </si>
  <si>
    <t>Winarsih wx1503649</t>
  </si>
  <si>
    <t>TELKOMSEL</t>
  </si>
  <si>
    <t/>
  </si>
  <si>
    <t>M1</t>
  </si>
  <si>
    <t>2026-04-01 - 2026-04-30</t>
  </si>
  <si>
    <t>Ended</t>
  </si>
  <si>
    <t>Excellent</t>
  </si>
  <si>
    <t>272.3 %</t>
  </si>
  <si>
    <t>M2</t>
  </si>
  <si>
    <t>2026-05-01 - 2026-05-31</t>
  </si>
  <si>
    <t>Normal</t>
  </si>
  <si>
    <t>195.1 %</t>
  </si>
  <si>
    <t>M3</t>
  </si>
  <si>
    <t>2026-06-01 - 2026-06-30</t>
  </si>
  <si>
    <t>887.9 %</t>
  </si>
  <si>
    <t>M4</t>
  </si>
  <si>
    <t>2026-07-01 - 2026-07-31</t>
  </si>
  <si>
    <t>272.5 %</t>
  </si>
  <si>
    <t>M5</t>
  </si>
  <si>
    <t>2026-08-01 - 2026-08-31</t>
  </si>
  <si>
    <t>218.6 %</t>
  </si>
  <si>
    <t>M6</t>
  </si>
  <si>
    <t>2026-09-01 - 2026-09-30</t>
  </si>
  <si>
    <t>Ongoing</t>
  </si>
  <si>
    <t>120.2 %</t>
  </si>
  <si>
    <t>DC-Document_Controller-058</t>
  </si>
  <si>
    <t>Nancy Febrila Eko wx1524066</t>
  </si>
  <si>
    <t>2026-06-02 - 2026-07-01</t>
  </si>
  <si>
    <t>364.8 %</t>
  </si>
  <si>
    <t>2026-07-02 - 2026-08-01</t>
  </si>
  <si>
    <t>357.5 %</t>
  </si>
  <si>
    <t>2026-08-02 - 2026-09-01</t>
  </si>
  <si>
    <t>183.7 %</t>
  </si>
  <si>
    <t>2026-09-02 - 2026-10-01</t>
  </si>
  <si>
    <t>Poor</t>
  </si>
  <si>
    <t>0.0 %</t>
  </si>
  <si>
    <t>DC-Document_Controller-004</t>
  </si>
  <si>
    <t>Hyang Iman Kinasih Gusti wx1503650</t>
  </si>
  <si>
    <t>IOH</t>
  </si>
  <si>
    <t>2026-03-23 - 2026-04-22</t>
  </si>
  <si>
    <t>917.1 %</t>
  </si>
  <si>
    <t>2026-04-23 - 2026-05-22</t>
  </si>
  <si>
    <t>2026-05-23 - 2026-06-22</t>
  </si>
  <si>
    <t>1614.1 %</t>
  </si>
  <si>
    <t>2026-06-23 - 2026-07-22</t>
  </si>
  <si>
    <t>1045.5 %</t>
  </si>
  <si>
    <t>2026-07-23 - 2026-08-22</t>
  </si>
  <si>
    <t>2026-08-23 - 2026-09-22</t>
  </si>
  <si>
    <t>DC-Document_Controller-001</t>
  </si>
  <si>
    <t>Sri Hardianti Purnamasari wx1503627</t>
  </si>
  <si>
    <t>210.9 %</t>
  </si>
  <si>
    <t>217.9 %</t>
  </si>
  <si>
    <t>188.8 %</t>
  </si>
  <si>
    <t>380.0 %</t>
  </si>
  <si>
    <t>491.1 %</t>
  </si>
  <si>
    <t>DC-Document_Controller-054</t>
  </si>
  <si>
    <t>Dwi Nofianti wx1524844</t>
  </si>
  <si>
    <t>2026-06-03 - 2026-07-02</t>
  </si>
  <si>
    <t>1008.8 %</t>
  </si>
  <si>
    <t>2026-07-03 - 2026-08-02</t>
  </si>
  <si>
    <t>1375.6 %</t>
  </si>
  <si>
    <t>2026-08-03 - 2026-09-02</t>
  </si>
  <si>
    <t>458.5 %</t>
  </si>
  <si>
    <t>2026-09-03 - 2026-10-02</t>
  </si>
  <si>
    <t>DC-Document_Controller-049</t>
  </si>
  <si>
    <t>Akmal wx1524119</t>
  </si>
  <si>
    <t>XLSMART</t>
  </si>
  <si>
    <t>862.0 %</t>
  </si>
  <si>
    <t>697.7 %</t>
  </si>
  <si>
    <t>310.2 %</t>
  </si>
  <si>
    <t>8.8 %</t>
  </si>
  <si>
    <t>DC-Document_Controller-048</t>
  </si>
  <si>
    <t>Putri Mawaring Wening wx1524101</t>
  </si>
  <si>
    <t>227.8 %</t>
  </si>
  <si>
    <t>326.7 %</t>
  </si>
  <si>
    <t>366.6 %</t>
  </si>
  <si>
    <t>34.2 %</t>
  </si>
  <si>
    <t>DC-Document_Controller-046</t>
  </si>
  <si>
    <t>Adhitya Pratama wx1524069</t>
  </si>
  <si>
    <t>204.3 %</t>
  </si>
  <si>
    <t>22.3 %</t>
  </si>
  <si>
    <t>121.8 %</t>
  </si>
  <si>
    <t>0.9 %</t>
  </si>
  <si>
    <t>DC-Document_Controller-045</t>
  </si>
  <si>
    <t>Fadhlan Adha wx1524099</t>
  </si>
  <si>
    <t>273.7 %</t>
  </si>
  <si>
    <t>343.2 %</t>
  </si>
  <si>
    <t>153.2 %</t>
  </si>
  <si>
    <t>DC-Document_Controller-008</t>
  </si>
  <si>
    <t>Nurmawaty wx1504714</t>
  </si>
  <si>
    <t>2026-03-28 - 2026-04-27</t>
  </si>
  <si>
    <t>1612.9 %</t>
  </si>
  <si>
    <t>2026-04-28 - 2026-05-27</t>
  </si>
  <si>
    <t>1000.0 %</t>
  </si>
  <si>
    <t>2026-05-28 - 2026-06-27</t>
  </si>
  <si>
    <t>648.4 %</t>
  </si>
  <si>
    <t>2026-06-28 - 2026-07-27</t>
  </si>
  <si>
    <t>4100.0 %</t>
  </si>
  <si>
    <t>2026-07-28 - 2026-08-27</t>
  </si>
  <si>
    <t>2026-08-28 - 2026-09-27</t>
  </si>
  <si>
    <t>DC-Document_Controller-037</t>
  </si>
  <si>
    <t>Ayu Berlina wx1521222</t>
  </si>
  <si>
    <t>Surge</t>
  </si>
  <si>
    <t>2026-05-24 - 2026-06-23</t>
  </si>
  <si>
    <t>706.2 %</t>
  </si>
  <si>
    <t>2026-06-24 - 2026-07-23</t>
  </si>
  <si>
    <t>1036.3 %</t>
  </si>
  <si>
    <t>2026-07-24 - 2026-08-23</t>
  </si>
  <si>
    <t>229.3 %</t>
  </si>
  <si>
    <t>2026-08-24 - 2026-09-23</t>
  </si>
  <si>
    <t>DC-Document_Controller-009</t>
  </si>
  <si>
    <t>Febryyanti Nawang Wulan wx1503626</t>
  </si>
  <si>
    <t>2026-03-30 - 2026-04-29</t>
  </si>
  <si>
    <t>285.1 %</t>
  </si>
  <si>
    <t>2026-04-30 - 2026-05-29</t>
  </si>
  <si>
    <t>315.5 %</t>
  </si>
  <si>
    <t>2026-05-30 - 2026-06-29</t>
  </si>
  <si>
    <t>575.6 %</t>
  </si>
  <si>
    <t>2026-06-30 - 2026-07-29</t>
  </si>
  <si>
    <t>345.3 %</t>
  </si>
  <si>
    <t>2026-07-30 - 2026-08-29</t>
  </si>
  <si>
    <t>230.1 %</t>
  </si>
  <si>
    <t>2026-08-30 - 2026-09-29</t>
  </si>
  <si>
    <t>DC-Document_Controller-036</t>
  </si>
  <si>
    <t>Amara Auliya Dewanti wx1521185</t>
  </si>
  <si>
    <t>522.7 %</t>
  </si>
  <si>
    <t>1228.9 %</t>
  </si>
  <si>
    <t>9.2 %</t>
  </si>
  <si>
    <t>DC-Document_Controller-034</t>
  </si>
  <si>
    <t>Raden Inna Rachmasetia wx1506939</t>
  </si>
  <si>
    <t>XL-FTTH</t>
  </si>
  <si>
    <t>952.0 %</t>
  </si>
  <si>
    <t>948.6 %</t>
  </si>
  <si>
    <t>282.0 %</t>
  </si>
  <si>
    <t>212.0 %</t>
  </si>
  <si>
    <t>DC-Document_Controller-033</t>
  </si>
  <si>
    <t>Gema Marhayen wx1506940</t>
  </si>
  <si>
    <t>209.8 %</t>
  </si>
  <si>
    <t>174.5 %</t>
  </si>
  <si>
    <t>583.0 %</t>
  </si>
  <si>
    <t>364.3 %</t>
  </si>
  <si>
    <t>133.2 %</t>
  </si>
  <si>
    <t>13.5 %</t>
  </si>
  <si>
    <t>DC-Document_Controller-030</t>
  </si>
  <si>
    <t>Zamilah Maulidiana wx1503509</t>
  </si>
  <si>
    <t>Platform Region</t>
  </si>
  <si>
    <t>342.3 %</t>
  </si>
  <si>
    <t>265.4 %</t>
  </si>
  <si>
    <t>326.9 %</t>
  </si>
  <si>
    <t>142.3 %</t>
  </si>
  <si>
    <t>138.5 %</t>
  </si>
  <si>
    <t>11.5 %</t>
  </si>
  <si>
    <t>DC-Document_Controller-029</t>
  </si>
  <si>
    <t>Mona Margaretha Tobing wx1507282</t>
  </si>
  <si>
    <t>1790.7 %</t>
  </si>
  <si>
    <t>2157.3 %</t>
  </si>
  <si>
    <t>4420.3 %</t>
  </si>
  <si>
    <t>910.1 %</t>
  </si>
  <si>
    <t>390.5 %</t>
  </si>
  <si>
    <t>36.2 %</t>
  </si>
  <si>
    <t>DC-Document_Controller-012</t>
  </si>
  <si>
    <t>Yosephine Yudianto wx1503656</t>
  </si>
  <si>
    <t>287.4 %</t>
  </si>
  <si>
    <t>415.8 %</t>
  </si>
  <si>
    <t>468.4 %</t>
  </si>
  <si>
    <t>316.2 %</t>
  </si>
  <si>
    <t>101.9 %</t>
  </si>
  <si>
    <t>DC-Document_Controller-025</t>
  </si>
  <si>
    <t>Aliyah wx1507137</t>
  </si>
  <si>
    <t>206.1 %</t>
  </si>
  <si>
    <t>118.3 %</t>
  </si>
  <si>
    <t>152.1 %</t>
  </si>
  <si>
    <t>85.5 %</t>
  </si>
  <si>
    <t>39.6 %</t>
  </si>
  <si>
    <t>6.3 %</t>
  </si>
  <si>
    <t>DC-Document_Controller-023</t>
  </si>
  <si>
    <t>Ika Setianingsih wx1507364</t>
  </si>
  <si>
    <t>2450.0 %</t>
  </si>
  <si>
    <t>503.2 %</t>
  </si>
  <si>
    <t>151.6 %</t>
  </si>
  <si>
    <t>4325.0 %</t>
  </si>
  <si>
    <t>309.7 %</t>
  </si>
  <si>
    <t>DC-Document_Controller-022</t>
  </si>
  <si>
    <t>Alifya Rahma Asy Syaffa wx1504637</t>
  </si>
  <si>
    <t>201.8 %</t>
  </si>
  <si>
    <t>192.6 %</t>
  </si>
  <si>
    <t>82.5 %</t>
  </si>
  <si>
    <t>330.1 %</t>
  </si>
  <si>
    <t>DC-Document_Controller-018</t>
  </si>
  <si>
    <t>Adisty Citra wx1504664</t>
  </si>
  <si>
    <t>2026-03-31 - 2026-04-29</t>
  </si>
  <si>
    <t>1747.2 %</t>
  </si>
  <si>
    <t>2026-04-30 - 2026-05-30</t>
  </si>
  <si>
    <t>9072.3 %</t>
  </si>
  <si>
    <t>2026-05-31 - 2026-06-29</t>
  </si>
  <si>
    <t>3048.0 %</t>
  </si>
  <si>
    <t>2026-06-30 - 2026-07-30</t>
  </si>
  <si>
    <t>1348.5 %</t>
  </si>
  <si>
    <t>2026-07-31 - 2026-08-30</t>
  </si>
  <si>
    <t>1434.6 %</t>
  </si>
  <si>
    <t>2026-08-31 - 2026-09-29</t>
  </si>
  <si>
    <t>DC-Document_Controller-017</t>
  </si>
  <si>
    <t>Lidya Juwita Apriliani wx1504642</t>
  </si>
  <si>
    <t>209.3 %</t>
  </si>
  <si>
    <t>233.4 %</t>
  </si>
  <si>
    <t>322.8 %</t>
  </si>
  <si>
    <t>389.4 %</t>
  </si>
  <si>
    <t>166.3 %</t>
  </si>
  <si>
    <t>DC-Document_Controller-066</t>
  </si>
  <si>
    <t>Rezicha Maulana Azazi wx1533627</t>
  </si>
  <si>
    <t>2026-07-08 - 2026-08-07</t>
  </si>
  <si>
    <t>3900.0 %</t>
  </si>
  <si>
    <t>2026-08-08 - 2026-09-07</t>
  </si>
  <si>
    <t>6450.0 %</t>
  </si>
  <si>
    <t>2026-09-08 - 2026-10-07</t>
  </si>
  <si>
    <t>Not Start</t>
  </si>
  <si>
    <t>DC-Document_Controller-064</t>
  </si>
  <si>
    <t>Suhendar wx1533628</t>
  </si>
  <si>
    <t>2026-07-07 - 2026-08-06</t>
  </si>
  <si>
    <t>4950.0 %</t>
  </si>
  <si>
    <t>2026-08-07 - 2026-09-06</t>
  </si>
  <si>
    <t>2026-09-07 - 2026-10-06</t>
  </si>
  <si>
    <t>DC-Document_Controller-011</t>
  </si>
  <si>
    <t>Fitra Faradilla wx1504702</t>
  </si>
  <si>
    <t>117.3 %</t>
  </si>
  <si>
    <t>75.5 %</t>
  </si>
  <si>
    <t>169.7 %</t>
  </si>
  <si>
    <t>287.9 %</t>
  </si>
  <si>
    <t>201.7 %</t>
  </si>
  <si>
    <t>12.5 %</t>
  </si>
  <si>
    <t>DC-Document_Controller-003</t>
  </si>
  <si>
    <t>Gigih Dharma Sulistya wx1503511</t>
  </si>
  <si>
    <t>174.4 %</t>
  </si>
  <si>
    <t>186.4 %</t>
  </si>
  <si>
    <t>417.3 %</t>
  </si>
  <si>
    <t>417.1 %</t>
  </si>
  <si>
    <t>360.6 %</t>
  </si>
  <si>
    <t>267.5 %</t>
  </si>
  <si>
    <t>DC-Document_Controller-056</t>
  </si>
  <si>
    <t>Afriana Marisha D wx1525710</t>
  </si>
  <si>
    <t>TELKOM</t>
  </si>
  <si>
    <t>2026-06-04 - 2026-07-03</t>
  </si>
  <si>
    <t>100.0 %</t>
  </si>
  <si>
    <t>2026-07-04 - 2026-08-03</t>
  </si>
  <si>
    <t>128.0 %</t>
  </si>
  <si>
    <t>2026-08-04 - 2026-09-03</t>
  </si>
  <si>
    <t>104.0 %</t>
  </si>
  <si>
    <t>2026-09-04 - 2026-10-03</t>
  </si>
  <si>
    <t>DC-Document_Controller-005</t>
  </si>
  <si>
    <t>F Albert Jacob wx1504717</t>
  </si>
  <si>
    <t>148.6 %</t>
  </si>
  <si>
    <t>247.4 %</t>
  </si>
  <si>
    <t>123.0 %</t>
  </si>
  <si>
    <t>512.6 %</t>
  </si>
  <si>
    <t>201.5 %</t>
  </si>
  <si>
    <t>68.6 %</t>
  </si>
  <si>
    <t>DC-Document_Controller-055</t>
  </si>
  <si>
    <t>AINUNAYA MIMA RAHMAN wx1526103</t>
  </si>
  <si>
    <t>2026-06-05 - 2026-07-04</t>
  </si>
  <si>
    <t>102.0 %</t>
  </si>
  <si>
    <t>2026-07-05 - 2026-08-04</t>
  </si>
  <si>
    <t>130.0 %</t>
  </si>
  <si>
    <t>2026-08-05 - 2026-09-04</t>
  </si>
  <si>
    <t>112.0 %</t>
  </si>
  <si>
    <t>2026-09-05 - 2026-10-04</t>
  </si>
  <si>
    <t>DC-Document_Controller-015</t>
  </si>
  <si>
    <t>Silvana Anindya wx1504712</t>
  </si>
  <si>
    <t>176.9 %</t>
  </si>
  <si>
    <t>319.2 %</t>
  </si>
  <si>
    <t>153.8 %</t>
  </si>
  <si>
    <t>192.3 %</t>
  </si>
  <si>
    <t>157.7 %</t>
  </si>
  <si>
    <t>DC-Document_Controller-073</t>
  </si>
  <si>
    <t>WINDI MAHASTUTTI wx1540559</t>
  </si>
  <si>
    <t>2026-08-11 - 2026-09-10</t>
  </si>
  <si>
    <t>2026-09-11 - 2026-10-10</t>
  </si>
  <si>
    <t>DC-Document_Controller-002</t>
  </si>
  <si>
    <t>Rifan Azkia wx1504665</t>
  </si>
  <si>
    <t>DC-Document_Controller-072</t>
  </si>
  <si>
    <t>Zizi Amelia Rusdy wx1541082</t>
  </si>
  <si>
    <t>XLSMART-NWL</t>
  </si>
  <si>
    <t>DC-Document_Controller-071</t>
  </si>
  <si>
    <t>Riesha Hardineti wx1537498</t>
  </si>
  <si>
    <t>2026-07-22 - 2026-08-21</t>
  </si>
  <si>
    <t>2026-08-22 - 2026-09-21</t>
  </si>
  <si>
    <t>DC-Document_Controller-070</t>
  </si>
  <si>
    <t>Muhamad Rusdiansyah wx1540089</t>
  </si>
  <si>
    <t>DC-Document_Controller-069</t>
  </si>
  <si>
    <t>Rivo Asmeliandra wx1540088</t>
  </si>
  <si>
    <t>DC-Document_Controller-067</t>
  </si>
  <si>
    <t>Titis Purwasari wx1541083</t>
  </si>
  <si>
    <t>INP Data Center</t>
  </si>
  <si>
    <t>2026-08-06 - 2026-09-05</t>
  </si>
  <si>
    <t>2026-09-06 - 2026-10-05</t>
  </si>
  <si>
    <t>DC-Document_Controller-026</t>
  </si>
  <si>
    <t>Salsabila Ulya Nabilah Fuad wx1507138</t>
  </si>
  <si>
    <t>26.9 %</t>
  </si>
  <si>
    <t>44.3 %</t>
  </si>
  <si>
    <t>37.2 %</t>
  </si>
  <si>
    <t>146.9 %</t>
  </si>
  <si>
    <t>83.2 %</t>
  </si>
  <si>
    <t>32.0 %</t>
  </si>
  <si>
    <t>DC-Document_Controller-065</t>
  </si>
  <si>
    <t>Azzahra Salma Euga wx1524070</t>
  </si>
  <si>
    <t>55.9 %</t>
  </si>
  <si>
    <t>201.4 %</t>
  </si>
  <si>
    <t>376.3 %</t>
  </si>
  <si>
    <t>14.9 %</t>
  </si>
  <si>
    <t>DC-Document_Controller-062</t>
  </si>
  <si>
    <t>DIAJENG WAHYUNINGTIAS WX1530971</t>
  </si>
  <si>
    <t>DC-Document_Controller-061</t>
  </si>
  <si>
    <t>LEONARD JULIAN ARYAWINATA WX1529216</t>
  </si>
  <si>
    <t>2026-06-22 - 2026-07-21</t>
  </si>
  <si>
    <t>12.7 %</t>
  </si>
  <si>
    <t>7.3 %</t>
  </si>
  <si>
    <t>12.3 %</t>
  </si>
  <si>
    <t>DC-Document_Controller-060</t>
  </si>
  <si>
    <t>Fatimah Putri Johari wx1529215</t>
  </si>
  <si>
    <t>DC-Document_Controller-059</t>
  </si>
  <si>
    <t>Erianty Rahma Witra wx1529071</t>
  </si>
  <si>
    <t>DC-Document_Controller-007</t>
  </si>
  <si>
    <t>Mauli Rizki Amelia wx1504666</t>
  </si>
  <si>
    <t>2026-03-26 - 2026-04-25</t>
  </si>
  <si>
    <t>8.6 %</t>
  </si>
  <si>
    <t>2026-04-26 - 2026-05-25</t>
  </si>
  <si>
    <t>10.0 %</t>
  </si>
  <si>
    <t>2026-05-26 - 2026-06-25</t>
  </si>
  <si>
    <t>2026-06-26 - 2026-07-25</t>
  </si>
  <si>
    <t>2026-07-26 - 2026-08-25</t>
  </si>
  <si>
    <t>2026-08-26 - 2026-09-25</t>
  </si>
  <si>
    <t>DC-Document_Controller-044</t>
  </si>
  <si>
    <t>Haedar Arrayyan Panggabean wx1522942</t>
  </si>
  <si>
    <t>87.2 %</t>
  </si>
  <si>
    <t>77.7 %</t>
  </si>
  <si>
    <t>35.6 %</t>
  </si>
  <si>
    <t>16.2 %</t>
  </si>
  <si>
    <t>DC-Document_Controller-082</t>
  </si>
  <si>
    <t>ROJI FIKAL wx1543242</t>
  </si>
  <si>
    <t>2026-08-20 - 2026-09-19</t>
  </si>
  <si>
    <t>DC-Document_Controller-041</t>
  </si>
  <si>
    <t>Alda Rania Nawawi wx1522941</t>
  </si>
  <si>
    <t>DC-Document_Controller-039</t>
  </si>
  <si>
    <t>Rahma Nihayatul Nur M WX1524121</t>
  </si>
  <si>
    <t>DC-Document_Controller-053</t>
  </si>
  <si>
    <t>Adnnia Nafis Qulub Aina wx1524134</t>
  </si>
  <si>
    <t>DC-Document_Controller-052</t>
  </si>
  <si>
    <t>Laura Alvina Dewi wx1524149</t>
  </si>
  <si>
    <t>2026-06-08 - 2026-07-07</t>
  </si>
  <si>
    <t>DC-Document_Controller-051</t>
  </si>
  <si>
    <t>Rizky Aisyah Rahmawati wx1524116</t>
  </si>
  <si>
    <t>6.1 %</t>
  </si>
  <si>
    <t>4.8 %</t>
  </si>
  <si>
    <t>DC-Document_Controller-081</t>
  </si>
  <si>
    <t>INDIRA CITA CAHYANI wx1543244</t>
  </si>
  <si>
    <t>DC-Document_Controller-080</t>
  </si>
  <si>
    <t>INA CHAIRANI HAMZAH wx1543246</t>
  </si>
  <si>
    <t>DC-Document_Controller-079</t>
  </si>
  <si>
    <t>FARA MUSTIKA wx1543131</t>
  </si>
  <si>
    <t>DC-Document_Controller-050</t>
  </si>
  <si>
    <t>Zaldy Raditya Ananta wx1524846</t>
  </si>
  <si>
    <t>0.4 %</t>
  </si>
  <si>
    <t>DC-Document_Controller-078</t>
  </si>
  <si>
    <t>NADINDRA SAFADANIA KINANTI wx1543245</t>
  </si>
  <si>
    <t>2026-08-19 - 2026-09-18</t>
  </si>
  <si>
    <t>DC-Document_Controller-077</t>
  </si>
  <si>
    <t>ALIYA SALMA KHAIRUNNISA wx1543129</t>
  </si>
  <si>
    <t>2026-08-18 - 2026-09-17</t>
  </si>
  <si>
    <t>DC-Document_Controller-031</t>
  </si>
  <si>
    <t>Youlanda wx1506944</t>
  </si>
  <si>
    <t>108.0 %</t>
  </si>
  <si>
    <t>154.0 %</t>
  </si>
  <si>
    <t>DC-Document_Controller-047</t>
  </si>
  <si>
    <t>Redina Bella Masitho wx1524102</t>
  </si>
  <si>
    <t>17.8 %</t>
  </si>
  <si>
    <t>DC-Document_Controller-024</t>
  </si>
  <si>
    <t>Andi Tenri Bali wx1507141</t>
  </si>
  <si>
    <t>5071.5 %</t>
  </si>
  <si>
    <t>4402.0 %</t>
  </si>
  <si>
    <t>DC-Document_Controller-006</t>
  </si>
  <si>
    <t>Devi Dyah Palupi wx1503645</t>
  </si>
  <si>
    <t>DC-Document_Controller-035</t>
  </si>
  <si>
    <t>Ajeng Meylani wx1521189</t>
  </si>
  <si>
    <t>2026-05-20 - 2026-06-19</t>
  </si>
  <si>
    <t>2026-06-20 - 2026-07-19</t>
  </si>
  <si>
    <t>217.6 %</t>
  </si>
  <si>
    <t>2026-07-20 - 2026-08-19</t>
  </si>
  <si>
    <t>208.5 %</t>
  </si>
  <si>
    <t>202.6 %</t>
  </si>
  <si>
    <t>DC-Document_Controller-076</t>
  </si>
  <si>
    <t>Siti Gebby Ghassane Herfia wx1543132</t>
  </si>
  <si>
    <t>DC-Document_Controller-013</t>
  </si>
  <si>
    <t>Eka Maudyna Isdyanti wx1504640</t>
  </si>
  <si>
    <t>DC-Document_Controller-075</t>
  </si>
  <si>
    <t>ASHFAHANI FAQIH wx1543130</t>
  </si>
  <si>
    <t>2026-08-14 - 2026-09-13</t>
  </si>
  <si>
    <t>DC-Document_Controller-020</t>
  </si>
  <si>
    <t>Lidya Leoni Mutiara wx1504643</t>
  </si>
  <si>
    <t>73.9 %</t>
  </si>
  <si>
    <t>95.1 %</t>
  </si>
  <si>
    <t>379.4 %</t>
  </si>
  <si>
    <t>697.9 %</t>
  </si>
  <si>
    <t>155.5 %</t>
  </si>
  <si>
    <t>DC-Document_Controller-019</t>
  </si>
  <si>
    <t>Prefiks Wahyu Febrina wx1504715</t>
  </si>
  <si>
    <t>55.2 %</t>
  </si>
  <si>
    <t>44.4 %</t>
  </si>
  <si>
    <t>50.4 %</t>
  </si>
  <si>
    <t>238.3 %</t>
  </si>
  <si>
    <t>268.2 %</t>
  </si>
  <si>
    <t>DC-Document_Controller-014</t>
  </si>
  <si>
    <t>Didit Irawan wx1504645</t>
  </si>
  <si>
    <t>3.2 %</t>
  </si>
  <si>
    <t>141.8 %</t>
  </si>
  <si>
    <t>118.2 %</t>
  </si>
  <si>
    <t>108.2 %</t>
  </si>
  <si>
    <t>DC-Document_Controller-074</t>
  </si>
  <si>
    <t>Natasha Emmanuella Riyanto wx1541160</t>
  </si>
  <si>
    <t>DC-Document_Controller-010</t>
  </si>
  <si>
    <t>Wahyuni wx1504701</t>
  </si>
  <si>
    <t>7.7 %</t>
  </si>
  <si>
    <t>3.8 %</t>
  </si>
  <si>
    <t>19.2 %</t>
  </si>
  <si>
    <t>15.4 %</t>
  </si>
  <si>
    <t>DC-Document_Controller-028</t>
  </si>
  <si>
    <t>Cahyo Suryo Bhuwono Winarso wx1507283</t>
  </si>
  <si>
    <t>DC-Document_Controller-016</t>
  </si>
  <si>
    <t>Fasya Fatimma Azzhra wx1504711</t>
  </si>
  <si>
    <t>0.1 %</t>
  </si>
  <si>
    <t>QC</t>
  </si>
  <si>
    <t>QC-Quality_Control-008</t>
  </si>
  <si>
    <t>Farizqi Anisah Nudhar wx1503972</t>
  </si>
  <si>
    <t>Jabodetabek</t>
  </si>
  <si>
    <t>Achieved</t>
  </si>
  <si>
    <t>Failed</t>
  </si>
  <si>
    <t>QC-Quality_Control-005</t>
  </si>
  <si>
    <t>Febby Ramadhan Ahmad Suhandi wx1503968</t>
  </si>
  <si>
    <t>HQ</t>
  </si>
  <si>
    <t>2026-03-25 - 2026-04-24</t>
  </si>
  <si>
    <t>2026-04-25 - 2026-05-24</t>
  </si>
  <si>
    <t>2026-05-25 - 2026-06-24</t>
  </si>
  <si>
    <t>2026-06-25 - 2026-07-24</t>
  </si>
  <si>
    <t>2026-07-25 - 2026-08-24</t>
  </si>
  <si>
    <t>2026-08-25 - 2026-09-24</t>
  </si>
  <si>
    <t>QC-Quality_Control-034</t>
  </si>
  <si>
    <t>Teguh Pribadi wx1529162</t>
  </si>
  <si>
    <t>QC-Quality_Control-021</t>
  </si>
  <si>
    <t>Kamiludin Hartanto wx1517183</t>
  </si>
  <si>
    <t>East Java</t>
  </si>
  <si>
    <t>2026-05-05 - 2026-06-04</t>
  </si>
  <si>
    <t>QC-Quality_Control-001</t>
  </si>
  <si>
    <t>Leonard Ricardo Hutabarat wx1503633</t>
  </si>
  <si>
    <t>Sumatera</t>
  </si>
  <si>
    <t>QC-Quality_Control-031</t>
  </si>
  <si>
    <t>Rolando Tobing wx1531444</t>
  </si>
  <si>
    <t>2026-07-12 - 2026-08-11</t>
  </si>
  <si>
    <t>2026-08-12 - 2026-09-11</t>
  </si>
  <si>
    <t>QC-Quality_Control-015</t>
  </si>
  <si>
    <t>Makarias Lindon Sihombing wx1503643</t>
  </si>
  <si>
    <t>Central Java</t>
  </si>
  <si>
    <t>QC-Quality_Control-006</t>
  </si>
  <si>
    <t>Heri Kusnanto wx1503971</t>
  </si>
  <si>
    <t>QC-Quality_Control-016</t>
  </si>
  <si>
    <t>Ivan Arfianto wx1503653</t>
  </si>
  <si>
    <t>QC-Quality_Control-002</t>
  </si>
  <si>
    <t>Risman Nurjaman wx1503969</t>
  </si>
  <si>
    <t>West Java</t>
  </si>
  <si>
    <t>QC-Quality_Control-027</t>
  </si>
  <si>
    <t>Teguh Prasetya wx1529072</t>
  </si>
  <si>
    <t>QC-Quality_Control-004</t>
  </si>
  <si>
    <t>Dewi Nur Annisa wx1503631</t>
  </si>
  <si>
    <t>QC-Quality_Control-014</t>
  </si>
  <si>
    <t>Moch Andi Afriansyah wx1503654</t>
  </si>
  <si>
    <t>QC-Quality_Control-010</t>
  </si>
  <si>
    <t>Adhelina Zulfiana wx1505386</t>
  </si>
  <si>
    <t>Platform DMD</t>
  </si>
  <si>
    <t>QC-Quality_Control-035</t>
  </si>
  <si>
    <t>Ageng Satria Wibowo wx1532659</t>
  </si>
  <si>
    <t>TDI Batam</t>
  </si>
  <si>
    <t>Batam</t>
  </si>
  <si>
    <t>QC-Quality_Control-013</t>
  </si>
  <si>
    <t>Alvin Ramadhan wx1507288</t>
  </si>
  <si>
    <t>QC-Quality_Control-012</t>
  </si>
  <si>
    <t>Muh Haidir Haswan wx1507136</t>
  </si>
  <si>
    <t>Kalimantan</t>
  </si>
  <si>
    <t>QC-Quality_Control-033</t>
  </si>
  <si>
    <t>Okik Tri Priantoro wx1524148</t>
  </si>
  <si>
    <t>QC-Quality_Control-023</t>
  </si>
  <si>
    <t>Dimas Sigit Setio Putro wx1523999</t>
  </si>
  <si>
    <t>QC-Quality_Control-011</t>
  </si>
  <si>
    <t>Julham Hamid wx1507139</t>
  </si>
  <si>
    <t>Sulawesi</t>
  </si>
  <si>
    <t>QC-Quality_Control-020</t>
  </si>
  <si>
    <t>Benny Prio Utomo wx1513406</t>
  </si>
  <si>
    <t>2026-04-21 - 2026-05-20</t>
  </si>
  <si>
    <t>2026-05-21 - 2026-06-20</t>
  </si>
  <si>
    <t>2026-06-21 - 2026-07-20</t>
  </si>
  <si>
    <t>2026-07-21 - 2026-08-20</t>
  </si>
  <si>
    <t>2026-08-21 - 2026-09-20</t>
  </si>
  <si>
    <t>QC-Quality_Control-007</t>
  </si>
  <si>
    <t>Herni Peruzi wx1503973</t>
  </si>
  <si>
    <t>QC-Quality_Control-017</t>
  </si>
  <si>
    <t>Arsetyo wx1507094</t>
  </si>
  <si>
    <t>QC-Quality_Control-019</t>
  </si>
  <si>
    <t>Merdeka Baringbing wx1507095</t>
  </si>
  <si>
    <t>QC-Quality_Control-028</t>
  </si>
  <si>
    <t>Dedi Haryono wx1529258</t>
  </si>
  <si>
    <t>QC-Quality_Control-026</t>
  </si>
  <si>
    <t>Gusti Wahyu Utomo wx1524845</t>
  </si>
  <si>
    <t>QC-Quality_Control-037</t>
  </si>
  <si>
    <t>MUH ILHAM SYAHRUL wx1539229</t>
  </si>
  <si>
    <t>Bali Nusra</t>
  </si>
  <si>
    <t>QC-Quality_Control-024</t>
  </si>
  <si>
    <t>Hisyam Irdiansyah Anshori wx1524122</t>
  </si>
  <si>
    <t>QC-Quality_Control-036</t>
  </si>
  <si>
    <t>Qotrunada Alam Cendaki wx1535691</t>
  </si>
  <si>
    <t>TDE Cikarang</t>
  </si>
  <si>
    <t>2026-07-15 - 2026-08-14</t>
  </si>
  <si>
    <t>2026-08-15 - 2026-09-14</t>
  </si>
  <si>
    <t>QC-Quality_Control-032</t>
  </si>
  <si>
    <t>Nita Widyastuti wx1533451</t>
  </si>
  <si>
    <t>Indodata</t>
  </si>
  <si>
    <t>2026-07-06 - 2026-08-05</t>
  </si>
  <si>
    <t>QC-Quality_Control-022</t>
  </si>
  <si>
    <t>Michail Alief wx1524123</t>
  </si>
  <si>
    <t>QC-Quality_Control-003</t>
  </si>
  <si>
    <t>Risky Septiadi Hartono wx1503496</t>
  </si>
  <si>
    <t>QC-Quality_Control-018</t>
  </si>
  <si>
    <t>Rifqi Adytia Fauzan wx1507719</t>
  </si>
  <si>
    <t>QC-Quality_Control-030</t>
  </si>
  <si>
    <t>Fian Affriansyah wx1530972</t>
  </si>
  <si>
    <t>QC-Quality_Control-029</t>
  </si>
  <si>
    <t>Dhea Nurul Putri wx1529198</t>
  </si>
  <si>
    <t>SE-Site_Engineer-025</t>
  </si>
  <si>
    <t>Riyano ST WX1523065</t>
  </si>
  <si>
    <t>SE-Site_Engineer-094</t>
  </si>
  <si>
    <t>Gun Gun Gunawan wx1531573</t>
  </si>
  <si>
    <t>SE-Site_Engineer-043</t>
  </si>
  <si>
    <t>Andrean Nur Apriana WX1529429</t>
  </si>
  <si>
    <t>SE-Site_Engineer-042</t>
  </si>
  <si>
    <t>Rifky Febrianto WX1529426</t>
  </si>
  <si>
    <t>SE-Site_Engineer-026</t>
  </si>
  <si>
    <t>SEBASTIAN SURYA DARMA wx1521791</t>
  </si>
  <si>
    <t>SE-Site_Engineer-093</t>
  </si>
  <si>
    <t>Pangestu Wiromahudin wx1530066</t>
  </si>
  <si>
    <t>SE-Site_Engineer-041</t>
  </si>
  <si>
    <t>Mulut Supriyadi WX1529436</t>
  </si>
  <si>
    <t>SE-Site_Engineer-040</t>
  </si>
  <si>
    <t>Amirudin WX1529642</t>
  </si>
  <si>
    <t>SE-Site_Engineer-027</t>
  </si>
  <si>
    <t>Yusup Budiman wx1523059</t>
  </si>
  <si>
    <t>SE-Site_Engineer-092</t>
  </si>
  <si>
    <t>Rizki Kamil Fahmi wx1531571</t>
  </si>
  <si>
    <t>SE-Site_Engineer-039</t>
  </si>
  <si>
    <t>Muhammad Hamidullah Akbar WX1529435</t>
  </si>
  <si>
    <t>SE-Site_Engineer-038</t>
  </si>
  <si>
    <t>Agung Nugraha WX1529434</t>
  </si>
  <si>
    <t>SE-Site_Engineer-028</t>
  </si>
  <si>
    <t>Donny Kesumo Widodo wx1524105</t>
  </si>
  <si>
    <t>SE-Site_Engineer-091</t>
  </si>
  <si>
    <t>Indra Setianto Nugroho wx1531572</t>
  </si>
  <si>
    <t>SE-Site_Engineer-037</t>
  </si>
  <si>
    <t>MUHAMMAD KHAIRUL AKBAR WX1529433</t>
  </si>
  <si>
    <t>SE-Site_Engineer-036</t>
  </si>
  <si>
    <t>SUHERDI HERI HERTANTO WX1529425</t>
  </si>
  <si>
    <t>SE-Site_Engineer-030</t>
  </si>
  <si>
    <t>Santoso Adi Kuncoro wx1524104</t>
  </si>
  <si>
    <t>2026-06-15 - 2026-07-14</t>
  </si>
  <si>
    <t>SE-Site_Engineer-007</t>
  </si>
  <si>
    <t>Ferry Anggriawan wx1503648</t>
  </si>
  <si>
    <t>SE-Site_Engineer-035</t>
  </si>
  <si>
    <t>Lamhot Hamonangan Butar butar WX1529424</t>
  </si>
  <si>
    <t>SE-Site_Engineer-031</t>
  </si>
  <si>
    <t>Tangguh Prihantoro wx1524147</t>
  </si>
  <si>
    <t>SE-Site_Engineer-002</t>
  </si>
  <si>
    <t>Jepri Hamonangan Saragih wx1504646</t>
  </si>
  <si>
    <t>SE-Site_Engineer-034</t>
  </si>
  <si>
    <t>APRIHADI WX1529432</t>
  </si>
  <si>
    <t>SE-Site_Engineer-033</t>
  </si>
  <si>
    <t>Sudrajat wx1529015</t>
  </si>
  <si>
    <t>2026-06-18 - 2026-07-17</t>
  </si>
  <si>
    <t>2026-07-18 - 2026-08-17</t>
  </si>
  <si>
    <t>SE-Site_Engineer-103</t>
  </si>
  <si>
    <t>Taufan Eko Febrianto wx1540408</t>
  </si>
  <si>
    <t>SE-Site_Engineer-090</t>
  </si>
  <si>
    <t>Rahmat Tulloh wx1531574</t>
  </si>
  <si>
    <t>SE-Site_Engineer-089</t>
  </si>
  <si>
    <t>Rizky Kurniawan wx1531020</t>
  </si>
  <si>
    <t>SE-Site_Engineer-088</t>
  </si>
  <si>
    <t>Agus Sinardi wx1531021</t>
  </si>
  <si>
    <t>SE-Site_Engineer-087</t>
  </si>
  <si>
    <t>Rokoy Redyanto wx1531575</t>
  </si>
  <si>
    <t>SE-Site_Engineer-008</t>
  </si>
  <si>
    <t>Aktortifan Ridno Prabu Pratama wx1507287</t>
  </si>
  <si>
    <t>SE-Site_Engineer-003</t>
  </si>
  <si>
    <t>Anggie Bayu Setyawan wx1503644</t>
  </si>
  <si>
    <t>2026-06-23 - 2026-07-17</t>
  </si>
  <si>
    <t>SE-Site_Engineer-086</t>
  </si>
  <si>
    <t>Asep Yuliar Nugraha wx1526245</t>
  </si>
  <si>
    <t>SE-Site_Engineer-085</t>
  </si>
  <si>
    <t>Fentrinata wx1534292</t>
  </si>
  <si>
    <t>SE-Site_Engineer-071</t>
  </si>
  <si>
    <t>Muhammad Indra Haryanto WX1529649</t>
  </si>
  <si>
    <t>SE-Site_Engineer-070</t>
  </si>
  <si>
    <t>Ervin Raditya WX1530249</t>
  </si>
  <si>
    <t>2026-06-29 - 2026-07-28</t>
  </si>
  <si>
    <t>2026-07-29 - 2026-08-28</t>
  </si>
  <si>
    <t>2026-08-29 - 2026-09-28</t>
  </si>
  <si>
    <t>SE-Site_Engineer-010</t>
  </si>
  <si>
    <t>Eko Syambudi Deviyanto wx1507285</t>
  </si>
  <si>
    <t>SE-Site_Engineer-106</t>
  </si>
  <si>
    <t>Agus Tri Ardi Wijaya wx1540412</t>
  </si>
  <si>
    <t>SE-Site_Engineer-069</t>
  </si>
  <si>
    <t>Ajis Alamsyah WX1530244</t>
  </si>
  <si>
    <t>SE-Site_Engineer-068</t>
  </si>
  <si>
    <t>Teguh Imam Setiawan WX1530243</t>
  </si>
  <si>
    <t>SE-Site_Engineer-067</t>
  </si>
  <si>
    <t>Iwan Syafaat WX1531019</t>
  </si>
  <si>
    <t>SE-Site_Engineer-066</t>
  </si>
  <si>
    <t>Irawan WX1530063</t>
  </si>
  <si>
    <t>SE-Site_Engineer-011</t>
  </si>
  <si>
    <t>Ahmad Faqih wx1507096</t>
  </si>
  <si>
    <t>SE-Site_Engineer-102</t>
  </si>
  <si>
    <t>Anjiri Fahnawy wx1540409</t>
  </si>
  <si>
    <t>SE-Site_Engineer-065</t>
  </si>
  <si>
    <t>Gigih Hadi WX1530065</t>
  </si>
  <si>
    <t>SE-Site_Engineer-064</t>
  </si>
  <si>
    <t>DOSMA A PADANG WX1530242</t>
  </si>
  <si>
    <t>SE-Site_Engineer-063</t>
  </si>
  <si>
    <t>Cahyo Nirwono Agung WX1530245</t>
  </si>
  <si>
    <t>SE-Site_Engineer-062</t>
  </si>
  <si>
    <t>Rezka Rifka Rezkia WX1530246</t>
  </si>
  <si>
    <t>SE-Site_Engineer-015</t>
  </si>
  <si>
    <t>Boy Frahansah Berutu wx1520523</t>
  </si>
  <si>
    <t>2026-05-15 - 2026-06-14</t>
  </si>
  <si>
    <t>SE-Site_Engineer-099</t>
  </si>
  <si>
    <t>Dzakiy Dzakwan wx1532899</t>
  </si>
  <si>
    <t>SE-Site_Engineer-061</t>
  </si>
  <si>
    <t>Ilham Fahmi WX1530247</t>
  </si>
  <si>
    <t>SE-Site_Engineer-060</t>
  </si>
  <si>
    <t>Aditya WX1530248</t>
  </si>
  <si>
    <t>SE-Site_Engineer-016</t>
  </si>
  <si>
    <t>Muhammad Hafid Aqil Siroj wx1520522</t>
  </si>
  <si>
    <t>SE-Site_Engineer-005</t>
  </si>
  <si>
    <t>Muhammad Yusuf wx1503989</t>
  </si>
  <si>
    <t>SE-Site_Engineer-059</t>
  </si>
  <si>
    <t>Susanto WX1530064</t>
  </si>
  <si>
    <t>SE-Site_Engineer-058</t>
  </si>
  <si>
    <t>Puad Maulana WX1530067</t>
  </si>
  <si>
    <t>SE-Site_Engineer-017</t>
  </si>
  <si>
    <t>Sergius Paulus Sinaga wx1520524</t>
  </si>
  <si>
    <t>SE-Site_Engineer-105</t>
  </si>
  <si>
    <t>Wahyu Kumoro wx1540411</t>
  </si>
  <si>
    <t>SE-Site_Engineer-057</t>
  </si>
  <si>
    <t>MUHAMAD GILANG WX1530062</t>
  </si>
  <si>
    <t>SE-Site_Engineer-056</t>
  </si>
  <si>
    <t>CESAR MANUEL WX1530061</t>
  </si>
  <si>
    <t>SE-Site_Engineer-018</t>
  </si>
  <si>
    <t>Amar Aditia Wilujeng wx1520521</t>
  </si>
  <si>
    <t>SE-Site_Engineer-098</t>
  </si>
  <si>
    <t>Topan wibowo wx1532660</t>
  </si>
  <si>
    <t>2026-08-10 - 2026-09-09</t>
  </si>
  <si>
    <t>2026-09-10 - 2026-10-09</t>
  </si>
  <si>
    <t>SE-Site_Engineer-055</t>
  </si>
  <si>
    <t>BAGUS PRAKOSO WX1529647</t>
  </si>
  <si>
    <t>SE-Site_Engineer-054</t>
  </si>
  <si>
    <t>Andi Wijaya WX1529428</t>
  </si>
  <si>
    <t>SE-Site_Engineer-019</t>
  </si>
  <si>
    <t>DENI MUHAMMAD ARIF FRIMALDI WX1521787</t>
  </si>
  <si>
    <t>SE-Site_Engineer-097</t>
  </si>
  <si>
    <t>Dwi Prasetyo wx1530060</t>
  </si>
  <si>
    <t>SE-Site_Engineer-053</t>
  </si>
  <si>
    <t>Agung Priyono WX1529427</t>
  </si>
  <si>
    <t>SE-Site_Engineer-052</t>
  </si>
  <si>
    <t>Rahma Karta Barus WX1529203</t>
  </si>
  <si>
    <t>SE-Site_Engineer-020</t>
  </si>
  <si>
    <t>MUHAMMAD IRHAS wx1521789</t>
  </si>
  <si>
    <t>SE-Site_Engineer-096</t>
  </si>
  <si>
    <t>Andi Rohadi wx1531576</t>
  </si>
  <si>
    <t>SE-Site_Engineer-051</t>
  </si>
  <si>
    <t>John Bubu WX1529643</t>
  </si>
  <si>
    <t>SE-Site_Engineer-050</t>
  </si>
  <si>
    <t>Bukhori Muslim WX1529644</t>
  </si>
  <si>
    <t>SE-Site_Engineer-021</t>
  </si>
  <si>
    <t>R Muhammad Valdi Pramudika W wx1521786</t>
  </si>
  <si>
    <t>SE-Site_Engineer-095</t>
  </si>
  <si>
    <t>Awan Widodo wx1530241</t>
  </si>
  <si>
    <t>SE-Site_Engineer-049</t>
  </si>
  <si>
    <t>DAVIT WX1529645</t>
  </si>
  <si>
    <t>SE-Site_Engineer-048</t>
  </si>
  <si>
    <t>Dedi Yoszar WX1529646</t>
  </si>
  <si>
    <t>SE-Site_Engineer-022</t>
  </si>
  <si>
    <t>Syafrizal Akbar Harahap wx1521788</t>
  </si>
  <si>
    <t>SE-Site_Engineer-006</t>
  </si>
  <si>
    <t>I Nyoman Satriya Wibawa wx1503651</t>
  </si>
  <si>
    <t>SE-Site_Engineer-047</t>
  </si>
  <si>
    <t>Bayu Putra Anggoro WX1529648</t>
  </si>
  <si>
    <t>SE-Site_Engineer-046</t>
  </si>
  <si>
    <t>Fajar Fabianto WX1529437</t>
  </si>
  <si>
    <t>SE-Site_Engineer-023</t>
  </si>
  <si>
    <t>Maulida Nabilah Badriah wx1523058</t>
  </si>
  <si>
    <t>SE-Site_Engineer-104</t>
  </si>
  <si>
    <t>Reza Aditya Azis wx1540410</t>
  </si>
  <si>
    <t>SE-Site_Engineer-045</t>
  </si>
  <si>
    <t>Yafet William B TaroreH WX1529431</t>
  </si>
  <si>
    <t>SE-Site_Engineer-044</t>
  </si>
  <si>
    <t>Fabianto Nur Qodri Fauzan WX1529430</t>
  </si>
  <si>
    <t>PE</t>
  </si>
  <si>
    <t>PE-Project_Engineer-002</t>
  </si>
  <si>
    <t>Johannes Julfery Damanik wx1504705</t>
  </si>
  <si>
    <t>Baseline</t>
  </si>
  <si>
    <t>PE-Project_Engineer-045</t>
  </si>
  <si>
    <t>Nisrina Nurul Fadlilah wx1524067</t>
  </si>
  <si>
    <t>PE-Project_Engineer-084</t>
  </si>
  <si>
    <t>Desy Mevianti Suryaning Astuti wx1529050</t>
  </si>
  <si>
    <t>PE-Project_Engineer-024</t>
  </si>
  <si>
    <t>Anda Pribadi Sembada wx1503646</t>
  </si>
  <si>
    <t>PE-Project_Engineer-063</t>
  </si>
  <si>
    <t>Hardian Jayadi wx1529214</t>
  </si>
  <si>
    <t>PE-Project_Engineer-018</t>
  </si>
  <si>
    <t>Qudsiyah Zahra Ilham Naseela wx1507281</t>
  </si>
  <si>
    <t>PE-Project_Engineer-044</t>
  </si>
  <si>
    <t>Andri Aryo Priyadi wx1524068</t>
  </si>
  <si>
    <t>PE-Project_Engineer-015</t>
  </si>
  <si>
    <t>Yonathan Janmorga wx1507284</t>
  </si>
  <si>
    <t>PE-Project_Engineer-004</t>
  </si>
  <si>
    <t>Rayza Mayga Pratama wx1504644</t>
  </si>
  <si>
    <t>PE-Project_Engineer-017</t>
  </si>
  <si>
    <t>Dheanera Fairuz Hasna wx1507280</t>
  </si>
  <si>
    <t>PE-Project_Engineer-016</t>
  </si>
  <si>
    <t>Kharis Nugraha wx1506943</t>
  </si>
  <si>
    <t>PE-Project_Engineer-058</t>
  </si>
  <si>
    <t>Laily Kurniawati wx1529051</t>
  </si>
  <si>
    <t>PE-Project_Engineer-010</t>
  </si>
  <si>
    <t>Fauzan Fathoni wx1504667</t>
  </si>
  <si>
    <t>PE-Project_Engineer-013</t>
  </si>
  <si>
    <t>Vina Putri Saffanah wx1503974</t>
  </si>
  <si>
    <t>PE-Project_Engineer-022</t>
  </si>
  <si>
    <t>Bahagia Aprilia wx1507363</t>
  </si>
  <si>
    <t>PE-Project_Engineer-068</t>
  </si>
  <si>
    <t>Donny Rizky Pratama wx1529421</t>
  </si>
  <si>
    <t>PE-Project_Engineer-019</t>
  </si>
  <si>
    <t>Muhammad Suprijanto wx1503655</t>
  </si>
  <si>
    <t>PE-Project_Engineer-012</t>
  </si>
  <si>
    <t>Akhmad Syaroni wx1504638</t>
  </si>
  <si>
    <t>PE-Project_Engineer-047</t>
  </si>
  <si>
    <t>Hasbi Arbi Nugroho wx1524103</t>
  </si>
  <si>
    <t>PE-Project_Engineer-007</t>
  </si>
  <si>
    <t>Triana Sukeci wx1503625</t>
  </si>
  <si>
    <t>2026-03-27 - 2026-04-26</t>
  </si>
  <si>
    <t>2026-04-27 - 2026-05-26</t>
  </si>
  <si>
    <t>2026-05-27 - 2026-06-26</t>
  </si>
  <si>
    <t>2026-06-27 - 2026-07-26</t>
  </si>
  <si>
    <t>2026-07-27 - 2026-08-26</t>
  </si>
  <si>
    <t>2026-08-27 - 2026-09-26</t>
  </si>
  <si>
    <t>PE-Project_Engineer-066</t>
  </si>
  <si>
    <t>Muhammad Reza Fahlevi wx1529419</t>
  </si>
  <si>
    <t>PE-Project_Engineer-023</t>
  </si>
  <si>
    <t>Slamet Riyanto wx1503652</t>
  </si>
  <si>
    <t>PE-Project_Engineer-039</t>
  </si>
  <si>
    <t>Ilham Yoga Pamungkas wx1524108</t>
  </si>
  <si>
    <t>PE-Project_Engineer-085</t>
  </si>
  <si>
    <t>Willy Kurniawan wx1506945</t>
  </si>
  <si>
    <t>PE-Project_Engineer-080</t>
  </si>
  <si>
    <t>Fakhri Ramadhan WX1531513</t>
  </si>
  <si>
    <t>2026-07-09 - 2026-08-08</t>
  </si>
  <si>
    <t>2026-08-09 - 2026-09-08</t>
  </si>
  <si>
    <t>2026-09-09 - 2026-10-08</t>
  </si>
  <si>
    <t>PE-Project_Engineer-003</t>
  </si>
  <si>
    <t>Chaerul Oky Suryatin wx1503975</t>
  </si>
  <si>
    <t>PE-Project_Engineer-028</t>
  </si>
  <si>
    <t>Kristina Tambunan wx1517408</t>
  </si>
  <si>
    <t>PE-Project_Engineer-032</t>
  </si>
  <si>
    <t>Muhammad Yordan Adi Pramana wx1521223</t>
  </si>
  <si>
    <t>2026-05-19 - 2026-06-18</t>
  </si>
  <si>
    <t>2026-06-19 - 2026-07-18</t>
  </si>
  <si>
    <t>2026-07-19 - 2026-08-18</t>
  </si>
  <si>
    <t>PE-Project_Engineer-059</t>
  </si>
  <si>
    <t>Carolus Loka Wiro Utomo wx1529069</t>
  </si>
  <si>
    <t>PE-Project_Engineer-071</t>
  </si>
  <si>
    <t>Andrew Ardella Abdullah wx1503970</t>
  </si>
  <si>
    <t>PE-Project_Engineer-027</t>
  </si>
  <si>
    <t>Prawira Satria Yodhipati wx1507286</t>
  </si>
  <si>
    <t>PE-Project_Engineer-021</t>
  </si>
  <si>
    <t>Agus Hendra wx1506946</t>
  </si>
  <si>
    <t>PE-Project_Engineer-082</t>
  </si>
  <si>
    <t>Dolly Alif Subhi Nasution WX1531578</t>
  </si>
  <si>
    <t>2026-07-14 - 2026-08-13</t>
  </si>
  <si>
    <t>PE-Project_Engineer-011</t>
  </si>
  <si>
    <t>Robby Awaludin wx1503642</t>
  </si>
  <si>
    <t>PE-Project_Engineer-038</t>
  </si>
  <si>
    <t>Ody Rifandi wx1524109</t>
  </si>
  <si>
    <t>PE-Project_Engineer-029</t>
  </si>
  <si>
    <t>Fikri Tirta Kusuma Atmaja wx1507714</t>
  </si>
  <si>
    <t>PE-Project_Engineer-088</t>
  </si>
  <si>
    <t>Desty Irawan wx1540407</t>
  </si>
  <si>
    <t>PE-Project_Engineer-056</t>
  </si>
  <si>
    <t>Thaffira Auli Putri Prasetio wx1527457</t>
  </si>
  <si>
    <t>2026-06-12 - 2026-07-11</t>
  </si>
  <si>
    <t>PE-Project_Engineer-055</t>
  </si>
  <si>
    <t>Muhammad hidayah Ramadhan wx1524847</t>
  </si>
  <si>
    <t>PE-Project_Engineer-048</t>
  </si>
  <si>
    <t>Hitler Sitorus wx1525166</t>
  </si>
  <si>
    <t>PE-Project_Engineer-052</t>
  </si>
  <si>
    <t>Muh Noer Fajar wx1526961</t>
  </si>
  <si>
    <t>2026-06-10 - 2026-07-09</t>
  </si>
  <si>
    <t>2026-07-10 - 2026-08-09</t>
  </si>
  <si>
    <t>PE-Project_Engineer-030</t>
  </si>
  <si>
    <t>Andrean Eka Wahyudi wx1521186</t>
  </si>
  <si>
    <t>PE-Project_Engineer-034</t>
  </si>
  <si>
    <t>Anan Agrani wx1524133</t>
  </si>
  <si>
    <t>2026-06-16 - 2026-07-15</t>
  </si>
  <si>
    <t>2026-07-16 - 2026-08-15</t>
  </si>
  <si>
    <t>2026-08-16 - 2026-09-15</t>
  </si>
  <si>
    <t>PE-Project_Engineer-026</t>
  </si>
  <si>
    <t>Zulfan Arrofi wx1517184</t>
  </si>
  <si>
    <t>PE-Project_Engineer-083</t>
  </si>
  <si>
    <t>Robby Anggara wx1529073</t>
  </si>
  <si>
    <t>PE-Project_Engineer-035</t>
  </si>
  <si>
    <t>Abdul Dedi Halik wx1522830</t>
  </si>
  <si>
    <t>PE-Project_Engineer-025</t>
  </si>
  <si>
    <t>Wayan Gde Krisna wx1516087</t>
  </si>
  <si>
    <t>PE-Project_Engineer-081</t>
  </si>
  <si>
    <t>Miftahus Salam wx1527456</t>
  </si>
  <si>
    <t>PE-Project_Engineer-005</t>
  </si>
  <si>
    <t>Yusup wx1504641</t>
  </si>
  <si>
    <t>2026-03-24 - 2026-04-23</t>
  </si>
  <si>
    <t>2026-04-24 - 2026-05-23</t>
  </si>
  <si>
    <t>PE-Project_Engineer-036</t>
  </si>
  <si>
    <t>Dian Rahmanda wx1522831</t>
  </si>
  <si>
    <t>PE-Project_Engineer-037</t>
  </si>
  <si>
    <t>Muh Riefqi Ferdhana Alhamdi WX1522829</t>
  </si>
  <si>
    <t>PE-Project_Engineer-079</t>
  </si>
  <si>
    <t>Haryadi WX1531318</t>
  </si>
  <si>
    <t>PE-Project_Engineer-078</t>
  </si>
  <si>
    <t>Krishna Fauzan Al Anshori WX1531577</t>
  </si>
  <si>
    <t>PE-Project_Engineer-006</t>
  </si>
  <si>
    <t>Viona Yose Ariani wx1504713</t>
  </si>
  <si>
    <t>Enterprise</t>
  </si>
  <si>
    <t>PE-Project_Engineer-077</t>
  </si>
  <si>
    <t>Benny Priyarto wx1506942</t>
  </si>
  <si>
    <t>PE-Project_Engineer-076</t>
  </si>
  <si>
    <t>Dwi Aprianita Hernata Agina Br Purba wx1506941</t>
  </si>
  <si>
    <t>PE-Project_Engineer-075</t>
  </si>
  <si>
    <t>Dani Ibrahim wx1529161</t>
  </si>
  <si>
    <t>PE-Project_Engineer-008</t>
  </si>
  <si>
    <t>Rahmana Gautama wx1504639</t>
  </si>
  <si>
    <t>PE-Project_Engineer-001</t>
  </si>
  <si>
    <t>Rizqy Ramadhan Pramono wx1503632</t>
  </si>
  <si>
    <t>PE-Project_Engineer-074</t>
  </si>
  <si>
    <t>Wiweko Pramono wx1529163</t>
  </si>
  <si>
    <t>PE-Project_Engineer-073</t>
  </si>
  <si>
    <t>Febrian Rizky wx1529666</t>
  </si>
  <si>
    <t>PE-Project_Engineer-009</t>
  </si>
  <si>
    <t>Sugeng Andrianto wx1504668</t>
  </si>
  <si>
    <t>PE-Project_Engineer-040</t>
  </si>
  <si>
    <t>Abdurrasyid Malvin Nugraha wx1524073</t>
  </si>
  <si>
    <t>PE-Project_Engineer-041</t>
  </si>
  <si>
    <t>Muhammad Fajri Zulfa wx1524072</t>
  </si>
  <si>
    <t>PE-Project_Engineer-072</t>
  </si>
  <si>
    <t>Oki Triagung wx1529665</t>
  </si>
  <si>
    <t>PE-Project_Engineer-033</t>
  </si>
  <si>
    <t>Abdul Latif Priyadi wx1521188</t>
  </si>
  <si>
    <t>PE-Project_Engineer-069</t>
  </si>
  <si>
    <t>Popi Masdianto wx1529422</t>
  </si>
  <si>
    <t>PE-Project_Engineer-031</t>
  </si>
  <si>
    <t>Bayo Nandymawa wx1521187</t>
  </si>
  <si>
    <t>PE-Project_Engineer-042</t>
  </si>
  <si>
    <t>Maulana Muhammad Aziz wx1524071</t>
  </si>
  <si>
    <t>PE-Project_Engineer-020</t>
  </si>
  <si>
    <t>Farid Aulia Erdianda wx1507365</t>
  </si>
  <si>
    <t>PE-Project_Engineer-067</t>
  </si>
  <si>
    <t>Anang Husnul Rizqani wx1529420</t>
  </si>
  <si>
    <t>PE-Project_Engineer-065</t>
  </si>
  <si>
    <t>Januari Yanto wx1529418</t>
  </si>
  <si>
    <t>PE-Project_Engineer-014</t>
  </si>
  <si>
    <t>Kurnia Rahmawati wx1507140</t>
  </si>
  <si>
    <t>PE-Project_Engineer-060</t>
  </si>
  <si>
    <t>Hanafi Salim Siagian wx1529070</t>
  </si>
  <si>
    <t>PE-Project_Engineer-086</t>
  </si>
  <si>
    <t>Fikri Fanani Lubis wx1539345</t>
  </si>
  <si>
    <t>Site Code</t>
  </si>
  <si>
    <t>Name</t>
  </si>
  <si>
    <t>Project before</t>
  </si>
  <si>
    <t>Project Assign</t>
  </si>
  <si>
    <t xml:space="preserve">New Project </t>
  </si>
  <si>
    <t>Period Tagih</t>
  </si>
  <si>
    <t>Join Date</t>
  </si>
  <si>
    <t>Join Month</t>
  </si>
  <si>
    <t>Site Code.1</t>
  </si>
  <si>
    <t>Site Name</t>
  </si>
  <si>
    <t>Regional</t>
  </si>
  <si>
    <t>Site ID</t>
  </si>
  <si>
    <t>Sub Contract NO.</t>
  </si>
  <si>
    <t>PR NO.</t>
  </si>
  <si>
    <t>PO NO.</t>
  </si>
  <si>
    <t>PO Line NO.</t>
  </si>
  <si>
    <t>Shipment NO.</t>
  </si>
  <si>
    <t>Item Code</t>
  </si>
  <si>
    <t>Item Description</t>
  </si>
  <si>
    <t>Unit Price</t>
  </si>
  <si>
    <t>Requested Qty</t>
  </si>
  <si>
    <t>Payment Coef</t>
  </si>
  <si>
    <t>Total Price</t>
  </si>
  <si>
    <t>Acceptance Date</t>
  </si>
  <si>
    <t>ISDP Status</t>
  </si>
  <si>
    <t>Remarks</t>
  </si>
  <si>
    <t>Action</t>
  </si>
  <si>
    <t>Ibuy Status</t>
  </si>
  <si>
    <t>ID Project</t>
  </si>
  <si>
    <t>SO Number</t>
  </si>
  <si>
    <t>Invoice Number</t>
  </si>
  <si>
    <t>Invoice Date</t>
  </si>
  <si>
    <t>Invoice Month</t>
  </si>
  <si>
    <t>PE-Project_Engineer-006-M1</t>
  </si>
  <si>
    <t>FPA1091IDN26031710640667</t>
  </si>
  <si>
    <t>1091HG3728823-1</t>
  </si>
  <si>
    <t>Project Delivery Monitoring Services - Project Engineer</t>
  </si>
  <si>
    <t>2026-05-08</t>
  </si>
  <si>
    <t>Eror</t>
  </si>
  <si>
    <t>PO associated item tidak ada</t>
  </si>
  <si>
    <t>QC-Quality_Control-017-M1</t>
  </si>
  <si>
    <t>Enhancement NeutraDC</t>
  </si>
  <si>
    <t>1091HG3728823-2</t>
  </si>
  <si>
    <t>QEHS Onsite Monitoring and Inspection - QC</t>
  </si>
  <si>
    <t>Approved</t>
  </si>
  <si>
    <t>Invoice</t>
  </si>
  <si>
    <t>SSO-KUT-KPU-NIUT-2026-07-03643</t>
  </si>
  <si>
    <t xml:space="preserve"> 313/INV/KUT-PST/VII/2026</t>
  </si>
  <si>
    <t>Juli</t>
  </si>
  <si>
    <t>QC-Quality_Control-018-M1</t>
  </si>
  <si>
    <t>PE-Project_Engineer-018-M1</t>
  </si>
  <si>
    <t>Wisma Mulia</t>
  </si>
  <si>
    <t>1091HG3728823-3</t>
  </si>
  <si>
    <t>SSO-KUT-KPU-NIUT-2026-06-03073</t>
  </si>
  <si>
    <t>261/INV/KUT-PST/VI/2026</t>
  </si>
  <si>
    <t>Juni</t>
  </si>
  <si>
    <t>PE-Project_Engineer-021-M1</t>
  </si>
  <si>
    <t>QC-Quality_Control-001-M1</t>
  </si>
  <si>
    <t>QC-Quality_Control-002-M1</t>
  </si>
  <si>
    <t>DC-Document_Controller-002-M1</t>
  </si>
  <si>
    <t>Sumbagsel</t>
  </si>
  <si>
    <t>Project Delivery Monitoring Services - Document Control</t>
  </si>
  <si>
    <t>DC-Document_Controller-006-M1</t>
  </si>
  <si>
    <t>DC-Document_Controller-007-M1</t>
  </si>
  <si>
    <t>DC-Document_Controller-008-M1</t>
  </si>
  <si>
    <t>DC-Document_Controller-014-M1</t>
  </si>
  <si>
    <t>PE-Project_Engineer-001-M1</t>
  </si>
  <si>
    <t>DC-Document_Controller-023-M1</t>
  </si>
  <si>
    <t>DC-Document_Controller-025-M1</t>
  </si>
  <si>
    <t>PE-Project_Engineer-004-M1</t>
  </si>
  <si>
    <t>DC-Document_Controller-026-M1</t>
  </si>
  <si>
    <t>DC-Document_Controller-028-M1</t>
  </si>
  <si>
    <t>PE-Project_Engineer-009-M1</t>
  </si>
  <si>
    <t>XL  DC033</t>
  </si>
  <si>
    <t>DC-Document_Controller-033-M1</t>
  </si>
  <si>
    <t>Confirm dean</t>
  </si>
  <si>
    <t>SSO-KUT-KPU-NIUT-2026-09-04608</t>
  </si>
  <si>
    <t>September</t>
  </si>
  <si>
    <t>QC-Quality_Control-004-M1</t>
  </si>
  <si>
    <t>PE-Project_Engineer-010-M1</t>
  </si>
  <si>
    <t>QC-Quality_Control-005-M1</t>
  </si>
  <si>
    <t>reklas revenue</t>
  </si>
  <si>
    <t>PE-Project_Engineer-015-M1</t>
  </si>
  <si>
    <t>QC-Quality_Control-006-M1</t>
  </si>
  <si>
    <t>QC-Quality_Control-007-M1</t>
  </si>
  <si>
    <t>QC-Quality_Control-011-M1</t>
  </si>
  <si>
    <t>QC-Quality_Control-012-M1</t>
  </si>
  <si>
    <t>SE-Site_Engineer-002-M1</t>
  </si>
  <si>
    <t>Project Delivery Monitoring Services - Site Engineer</t>
  </si>
  <si>
    <t>SE-Site_Engineer-003-M1</t>
  </si>
  <si>
    <t>SE-Site_Engineer-006-M1</t>
  </si>
  <si>
    <t>SE-Site_Engineer-007-M1</t>
  </si>
  <si>
    <t>SE-Site_Engineer-009</t>
  </si>
  <si>
    <t>SE-Site_Engineer-009-M1</t>
  </si>
  <si>
    <t>Tidak ditemukan</t>
  </si>
  <si>
    <t>Line tidak ada di Dashboard  (email open task dashboard)</t>
  </si>
  <si>
    <t>SE010 XLFTTH CANCEL</t>
  </si>
  <si>
    <t>XLSMART - SE010</t>
  </si>
  <si>
    <t>SE-Site_Engineer-010-M1</t>
  </si>
  <si>
    <t>Project assign tidak update (FTTH to XLSmart)</t>
  </si>
  <si>
    <t>PE-Project_Engineer-017-M1</t>
  </si>
  <si>
    <t>DC-Document_Controller-034-M1</t>
  </si>
  <si>
    <t>1091HG3728823-4</t>
  </si>
  <si>
    <t>2026-05-11</t>
  </si>
  <si>
    <t>SSO-KUT-KPU-NIUT-2026-08-04128</t>
  </si>
  <si>
    <t>341/INV/KUT-PST/VIII/2026</t>
  </si>
  <si>
    <t>DC-Document_Controller-022-M1</t>
  </si>
  <si>
    <t>1091HG3728823-5</t>
  </si>
  <si>
    <t>2026-05-18</t>
  </si>
  <si>
    <t>SSO-KUT-KPU-NIUT-2026-07-03352</t>
  </si>
  <si>
    <t>287/INV/KUT-PST/VII/2026</t>
  </si>
  <si>
    <t>QC-Quality_Control-021-M1</t>
  </si>
  <si>
    <t>PE-Project_Engineer-025-M1</t>
  </si>
  <si>
    <t>PE-Project_Engineer-011-M1</t>
  </si>
  <si>
    <t>Huawei ASEAN Academy</t>
  </si>
  <si>
    <t>1091HG3728823-6</t>
  </si>
  <si>
    <t>SSO-KUT-KPU-NIUT-2026-06-03245</t>
  </si>
  <si>
    <t>270/INV/KUT-PST/VI/2026</t>
  </si>
  <si>
    <t>SE-Site_Engineer-008-M1</t>
  </si>
  <si>
    <t>SE-Site_Engineer-011-M1</t>
  </si>
  <si>
    <t>Gagal submit</t>
  </si>
  <si>
    <t>SE-Site_Engineer-013</t>
  </si>
  <si>
    <t>SE-Site_Engineer-013-M1</t>
  </si>
  <si>
    <t>SE-Site_Engineer-014</t>
  </si>
  <si>
    <t>SE-Site_Engineer-014-M1</t>
  </si>
  <si>
    <t>from SE-012</t>
  </si>
  <si>
    <t>TSEL - PE023</t>
  </si>
  <si>
    <t>PE-Project_Engineer-023-M1</t>
  </si>
  <si>
    <t>Cancel PO</t>
  </si>
  <si>
    <t>SSO-KUT-KPU-NIUT-2026-08-04009</t>
  </si>
  <si>
    <t>move to PO 1091HG3728823-67</t>
  </si>
  <si>
    <t>DC-Document_Controller-031-M1</t>
  </si>
  <si>
    <t>STO Jatinegara</t>
  </si>
  <si>
    <t>1091HG3728823-7</t>
  </si>
  <si>
    <t>SSO-KUT-KPU-NIUT-2026-06-03265</t>
  </si>
  <si>
    <t>256/INV/KUT-PST/VI/2026</t>
  </si>
  <si>
    <t>DC-Document_Controller-016-M1</t>
  </si>
  <si>
    <t>1091HG3728823-8</t>
  </si>
  <si>
    <t>2026-05-20</t>
  </si>
  <si>
    <t>SSO-KUT-KPU-NIUT-2026-06-03066</t>
  </si>
  <si>
    <t>257/INV/KUT-PST/VI/2026</t>
  </si>
  <si>
    <t>PE-Project_Engineer-003-M1</t>
  </si>
  <si>
    <t>SE-Site_Engineer-018-M1</t>
  </si>
  <si>
    <t>IOH - DC004</t>
  </si>
  <si>
    <t>DC-Document_Controller-004-M1</t>
  </si>
  <si>
    <t>Up baseline</t>
  </si>
  <si>
    <t>PE-Project_Engineer-002-M1</t>
  </si>
  <si>
    <t>DC-Document_Controller-010-M1</t>
  </si>
  <si>
    <t>SE-Site_Engineer-017-M1</t>
  </si>
  <si>
    <t>DC-Document_Controller-011-M1</t>
  </si>
  <si>
    <t>DC-Document_Controller-013-M1</t>
  </si>
  <si>
    <t>DC-Document_Controller-015-M1</t>
  </si>
  <si>
    <t>PE-Project_Engineer-005-M1</t>
  </si>
  <si>
    <t>SE-Site_Engineer-019-M1</t>
  </si>
  <si>
    <t>Cancel invoice</t>
  </si>
  <si>
    <t>SSO-KUT-KPU-NIUT-2026-07-03362</t>
  </si>
  <si>
    <t>276/INV/KUT-PST/VII/2026</t>
  </si>
  <si>
    <t>QC-Quality_Control-014-M1</t>
  </si>
  <si>
    <t>SE-Site_Engineer-015-M1</t>
  </si>
  <si>
    <t>SE-Site_Engineer-016-M1</t>
  </si>
  <si>
    <t>TSEL - PE028</t>
  </si>
  <si>
    <t>PE-Project_Engineer-028-M1</t>
  </si>
  <si>
    <t>1091HG3728823-9</t>
  </si>
  <si>
    <t>DC-027</t>
  </si>
  <si>
    <t>TSEL - PE029</t>
  </si>
  <si>
    <t>PE-Project_Engineer-029-M1</t>
  </si>
  <si>
    <t>272/INV/KUT-PST/VI/2026</t>
  </si>
  <si>
    <t>QC-Quality_Control-003-M1</t>
  </si>
  <si>
    <t>1091HG3728823-10</t>
  </si>
  <si>
    <t>289/INV/KUT-PST/VII/2026</t>
  </si>
  <si>
    <t>QC-Quality_Control-008-M1</t>
  </si>
  <si>
    <t>SSO-KUT-KPU-NIUT-2026-06-03300</t>
  </si>
  <si>
    <t>273/INV/KUT-PST/VI/2026</t>
  </si>
  <si>
    <t>QC-Quality_Control-010-M1</t>
  </si>
  <si>
    <t>QC-Quality_Control-013-M1</t>
  </si>
  <si>
    <t>QC-Quality_Control-015-M1</t>
  </si>
  <si>
    <t>SE-Site_Engineer-004</t>
  </si>
  <si>
    <t>SE004 XL FTHH CANCEL</t>
  </si>
  <si>
    <t>TSEL - PE071</t>
  </si>
  <si>
    <t>SE-Site_Engineer-004-M1</t>
  </si>
  <si>
    <t>New project</t>
  </si>
  <si>
    <t>TSEL - SE005</t>
  </si>
  <si>
    <t>SE-Site_Engineer-005-M1</t>
  </si>
  <si>
    <t>Project assign tidak update ( IOH to Tsel )</t>
  </si>
  <si>
    <t>resubmit M1 M2 (Tsel) , M3 keatas IOH</t>
  </si>
  <si>
    <t>SE-Site_Engineer-012</t>
  </si>
  <si>
    <t>SE-Site_Engineer-012-M1</t>
  </si>
  <si>
    <t>Email to fesa pak martin</t>
  </si>
  <si>
    <t>DC-Document_Controller-001-M1</t>
  </si>
  <si>
    <t>SSO-KUT-KPU-NIUT-2026-07-03363</t>
  </si>
  <si>
    <t>279/INV/KUT-PST/VII/2026</t>
  </si>
  <si>
    <t>DC-Document_Controller-003-M1</t>
  </si>
  <si>
    <t>DC-Document_Controller-005-M1</t>
  </si>
  <si>
    <t>DC-Document_Controller-009-M1</t>
  </si>
  <si>
    <t>DC-Document_Controller-012-M1</t>
  </si>
  <si>
    <t>DC-Document_Controller-021-M1</t>
  </si>
  <si>
    <t>DC-Document_Controller-027</t>
  </si>
  <si>
    <t>DC-Document_Controller-027-M1</t>
  </si>
  <si>
    <t>DC-Document_Controller-029-M1</t>
  </si>
  <si>
    <t>PE-Project_Engineer-007-M1</t>
  </si>
  <si>
    <t>PE-Project_Engineer-013-M1</t>
  </si>
  <si>
    <t>PE-Project_Engineer-024-M1</t>
  </si>
  <si>
    <t>1091HG3728823-53</t>
  </si>
  <si>
    <t>SSO-KUT-KPU-NIUT-2026-08-04337</t>
  </si>
  <si>
    <t>375/INV/KUT-PST/VIII/2026</t>
  </si>
  <si>
    <t xml:space="preserve">Agustus </t>
  </si>
  <si>
    <t>Move from PO 1091HG3728823-10</t>
  </si>
  <si>
    <t>PE-Project_Engineer-034-M1</t>
  </si>
  <si>
    <t>1091HG3728823-11</t>
  </si>
  <si>
    <t>2026-05-22</t>
  </si>
  <si>
    <t xml:space="preserve">Reject </t>
  </si>
  <si>
    <t xml:space="preserve">Poor </t>
  </si>
  <si>
    <t>DC-Document_Controller-035-M1</t>
  </si>
  <si>
    <t>SSO-KUT-KPU-NIUT-2026-07-03354</t>
  </si>
  <si>
    <t>278/INV/KUT-PST/VII/2026</t>
  </si>
  <si>
    <t>QC-Quality_Control-020-M1</t>
  </si>
  <si>
    <t>SSO-KUT-KPU-NIUT-2026-06-03067</t>
  </si>
  <si>
    <t>258/INV/KUT-PST/VI/2026</t>
  </si>
  <si>
    <t>PE-Project_Engineer-026-M1</t>
  </si>
  <si>
    <t>SSO-KUT-KPU-NIUT-2026-06-03106</t>
  </si>
  <si>
    <t>263/INV/KUT-PST/VI/2026</t>
  </si>
  <si>
    <t>DC-Document_Controller-041-M1</t>
  </si>
  <si>
    <t>1091HG3728823-12</t>
  </si>
  <si>
    <t>KUT FU</t>
  </si>
  <si>
    <t>DC-Document_Controller-042</t>
  </si>
  <si>
    <t>DC-Document_Controller-042-M1</t>
  </si>
  <si>
    <t>not join</t>
  </si>
  <si>
    <t>request cancel by email</t>
  </si>
  <si>
    <t>DC-Document_Controller-040</t>
  </si>
  <si>
    <t>DC-Document_Controller-040-M1</t>
  </si>
  <si>
    <t>DC-Document_Controller-043</t>
  </si>
  <si>
    <t>DC-Document_Controller-043-M1</t>
  </si>
  <si>
    <t>DC-Document_Controller-038</t>
  </si>
  <si>
    <t>DC-Document_Controller-038-M1</t>
  </si>
  <si>
    <t>1091HG3728823-13</t>
  </si>
  <si>
    <t>2026-05-25</t>
  </si>
  <si>
    <t xml:space="preserve">Cancel PO </t>
  </si>
  <si>
    <t>DC-Document_Controller-039-M1</t>
  </si>
  <si>
    <t>PE-Project_Engineer-035-M1</t>
  </si>
  <si>
    <t>1091HG3728823-14</t>
  </si>
  <si>
    <t>2026-05-26</t>
  </si>
  <si>
    <t>PE-Project_Engineer-036-M1</t>
  </si>
  <si>
    <t>PE-Project_Engineer-037-M1</t>
  </si>
  <si>
    <t>DC-Document_Controller-007-M3</t>
  </si>
  <si>
    <t>1091HG3728823-15</t>
  </si>
  <si>
    <t>2026-05-29</t>
  </si>
  <si>
    <t>QC-Quality_Control-020-M3</t>
  </si>
  <si>
    <t>PE-Project_Engineer-026-M2</t>
  </si>
  <si>
    <t>SE-Site_Engineer-002-M3</t>
  </si>
  <si>
    <t>QC-Quality_Control-005-M3</t>
  </si>
  <si>
    <t>QC-Quality_Control-007-M2</t>
  </si>
  <si>
    <t>SSO-KUT-KPU-NIUT-2026-07-03522</t>
  </si>
  <si>
    <t>288/INV/KUT-PST/VII/2026</t>
  </si>
  <si>
    <t xml:space="preserve">from SE-009 </t>
  </si>
  <si>
    <t xml:space="preserve">M2 </t>
  </si>
  <si>
    <t>PE-Project_Engineer-027-M2</t>
  </si>
  <si>
    <t>SSO-KUT-KPU-NIUT-2026-07-03528</t>
  </si>
  <si>
    <t>290/INV/KUT-PST/VII/2026</t>
  </si>
  <si>
    <t>SE-Site_Engineer-003-M3</t>
  </si>
  <si>
    <t>Resign</t>
  </si>
  <si>
    <t>QC-Quality_Control-006-M3</t>
  </si>
  <si>
    <t>QC-Quality_Control-011-M2</t>
  </si>
  <si>
    <t>DC-Document_Controller-007-M2</t>
  </si>
  <si>
    <t>DC-Document_Controller-008-M3</t>
  </si>
  <si>
    <t>DC-Document_Controller-014-M3</t>
  </si>
  <si>
    <t>SSO-KUT-KPU-NIUT-2026-09-04607</t>
  </si>
  <si>
    <t>DC-Document_Controller-023-M3</t>
  </si>
  <si>
    <t>DC-Document_Controller-035-M3</t>
  </si>
  <si>
    <t>QC-Quality_Control-006-M2</t>
  </si>
  <si>
    <t>PE-Project_Engineer-001-M3</t>
  </si>
  <si>
    <t>PE-Project_Engineer-027-M1</t>
  </si>
  <si>
    <t>SSO-KUT-KPU-NIUT-2026-06-03107</t>
  </si>
  <si>
    <t>262/INV/KUT-PST/VI/2026</t>
  </si>
  <si>
    <t>DC-Document_Controller-028-M2</t>
  </si>
  <si>
    <t>PE-Project_Engineer-018-M2</t>
  </si>
  <si>
    <t>XL WL - DC033</t>
  </si>
  <si>
    <t>DC-Document_Controller-033-M2</t>
  </si>
  <si>
    <t>SE-Site_Engineer-007-M2</t>
  </si>
  <si>
    <t>DC-Document_Controller-035-M2</t>
  </si>
  <si>
    <t>QC-Quality_Control-002-M3</t>
  </si>
  <si>
    <t>PE-Project_Engineer-004-M3</t>
  </si>
  <si>
    <t>XL WL - SE010</t>
  </si>
  <si>
    <t>SE-Site_Engineer-010-M2</t>
  </si>
  <si>
    <t>SSO-KUT-KPU-NIUT-2026-08-04011</t>
  </si>
  <si>
    <t>334/INV/KUT-PST/VIII/2026</t>
  </si>
  <si>
    <t>Agustus</t>
  </si>
  <si>
    <t>PE-Project_Engineer-001-M2</t>
  </si>
  <si>
    <t>SSO-KUT-KPU-NIUT-2026-08-03993</t>
  </si>
  <si>
    <t>322/INV/KUT-PST/VIII/2026</t>
  </si>
  <si>
    <t>DC-Document_Controller-002-M2</t>
  </si>
  <si>
    <t>PE-Project_Engineer-004-M2</t>
  </si>
  <si>
    <t>DC-Document_Controller-026-M2</t>
  </si>
  <si>
    <t>PE-Project_Engineer-009-M2</t>
  </si>
  <si>
    <t>DC-Document_Controller-014-M2</t>
  </si>
  <si>
    <t>DC-Document_Controller-008-M2</t>
  </si>
  <si>
    <t>PE-Project_Engineer-009-M3</t>
  </si>
  <si>
    <t>PE-Project_Engineer-010-M3</t>
  </si>
  <si>
    <t>PE-Project_Engineer-015-M3</t>
  </si>
  <si>
    <t>SSO-KUT-KPU-NIUT-2026-08-04333</t>
  </si>
  <si>
    <t>373/INV/KUT-PST/VIII/2026</t>
  </si>
  <si>
    <t>SE-Site_Engineer-006-M3</t>
  </si>
  <si>
    <t>PE-Project_Engineer-017-M3</t>
  </si>
  <si>
    <t>PE-Project_Engineer-018-M3</t>
  </si>
  <si>
    <t>PE-Project_Engineer-021-M3</t>
  </si>
  <si>
    <t>PE-Project_Engineer-026-M3</t>
  </si>
  <si>
    <t>PE-Project_Engineer-027-M3</t>
  </si>
  <si>
    <t>QC-Quality_Control-001-M3</t>
  </si>
  <si>
    <t>QC-Quality_Control-001-M2</t>
  </si>
  <si>
    <t>DC-Document_Controller-025-M3</t>
  </si>
  <si>
    <t>QC-Quality_Control-007-M3</t>
  </si>
  <si>
    <t>DC-Document_Controller-026-M3</t>
  </si>
  <si>
    <t>DC-Document_Controller-002-M3</t>
  </si>
  <si>
    <t>SSO-KUT-KPU-NIUT-2026-08-04383</t>
  </si>
  <si>
    <t>387/INV/KUT-PST/VIII/2026</t>
  </si>
  <si>
    <t>PE-Project_Engineer-021-M2</t>
  </si>
  <si>
    <t>DC-Document_Controller-006-M3</t>
  </si>
  <si>
    <t>DC-Document_Controller-006-M2</t>
  </si>
  <si>
    <t>DC-Document_Controller-023-M2</t>
  </si>
  <si>
    <t>QC-Quality_Control-020-M2</t>
  </si>
  <si>
    <t>SE-Site_Engineer-010-M3</t>
  </si>
  <si>
    <t>SE-Site_Engineer-002-M2</t>
  </si>
  <si>
    <t>DC-Document_Controller-025-M2</t>
  </si>
  <si>
    <t>SE-Site_Engineer-003-M2</t>
  </si>
  <si>
    <t>SE-Site_Engineer-006-M2</t>
  </si>
  <si>
    <t>PE-Project_Engineer-010-M2</t>
  </si>
  <si>
    <t>PE-Project_Engineer-015-M2</t>
  </si>
  <si>
    <t>PE-Project_Engineer-017-M2</t>
  </si>
  <si>
    <t>QC-Quality_Control-011-M3</t>
  </si>
  <si>
    <t>QC-Quality_Control-004-M3</t>
  </si>
  <si>
    <t>QC-Quality_Control-012-M3</t>
  </si>
  <si>
    <t>QC-Quality_Control-012-M2</t>
  </si>
  <si>
    <t>SE-Site_Engineer-007-M3</t>
  </si>
  <si>
    <t>QC-Quality_Control-002-M2</t>
  </si>
  <si>
    <t>DC-Document_Controller-028-M3</t>
  </si>
  <si>
    <t>QC-Quality_Control-004-M2</t>
  </si>
  <si>
    <t>XLSmart - DC033</t>
  </si>
  <si>
    <t>DC-Document_Controller-033-M3</t>
  </si>
  <si>
    <t>QC-Quality_Control-005-M2</t>
  </si>
  <si>
    <t>SE-Site_Engineer-020-M1</t>
  </si>
  <si>
    <t>1091HG3728823-16</t>
  </si>
  <si>
    <t xml:space="preserve">Cancel invoice </t>
  </si>
  <si>
    <t>SSO-KUT-KPU-NIUT-2026-07-03353</t>
  </si>
  <si>
    <t>275/INV/KUT-PST/VII/2026</t>
  </si>
  <si>
    <t>SE-Site_Engineer-021-M1</t>
  </si>
  <si>
    <t>SE-Site_Engineer-022-M1</t>
  </si>
  <si>
    <t>SE-Site_Engineer-023-M1</t>
  </si>
  <si>
    <t>poor</t>
  </si>
  <si>
    <t>Next FU mba fesa</t>
  </si>
  <si>
    <t>SE-Site_Engineer-024</t>
  </si>
  <si>
    <t>SE-Site_Engineer-024-M1</t>
  </si>
  <si>
    <t>DC-Document_Controller-017-M1</t>
  </si>
  <si>
    <t>1091HG3728823-17</t>
  </si>
  <si>
    <t>SSO-KUT-KPU-NIUT-2026-06-03070</t>
  </si>
  <si>
    <t>259/INV/KUT-PST/VI/2026</t>
  </si>
  <si>
    <t>DC-Document_Controller-018-M1</t>
  </si>
  <si>
    <t>DC-Document_Controller-024-M1</t>
  </si>
  <si>
    <t>PE-Project_Engineer-014-M1</t>
  </si>
  <si>
    <t>PE-Project_Engineer-016-M1</t>
  </si>
  <si>
    <t>PE-Project_Engineer-019-M1</t>
  </si>
  <si>
    <t>PE-Project_Engineer-020-M1</t>
  </si>
  <si>
    <t>QC-Quality_Control-016-M1</t>
  </si>
  <si>
    <t>DC-Document_Controller-030-M1</t>
  </si>
  <si>
    <t>PE-Project_Engineer-006-M2</t>
  </si>
  <si>
    <t>1091HG3728823-18</t>
  </si>
  <si>
    <t>2026-06-05</t>
  </si>
  <si>
    <t>PE-Project_Engineer-006-M3</t>
  </si>
  <si>
    <t>DC-Document_Controller-019-M1</t>
  </si>
  <si>
    <t>ND_ANCOL_SKKL</t>
  </si>
  <si>
    <t>1091HG3728823-19</t>
  </si>
  <si>
    <t>2026-06-10</t>
  </si>
  <si>
    <t>SSO-KUT-KPU-NIUT-2026-06-03071</t>
  </si>
  <si>
    <t>260/INV/KUT-PST/VI/2026</t>
  </si>
  <si>
    <t>DC-Document_Controller-020-M1</t>
  </si>
  <si>
    <t>PE-Project_Engineer-008-M1</t>
  </si>
  <si>
    <t>PE-Project_Engineer-012-M1</t>
  </si>
  <si>
    <t>PE-Project_Engineer-022-M1</t>
  </si>
  <si>
    <t>D1_BTMDC1_RSC_N_S0041_QC-Quality_Control-022</t>
  </si>
  <si>
    <t>D1_BTMDC1_RSC_N_S0041_QC-Quality_Control-022-M1</t>
  </si>
  <si>
    <t>NEUTRADC BATAM</t>
  </si>
  <si>
    <t>1091HG3728823-20</t>
  </si>
  <si>
    <t>D1_BTMDC1_RSC_N_S0041_QC-Quality_Control-022-M2</t>
  </si>
  <si>
    <t>D1_BTMDC1_RSC_N_S0041_QC-Quality_Control-022-M3</t>
  </si>
  <si>
    <t>PE-Project_Engineer-033-M1</t>
  </si>
  <si>
    <t>1091HG3728823-21</t>
  </si>
  <si>
    <t>PE-Project_Engineer-032-M1</t>
  </si>
  <si>
    <t>Done email to sumartin</t>
  </si>
  <si>
    <t>PE-Project_Engineer-031-M1</t>
  </si>
  <si>
    <t>PE-Project_Engineer-030-M1</t>
  </si>
  <si>
    <t>DC-Document_Controller-037-M1</t>
  </si>
  <si>
    <t>DC-Document_Controller-036-M1</t>
  </si>
  <si>
    <t>SSO-KUT-KPU-NIUT-2026-07-03576</t>
  </si>
  <si>
    <t>304/INV/KUT-PST/VII/2026</t>
  </si>
  <si>
    <t>DC-Document_Controller-022-M2</t>
  </si>
  <si>
    <t>1091HG3728823-22</t>
  </si>
  <si>
    <t>DC-Document_Controller-036-M2</t>
  </si>
  <si>
    <t>DC-Document_Controller-037-M2</t>
  </si>
  <si>
    <t>PE-Project_Engineer-025-M2</t>
  </si>
  <si>
    <t>PE-Project_Engineer-030-M2</t>
  </si>
  <si>
    <t>Hold</t>
  </si>
  <si>
    <t>Coef under baseline</t>
  </si>
  <si>
    <t>PE-Project_Engineer-031-M2</t>
  </si>
  <si>
    <t>PE-Project_Engineer-032-M2</t>
  </si>
  <si>
    <t>PE-Project_Engineer-033-M2</t>
  </si>
  <si>
    <t>DC-Document_Controller-022-M3</t>
  </si>
  <si>
    <t>DC-Document_Controller-036-M3</t>
  </si>
  <si>
    <t>DC-Document_Controller-037-M3</t>
  </si>
  <si>
    <t>PE-Project_Engineer-025-M3</t>
  </si>
  <si>
    <t>PE-Project_Engineer-030-M3</t>
  </si>
  <si>
    <t>PE-Project_Engineer-031-M3</t>
  </si>
  <si>
    <t>PE-Project_Engineer-032-M3</t>
  </si>
  <si>
    <t>PE-Project_Engineer-033-M3</t>
  </si>
  <si>
    <t>DC-Document_Controller-056-M1</t>
  </si>
  <si>
    <t>1091HG3728823-23</t>
  </si>
  <si>
    <t>2026-06-11</t>
  </si>
  <si>
    <t>DC-Document_Controller-056-M3</t>
  </si>
  <si>
    <t>1091HG3728823-24</t>
  </si>
  <si>
    <t>DC-Document_Controller-056-M2</t>
  </si>
  <si>
    <t>1091HG3728823-25</t>
  </si>
  <si>
    <t>DC-Document_Controller-031-M2</t>
  </si>
  <si>
    <t>1091HG3728823-26</t>
  </si>
  <si>
    <t>2026-06-15</t>
  </si>
  <si>
    <t>SSO-KUT-KPU-NIUT-2026-08-04129</t>
  </si>
  <si>
    <t>342/INV/KUT-PST/VIII/2026</t>
  </si>
  <si>
    <t>DC-Document_Controller-031-M3</t>
  </si>
  <si>
    <t>1091HG3728823-27</t>
  </si>
  <si>
    <t>SSO-KUT-KPU-NIUT-2026-08-04384</t>
  </si>
  <si>
    <t>386/INV/KUT-PST/VIII/2026</t>
  </si>
  <si>
    <t>DC-Document_Controller-055-M2</t>
  </si>
  <si>
    <t>1091HG3728823-29</t>
  </si>
  <si>
    <t>DC-Document_Controller-055-M1</t>
  </si>
  <si>
    <t>1091HG3728823-28</t>
  </si>
  <si>
    <t>DC-Document_Controller-055-M3</t>
  </si>
  <si>
    <t>1091HG3728823-30</t>
  </si>
  <si>
    <t>PE-Project_Engineer-013-M2</t>
  </si>
  <si>
    <t>1091HG3728823-31</t>
  </si>
  <si>
    <t>2026-06-22</t>
  </si>
  <si>
    <t>SSO-KUT-KPU-NIUT-2026-08-04116</t>
  </si>
  <si>
    <t>343/INV/KUT-PST/VIII/2026</t>
  </si>
  <si>
    <t>DC-Document_Controller-029-M2</t>
  </si>
  <si>
    <t>1091HG3728823-32</t>
  </si>
  <si>
    <t>SSO-KUT-KPU-NIUT-2026-08-04085</t>
  </si>
  <si>
    <t>344/INV/KUT-PST/VIII/2026</t>
  </si>
  <si>
    <t>SE-Site_Engineer-004-M2</t>
  </si>
  <si>
    <t>1091HG3728823-33</t>
  </si>
  <si>
    <t>DC-Document_Controller-029-M3</t>
  </si>
  <si>
    <t>1091HG3728823-34</t>
  </si>
  <si>
    <t>SE-Site_Engineer-004-M3</t>
  </si>
  <si>
    <t>1091HG3728823-35</t>
  </si>
  <si>
    <t>DC-Document_Controller-012-M2</t>
  </si>
  <si>
    <t>1091HG3728823-36</t>
  </si>
  <si>
    <t>SSO-KUT-KPU-NIUT-2026-08-04086</t>
  </si>
  <si>
    <t>345/INV/KUT-PST/VIII/2026</t>
  </si>
  <si>
    <t>QC-Quality_Control-010-M3</t>
  </si>
  <si>
    <t>1091HG3728823-37</t>
  </si>
  <si>
    <t>Request cancel PO</t>
  </si>
  <si>
    <t>QC-Quality_Control-010-M2</t>
  </si>
  <si>
    <t>1091HG3728823-38</t>
  </si>
  <si>
    <t>SSO-KUT-KPU-NIUT-2026-08-03994</t>
  </si>
  <si>
    <t>325/INV/KUT-PST/VIII/2026</t>
  </si>
  <si>
    <t>PE-Project_Engineer-013-M3</t>
  </si>
  <si>
    <t>1091HG3728823-39</t>
  </si>
  <si>
    <t>SSO-KUT-KPU-NIUT-2026-08-04335</t>
  </si>
  <si>
    <t>380/INV/KUT-PST/VIII/2026</t>
  </si>
  <si>
    <t>DC-Document_Controller-012-M3</t>
  </si>
  <si>
    <t>1091HG3728823-40</t>
  </si>
  <si>
    <t>PE-Project_Engineer-007-M3</t>
  </si>
  <si>
    <t>1091HG3728823-41</t>
  </si>
  <si>
    <t>PE-Project_Engineer-007-M2</t>
  </si>
  <si>
    <t>1091HG3728823-42</t>
  </si>
  <si>
    <t>SSO-KUT-KPU-NIUT-2026-08-04113</t>
  </si>
  <si>
    <t>346/INV/KUT-PST/VIII/2026</t>
  </si>
  <si>
    <t>PE-Project_Engineer-028-M2</t>
  </si>
  <si>
    <t>1091HG3728823-43</t>
  </si>
  <si>
    <t>Telkomsel</t>
  </si>
  <si>
    <t>PE-Project_Engineer-028-M3</t>
  </si>
  <si>
    <t>1091HG3728823-44</t>
  </si>
  <si>
    <t>SSO-KUT-KPU-NIUT-2026-08-04336</t>
  </si>
  <si>
    <t>374/INV/KUT-PST/VIII/2026</t>
  </si>
  <si>
    <t>QC-Quality_Control-003-M3</t>
  </si>
  <si>
    <t>1091HG3728823-45</t>
  </si>
  <si>
    <t>DC-Document_Controller-021-M2</t>
  </si>
  <si>
    <t>1091HG3728823-46</t>
  </si>
  <si>
    <t>SSO-KUT-KPU-NIUT-2026-08-04087</t>
  </si>
  <si>
    <t>347/INV/KUT-PST/VIII/2026</t>
  </si>
  <si>
    <t>DC-Document_Controller-021-M3</t>
  </si>
  <si>
    <t>1091HG3728823-47</t>
  </si>
  <si>
    <t>QC-Quality_Control-003-M2</t>
  </si>
  <si>
    <t>1091HG3728823-48</t>
  </si>
  <si>
    <t>SSO-KUT-KPU-NIUT-2026-08-04111</t>
  </si>
  <si>
    <t>348/INV/KUT-PST/VIII/2026</t>
  </si>
  <si>
    <t>DC-Document_Controller-013-M3</t>
  </si>
  <si>
    <t>1091HG3728823-49</t>
  </si>
  <si>
    <t>DC-Document_Controller-039-M2</t>
  </si>
  <si>
    <t xml:space="preserve">need confirm unmatched data mas dean dan mba fesa cancel join </t>
  </si>
  <si>
    <t>PE-Project_Engineer-005-M3</t>
  </si>
  <si>
    <t>DC-Document_Controller-013-M4</t>
  </si>
  <si>
    <t>PE-Project_Engineer-005-M4</t>
  </si>
  <si>
    <t>PE-Project_Engineer-051</t>
  </si>
  <si>
    <t>PE-Project_Engineer-051-M1</t>
  </si>
  <si>
    <t>SE-Site_Engineer-028-M2</t>
  </si>
  <si>
    <t>PE-Project_Engineer-051-M2</t>
  </si>
  <si>
    <t>DC-Document_Controller-004-M2</t>
  </si>
  <si>
    <t>SSO-KUT-KPU-NIUT-2026-09-04609</t>
  </si>
  <si>
    <t>SE-Site_Engineer-015-M2</t>
  </si>
  <si>
    <t>PE-Project_Engineer-002-M2</t>
  </si>
  <si>
    <t>SSO-KUT-KPU-NIUT-2026-07-03569</t>
  </si>
  <si>
    <t>301/INV/KUT-PST/VII/2026</t>
  </si>
  <si>
    <t>DC-Document_Controller-004-M3</t>
  </si>
  <si>
    <t>SE-Site_Engineer-018-M3</t>
  </si>
  <si>
    <t>DC-Document_Controller-054-M1</t>
  </si>
  <si>
    <t>DC-Document_Controller-010 ( Line 15 )</t>
  </si>
  <si>
    <t>DC-Document_Controller-010-M2</t>
  </si>
  <si>
    <t>SSO-KUT-KPU-NIUT-2026-07-03561</t>
  </si>
  <si>
    <t>295/INV/KUT-PST/VII/2026</t>
  </si>
  <si>
    <t>DC-Document_Controller-016-M4</t>
  </si>
  <si>
    <t>DC-Document_Controller-011 (Line 17)</t>
  </si>
  <si>
    <t>DC-Document_Controller-011-M2</t>
  </si>
  <si>
    <t>DC-Document_Controller-011-M3</t>
  </si>
  <si>
    <t>DC-Document_Controller-011-M4</t>
  </si>
  <si>
    <t>QC-Quality_Control-026-M1</t>
  </si>
  <si>
    <t>SE-Site_Engineer-015-M3</t>
  </si>
  <si>
    <t>PE-Project_Engineer-003-M2</t>
  </si>
  <si>
    <t>need confirm, krn M2 dan under 23 june</t>
  </si>
  <si>
    <t>PE-Project_Engineer-003-M3</t>
  </si>
  <si>
    <t>DC-Document_Controller-010-M3</t>
  </si>
  <si>
    <t>DC-Document_Controller-054-M2</t>
  </si>
  <si>
    <t>PE-Project_Engineer-003-M4</t>
  </si>
  <si>
    <t>DC-Document_Controller-013-M2</t>
  </si>
  <si>
    <t>SE-Site_Engineer-018-M2</t>
  </si>
  <si>
    <t>Reject</t>
  </si>
  <si>
    <t>QC-Quality_Control-014-M2</t>
  </si>
  <si>
    <t>QC-Quality_Control-014-M3</t>
  </si>
  <si>
    <t>SE-Site_Engineer-028-M1</t>
  </si>
  <si>
    <t>SE-Site_Engineer-030-M1</t>
  </si>
  <si>
    <t>SE-Site_Engineer-030-M2</t>
  </si>
  <si>
    <t>QC-Quality_Control-014-M4</t>
  </si>
  <si>
    <t>SE-Site_Engineer-026-M1</t>
  </si>
  <si>
    <t>SE-Site_Engineer-026-M2</t>
  </si>
  <si>
    <t>KUT FU coef, M3 dst cancel PO</t>
  </si>
  <si>
    <t>SE-Site_Engineer-016-M2</t>
  </si>
  <si>
    <t>SE-Site_Engineer-016-M3</t>
  </si>
  <si>
    <t>DC-Document_Controller-016 (Line 39)</t>
  </si>
  <si>
    <t>DC-Document_Controller-016-M2</t>
  </si>
  <si>
    <t>DC-Document_Controller-004-M4</t>
  </si>
  <si>
    <t>DC-Document_Controller-010-M4</t>
  </si>
  <si>
    <t>PE-Project_Engineer-005 (Line 42)</t>
  </si>
  <si>
    <t>PE-Project_Engineer-005-M2</t>
  </si>
  <si>
    <t>SE-Site_Engineer-017-M2</t>
  </si>
  <si>
    <t>DC-Document_Controller-016-M3</t>
  </si>
  <si>
    <t>SE-Site_Engineer-017-M3</t>
  </si>
  <si>
    <t>PE-Project_Engineer-020-M2</t>
  </si>
  <si>
    <t>1091HG3728823-50</t>
  </si>
  <si>
    <t>SSO-KUT-KPU-NIUT-2026-07-03562</t>
  </si>
  <si>
    <t>296/INV/KUT-PST/VII/2026</t>
  </si>
  <si>
    <t>DC-Document_Controller-024-M3</t>
  </si>
  <si>
    <t>PE-Project_Engineer-020-M3</t>
  </si>
  <si>
    <t>QC-Quality_Control-016-M4</t>
  </si>
  <si>
    <t>PE-Project_Engineer-020-M4</t>
  </si>
  <si>
    <t>PE-Project_Engineer-035-M2</t>
  </si>
  <si>
    <t>PE-Project_Engineer-019-M3</t>
  </si>
  <si>
    <t>DC-Document_Controller-030-M2</t>
  </si>
  <si>
    <t>SSO-KUT-KPU-NIUT-2026-07-03570</t>
  </si>
  <si>
    <t>302/INV/KUT-PST/VII/2026</t>
  </si>
  <si>
    <t>DC-Document_Controller-018-M2</t>
  </si>
  <si>
    <t>SSO-KUT-KPU-NIUT-2026-07-03596</t>
  </si>
  <si>
    <t>PE-Project_Engineer-016-M2</t>
  </si>
  <si>
    <t>SE-Site_Engineer-031-M1</t>
  </si>
  <si>
    <t>PE-Project_Engineer-016-M3</t>
  </si>
  <si>
    <t>SE-Site_Engineer-031-M2</t>
  </si>
  <si>
    <t>DC-Document_Controller-018-M3</t>
  </si>
  <si>
    <t>DC-Document_Controller-024-M2</t>
  </si>
  <si>
    <t>303/INV/KUT-PST/VII/2026</t>
  </si>
  <si>
    <t>DC-Document_Controller-015-M2</t>
  </si>
  <si>
    <t>DC-Document_Controller-015-M3</t>
  </si>
  <si>
    <t>SSO-KUT-KPU-NIUT-2026-09-04610</t>
  </si>
  <si>
    <t>DC-Document_Controller-015-M4</t>
  </si>
  <si>
    <t>PE-Project_Engineer-016-M4</t>
  </si>
  <si>
    <t>PE-Project_Engineer-014-M2</t>
  </si>
  <si>
    <t>PE-Project_Engineer-019-M4</t>
  </si>
  <si>
    <t>DC-Document_Controller-030-M3</t>
  </si>
  <si>
    <t>SE-Site_Engineer-029</t>
  </si>
  <si>
    <t>SE-Site_Engineer-029-M1</t>
  </si>
  <si>
    <t>DC-Document_Controller-030-M4</t>
  </si>
  <si>
    <t>PE-Project_Engineer-036-M2</t>
  </si>
  <si>
    <t>SE-Site_Engineer-029-M2</t>
  </si>
  <si>
    <t>DC-Document_Controller-024-M4</t>
  </si>
  <si>
    <t>DC-Document_Controller-017-M4</t>
  </si>
  <si>
    <t>PE-Project_Engineer-014-M3</t>
  </si>
  <si>
    <t>PE-Project_Engineer-052-M1</t>
  </si>
  <si>
    <t>PE-Project_Engineer-052-M2</t>
  </si>
  <si>
    <t>PE-Project_Engineer-014-M4</t>
  </si>
  <si>
    <t>Screenshot and the current dashboard payment coeff unmatch </t>
  </si>
  <si>
    <t>DC-Document_Controller-017-M2</t>
  </si>
  <si>
    <t>DC-Document_Controller-017-M3</t>
  </si>
  <si>
    <t>SSO-KUT-KPU-NIUT-2026-08-04368</t>
  </si>
  <si>
    <t>379/INV/KUT-PST/VIII/2026</t>
  </si>
  <si>
    <t>PE-Project_Engineer-019-M2</t>
  </si>
  <si>
    <t>QC-Quality_Control-016-M2</t>
  </si>
  <si>
    <t>QC-Quality_Control-016-M3</t>
  </si>
  <si>
    <t>DC-Document_Controller-018-M4</t>
  </si>
  <si>
    <t>QC-Quality_Control-022-M2</t>
  </si>
  <si>
    <t>1091HG3728823-51</t>
  </si>
  <si>
    <t>2026-06-23</t>
  </si>
  <si>
    <t>QC-Quality_Control-022-M3</t>
  </si>
  <si>
    <t>DC-Document_Controller-034-M2</t>
  </si>
  <si>
    <t>1091HG3728823-52</t>
  </si>
  <si>
    <t>2026-06-24</t>
  </si>
  <si>
    <t>SSO-KUT-KPU-NIUT-2026-08-04130</t>
  </si>
  <si>
    <t>349/INV/KUT-PST/VIII/2026</t>
  </si>
  <si>
    <t>DC-Document_Controller-034-M3</t>
  </si>
  <si>
    <t>XLSMART NWL - SE025</t>
  </si>
  <si>
    <t>SE-Site_Engineer-025-M1</t>
  </si>
  <si>
    <t>request open</t>
  </si>
  <si>
    <t>XLSMART NWL - SE027</t>
  </si>
  <si>
    <t>SE-Site_Engineer-027-M1</t>
  </si>
  <si>
    <t>PE-Project_Engineer-011-M2</t>
  </si>
  <si>
    <t>SSO-KUT-KPU-NIUT-2026-08-03995</t>
  </si>
  <si>
    <t>321/INV/KUT-PST/VIII/2026</t>
  </si>
  <si>
    <t>PE-Project_Engineer-024-M2</t>
  </si>
  <si>
    <t>SE-Site_Engineer-008-M2</t>
  </si>
  <si>
    <t>SSO-KUT-KPU-NIUT-2026-08-04012</t>
  </si>
  <si>
    <t>335/INV/KUT-PST/VIII/2026</t>
  </si>
  <si>
    <t>XLSMART NWL - SE011</t>
  </si>
  <si>
    <t>SE-Site_Engineer-011-M2</t>
  </si>
  <si>
    <t xml:space="preserve">Check when move to nonwireless </t>
  </si>
  <si>
    <t>KUT Email</t>
  </si>
  <si>
    <t>PE-Project_Engineer-011-M3</t>
  </si>
  <si>
    <t>PE-Project_Engineer-024-M3</t>
  </si>
  <si>
    <t>SE-Site_Engineer-008-M3</t>
  </si>
  <si>
    <t>SE-Site_Engineer-011-M3</t>
  </si>
  <si>
    <t>PE-Project_Engineer-011-M4</t>
  </si>
  <si>
    <t>PE-Project_Engineer-024-M4</t>
  </si>
  <si>
    <t>SE-Site_Engineer-008-M4</t>
  </si>
  <si>
    <t>SE-Site_Engineer-011-M4</t>
  </si>
  <si>
    <t>PE-Project_Engineer-011-M5</t>
  </si>
  <si>
    <t>PE-Project_Engineer-024-M5</t>
  </si>
  <si>
    <t>SE-Site_Engineer-008-M5</t>
  </si>
  <si>
    <t>SE-Site_Engineer-011-M5</t>
  </si>
  <si>
    <t>PE-Project_Engineer-011-M6</t>
  </si>
  <si>
    <t>PE-Project_Engineer-024-M6</t>
  </si>
  <si>
    <t>SE-Site_Engineer-008-M6</t>
  </si>
  <si>
    <t>SE-Site_Engineer-011-M6</t>
  </si>
  <si>
    <t>DC-Document_Controller-001-M2</t>
  </si>
  <si>
    <t>1091HG3728823-54</t>
  </si>
  <si>
    <t>2026-06-26</t>
  </si>
  <si>
    <t>SSO-KUT-KPU-NIUT-2026-08-04088</t>
  </si>
  <si>
    <t>350/INV/KUT-PST/VIII/2026</t>
  </si>
  <si>
    <t>DC-Document_Controller-003-M3</t>
  </si>
  <si>
    <t>1091HG3728823-55</t>
  </si>
  <si>
    <t>DC-Document_Controller-005-M3</t>
  </si>
  <si>
    <t>1091HG3728823-56</t>
  </si>
  <si>
    <t>SSO-KUT-KPU-NIUT-2026-08-04338</t>
  </si>
  <si>
    <t>381/INV/KUT-PST/VIII/2026</t>
  </si>
  <si>
    <t>PE-Project_Engineer-023-M2</t>
  </si>
  <si>
    <t>1091HG3728823-57</t>
  </si>
  <si>
    <t>SSO-KUT-KPU-NIUT-2026-08-04131</t>
  </si>
  <si>
    <t>351/INV/KUT-PST/VIII/2026</t>
  </si>
  <si>
    <t>QC-Quality_Control-008-M2</t>
  </si>
  <si>
    <t>1091HG3728823-58</t>
  </si>
  <si>
    <t>SSO-KUT-KPU-NIUT-2026-08-04102</t>
  </si>
  <si>
    <t>352/INV/KUT-PST/VIII/2026</t>
  </si>
  <si>
    <t>DC-Document_Controller-009-M3</t>
  </si>
  <si>
    <t>1091HG3728823-59</t>
  </si>
  <si>
    <t>QC-Quality_Control-008-M3</t>
  </si>
  <si>
    <t>1091HG3728823-60</t>
  </si>
  <si>
    <t>PE-Project_Engineer-023-M3</t>
  </si>
  <si>
    <t>1091HG3728823-61</t>
  </si>
  <si>
    <t>DC-Document_Controller-003-M2</t>
  </si>
  <si>
    <t>1091HG3728823-62</t>
  </si>
  <si>
    <t>SSO-KUT-KPU-NIUT-2026-08-04090</t>
  </si>
  <si>
    <t>353/INV/KUT-PST/VIII/2026</t>
  </si>
  <si>
    <t>DC-Document_Controller-009-M2</t>
  </si>
  <si>
    <t>1091HG3728823-63</t>
  </si>
  <si>
    <t>SSO-KUT-KPU-NIUT-2026-08-04092</t>
  </si>
  <si>
    <t>354/INV/KUT-PST/VIII/2026</t>
  </si>
  <si>
    <t>PE-Project_Engineer-029-M3</t>
  </si>
  <si>
    <t>1091HG3728823-64</t>
  </si>
  <si>
    <t>PE-Project_Engineer-029-M2</t>
  </si>
  <si>
    <t>1091HG3728823-65</t>
  </si>
  <si>
    <t>1091HG3728823-67</t>
  </si>
  <si>
    <t>PRJ-KUT-KPU-TPED-2026-04-00075</t>
  </si>
  <si>
    <t>SSO-KUT-KPU-NIUT-2026-08-04251</t>
  </si>
  <si>
    <t>367/INV/KUT-PST/VIII/2026</t>
  </si>
  <si>
    <t>DC-Document_Controller-001-M3</t>
  </si>
  <si>
    <t>1091HG3728823-66</t>
  </si>
  <si>
    <t>SSO-KUT-KPU-NIUT-2026-08-04339</t>
  </si>
  <si>
    <t>382/INV/KUT-PST/VIII/2026</t>
  </si>
  <si>
    <t>QC-Quality_Control-013-M2</t>
  </si>
  <si>
    <t>1091HG3728823-68</t>
  </si>
  <si>
    <t>SSO-KUT-KPU-NIUT-2026-08-04103</t>
  </si>
  <si>
    <t>355/INV/KUT-PST/VIII/2026</t>
  </si>
  <si>
    <t>QC-Quality_Control-013-M3</t>
  </si>
  <si>
    <t>1091HG3728823-69</t>
  </si>
  <si>
    <t>QC-Quality_Control-015-M2</t>
  </si>
  <si>
    <t>1091HG3728823-70</t>
  </si>
  <si>
    <t>SSO-KUT-KPU-NIUT-2026-08-04107</t>
  </si>
  <si>
    <t>356/INV/KUT-PST/VIII/2026</t>
  </si>
  <si>
    <t>QC-Quality_Control-015-M3</t>
  </si>
  <si>
    <t>1091HG3728823-71</t>
  </si>
  <si>
    <t>SE-Site_Engineer-005-M2</t>
  </si>
  <si>
    <t>1091HG3728823-72</t>
  </si>
  <si>
    <t>DC-Document_Controller-005-M2</t>
  </si>
  <si>
    <t>1091HG3728823-73</t>
  </si>
  <si>
    <t>SSO-KUT-KPU-NIUT-2026-08-04101</t>
  </si>
  <si>
    <t>357/INV/KUT-PST/VIII/2026</t>
  </si>
  <si>
    <t>QC-Quality_Control-022-M1</t>
  </si>
  <si>
    <t>PE-Project_Engineer-058-M1</t>
  </si>
  <si>
    <t>SPLIT CELL SADIAMD2</t>
  </si>
  <si>
    <t>1091HG3728823-74</t>
  </si>
  <si>
    <t>2026-07-22</t>
  </si>
  <si>
    <t>End date diatas 23 Juni</t>
  </si>
  <si>
    <t>PE-Project_Engineer-002-M3</t>
  </si>
  <si>
    <t>4125197E_MENTAYA_HILIR_SELATA</t>
  </si>
  <si>
    <t>PE-Project_Engineer-002-M4</t>
  </si>
  <si>
    <t>PE-Project_Engineer-002-M5</t>
  </si>
  <si>
    <t>DC-Document_Controller-045-M1</t>
  </si>
  <si>
    <t>AIR  KATI LUBUKLINGGAU</t>
  </si>
  <si>
    <t>DC-Document_Controller-045-M2</t>
  </si>
  <si>
    <t>DC-Document_Controller-051-M1</t>
  </si>
  <si>
    <t>DC-Document_Controller-051-M2</t>
  </si>
  <si>
    <t>PE-Project_Engineer-038-M1</t>
  </si>
  <si>
    <t>SSO-KUT-KPU-NIUT-2026-08-04268</t>
  </si>
  <si>
    <t>372/INV/KUT-PST/VIII/2026</t>
  </si>
  <si>
    <t>PE-Project_Engineer-038-M2</t>
  </si>
  <si>
    <t>PE-Project_Engineer-039-M1</t>
  </si>
  <si>
    <t>PE-Project_Engineer-039-M2</t>
  </si>
  <si>
    <t>DC-Document_Controller-059-M1</t>
  </si>
  <si>
    <t>PE-Project_Engineer-060-M1</t>
  </si>
  <si>
    <t>PE-Project_Engineer-083-M1</t>
  </si>
  <si>
    <t>QC-Quality_Control-027-M1</t>
  </si>
  <si>
    <t>PE-Project_Engineer-040-M1</t>
  </si>
  <si>
    <t>LTE_CIGONDEWAH</t>
  </si>
  <si>
    <t>PE-Project_Engineer-040-M2</t>
  </si>
  <si>
    <t>SE-Site_Engineer-019-M2</t>
  </si>
  <si>
    <t>SE-Site_Engineer-019-M3</t>
  </si>
  <si>
    <t>SE-Site_Engineer-020-M2</t>
  </si>
  <si>
    <t>SE-Site_Engineer-020-M3</t>
  </si>
  <si>
    <t>SE-Site_Engineer-021-M2</t>
  </si>
  <si>
    <t>SE-Site_Engineer-021-M3</t>
  </si>
  <si>
    <t>SE-Site_Engineer-022-M2</t>
  </si>
  <si>
    <t>SE-Site_Engineer-022-M3</t>
  </si>
  <si>
    <t>DC-Document_Controller-041-M2</t>
  </si>
  <si>
    <t>SE-Site_Engineer-023-M2</t>
  </si>
  <si>
    <t>SE-Site_Engineer-023-M3</t>
  </si>
  <si>
    <t>DC-Document_Controller-044-M1</t>
  </si>
  <si>
    <t>DC-Document_Controller-044-M2</t>
  </si>
  <si>
    <t>DC-Document_Controller-044-M3</t>
  </si>
  <si>
    <t>DC-Document_Controller-046-M1</t>
  </si>
  <si>
    <t>DC-Document_Controller-046-M2</t>
  </si>
  <si>
    <t>DC-Document_Controller-049-M1</t>
  </si>
  <si>
    <t>DC-Document_Controller-049-M2</t>
  </si>
  <si>
    <t>DC-Document_Controller-050-M1</t>
  </si>
  <si>
    <t>DC-Document_Controller-050-M2</t>
  </si>
  <si>
    <t>DC-Document_Controller-052-M1</t>
  </si>
  <si>
    <t>DC-Document_Controller-052-M2</t>
  </si>
  <si>
    <t>DC-Document_Controller-053-M1</t>
  </si>
  <si>
    <t>DC-Document_Controller-053-M2</t>
  </si>
  <si>
    <t>PE-Project_Engineer-041-M1</t>
  </si>
  <si>
    <t>PE-Project_Engineer-041-M2</t>
  </si>
  <si>
    <t>PE-Project_Engineer-042-M1</t>
  </si>
  <si>
    <t>PE-Project_Engineer-042-M2</t>
  </si>
  <si>
    <t>PE-Project_Engineer-043</t>
  </si>
  <si>
    <t>PE-Project_Engineer-043-M1</t>
  </si>
  <si>
    <t>PE-Project_Engineer-043-M2</t>
  </si>
  <si>
    <t>PE-Project_Engineer-044-M1</t>
  </si>
  <si>
    <t>PE-Project_Engineer-044-M2</t>
  </si>
  <si>
    <t>PE-Project_Engineer-045-M1</t>
  </si>
  <si>
    <t>PE-Project_Engineer-045-M2</t>
  </si>
  <si>
    <t>PE-Project_Engineer-055-M1</t>
  </si>
  <si>
    <t>PE-Project_Engineer-055-M2</t>
  </si>
  <si>
    <t>QC-Quality_Control-023-M1</t>
  </si>
  <si>
    <t>QC-Quality_Control-023-M2</t>
  </si>
  <si>
    <t>DC-Document_Controller-002-M4</t>
  </si>
  <si>
    <t>DC-Document_Controller-006-M4</t>
  </si>
  <si>
    <t>DC-Document_Controller-007-M4</t>
  </si>
  <si>
    <t>DC-Document_Controller-008-M4</t>
  </si>
  <si>
    <t>DC-Document_Controller-014-M4</t>
  </si>
  <si>
    <t>SSO-KUT-KPU-NIUT-2026-09-04611</t>
  </si>
  <si>
    <t>DC-Document_Controller-023-M4</t>
  </si>
  <si>
    <t>DC-Document_Controller-025-M4</t>
  </si>
  <si>
    <t>PE-Project_Engineer-034-M2</t>
  </si>
  <si>
    <t>DC-Document_Controller-060-M1</t>
  </si>
  <si>
    <t>DC-Document_Controller-061-M1</t>
  </si>
  <si>
    <t>PE-Project_Engineer-059-M1</t>
  </si>
  <si>
    <t>SSO-KUT-KPU-NIUT-2026-09-04570</t>
  </si>
  <si>
    <t>388/INV/KUT-PST/IX/2026</t>
  </si>
  <si>
    <t>PE-Project_Engineer-063-M1</t>
  </si>
  <si>
    <t>PE-Project_Engineer-065-M1</t>
  </si>
  <si>
    <t>PE-Project_Engineer-066-M1</t>
  </si>
  <si>
    <t>DC-Document_Controller-026-M4</t>
  </si>
  <si>
    <t>DC-Document_Controller-028-M4</t>
  </si>
  <si>
    <t>DC-Document_Controller-033-M4</t>
  </si>
  <si>
    <t>PE-Project_Engineer-001-M4</t>
  </si>
  <si>
    <t>PE-Project_Engineer-004-M4</t>
  </si>
  <si>
    <t>PE-Project_Engineer-009-M4</t>
  </si>
  <si>
    <t>PE-Project_Engineer-010-M4</t>
  </si>
  <si>
    <t>PE-Project_Engineer-067-M1</t>
  </si>
  <si>
    <t>PE-Project_Engineer-068-M1</t>
  </si>
  <si>
    <t>PE-Project_Engineer-069-M1</t>
  </si>
  <si>
    <t>PE-Project_Engineer-074-M1</t>
  </si>
  <si>
    <t>PE-Project_Engineer-082-M1</t>
  </si>
  <si>
    <t>SE-Site_Engineer-033-M1</t>
  </si>
  <si>
    <t>SE-Site_Engineer-034-M1</t>
  </si>
  <si>
    <t>PE-Project_Engineer-015-M4</t>
  </si>
  <si>
    <t>PE-Project_Engineer-017-M4</t>
  </si>
  <si>
    <t>PE-Project_Engineer-018-M4</t>
  </si>
  <si>
    <t>PE-Project_Engineer-021-M4</t>
  </si>
  <si>
    <t>PE-Project_Engineer-027-M4</t>
  </si>
  <si>
    <t>QC-Quality_Control-001-M4</t>
  </si>
  <si>
    <t>QC-Quality_Control-002-M4</t>
  </si>
  <si>
    <t>SE-Site_Engineer-035-M1</t>
  </si>
  <si>
    <t>SE-Site_Engineer-038-M1</t>
  </si>
  <si>
    <t>SE-Site_Engineer-042-M1</t>
  </si>
  <si>
    <t>SE-Site_Engineer-045-M1</t>
  </si>
  <si>
    <t>SE-Site_Engineer-046-M1</t>
  </si>
  <si>
    <t>SE-Site_Engineer-047-M1</t>
  </si>
  <si>
    <t>SE-Site_Engineer-049-M1</t>
  </si>
  <si>
    <t>QC-Quality_Control-004-M4</t>
  </si>
  <si>
    <t>QC-Quality_Control-005-M4</t>
  </si>
  <si>
    <t>QC-Quality_Control-006-M4</t>
  </si>
  <si>
    <t>QC-Quality_Control-007-M4</t>
  </si>
  <si>
    <t>QC-Quality_Control-011-M4</t>
  </si>
  <si>
    <t>QC-Quality_Control-012-M4</t>
  </si>
  <si>
    <t>QC-Quality_Control-020-M4</t>
  </si>
  <si>
    <t>SE-Site_Engineer-053-M1</t>
  </si>
  <si>
    <t>SE-Site_Engineer-055-M1</t>
  </si>
  <si>
    <t>SE-Site_Engineer-056-M1</t>
  </si>
  <si>
    <t>SE-Site_Engineer-058-M1</t>
  </si>
  <si>
    <t>SE-Site_Engineer-059-M1</t>
  </si>
  <si>
    <t>SE-Site_Engineer-060-M1</t>
  </si>
  <si>
    <t>SE-Site_Engineer-063-M1</t>
  </si>
  <si>
    <t>SE-Site_Engineer-002-M4</t>
  </si>
  <si>
    <t>SE-Site_Engineer-003-M4</t>
  </si>
  <si>
    <t>SE-Site_Engineer-006-M4</t>
  </si>
  <si>
    <t>SE-Site_Engineer-007-M4</t>
  </si>
  <si>
    <t>SE-Site_Engineer-010-M4</t>
  </si>
  <si>
    <t>DC-Document_Controller-002-M5</t>
  </si>
  <si>
    <t>DC-Document_Controller-006-M5</t>
  </si>
  <si>
    <t>SE-Site_Engineer-065-M1</t>
  </si>
  <si>
    <t>SE-Site_Engineer-068-M1</t>
  </si>
  <si>
    <t>SE-Site_Engineer-070-M1</t>
  </si>
  <si>
    <t>SE-Site_Engineer-071-M1</t>
  </si>
  <si>
    <t>DC-Document_Controller-061-M2</t>
  </si>
  <si>
    <t>SE-Site_Engineer-033-M2</t>
  </si>
  <si>
    <t>SE-Site_Engineer-034-M2</t>
  </si>
  <si>
    <t>DC-Document_Controller-007-M5</t>
  </si>
  <si>
    <t>DC-Document_Controller-008-M5</t>
  </si>
  <si>
    <t>DC-Document_Controller-014-M5</t>
  </si>
  <si>
    <t>PE-Project_Engineer-001-M5</t>
  </si>
  <si>
    <t>PE-Project_Engineer-004-M5</t>
  </si>
  <si>
    <t>PE-Project_Engineer-009-M5</t>
  </si>
  <si>
    <t>PE-Project_Engineer-010-M5</t>
  </si>
  <si>
    <t>SE-Site_Engineer-035-M2</t>
  </si>
  <si>
    <t>SE-Site_Engineer-038-M2</t>
  </si>
  <si>
    <t>SE-Site_Engineer-042-M2</t>
  </si>
  <si>
    <t>SE-Site_Engineer-045-M2</t>
  </si>
  <si>
    <t>SE-Site_Engineer-046-M2</t>
  </si>
  <si>
    <t>SE-Site_Engineer-047-M2</t>
  </si>
  <si>
    <t>SE-Site_Engineer-049-M2</t>
  </si>
  <si>
    <t>QC-Quality_Control-001-M5</t>
  </si>
  <si>
    <t>QC-Quality_Control-002-M5</t>
  </si>
  <si>
    <t>QC-Quality_Control-004-M5</t>
  </si>
  <si>
    <t>QC-Quality_Control-005-M5</t>
  </si>
  <si>
    <t>QC-Quality_Control-006-M5</t>
  </si>
  <si>
    <t>QC-Quality_Control-007-M5</t>
  </si>
  <si>
    <t>SE-Site_Engineer-002-M5</t>
  </si>
  <si>
    <t>SE-Site_Engineer-053-M2</t>
  </si>
  <si>
    <t>SE-Site_Engineer-055-M2</t>
  </si>
  <si>
    <t>SE-Site_Engineer-056-M2</t>
  </si>
  <si>
    <t>SE-Site_Engineer-058-M2</t>
  </si>
  <si>
    <t>SE-Site_Engineer-059-M2</t>
  </si>
  <si>
    <t>SE-Site_Engineer-060-M2</t>
  </si>
  <si>
    <t>SE-Site_Engineer-063-M2</t>
  </si>
  <si>
    <t>SE-Site_Engineer-003-M5</t>
  </si>
  <si>
    <t>SE-Site_Engineer-006-M5</t>
  </si>
  <si>
    <t>SE-Site_Engineer-007-M5</t>
  </si>
  <si>
    <t>DC-Document_Controller-047-M1</t>
  </si>
  <si>
    <t>DC-Document_Controller-047-M2</t>
  </si>
  <si>
    <t>PE-Project_Engineer-047-M1</t>
  </si>
  <si>
    <t>PE-Project_Engineer-047-M2</t>
  </si>
  <si>
    <t>SE-Site_Engineer-065-M2</t>
  </si>
  <si>
    <t>SE-Site_Engineer-068-M2</t>
  </si>
  <si>
    <t>SE-Site_Engineer-070-M2</t>
  </si>
  <si>
    <t>PE-Project_Engineer-006-M4</t>
  </si>
  <si>
    <t>1091HG3728823-75</t>
  </si>
  <si>
    <t>PE-Project_Engineer-006-M5</t>
  </si>
  <si>
    <t>DC-Document_Controller-029-M4</t>
  </si>
  <si>
    <t>1091HG3728823-76</t>
  </si>
  <si>
    <t>DC-Document_Controller-058-M1</t>
  </si>
  <si>
    <t>1091HG3728823-77</t>
  </si>
  <si>
    <t>DC-Document_Controller-058-M2</t>
  </si>
  <si>
    <t>1091HG3728823-78</t>
  </si>
  <si>
    <t>DC-Document_Controller-048-M1</t>
  </si>
  <si>
    <t>1091HG3728823-79</t>
  </si>
  <si>
    <t>PE-Project_Engineer-071-M5</t>
  </si>
  <si>
    <t>1091HG3728823-80</t>
  </si>
  <si>
    <t>PE-Project_Engineer-071-M4</t>
  </si>
  <si>
    <t>1091HG3728823-81</t>
  </si>
  <si>
    <t>SSO-KUT-KPU-NIUT-2026-08-04341</t>
  </si>
  <si>
    <t>376/INV/KUT-PST/VIII/2026</t>
  </si>
  <si>
    <t>PE-Project_Engineer-071-M3</t>
  </si>
  <si>
    <t>1091HG3728823-82</t>
  </si>
  <si>
    <t>SSO-KUT-KPU-NIUT-2026-08-04342</t>
  </si>
  <si>
    <t>377/INV/KUT-PST/VIII/2026</t>
  </si>
  <si>
    <t>DC-Document_Controller-012-M5</t>
  </si>
  <si>
    <t>1091HG3728823-83</t>
  </si>
  <si>
    <t>PE-Project_Engineer-013-M5</t>
  </si>
  <si>
    <t>1091HG3728823-84</t>
  </si>
  <si>
    <t>DC-Document_Controller-012-M4</t>
  </si>
  <si>
    <t>1091HG3728823-85</t>
  </si>
  <si>
    <t>PE-Project_Engineer-013-M4</t>
  </si>
  <si>
    <t>1091HG3728823-86</t>
  </si>
  <si>
    <t>SSO-KUT-KPU-NIUT-2026-08-04343</t>
  </si>
  <si>
    <t>378/INV/KUT-PST/VIII/2026</t>
  </si>
  <si>
    <t>SE-Site_Engineer-067-M1</t>
  </si>
  <si>
    <t>1091HG3728823-87</t>
  </si>
  <si>
    <t>SE-Site_Engineer-067-M2</t>
  </si>
  <si>
    <t>1091HG3728823-88</t>
  </si>
  <si>
    <t>DC-Document_Controller-048-M2</t>
  </si>
  <si>
    <t>1091HG3728823-89</t>
  </si>
  <si>
    <t>QC-Quality_Control-003-M5</t>
  </si>
  <si>
    <t>1091HG3728823-90</t>
  </si>
  <si>
    <t>QC-Quality_Control-003-M4</t>
  </si>
  <si>
    <t>1091HG3728823-91</t>
  </si>
  <si>
    <t>PE-Project_Engineer-007-M5</t>
  </si>
  <si>
    <t>1091HG3728823-92</t>
  </si>
  <si>
    <t>DC-Document_Controller-021-M4</t>
  </si>
  <si>
    <t>1091HG3728823-93</t>
  </si>
  <si>
    <t>PE-Project_Engineer-007-M4</t>
  </si>
  <si>
    <t>1091HG3728823-94</t>
  </si>
  <si>
    <t>QC-Quality_Control-013-M4</t>
  </si>
  <si>
    <t>1091HG3728823-95</t>
  </si>
  <si>
    <t>QC-Quality_Control-015-M4</t>
  </si>
  <si>
    <t>1091HG3728823-96</t>
  </si>
  <si>
    <t>PE-Project_Engineer-071-M2</t>
  </si>
  <si>
    <t>1091HG3728823-97</t>
  </si>
  <si>
    <t>SSO-KUT-KPU-NIUT-2026-08-04385</t>
  </si>
  <si>
    <t>383/INV/KUT-PST/VIII/2026</t>
  </si>
  <si>
    <t>PE-Project_Engineer-071-M1</t>
  </si>
  <si>
    <t>1091HG3728823-98</t>
  </si>
  <si>
    <t>SSO-KUT-KPU-NIUT-2026-08-04110</t>
  </si>
  <si>
    <t>358/INV/KUT-PST/VIII/2026</t>
  </si>
  <si>
    <t>DC-Document_Controller-003-M5</t>
  </si>
  <si>
    <t>1091HG3728823-99</t>
  </si>
  <si>
    <t>DC-Document_Controller-001-M4</t>
  </si>
  <si>
    <t>1091HG3728823-100</t>
  </si>
  <si>
    <t>DC-Document_Controller-001-M5</t>
  </si>
  <si>
    <t>1091HG3728823-101</t>
  </si>
  <si>
    <t>DC-Document_Controller-005-M5</t>
  </si>
  <si>
    <t>1091HG3728823-102</t>
  </si>
  <si>
    <t>DC-Document_Controller-009-M4</t>
  </si>
  <si>
    <t>1091HG3728823-103</t>
  </si>
  <si>
    <t>DC-Document_Controller-003-M4</t>
  </si>
  <si>
    <t>1091HG3728823-104</t>
  </si>
  <si>
    <t>QC-Quality_Control-008-M5</t>
  </si>
  <si>
    <t>1091HG3728823-105</t>
  </si>
  <si>
    <t>DC-Document_Controller-009-M5</t>
  </si>
  <si>
    <t>1091HG3728823-106</t>
  </si>
  <si>
    <t>DC-Document_Controller-005-M4</t>
  </si>
  <si>
    <t>1091HG3728823-107</t>
  </si>
  <si>
    <t>PE-Project_Engineer-023-M4</t>
  </si>
  <si>
    <t>1091HG3728823-108</t>
  </si>
  <si>
    <t>QC-Quality_Control-008-M4</t>
  </si>
  <si>
    <t>1091HG3728823-109</t>
  </si>
  <si>
    <t>SE-Site_Engineer-048-M1</t>
  </si>
  <si>
    <t>1091HG3728823-110</t>
  </si>
  <si>
    <t>SE-Site_Engineer-048-M2</t>
  </si>
  <si>
    <t>PE-Project_Engineer-084-M1</t>
  </si>
  <si>
    <t>PE-Project_Engineer-084-M2</t>
  </si>
  <si>
    <t>SE-Site_Engineer-064-M1</t>
  </si>
  <si>
    <t>SE-Site_Engineer-064-M2</t>
  </si>
  <si>
    <t>PE-Project_Engineer-073-M2</t>
  </si>
  <si>
    <t>SE-Site_Engineer-028-M3</t>
  </si>
  <si>
    <t>PE-Project_Engineer-003-M5</t>
  </si>
  <si>
    <t>QC-Quality_Control-026-M2</t>
  </si>
  <si>
    <t>SE-Site_Engineer-061-M1</t>
  </si>
  <si>
    <t>SE-Site_Engineer-018-M4</t>
  </si>
  <si>
    <t>DC-Document_Controller-010-M5</t>
  </si>
  <si>
    <t>PE-Project_Engineer-005-M5</t>
  </si>
  <si>
    <t>QC-Quality_Control-014-M5</t>
  </si>
  <si>
    <t>SE-Site_Engineer-016-M4</t>
  </si>
  <si>
    <t>DC-Document_Controller-039-M3</t>
  </si>
  <si>
    <t>SE-Site_Engineer-030-M3</t>
  </si>
  <si>
    <t>DC-Document_Controller-054-M3</t>
  </si>
  <si>
    <t>DC-Document_Controller-013-M5</t>
  </si>
  <si>
    <t>DC-Document_Controller-016-M5</t>
  </si>
  <si>
    <t>DC-Document_Controller-011-M5</t>
  </si>
  <si>
    <t>DC-Document_Controller-004-M5</t>
  </si>
  <si>
    <t>SE-Site_Engineer-026-M3</t>
  </si>
  <si>
    <t>SE-Site_Engineer-017-M4</t>
  </si>
  <si>
    <t>SE-Site_Engineer-005-M3</t>
  </si>
  <si>
    <t>SE-Site_Engineer-005-M4</t>
  </si>
  <si>
    <t>PE-Project_Engineer-051-M3</t>
  </si>
  <si>
    <t>PE-Project_Engineer-073-M1</t>
  </si>
  <si>
    <t>SE-Site_Engineer-061-M2</t>
  </si>
  <si>
    <t>PE-Project_Engineer-078-M1</t>
  </si>
  <si>
    <t>SE-Site_Engineer-005-M5</t>
  </si>
  <si>
    <t>SE-Site_Engineer-054-M1</t>
  </si>
  <si>
    <t>SE-Site_Engineer-054-M2</t>
  </si>
  <si>
    <t>SE-Site_Engineer-043-M1</t>
  </si>
  <si>
    <t>SE-Site_Engineer-043-M2</t>
  </si>
  <si>
    <t>DC-Document_Controller-062-M1</t>
  </si>
  <si>
    <t>DC-Document_Controller-062-M2</t>
  </si>
  <si>
    <t>PE-Project_Engineer-078-M2</t>
  </si>
  <si>
    <t>PE-Project_Engineer-081-M1</t>
  </si>
  <si>
    <t>PE-Project_Engineer-081-M2</t>
  </si>
  <si>
    <t>SE-Site_Engineer-015-M4</t>
  </si>
  <si>
    <t>DC-Document_Controller-019-M6</t>
  </si>
  <si>
    <t>VIP_IN_KPPTI_LAMPSITE1_TM</t>
  </si>
  <si>
    <t>1091HG3728823-111</t>
  </si>
  <si>
    <t>DC-Document_Controller-019-M5</t>
  </si>
  <si>
    <t>IOH - NWL</t>
  </si>
  <si>
    <t>PE-Project_Engineer-012-M5</t>
  </si>
  <si>
    <t>SSO-KUT-KPU-NIUT-2026-09-04606</t>
  </si>
  <si>
    <t>PE-Project_Engineer-022-M5</t>
  </si>
  <si>
    <t>PE-Project_Engineer-022-M6</t>
  </si>
  <si>
    <t>IOH - W</t>
  </si>
  <si>
    <t>DC-Document_Controller-019-M2</t>
  </si>
  <si>
    <t>SSO-KUT-KPU-NIUT-2026-08-04228</t>
  </si>
  <si>
    <t>365/INV/KUT-PST/VIII/2026</t>
  </si>
  <si>
    <t>PE-Project_Engineer-008-M3</t>
  </si>
  <si>
    <t>PE-Project_Engineer-008-M4</t>
  </si>
  <si>
    <t>PE-Project_Engineer-008-M5</t>
  </si>
  <si>
    <t>PE-Project_Engineer-008-M6</t>
  </si>
  <si>
    <t>PE-Project_Engineer-012-M2</t>
  </si>
  <si>
    <t>DC-Document_Controller-019-M3</t>
  </si>
  <si>
    <t>DC-Document_Controller-019-M4</t>
  </si>
  <si>
    <t>DC-Document_Controller-020-M2</t>
  </si>
  <si>
    <t>DC-Document_Controller-020-M3</t>
  </si>
  <si>
    <t>DC-Document_Controller-020-M4</t>
  </si>
  <si>
    <t>move to IOH NWL</t>
  </si>
  <si>
    <t>DC-Document_Controller-020-M5</t>
  </si>
  <si>
    <t>DC-Document_Controller-020-M6</t>
  </si>
  <si>
    <t>PE-Project_Engineer-008-M2</t>
  </si>
  <si>
    <t>PE-Project_Engineer-012-M3</t>
  </si>
  <si>
    <t>PE-Project_Engineer-012-M4</t>
  </si>
  <si>
    <t>PE-Project_Engineer-012-M6</t>
  </si>
  <si>
    <t>PE-Project_Engineer-022-M2</t>
  </si>
  <si>
    <t>PE-Project_Engineer-022-M3</t>
  </si>
  <si>
    <t>PE-Project_Engineer-022-M4</t>
  </si>
  <si>
    <t>DC-Document_Controller-017-M5</t>
  </si>
  <si>
    <t>1091HG3728823-112</t>
  </si>
  <si>
    <t>2026-07-23</t>
  </si>
  <si>
    <t>PE-Project_Engineer-052-M3</t>
  </si>
  <si>
    <t>PE-Project_Engineer-019-M5</t>
  </si>
  <si>
    <t>SE-Site_Engineer-062-M2</t>
  </si>
  <si>
    <t>SE-Site_Engineer-036-M1</t>
  </si>
  <si>
    <t>SE-Site_Engineer-036-M2</t>
  </si>
  <si>
    <t>PE-Project_Engineer-036-M3</t>
  </si>
  <si>
    <t>PE-Project_Engineer-014-M5</t>
  </si>
  <si>
    <t>DC-Document_Controller-018-M5</t>
  </si>
  <si>
    <t>SE-Site_Engineer-029-M3</t>
  </si>
  <si>
    <t>PE-Project_Engineer-035-M3</t>
  </si>
  <si>
    <t>PE-Project_Engineer-020-M5</t>
  </si>
  <si>
    <t>QC-Quality_Control-016-M5</t>
  </si>
  <si>
    <t>PE-Project_Engineer-016-M5</t>
  </si>
  <si>
    <t>DC-Document_Controller-015-M5</t>
  </si>
  <si>
    <t>SE-Site_Engineer-031-M3</t>
  </si>
  <si>
    <t>DC-Document_Controller-030-M5</t>
  </si>
  <si>
    <t>DC-Document_Controller-024-M5</t>
  </si>
  <si>
    <t>SE-Site_Engineer-066-M1</t>
  </si>
  <si>
    <t>SE-Site_Engineer-066-M2</t>
  </si>
  <si>
    <t>SE-Site_Engineer-057-M1</t>
  </si>
  <si>
    <t>SE-Site_Engineer-057-M2</t>
  </si>
  <si>
    <t>SE-Site_Engineer-039-M1</t>
  </si>
  <si>
    <t>SE-Site_Engineer-039-M2</t>
  </si>
  <si>
    <t>SE-Site_Engineer-037-M1</t>
  </si>
  <si>
    <t>SE-Site_Engineer-037-M2</t>
  </si>
  <si>
    <t>SE-Site_Engineer-041-M1</t>
  </si>
  <si>
    <t>SE-Site_Engineer-041-M2</t>
  </si>
  <si>
    <t>PE-Project_Engineer-072-M1</t>
  </si>
  <si>
    <t>PE-Project_Engineer-072-M2</t>
  </si>
  <si>
    <t>SE-Site_Engineer-062-M1</t>
  </si>
  <si>
    <t>SE-Site_Engineer-099-M1</t>
  </si>
  <si>
    <t>1091HG3728823-113</t>
  </si>
  <si>
    <t>SE-Site_Engineer-099-M2</t>
  </si>
  <si>
    <t>1091HG3728823-114</t>
  </si>
  <si>
    <t>PE-Project_Engineer-071-M6</t>
  </si>
  <si>
    <t>1091HG3728823-115</t>
  </si>
  <si>
    <t>QC-Quality_Control-013-M5</t>
  </si>
  <si>
    <t>1091HG3728823-116</t>
  </si>
  <si>
    <t>QC-Quality_Control-015-M5</t>
  </si>
  <si>
    <t>1091HG3728823-117</t>
  </si>
  <si>
    <t>DC-Document_Controller-001-M6</t>
  </si>
  <si>
    <t>1091HG3728823-118</t>
  </si>
  <si>
    <t>DC-Document_Controller-021-M5</t>
  </si>
  <si>
    <t>1091HG3728823-119</t>
  </si>
  <si>
    <t>SE-Site_Engineer-067-M3</t>
  </si>
  <si>
    <t>1091HG3728823-120</t>
  </si>
  <si>
    <t>PE-Project_Engineer-028-M4</t>
  </si>
  <si>
    <t>1091HG3728823-121</t>
  </si>
  <si>
    <t>DC-Document_Controller-029-M5</t>
  </si>
  <si>
    <t>1091HG3728823-122</t>
  </si>
  <si>
    <t>DC-Document_Controller-003-M6</t>
  </si>
  <si>
    <t>1091HG3728823-123</t>
  </si>
  <si>
    <t>PE-Project_Engineer-007-M6</t>
  </si>
  <si>
    <t>1091HG3728823-124</t>
  </si>
  <si>
    <t>DC-Document_Controller-048-M3</t>
  </si>
  <si>
    <t>1091HG3728823-125</t>
  </si>
  <si>
    <t>DC-Document_Controller-005-M6</t>
  </si>
  <si>
    <t>1091HG3728823-126</t>
  </si>
  <si>
    <t>PE-Project_Engineer-023-M5</t>
  </si>
  <si>
    <t>1091HG3728823-127</t>
  </si>
  <si>
    <t>QC-Quality_Control-003-M6</t>
  </si>
  <si>
    <t>1091HG3728823-128</t>
  </si>
  <si>
    <t>QC-Quality_Control-010-M4</t>
  </si>
  <si>
    <t>1091HG3728823-129</t>
  </si>
  <si>
    <t>DC-Document_Controller-058-M3</t>
  </si>
  <si>
    <t>1091HG3728823-130</t>
  </si>
  <si>
    <t>DC-Document_Controller-012-M6</t>
  </si>
  <si>
    <t>1091HG3728823-131</t>
  </si>
  <si>
    <t>QC-Quality_Control-008-M6</t>
  </si>
  <si>
    <t>1091HG3728823-132</t>
  </si>
  <si>
    <t>DC-Document_Controller-009-M6</t>
  </si>
  <si>
    <t>1091HG3728823-133</t>
  </si>
  <si>
    <t>PE-Project_Engineer-086-M1</t>
  </si>
  <si>
    <t>1091HG3728823-134</t>
  </si>
  <si>
    <t>DC-Document_Controller-034-M4</t>
  </si>
  <si>
    <t>1091HG3728823-135</t>
  </si>
  <si>
    <t>2026-08-03</t>
  </si>
  <si>
    <t>SE-Site_Engineer-018-M5</t>
  </si>
  <si>
    <t>1091HG3728823-136</t>
  </si>
  <si>
    <t>DC-Document_Controller-068</t>
  </si>
  <si>
    <t>DC-Document_Controller-068-M1</t>
  </si>
  <si>
    <t>SE-Site_Engineer-094-M2</t>
  </si>
  <si>
    <t>PE-Project_Engineer-073-M3</t>
  </si>
  <si>
    <t>SE-Site_Engineer-061-M3</t>
  </si>
  <si>
    <t>SE-Site_Engineer-094-M3</t>
  </si>
  <si>
    <t>PE-Project_Engineer-003-M6</t>
  </si>
  <si>
    <t>SE-Site_Engineer-095-M1</t>
  </si>
  <si>
    <t>SE-Site_Engineer-095-M2</t>
  </si>
  <si>
    <t>DC-Document_Controller-010-M6</t>
  </si>
  <si>
    <t>SE-Site_Engineer-094-M1</t>
  </si>
  <si>
    <t>PE-Project_Engineer-005-M6</t>
  </si>
  <si>
    <t>SE-Site_Engineer-005-M6</t>
  </si>
  <si>
    <t>DC-Document_Controller-011-M6</t>
  </si>
  <si>
    <t>PE-Project_Engineer-078-M3</t>
  </si>
  <si>
    <t>QC-Quality_Control-026-M3</t>
  </si>
  <si>
    <t>DC-Document_Controller-069-M1</t>
  </si>
  <si>
    <t>QC-Quality_Control-033-M4</t>
  </si>
  <si>
    <t>QC-Quality_Control-026-M4</t>
  </si>
  <si>
    <t>SE-Site_Engineer-043-M3</t>
  </si>
  <si>
    <t>DC-Document_Controller-054-M4</t>
  </si>
  <si>
    <t>DC-Document_Controller-004-M6</t>
  </si>
  <si>
    <t>PE-Project_Engineer-081-M3</t>
  </si>
  <si>
    <t>QC-Quality_Control-014-M6</t>
  </si>
  <si>
    <t>SE-Site_Engineer-015-M5</t>
  </si>
  <si>
    <t>SE-Site_Engineer-088-M1</t>
  </si>
  <si>
    <t>SE-Site_Engineer-088-M2</t>
  </si>
  <si>
    <t>SE-Site_Engineer-088-M3</t>
  </si>
  <si>
    <t>SE-Site_Engineer-085-M1</t>
  </si>
  <si>
    <t>SE-Site_Engineer-030-M4</t>
  </si>
  <si>
    <t>SE-Site_Engineer-085-M2</t>
  </si>
  <si>
    <t>SE-Site_Engineer-085-M3</t>
  </si>
  <si>
    <t>SE-Site_Engineer-088-M4</t>
  </si>
  <si>
    <t>QC-Quality_Control-033-M1</t>
  </si>
  <si>
    <t>SE-Site_Engineer-017-M5</t>
  </si>
  <si>
    <t>QC-Quality_Control-033-M2</t>
  </si>
  <si>
    <t>SE-Site_Engineer-095-M3</t>
  </si>
  <si>
    <t>SE-Site_Engineer-048-M3</t>
  </si>
  <si>
    <t>PE-Project_Engineer-084-M3</t>
  </si>
  <si>
    <t>SE-Site_Engineer-016-M5</t>
  </si>
  <si>
    <t>SE-Site_Engineer-028-M4</t>
  </si>
  <si>
    <t>DC-Document_Controller-062-M3</t>
  </si>
  <si>
    <t>DC-Document_Controller-039-M4</t>
  </si>
  <si>
    <t>SE-Site_Engineer-064-M3</t>
  </si>
  <si>
    <t>DC-Document_Controller-013-M6</t>
  </si>
  <si>
    <t>SE-Site_Engineer-054-M3</t>
  </si>
  <si>
    <t>DC-Document_Controller-016-M6</t>
  </si>
  <si>
    <t>QC-Quality_Control-033-M3</t>
  </si>
  <si>
    <t>DC-Document_Controller-026-M5</t>
  </si>
  <si>
    <t>1091HG3728823-137</t>
  </si>
  <si>
    <t>DC-Document_Controller-028-M5</t>
  </si>
  <si>
    <t>DC-Document_Controller-033-M5</t>
  </si>
  <si>
    <t>SE-Site_Engineer-068-M3</t>
  </si>
  <si>
    <t>SE-Site_Engineer-070-M3</t>
  </si>
  <si>
    <t>DC-Document_Controller-064-M1</t>
  </si>
  <si>
    <t>DC-Document_Controller-066-M1</t>
  </si>
  <si>
    <t>SE-Site_Engineer-087-M1</t>
  </si>
  <si>
    <t>SE-Site_Engineer-089-M1</t>
  </si>
  <si>
    <t>SE-Site_Engineer-090-M1</t>
  </si>
  <si>
    <t>PE-Project_Engineer-015-M5</t>
  </si>
  <si>
    <t>PE-Project_Engineer-017-M5</t>
  </si>
  <si>
    <t>PE-Project_Engineer-018-M5</t>
  </si>
  <si>
    <t>PE-Project_Engineer-021-M5</t>
  </si>
  <si>
    <t>PE-Project_Engineer-027-M5</t>
  </si>
  <si>
    <t>QC-Quality_Control-011-M5</t>
  </si>
  <si>
    <t>QC-Quality_Control-012-M5</t>
  </si>
  <si>
    <t>SE-Site_Engineer-092-M1</t>
  </si>
  <si>
    <t>SE-Site_Engineer-093-M1</t>
  </si>
  <si>
    <t>SE-Site_Engineer-096-M1</t>
  </si>
  <si>
    <t>DC-Document_Controller-064-M2</t>
  </si>
  <si>
    <t>DC-Document_Controller-066-M2</t>
  </si>
  <si>
    <t>SE-Site_Engineer-087-M2</t>
  </si>
  <si>
    <t>SE-Site_Engineer-089-M2</t>
  </si>
  <si>
    <t>QC-Quality_Control-020-M5</t>
  </si>
  <si>
    <t>SE-Site_Engineer-010-M5</t>
  </si>
  <si>
    <t>DC-Document_Controller-002-M6</t>
  </si>
  <si>
    <t>DC-Document_Controller-006-M6</t>
  </si>
  <si>
    <t>DC-Document_Controller-007-M6</t>
  </si>
  <si>
    <t>DC-Document_Controller-008-M6</t>
  </si>
  <si>
    <t>DC-Document_Controller-014-M6</t>
  </si>
  <si>
    <t>DC-Document_Controller-035-M4</t>
  </si>
  <si>
    <t>PE-Project_Engineer-026-M4</t>
  </si>
  <si>
    <t>DC-Document_Controller-023-M5</t>
  </si>
  <si>
    <t>PE-Project_Engineer-001-M6</t>
  </si>
  <si>
    <t>PE-Project_Engineer-004-M6</t>
  </si>
  <si>
    <t>PE-Project_Engineer-009-M6</t>
  </si>
  <si>
    <t>PE-Project_Engineer-010-M6</t>
  </si>
  <si>
    <t>QC-Quality_Control-001-M6</t>
  </si>
  <si>
    <t>QC-Quality_Control-002-M6</t>
  </si>
  <si>
    <t>QC-Quality_Control-004-M6</t>
  </si>
  <si>
    <t>QC-Quality_Control-005-M6</t>
  </si>
  <si>
    <t>QC-Quality_Control-006-M6</t>
  </si>
  <si>
    <t>QC-Quality_Control-007-M6</t>
  </si>
  <si>
    <t>SE-Site_Engineer-002-M6</t>
  </si>
  <si>
    <t>SE-Site_Engineer-003-M6</t>
  </si>
  <si>
    <t>SE-Site_Engineer-006-M6</t>
  </si>
  <si>
    <t>SE-Site_Engineer-019-M4</t>
  </si>
  <si>
    <t>DC-Document_Controller-025-M5</t>
  </si>
  <si>
    <t>SE-Site_Engineer-020-M4</t>
  </si>
  <si>
    <t>SE-Site_Engineer-021-M4</t>
  </si>
  <si>
    <t>SE-Site_Engineer-022-M4</t>
  </si>
  <si>
    <t>SE-Site_Engineer-023-M4</t>
  </si>
  <si>
    <t>SE-Site_Engineer-025-M2</t>
  </si>
  <si>
    <t>SE-Site_Engineer-090-M2</t>
  </si>
  <si>
    <t>SE-Site_Engineer-092-M2</t>
  </si>
  <si>
    <t>SE-Site_Engineer-093-M2</t>
  </si>
  <si>
    <t>SE-Site_Engineer-096-M2</t>
  </si>
  <si>
    <t>SE-Site_Engineer-087-M3</t>
  </si>
  <si>
    <t>DC-Document_Controller-065-M1</t>
  </si>
  <si>
    <t>DC-Document_Controller-065-M2</t>
  </si>
  <si>
    <t>payment qty in dashboard unmatch with capture</t>
  </si>
  <si>
    <t>SE-Site_Engineer-025-M3</t>
  </si>
  <si>
    <t>SE-Site_Engineer-025-M4</t>
  </si>
  <si>
    <t>SE-Site_Engineer-027-M2</t>
  </si>
  <si>
    <t>SE-Site_Engineer-027-M3</t>
  </si>
  <si>
    <t>SE-Site_Engineer-027-M4</t>
  </si>
  <si>
    <t>DC-Document_Controller-044-M4</t>
  </si>
  <si>
    <t>DC-Document_Controller-041-M3</t>
  </si>
  <si>
    <t>DC-Document_Controller-046-M3</t>
  </si>
  <si>
    <t>DC-Document_Controller-049-M3</t>
  </si>
  <si>
    <t>DC-Document_Controller-050-M3</t>
  </si>
  <si>
    <t>DC-Document_Controller-052-M3</t>
  </si>
  <si>
    <t>DC-Document_Controller-053-M3</t>
  </si>
  <si>
    <t>PE-Project_Engineer-041-M3</t>
  </si>
  <si>
    <t>PE-Project_Engineer-042-M3</t>
  </si>
  <si>
    <t>PE-Project_Engineer-044-M3</t>
  </si>
  <si>
    <t>PE-Project_Engineer-045-M3</t>
  </si>
  <si>
    <t>PE-Project_Engineer-055-M3</t>
  </si>
  <si>
    <t>QC-Quality_Control-023-M3</t>
  </si>
  <si>
    <t>PE-Project_Engineer-034-M3</t>
  </si>
  <si>
    <t>DC-Document_Controller-060-M2</t>
  </si>
  <si>
    <t>DC-Document_Controller-065-M3</t>
  </si>
  <si>
    <t>DC-Document_Controller-065-M4</t>
  </si>
  <si>
    <t>PE-Project_Engineer-059-M2</t>
  </si>
  <si>
    <t>PE-Project_Engineer-063-M2</t>
  </si>
  <si>
    <t>PE-Project_Engineer-065-M2</t>
  </si>
  <si>
    <t>PE-Project_Engineer-066-M2</t>
  </si>
  <si>
    <t>PE-Project_Engineer-067-M2</t>
  </si>
  <si>
    <t>PE-Project_Engineer-068-M2</t>
  </si>
  <si>
    <t>PE-Project_Engineer-069-M2</t>
  </si>
  <si>
    <t>DC-Document_Controller-065-M5</t>
  </si>
  <si>
    <t>DC-Document_Controller-065-M6</t>
  </si>
  <si>
    <t>DC-Document_Controller-071-M1</t>
  </si>
  <si>
    <t>DC-Document_Controller-047-M3</t>
  </si>
  <si>
    <t>Buana Selatan 3G</t>
  </si>
  <si>
    <t>PE-Project_Engineer-058-M2</t>
  </si>
  <si>
    <t>QC-Quality_Control-037-M1</t>
  </si>
  <si>
    <t>PE-Project_Engineer-002-M6</t>
  </si>
  <si>
    <t>KONTRUKSI PT KAN</t>
  </si>
  <si>
    <t>PE-Project_Engineer-074-M2</t>
  </si>
  <si>
    <t>PE-Project_Engineer-082-M2</t>
  </si>
  <si>
    <t>SE-Site_Engineer-071-M2</t>
  </si>
  <si>
    <t>DC-Document_Controller-061-M3</t>
  </si>
  <si>
    <t>SE-Site_Engineer-033-M3</t>
  </si>
  <si>
    <t>SE-Site_Engineer-034-M3</t>
  </si>
  <si>
    <t>SE-Site_Engineer-035-M3</t>
  </si>
  <si>
    <t>SE-Site_Engineer-098-M1</t>
  </si>
  <si>
    <t>SE-Site_Engineer-098-M2</t>
  </si>
  <si>
    <t>DC-Document_Controller-045-M3</t>
  </si>
  <si>
    <t>DC-Document_Controller-051-M3</t>
  </si>
  <si>
    <t>PE-Project_Engineer-038-M3</t>
  </si>
  <si>
    <t>PE-Project_Engineer-039-M3</t>
  </si>
  <si>
    <t>DC-Document_Controller-059-M2</t>
  </si>
  <si>
    <t>SE-Site_Engineer-038-M3</t>
  </si>
  <si>
    <t>SE-Site_Engineer-042-M3</t>
  </si>
  <si>
    <t>SE-Site_Engineer-045-M3</t>
  </si>
  <si>
    <t>SE-Site_Engineer-046-M3</t>
  </si>
  <si>
    <t>SE-Site_Engineer-047-M3</t>
  </si>
  <si>
    <t>SE-Site_Engineer-049-M3</t>
  </si>
  <si>
    <t>SE-Site_Engineer-053-M3</t>
  </si>
  <si>
    <t>PE-Project_Engineer-060-M2</t>
  </si>
  <si>
    <t>PE-Project_Engineer-083-M2</t>
  </si>
  <si>
    <t>QC-Quality_Control-027-M2</t>
  </si>
  <si>
    <t>PE-Project_Engineer-040-M3</t>
  </si>
  <si>
    <t>RONGGA CIBEDUG</t>
  </si>
  <si>
    <t>SE-Site_Engineer-055-M3</t>
  </si>
  <si>
    <t>SE-Site_Engineer-056-M3</t>
  </si>
  <si>
    <t>SE-Site_Engineer-058-M3</t>
  </si>
  <si>
    <t>SE-Site_Engineer-059-M3</t>
  </si>
  <si>
    <t>SE-Site_Engineer-060-M3</t>
  </si>
  <si>
    <t>SE-Site_Engineer-063-M3</t>
  </si>
  <si>
    <t>SE-Site_Engineer-065-M3</t>
  </si>
  <si>
    <t>QC-Quality_Control-028-M1</t>
  </si>
  <si>
    <t>1091HG3728823-138</t>
  </si>
  <si>
    <t>2026-08-04</t>
  </si>
  <si>
    <t>QC-Quality_Control-028-M2</t>
  </si>
  <si>
    <t>1091HG3728823-139</t>
  </si>
  <si>
    <t>PE-Project_Engineer-006-M6</t>
  </si>
  <si>
    <t>1091HG3728823-140</t>
  </si>
  <si>
    <t>SE-014</t>
  </si>
  <si>
    <t>PE-Project_Engineer-077-M2</t>
  </si>
  <si>
    <t>1091HG3728823-141</t>
  </si>
  <si>
    <t>2026-08-05</t>
  </si>
  <si>
    <t>SE-013</t>
  </si>
  <si>
    <t>PE-Project_Engineer-076-M3</t>
  </si>
  <si>
    <t>PE-Project_Engineer-077-M3</t>
  </si>
  <si>
    <t>PE-Project_Engineer-076-M4</t>
  </si>
  <si>
    <t>PE-Project_Engineer-077-M4</t>
  </si>
  <si>
    <t>QC-Quality_Control-030-M2</t>
  </si>
  <si>
    <t>PE-Project_Engineer-056-M3</t>
  </si>
  <si>
    <t>PE-Project_Engineer-076-M5</t>
  </si>
  <si>
    <t>PE-Project_Engineer-077-M5</t>
  </si>
  <si>
    <t>DC-Document_Controller-032-M1</t>
  </si>
  <si>
    <t>PE-Project_Engineer-085-M1</t>
  </si>
  <si>
    <t>SSO-KUT-KPU-NIUT-2026-08-04513</t>
  </si>
  <si>
    <t>385/INV/KUT-PST/VIII/2026</t>
  </si>
  <si>
    <t>PE-Project_Engineer-085-M2</t>
  </si>
  <si>
    <t>PE-Project_Engineer-085-M3</t>
  </si>
  <si>
    <t>PE-Project_Engineer-085-M4</t>
  </si>
  <si>
    <t>PE-Project_Engineer-085-M5</t>
  </si>
  <si>
    <t>PE-Project_Engineer-085-M6</t>
  </si>
  <si>
    <t>PE-Project_Engineer-056-M1</t>
  </si>
  <si>
    <t>PE-Project_Engineer-077-M1</t>
  </si>
  <si>
    <t>SSO-KUT-KPU-NIUT-2026-08-04229</t>
  </si>
  <si>
    <t>366/INV/KUT-PST/VIII/2026</t>
  </si>
  <si>
    <t>QC-Quality_Control-030-M1</t>
  </si>
  <si>
    <t>PE-Project_Engineer-056-M2</t>
  </si>
  <si>
    <t>PE-Project_Engineer-076-M2</t>
  </si>
  <si>
    <t>200003133468020</t>
  </si>
  <si>
    <t>109120260805002233</t>
  </si>
  <si>
    <t>1091HG3728823-142</t>
  </si>
  <si>
    <t>8828132633</t>
  </si>
  <si>
    <t>200003186627020</t>
  </si>
  <si>
    <t>109120260805002234</t>
  </si>
  <si>
    <t>1091HG3728823-143</t>
  </si>
  <si>
    <t>200003133483020</t>
  </si>
  <si>
    <t>109120260805002331</t>
  </si>
  <si>
    <t>1091HG3728823-144</t>
  </si>
  <si>
    <t>200003186617020</t>
  </si>
  <si>
    <t>109120260805002147</t>
  </si>
  <si>
    <t>1091HG3728823-145</t>
  </si>
  <si>
    <t>200003133482020</t>
  </si>
  <si>
    <t>109120260805002235</t>
  </si>
  <si>
    <t>1091HG3728823-146</t>
  </si>
  <si>
    <t>200003133486020</t>
  </si>
  <si>
    <t>109120260805002418</t>
  </si>
  <si>
    <t>1091HG3728823-147</t>
  </si>
  <si>
    <t>200003133469020</t>
  </si>
  <si>
    <t>109120260805002148</t>
  </si>
  <si>
    <t>1091HG3728823-148</t>
  </si>
  <si>
    <t>200003133484020</t>
  </si>
  <si>
    <t>109120260805002419</t>
  </si>
  <si>
    <t>1091HG3728823-149</t>
  </si>
  <si>
    <t>200003133485020</t>
  </si>
  <si>
    <t>109120260805002077</t>
  </si>
  <si>
    <t>1091HG3728823-150</t>
  </si>
  <si>
    <t>PE-Project_Engineer-019-M6</t>
  </si>
  <si>
    <t>200003233904020</t>
  </si>
  <si>
    <t>109120260804003149</t>
  </si>
  <si>
    <t>1091HG3728823-151</t>
  </si>
  <si>
    <t>8828132635</t>
  </si>
  <si>
    <t>2026-08-06</t>
  </si>
  <si>
    <t>SE-Site_Engineer-029-M4</t>
  </si>
  <si>
    <t>200003233905020</t>
  </si>
  <si>
    <t>8828132634</t>
  </si>
  <si>
    <t>SE-Site_Engineer-097-M3</t>
  </si>
  <si>
    <t>200003233959020</t>
  </si>
  <si>
    <t>PE-Project_Engineer-035-M4</t>
  </si>
  <si>
    <t>200003225881020</t>
  </si>
  <si>
    <t>PE-Project_Engineer-016-M6</t>
  </si>
  <si>
    <t>200003233898020</t>
  </si>
  <si>
    <t>PE-Project_Engineer-020-M6</t>
  </si>
  <si>
    <t>200003225891020</t>
  </si>
  <si>
    <t>DC-Document_Controller-018-M6</t>
  </si>
  <si>
    <t>200003225882020</t>
  </si>
  <si>
    <t>PE-Project_Engineer-036-M4</t>
  </si>
  <si>
    <t>200003225887020</t>
  </si>
  <si>
    <t>DC-Document_Controller-015-M6</t>
  </si>
  <si>
    <t>200003233909020</t>
  </si>
  <si>
    <t>SE-Site_Engineer-091-M2</t>
  </si>
  <si>
    <t>200003233949020</t>
  </si>
  <si>
    <t>DC-Document_Controller-017-M6</t>
  </si>
  <si>
    <t>200003233900020</t>
  </si>
  <si>
    <t>SE-Site_Engineer-086-M1</t>
  </si>
  <si>
    <t>200003233940020</t>
  </si>
  <si>
    <t>QC-Quality_Control-016-M6</t>
  </si>
  <si>
    <t>200003225897020</t>
  </si>
  <si>
    <t>8828132636</t>
  </si>
  <si>
    <t>SE-Site_Engineer-086-M2</t>
  </si>
  <si>
    <t>200003233941020</t>
  </si>
  <si>
    <t>SE-Site_Engineer-057-M3</t>
  </si>
  <si>
    <t>200003233926020</t>
  </si>
  <si>
    <t>SE-Site_Engineer-041-M3</t>
  </si>
  <si>
    <t>200003233929020</t>
  </si>
  <si>
    <t>PE-Project_Engineer-072-M3</t>
  </si>
  <si>
    <t>200003233930020</t>
  </si>
  <si>
    <t>SE-Site_Engineer-062-M3</t>
  </si>
  <si>
    <t>200003233931020</t>
  </si>
  <si>
    <t>SE-Site_Engineer-039-M3</t>
  </si>
  <si>
    <t>200003233927020</t>
  </si>
  <si>
    <t>SE-Site_Engineer-037-M3</t>
  </si>
  <si>
    <t>200003233928020</t>
  </si>
  <si>
    <t>SE-Site_Engineer-091-M1</t>
  </si>
  <si>
    <t>200003233948020</t>
  </si>
  <si>
    <t>SE-Site_Engineer-097-M1</t>
  </si>
  <si>
    <t>200003233957020</t>
  </si>
  <si>
    <t>PE-Project_Engineer-052-M4</t>
  </si>
  <si>
    <t>200003233902020</t>
  </si>
  <si>
    <t>SE-Site_Engineer-097-M2</t>
  </si>
  <si>
    <t>200003233958020</t>
  </si>
  <si>
    <t>SE-Site_Engineer-086-M3</t>
  </si>
  <si>
    <t>200003233942020</t>
  </si>
  <si>
    <t>DC-Document_Controller-024-M6</t>
  </si>
  <si>
    <t>200003225884020</t>
  </si>
  <si>
    <t>SE-Site_Engineer-031-M4</t>
  </si>
  <si>
    <t>200003233910020</t>
  </si>
  <si>
    <t>SE-Site_Engineer-091-M3</t>
  </si>
  <si>
    <t>200003233950020</t>
  </si>
  <si>
    <t>DC-Document_Controller-030-M6</t>
  </si>
  <si>
    <t>200003233913020</t>
  </si>
  <si>
    <t>SE-Site_Engineer-086-M4</t>
  </si>
  <si>
    <t>200003233943020</t>
  </si>
  <si>
    <t>SE-Site_Engineer-066-M3</t>
  </si>
  <si>
    <t>200003233923020</t>
  </si>
  <si>
    <t>PE-Project_Engineer-014-M6</t>
  </si>
  <si>
    <t>200003233899020</t>
  </si>
  <si>
    <t>SE-Site_Engineer-036-M3</t>
  </si>
  <si>
    <t>200003233932020</t>
  </si>
  <si>
    <t>200003133494020</t>
  </si>
  <si>
    <t>109120260805006196</t>
  </si>
  <si>
    <t>1091HG3728823-152</t>
  </si>
  <si>
    <t>200003133495020</t>
  </si>
  <si>
    <t>109120260805006197</t>
  </si>
  <si>
    <t>1091HG3728823-153</t>
  </si>
  <si>
    <t>200003133489020</t>
  </si>
  <si>
    <t>109120260805006369</t>
  </si>
  <si>
    <t>1091HG3728823-154</t>
  </si>
  <si>
    <t>200003186629020</t>
  </si>
  <si>
    <t>109120260805006277</t>
  </si>
  <si>
    <t>1091HG3728823-155</t>
  </si>
  <si>
    <t>200003133479020</t>
  </si>
  <si>
    <t>109120260805006370</t>
  </si>
  <si>
    <t>1091HG3728823-156</t>
  </si>
  <si>
    <t>200003133472020</t>
  </si>
  <si>
    <t>109120260805006198</t>
  </si>
  <si>
    <t>1091HG3728823-157</t>
  </si>
  <si>
    <t>200003133478020</t>
  </si>
  <si>
    <t>109120260805006199</t>
  </si>
  <si>
    <t>1091HG3728823-158</t>
  </si>
  <si>
    <t>200003186637020</t>
  </si>
  <si>
    <t>109120260805006371</t>
  </si>
  <si>
    <t>1091HG3728823-159</t>
  </si>
  <si>
    <t>200003133458020</t>
  </si>
  <si>
    <t>109120260805006278</t>
  </si>
  <si>
    <t>1091HG3728823-160</t>
  </si>
  <si>
    <t>200003225877020</t>
  </si>
  <si>
    <t>109120260805006200</t>
  </si>
  <si>
    <t>1091HG3728823-161</t>
  </si>
  <si>
    <t>200003133454020</t>
  </si>
  <si>
    <t>109120260805006372</t>
  </si>
  <si>
    <t>1091HG3728823-162</t>
  </si>
  <si>
    <t>200003225875020</t>
  </si>
  <si>
    <t>109120260805006279</t>
  </si>
  <si>
    <t>1091HG3728823-163</t>
  </si>
  <si>
    <t>200003225876020</t>
  </si>
  <si>
    <t>109120260805006401</t>
  </si>
  <si>
    <t>1091HG3728823-164</t>
  </si>
  <si>
    <t>PE-Project_Engineer-047-M3</t>
  </si>
  <si>
    <t>CIPATAT_SUMUR_BANDUNG</t>
  </si>
  <si>
    <t>200003238327020</t>
  </si>
  <si>
    <t>109120260806003424</t>
  </si>
  <si>
    <t>1091HG3728823-165</t>
  </si>
  <si>
    <t>2026-08-07</t>
  </si>
  <si>
    <t>PE-Project_Engineer-047-M4</t>
  </si>
  <si>
    <t>200003238328020</t>
  </si>
  <si>
    <t>QC-Quality_Control-017-M4</t>
  </si>
  <si>
    <t>200003233273020</t>
  </si>
  <si>
    <t>109120260817001597</t>
  </si>
  <si>
    <t>1091HG3728823-166</t>
  </si>
  <si>
    <t>2026-08-18</t>
  </si>
  <si>
    <t>QC-Quality_Control-018-M4</t>
  </si>
  <si>
    <t>200003233274020</t>
  </si>
  <si>
    <t>QC-Quality_Control-029-M4</t>
  </si>
  <si>
    <t>200003233275020</t>
  </si>
  <si>
    <t>QC-Quality_Control-036-M1</t>
  </si>
  <si>
    <t>200003254973020</t>
  </si>
  <si>
    <t>109120260818000974</t>
  </si>
  <si>
    <t>1091HG3728823-170</t>
  </si>
  <si>
    <t>2026-08-21</t>
  </si>
  <si>
    <t>QC-Quality_Control-032-M1</t>
  </si>
  <si>
    <t>200003246404020</t>
  </si>
  <si>
    <t>109120260818001127</t>
  </si>
  <si>
    <t>1091HG3728823-167</t>
  </si>
  <si>
    <t>DC-Document_Controller-067-M2</t>
  </si>
  <si>
    <t>200003250543020</t>
  </si>
  <si>
    <t>109120260818001129</t>
  </si>
  <si>
    <t>1091HG3728823-169</t>
  </si>
  <si>
    <t xml:space="preserve"> </t>
  </si>
  <si>
    <t>QC-Quality_Control-036-M2</t>
  </si>
  <si>
    <t>200003248246020</t>
  </si>
  <si>
    <t>109120260818001128</t>
  </si>
  <si>
    <t>1091HG3728823-168</t>
  </si>
  <si>
    <t>QC-Quality_Control-032-M2</t>
  </si>
  <si>
    <t>200003253971020</t>
  </si>
  <si>
    <t>109120260818001033</t>
  </si>
  <si>
    <t>1091HG3728823-171</t>
  </si>
  <si>
    <t>DC-Document_Controller-067-M1</t>
  </si>
  <si>
    <t>200003250542020</t>
  </si>
  <si>
    <t>109120260818001032</t>
  </si>
  <si>
    <t>1091HG3728823-172</t>
  </si>
  <si>
    <t>SE-Site_Engineer-069-M1</t>
  </si>
  <si>
    <t>200003244911020</t>
  </si>
  <si>
    <t>109120260820001181</t>
  </si>
  <si>
    <t>1091HG3728823-173</t>
  </si>
  <si>
    <t>SE-Site_Engineer-069-M2</t>
  </si>
  <si>
    <t>200003244914020</t>
  </si>
  <si>
    <t>SE-Site_Engineer-069-M3</t>
  </si>
  <si>
    <t>200003244917020</t>
  </si>
  <si>
    <t>DC-Document_Controller-022-M4</t>
  </si>
  <si>
    <t>200003149289020</t>
  </si>
  <si>
    <t>109120260826000992</t>
  </si>
  <si>
    <t>1091HG3728823-174</t>
  </si>
  <si>
    <t>2026-08-27</t>
  </si>
  <si>
    <t>DC-Document_Controller-022-M5</t>
  </si>
  <si>
    <t>200003149298020</t>
  </si>
  <si>
    <t>DC-Document_Controller-022-M6</t>
  </si>
  <si>
    <t>200003149307020</t>
  </si>
  <si>
    <t>DC-Document_Controller-036-M4</t>
  </si>
  <si>
    <t>200003149290020</t>
  </si>
  <si>
    <t>DC-Document_Controller-036-M5</t>
  </si>
  <si>
    <t>200003149299020</t>
  </si>
  <si>
    <t>DC-Document_Controller-036-M6</t>
  </si>
  <si>
    <t>200003149308020</t>
  </si>
  <si>
    <t>PE-Project_Engineer-025-M4</t>
  </si>
  <si>
    <t>200003149292020</t>
  </si>
  <si>
    <t>PE-Project_Engineer-025-M5</t>
  </si>
  <si>
    <t>200003149301020</t>
  </si>
  <si>
    <t>PE-Project_Engineer-025-M6</t>
  </si>
  <si>
    <t>200003149310020</t>
  </si>
  <si>
    <t>PE-Project_Engineer-030-M4</t>
  </si>
  <si>
    <t>200003149293020</t>
  </si>
  <si>
    <t>PE-Project_Engineer-030-M5</t>
  </si>
  <si>
    <t>200003149302020</t>
  </si>
  <si>
    <t>PE-Project_Engineer-030-M6</t>
  </si>
  <si>
    <t>200003149311020</t>
  </si>
  <si>
    <t>PE-Project_Engineer-033-M4</t>
  </si>
  <si>
    <t>200003149296020</t>
  </si>
  <si>
    <t>PE-Project_Engineer-033-M5</t>
  </si>
  <si>
    <t>200003149305020</t>
  </si>
  <si>
    <t>PE-Project_Engineer-033-M6</t>
  </si>
  <si>
    <t>200003149314020</t>
  </si>
  <si>
    <t>PE-Project_Engineer-048-M1</t>
  </si>
  <si>
    <t>200003244903020</t>
  </si>
  <si>
    <t>PE-Project_Engineer-048-M2</t>
  </si>
  <si>
    <t>200003244904020</t>
  </si>
  <si>
    <t>PE-Project_Engineer-048-M3</t>
  </si>
  <si>
    <t>200003244905020</t>
  </si>
  <si>
    <t>PE-Project_Engineer-048-M4</t>
  </si>
  <si>
    <t>200003244906020</t>
  </si>
  <si>
    <t>PE-Project_Engineer-048-M5</t>
  </si>
  <si>
    <t>200003244907020</t>
  </si>
  <si>
    <t>PE-Project_Engineer-048-M6</t>
  </si>
  <si>
    <t>200003244908020</t>
  </si>
  <si>
    <t>SE-Site_Engineer-069-M4</t>
  </si>
  <si>
    <t>200003244920020</t>
  </si>
  <si>
    <t>SE-Site_Engineer-069-M5</t>
  </si>
  <si>
    <t>200003244923020</t>
  </si>
  <si>
    <t>SE-Site_Engineer-069-M6</t>
  </si>
  <si>
    <t>200003244926020</t>
  </si>
  <si>
    <t>QC-Quality_Control-013-M6</t>
  </si>
  <si>
    <t>200003133497020</t>
  </si>
  <si>
    <t>109120260827000858</t>
  </si>
  <si>
    <t>1091HG3728823-175</t>
  </si>
  <si>
    <t>DC-Document_Controller-021-M6</t>
  </si>
  <si>
    <t>200003133487020</t>
  </si>
  <si>
    <t>109120260827001452</t>
  </si>
  <si>
    <t>1091HG3728823-176</t>
  </si>
  <si>
    <t>SE-Site_Engineer-099-M3</t>
  </si>
  <si>
    <t>200003284521020</t>
  </si>
  <si>
    <t>109120260827001353</t>
  </si>
  <si>
    <t>1091HG3728823-177</t>
  </si>
  <si>
    <t>DC-Document_Controller-058-M4</t>
  </si>
  <si>
    <t>200003186630020</t>
  </si>
  <si>
    <t>109120260827001159</t>
  </si>
  <si>
    <t>1091HG3728823-178</t>
  </si>
  <si>
    <t>PE-Project_Engineer-028-M5</t>
  </si>
  <si>
    <t>200003133473020</t>
  </si>
  <si>
    <t>109120260827001453</t>
  </si>
  <si>
    <t>1091HG3728823-179</t>
  </si>
  <si>
    <t>PE-Project_Engineer-086-M2</t>
  </si>
  <si>
    <t>200003284517020</t>
  </si>
  <si>
    <t>109120260827001059</t>
  </si>
  <si>
    <t>1091HG3728823-180</t>
  </si>
  <si>
    <t>DC-Document_Controller-048-M4</t>
  </si>
  <si>
    <t>200003186618020</t>
  </si>
  <si>
    <t>109120260827000859</t>
  </si>
  <si>
    <t>1091HG3728823-181</t>
  </si>
  <si>
    <t>QC-Quality_Control-015-M6</t>
  </si>
  <si>
    <t>200003133498020</t>
  </si>
  <si>
    <t>109120260827000958</t>
  </si>
  <si>
    <t>1091HG3728823-182</t>
  </si>
  <si>
    <t>DC-Document_Controller-029-M6</t>
  </si>
  <si>
    <t>200003133488020</t>
  </si>
  <si>
    <t>109120260827001160</t>
  </si>
  <si>
    <t>1091HG3728823-183</t>
  </si>
  <si>
    <t>PE-Project_Engineer-013-M6</t>
  </si>
  <si>
    <t>200003133490020</t>
  </si>
  <si>
    <t>109120260827001060</t>
  </si>
  <si>
    <t>1091HG3728823-184</t>
  </si>
  <si>
    <t>PE-Project_Engineer-023-M6</t>
  </si>
  <si>
    <t>200003133491020</t>
  </si>
  <si>
    <t>109120260827001454</t>
  </si>
  <si>
    <t>1091HG3728823-185</t>
  </si>
  <si>
    <t>DC-Document_Controller-035-M5</t>
  </si>
  <si>
    <t>200003135946020</t>
  </si>
  <si>
    <t>109120260827001276</t>
  </si>
  <si>
    <t>1091HG3728823-186</t>
  </si>
  <si>
    <t>2026-08-28</t>
  </si>
  <si>
    <t>PE-Project_Engineer-026-M5</t>
  </si>
  <si>
    <t>200003135955020</t>
  </si>
  <si>
    <t>DC-Document_Controller-023-M6</t>
  </si>
  <si>
    <t>200003135976020</t>
  </si>
  <si>
    <t>DC-Document_Controller-025-M6</t>
  </si>
  <si>
    <t>200003135977020</t>
  </si>
  <si>
    <t>DC-Document_Controller-026-M6</t>
  </si>
  <si>
    <t>200003135978020</t>
  </si>
  <si>
    <t>DC-Document_Controller-028-M6</t>
  </si>
  <si>
    <t>200003135979020</t>
  </si>
  <si>
    <t>DC-Document_Controller-033-M6</t>
  </si>
  <si>
    <t>200003135980020</t>
  </si>
  <si>
    <t>PE-Project_Engineer-015-M6</t>
  </si>
  <si>
    <t>200003135986020</t>
  </si>
  <si>
    <t>PE-Project_Engineer-017-M6</t>
  </si>
  <si>
    <t>200003135987020</t>
  </si>
  <si>
    <t>PE-Project_Engineer-018-M6</t>
  </si>
  <si>
    <t>200003135988020</t>
  </si>
  <si>
    <t>PE-Project_Engineer-021-M6</t>
  </si>
  <si>
    <t>200003135989020</t>
  </si>
  <si>
    <t>PE-Project_Engineer-027-M6</t>
  </si>
  <si>
    <t>200003135991020</t>
  </si>
  <si>
    <t>QC-Quality_Control-011-M6</t>
  </si>
  <si>
    <t>200003135998020</t>
  </si>
  <si>
    <t>QC-Quality_Control-012-M6</t>
  </si>
  <si>
    <t>200003135999020</t>
  </si>
  <si>
    <t>QC-Quality_Control-020-M6</t>
  </si>
  <si>
    <t>200003136000020</t>
  </si>
  <si>
    <t>SE-Site_Engineer-007-M6</t>
  </si>
  <si>
    <t>200003136004020</t>
  </si>
  <si>
    <t>SE-Site_Engineer-010-M6</t>
  </si>
  <si>
    <t>200003136005020</t>
  </si>
  <si>
    <t>SE-Site_Engineer-019-M5</t>
  </si>
  <si>
    <t>200003229893020</t>
  </si>
  <si>
    <t>SE-Site_Engineer-020-M5</t>
  </si>
  <si>
    <t>200003229897020</t>
  </si>
  <si>
    <t>SE-Site_Engineer-021-M5</t>
  </si>
  <si>
    <t>200003232901020</t>
  </si>
  <si>
    <t>SE-Site_Engineer-022-M5</t>
  </si>
  <si>
    <t>200003232905020</t>
  </si>
  <si>
    <t>SE-Site_Engineer-023-M5</t>
  </si>
  <si>
    <t>200003232909020</t>
  </si>
  <si>
    <t>SE-Site_Engineer-025-M5</t>
  </si>
  <si>
    <t>200003232915020</t>
  </si>
  <si>
    <t>SE-Site_Engineer-027-M5</t>
  </si>
  <si>
    <t>200003232921020</t>
  </si>
  <si>
    <t>DC-Document_Controller-044-M5</t>
  </si>
  <si>
    <t>200003232924020</t>
  </si>
  <si>
    <t>DC-Document_Controller-041-M4</t>
  </si>
  <si>
    <t>200003232927020</t>
  </si>
  <si>
    <t>DC-Document_Controller-046-M4</t>
  </si>
  <si>
    <t>200003232931020</t>
  </si>
  <si>
    <t>DC-Document_Controller-049-M4</t>
  </si>
  <si>
    <t>200003232935020</t>
  </si>
  <si>
    <t>DC-Document_Controller-050-M4</t>
  </si>
  <si>
    <t>200003232939020</t>
  </si>
  <si>
    <t>DC-Document_Controller-052-M4</t>
  </si>
  <si>
    <t>200003232943020</t>
  </si>
  <si>
    <t>DC-Document_Controller-053-M4</t>
  </si>
  <si>
    <t>200003232947020</t>
  </si>
  <si>
    <t>PE-Project_Engineer-041-M4</t>
  </si>
  <si>
    <t>200003232951020</t>
  </si>
  <si>
    <t>PE-Project_Engineer-042-M4</t>
  </si>
  <si>
    <t>200003232955020</t>
  </si>
  <si>
    <t>PE-Project_Engineer-044-M4</t>
  </si>
  <si>
    <t>200003232959020</t>
  </si>
  <si>
    <t>PE-Project_Engineer-045-M4</t>
  </si>
  <si>
    <t>200003232963020</t>
  </si>
  <si>
    <t>PE-Project_Engineer-055-M4</t>
  </si>
  <si>
    <t>200003232967020</t>
  </si>
  <si>
    <t>QC-Quality_Control-023-M4</t>
  </si>
  <si>
    <t>200003232971020</t>
  </si>
  <si>
    <t>PE-Project_Engineer-034-M4</t>
  </si>
  <si>
    <t>200003232975020</t>
  </si>
  <si>
    <t>DC-Document_Controller-060-M3</t>
  </si>
  <si>
    <t>200003232997020</t>
  </si>
  <si>
    <t>PE-Project_Engineer-059-M3</t>
  </si>
  <si>
    <t>200003233000020</t>
  </si>
  <si>
    <t>PE-Project_Engineer-063-M3</t>
  </si>
  <si>
    <t>200003233001020</t>
  </si>
  <si>
    <t>PE-Project_Engineer-065-M3</t>
  </si>
  <si>
    <t>200003233002020</t>
  </si>
  <si>
    <t>PE-Project_Engineer-066-M3</t>
  </si>
  <si>
    <t>200003233003020</t>
  </si>
  <si>
    <t>PE-Project_Engineer-067-M3</t>
  </si>
  <si>
    <t>200003233004020</t>
  </si>
  <si>
    <t>PE-Project_Engineer-068-M3</t>
  </si>
  <si>
    <t>200003233005020</t>
  </si>
  <si>
    <t>PE-Project_Engineer-069-M3</t>
  </si>
  <si>
    <t>200003233006020</t>
  </si>
  <si>
    <t>PE-Project_Engineer-074-M3</t>
  </si>
  <si>
    <t>200003233007020</t>
  </si>
  <si>
    <t>PE-Project_Engineer-082-M3</t>
  </si>
  <si>
    <t>200003233010020</t>
  </si>
  <si>
    <t>SE-Site_Engineer-071-M3</t>
  </si>
  <si>
    <t>200003233031020</t>
  </si>
  <si>
    <t>DC-Document_Controller-061-M4</t>
  </si>
  <si>
    <t>200003233033020</t>
  </si>
  <si>
    <t>SE-Site_Engineer-033-M4</t>
  </si>
  <si>
    <t>200003233047020</t>
  </si>
  <si>
    <t>SE-Site_Engineer-034-M4</t>
  </si>
  <si>
    <t>200003233048020</t>
  </si>
  <si>
    <t>SE-Site_Engineer-035-M4</t>
  </si>
  <si>
    <t>200003233049020</t>
  </si>
  <si>
    <t>SE-Site_Engineer-038-M4</t>
  </si>
  <si>
    <t>200003233050020</t>
  </si>
  <si>
    <t>SE-Site_Engineer-042-M4</t>
  </si>
  <si>
    <t>200003233051020</t>
  </si>
  <si>
    <t>SE-Site_Engineer-045-M4</t>
  </si>
  <si>
    <t>200003233052020</t>
  </si>
  <si>
    <t>SE-Site_Engineer-046-M4</t>
  </si>
  <si>
    <t>200003233053020</t>
  </si>
  <si>
    <t>SE-Site_Engineer-047-M4</t>
  </si>
  <si>
    <t>200003233054020</t>
  </si>
  <si>
    <t>SE-Site_Engineer-049-M4</t>
  </si>
  <si>
    <t>200003233055020</t>
  </si>
  <si>
    <t>SE-Site_Engineer-053-M4</t>
  </si>
  <si>
    <t>200003233056020</t>
  </si>
  <si>
    <t>SE-Site_Engineer-055-M4</t>
  </si>
  <si>
    <t>200003233057020</t>
  </si>
  <si>
    <t>SE-Site_Engineer-056-M4</t>
  </si>
  <si>
    <t>200003233058020</t>
  </si>
  <si>
    <t>SE-Site_Engineer-058-M4</t>
  </si>
  <si>
    <t>200003233059020</t>
  </si>
  <si>
    <t>SE-Site_Engineer-059-M4</t>
  </si>
  <si>
    <t>200003233060020</t>
  </si>
  <si>
    <t>SE-Site_Engineer-060-M4</t>
  </si>
  <si>
    <t>200003233061020</t>
  </si>
  <si>
    <t>SE-Site_Engineer-063-M4</t>
  </si>
  <si>
    <t>200003233062020</t>
  </si>
  <si>
    <t>SE-Site_Engineer-065-M4</t>
  </si>
  <si>
    <t>200003233063020</t>
  </si>
  <si>
    <t>DC-Document_Controller-064-M3</t>
  </si>
  <si>
    <t>200003233159020</t>
  </si>
  <si>
    <t>DC-Document_Controller-066-M3</t>
  </si>
  <si>
    <t>200003233160020</t>
  </si>
  <si>
    <t>SE-Site_Engineer-089-M3</t>
  </si>
  <si>
    <t>200003233162020</t>
  </si>
  <si>
    <t>SE-Site_Engineer-090-M3</t>
  </si>
  <si>
    <t>200003233163020</t>
  </si>
  <si>
    <t>SE-Site_Engineer-092-M3</t>
  </si>
  <si>
    <t>200003233164020</t>
  </si>
  <si>
    <t>SE-Site_Engineer-093-M3</t>
  </si>
  <si>
    <t>200003233165020</t>
  </si>
  <si>
    <t>SE-Site_Engineer-096-M3</t>
  </si>
  <si>
    <t>200003233166020</t>
  </si>
  <si>
    <t>DC-Document_Controller-047-M4</t>
  </si>
  <si>
    <t>200003233214020</t>
  </si>
  <si>
    <t>PE-Project_Engineer-058-M3</t>
  </si>
  <si>
    <t>200003233218020</t>
  </si>
  <si>
    <t>SE-Site_Engineer-098-M3</t>
  </si>
  <si>
    <t>200003233226020</t>
  </si>
  <si>
    <t>DC-Document_Controller-045-M4</t>
  </si>
  <si>
    <t>200003233231020</t>
  </si>
  <si>
    <t>DC-Document_Controller-051-M4</t>
  </si>
  <si>
    <t>200003233235020</t>
  </si>
  <si>
    <t>PE-Project_Engineer-038-M4</t>
  </si>
  <si>
    <t>200003233239020</t>
  </si>
  <si>
    <t>PE-Project_Engineer-039-M4</t>
  </si>
  <si>
    <t>200003233243020</t>
  </si>
  <si>
    <t>DC-Document_Controller-059-M3</t>
  </si>
  <si>
    <t>200003233250020</t>
  </si>
  <si>
    <t>PE-Project_Engineer-060-M3</t>
  </si>
  <si>
    <t>200003233251020</t>
  </si>
  <si>
    <t>PE-Project_Engineer-083-M3</t>
  </si>
  <si>
    <t>200003233252020</t>
  </si>
  <si>
    <t>QC-Quality_Control-027-M3</t>
  </si>
  <si>
    <t>200003233253020</t>
  </si>
  <si>
    <t>PE-Project_Engineer-040-M4</t>
  </si>
  <si>
    <t>200003233267020</t>
  </si>
  <si>
    <t>DC-Document_Controller-071-M2</t>
  </si>
  <si>
    <t>200003284389020</t>
  </si>
  <si>
    <t>DC-Document_Controller-071-M3</t>
  </si>
  <si>
    <t>200003284390020</t>
  </si>
  <si>
    <t>DC-Document_Controller-075-M1</t>
  </si>
  <si>
    <t>200003284392020</t>
  </si>
  <si>
    <t>DC-Document_Controller-075-M2</t>
  </si>
  <si>
    <t>200003284393020</t>
  </si>
  <si>
    <t>DC-Document_Controller-076-M1</t>
  </si>
  <si>
    <t>200003284395020</t>
  </si>
  <si>
    <t>DC-Document_Controller-076-M2</t>
  </si>
  <si>
    <t>200003284396020</t>
  </si>
  <si>
    <t>DC-Document_Controller-077-M1</t>
  </si>
  <si>
    <t>200003284398020</t>
  </si>
  <si>
    <t>DC-Document_Controller-077-M2</t>
  </si>
  <si>
    <t>200003284399020</t>
  </si>
  <si>
    <t>DC-Document_Controller-078-M1</t>
  </si>
  <si>
    <t>200003284401020</t>
  </si>
  <si>
    <t>DC-Document_Controller-078-M2</t>
  </si>
  <si>
    <t>200003284402020</t>
  </si>
  <si>
    <t>DC-Document_Controller-079-M1</t>
  </si>
  <si>
    <t>200003284404020</t>
  </si>
  <si>
    <t>DC-Document_Controller-079-M2</t>
  </si>
  <si>
    <t>200003284405020</t>
  </si>
  <si>
    <t>DC-Document_Controller-081-M1</t>
  </si>
  <si>
    <t>200003284407020</t>
  </si>
  <si>
    <t>DC-Document_Controller-081-M2</t>
  </si>
  <si>
    <t>200003284408020</t>
  </si>
  <si>
    <t>DC-Document_Controller-082-M1</t>
  </si>
  <si>
    <t>200003284410020</t>
  </si>
  <si>
    <t>DC-Document_Controller-082-M2</t>
  </si>
  <si>
    <t>200003284411020</t>
  </si>
  <si>
    <t>DC-Document_Controller-085-M1</t>
  </si>
  <si>
    <t>200003284413020</t>
  </si>
  <si>
    <t>DC-Document_Controller-086-M1</t>
  </si>
  <si>
    <t>200003284415020</t>
  </si>
  <si>
    <t>DC-Document_Controller-087-M1</t>
  </si>
  <si>
    <t>200003284417020</t>
  </si>
  <si>
    <t>PE-Project_Engineer-088-M1</t>
  </si>
  <si>
    <t>200003284419020</t>
  </si>
  <si>
    <t>PE-Project_Engineer-088-M2</t>
  </si>
  <si>
    <t>200003284420020</t>
  </si>
  <si>
    <t>SE-Site_Engineer-107-M1</t>
  </si>
  <si>
    <t>200003284422020</t>
  </si>
  <si>
    <t>SE-Site_Engineer-107-M2</t>
  </si>
  <si>
    <t>200003284423020</t>
  </si>
  <si>
    <t>SE-Site_Engineer-108-M1</t>
  </si>
  <si>
    <t>200003284425020</t>
  </si>
  <si>
    <t>SE-Site_Engineer-108-M2</t>
  </si>
  <si>
    <t>200003284426020</t>
  </si>
  <si>
    <t>PE-Project_Engineer-029-M4</t>
  </si>
  <si>
    <t>B172_BOJONG_HALEUANG_2G</t>
  </si>
  <si>
    <t>200003285037020</t>
  </si>
  <si>
    <t>PE-Project_Engineer-029-M5</t>
  </si>
  <si>
    <t>200003285038020</t>
  </si>
  <si>
    <t>PE-Project_Engineer-029-M6</t>
  </si>
  <si>
    <t>200003285039020</t>
  </si>
  <si>
    <t>QC-Quality_Control-037-M2</t>
  </si>
  <si>
    <t>Dsn Kawan 3G</t>
  </si>
  <si>
    <t>200003285040020</t>
  </si>
  <si>
    <t>SE-Site_Engineer-052-M1</t>
  </si>
  <si>
    <t>200003285042020</t>
  </si>
  <si>
    <t>SE-Site_Engineer-052-M2</t>
  </si>
  <si>
    <t>200003285043020</t>
  </si>
  <si>
    <t>SE-Site_Engineer-052-M3</t>
  </si>
  <si>
    <t>200003285044020</t>
  </si>
  <si>
    <t>SE-Site_Engineer-052-M4</t>
  </si>
  <si>
    <t>200003285045020</t>
  </si>
  <si>
    <t>SE-Site_Engineer-104-M1</t>
  </si>
  <si>
    <t>200003285047020</t>
  </si>
  <si>
    <t>SE-Site_Engineer-104-M2</t>
  </si>
  <si>
    <t>200003285048020</t>
  </si>
  <si>
    <t>SE-Site_Engineer-105-M1</t>
  </si>
  <si>
    <t>200003285050020</t>
  </si>
  <si>
    <t>SE-Site_Engineer-105-M2</t>
  </si>
  <si>
    <t>200003285051020</t>
  </si>
  <si>
    <t>SE-Site_Engineer-106-M1</t>
  </si>
  <si>
    <t>200003285053020</t>
  </si>
  <si>
    <t>SE-Site_Engineer-106-M2</t>
  </si>
  <si>
    <t>200003285054020</t>
  </si>
  <si>
    <t>SE-Site_Engineer-109-M1</t>
  </si>
  <si>
    <t>200003285056020</t>
  </si>
  <si>
    <t>SE-Site_Engineer-109-M2</t>
  </si>
  <si>
    <t>200003285057020</t>
  </si>
  <si>
    <t>DC-Document_Controller-072-M1</t>
  </si>
  <si>
    <t>200003283425020</t>
  </si>
  <si>
    <t>109120260827002785</t>
  </si>
  <si>
    <t>1091HG3728823-187</t>
  </si>
  <si>
    <t>DC-Document_Controller-072-M2</t>
  </si>
  <si>
    <t>200003283426020</t>
  </si>
  <si>
    <t>QC-Quality_Control-030-M3</t>
  </si>
  <si>
    <t>200003283443020</t>
  </si>
  <si>
    <t>PE-Project_Engineer-056-M4</t>
  </si>
  <si>
    <t>200003283444020</t>
  </si>
  <si>
    <t>PE-Project_Engineer-076-M6</t>
  </si>
  <si>
    <t>200003283445020</t>
  </si>
  <si>
    <t>PE-Project_Engineer-077-M6</t>
  </si>
  <si>
    <t>200003283446020</t>
  </si>
  <si>
    <t>DC-Document_Controller-031-M5</t>
  </si>
  <si>
    <t>200003225669020</t>
  </si>
  <si>
    <t>109120260828003106</t>
  </si>
  <si>
    <t>1091HG3728823-189</t>
  </si>
  <si>
    <t>2026-08-31</t>
  </si>
  <si>
    <t>DC-Document_Controller-055-M6</t>
  </si>
  <si>
    <t>200003225670020</t>
  </si>
  <si>
    <t>109120260828002521</t>
  </si>
  <si>
    <t>1091HG3728823-188</t>
  </si>
  <si>
    <t>DC-Document_Controller-031-M4</t>
  </si>
  <si>
    <t>200003225668020</t>
  </si>
  <si>
    <t>109120260828002428</t>
  </si>
  <si>
    <t>1091HG3728823-190</t>
  </si>
  <si>
    <t>DC-Document_Controller-056-M5</t>
  </si>
  <si>
    <t>200003225671020</t>
  </si>
  <si>
    <t>109120260828002913</t>
  </si>
  <si>
    <t>1091HG3728823-191</t>
  </si>
  <si>
    <t>QC-Quality_Control-034-M5</t>
  </si>
  <si>
    <t>200003225673020</t>
  </si>
  <si>
    <t>109120260828002615</t>
  </si>
  <si>
    <t>1091HG3728823-192</t>
  </si>
  <si>
    <t>DC-Document_Controller-031-M6</t>
  </si>
  <si>
    <t>200003229846020</t>
  </si>
  <si>
    <t>109120260828003107</t>
  </si>
  <si>
    <t>1091HG3728823-193</t>
  </si>
  <si>
    <t>DC-Document_Controller-055-M4</t>
  </si>
  <si>
    <t>200003229847020</t>
  </si>
  <si>
    <t>109120260828002429</t>
  </si>
  <si>
    <t>1091HG3728823-195</t>
  </si>
  <si>
    <t>DC-Document_Controller-056-M6</t>
  </si>
  <si>
    <t>200003225672020</t>
  </si>
  <si>
    <t>109120260828003011</t>
  </si>
  <si>
    <t>1091HG3728823-194</t>
  </si>
  <si>
    <t>DC-Document_Controller-056-M4</t>
  </si>
  <si>
    <t>200003229849020</t>
  </si>
  <si>
    <t>109120260828003108</t>
  </si>
  <si>
    <t>1091HG3728823-197</t>
  </si>
  <si>
    <t>QC-Quality_Control-034-M4</t>
  </si>
  <si>
    <t>200003229850020</t>
  </si>
  <si>
    <t>109120260828003012</t>
  </si>
  <si>
    <t>1091HG3728823-196</t>
  </si>
  <si>
    <t>DC-Document_Controller-055-M5</t>
  </si>
  <si>
    <t>200003229848020</t>
  </si>
  <si>
    <t>109120260828002914</t>
  </si>
  <si>
    <t>1091HG3728823-198</t>
  </si>
  <si>
    <t>QC-Quality_Control-034-M1</t>
  </si>
  <si>
    <t>200003231272020</t>
  </si>
  <si>
    <t>109120260828002523</t>
  </si>
  <si>
    <t>1091HG3728823-199</t>
  </si>
  <si>
    <t>QC-Quality_Control-034-M6</t>
  </si>
  <si>
    <t>200003232594020</t>
  </si>
  <si>
    <t>109120260828002716</t>
  </si>
  <si>
    <t>1091HG3728823-202</t>
  </si>
  <si>
    <t>QC-Quality_Control-034-M2</t>
  </si>
  <si>
    <t>200003232592020</t>
  </si>
  <si>
    <t>109120260828002814</t>
  </si>
  <si>
    <t>1091HG3728823-201</t>
  </si>
  <si>
    <t>QC-Quality_Control-034-M3</t>
  </si>
  <si>
    <t>200003232593020</t>
  </si>
  <si>
    <t>109120260828002815</t>
  </si>
  <si>
    <t>1091HG3728823-200</t>
  </si>
  <si>
    <t>DC-Document_Controller-067-M3</t>
  </si>
  <si>
    <t>200003283454020</t>
  </si>
  <si>
    <t>109120260829001971</t>
  </si>
  <si>
    <t>1091HG3728823-203</t>
  </si>
  <si>
    <t>QC-Quality_Control-032-M3</t>
  </si>
  <si>
    <t>200003284445020</t>
  </si>
  <si>
    <t>QC-Quality_Control-036-M3</t>
  </si>
  <si>
    <t>QC-Quality_Control-036-M3EAS DC</t>
  </si>
  <si>
    <t>200003284446020</t>
  </si>
  <si>
    <t>SE-Site_Engineer-101-M1</t>
  </si>
  <si>
    <t>200003285069020</t>
  </si>
  <si>
    <t>SE-Site_Engineer-101-M2</t>
  </si>
  <si>
    <t>200003279195020</t>
  </si>
  <si>
    <t>Productivity Range</t>
  </si>
  <si>
    <t>Total % Ach.</t>
  </si>
  <si>
    <t>Document Category</t>
  </si>
  <si>
    <t>Document Type</t>
  </si>
  <si>
    <t>Source Data</t>
  </si>
  <si>
    <t>Baseline/Cycle</t>
  </si>
  <si>
    <t>Total Doc.</t>
  </si>
  <si>
    <t>% Achievement</t>
  </si>
  <si>
    <t>M-01</t>
  </si>
  <si>
    <t>Implementation</t>
  </si>
  <si>
    <t>Tagging Dismantle Material</t>
  </si>
  <si>
    <t>ISDP</t>
  </si>
  <si>
    <t>5.71 %</t>
  </si>
  <si>
    <t>M-08 Dismantle</t>
  </si>
  <si>
    <t>5.56 %</t>
  </si>
  <si>
    <t>Tagging Installation</t>
  </si>
  <si>
    <t>168.75 %</t>
  </si>
  <si>
    <t>Pre-implementation</t>
  </si>
  <si>
    <t>Tenant Installation Report</t>
  </si>
  <si>
    <t>92.31 %</t>
  </si>
  <si>
    <t>M-02</t>
  </si>
  <si>
    <t>93.75 %</t>
  </si>
  <si>
    <t>48.57 %</t>
  </si>
  <si>
    <t>52.78 %</t>
  </si>
  <si>
    <t>M-03</t>
  </si>
  <si>
    <t>Acceptance</t>
  </si>
  <si>
    <t>BAST (AC1)</t>
  </si>
  <si>
    <t>261.95 %</t>
  </si>
  <si>
    <t>BAUT (AC1)</t>
  </si>
  <si>
    <t>25.00 %</t>
  </si>
  <si>
    <t>40.00 %</t>
  </si>
  <si>
    <t>287.50 %</t>
  </si>
  <si>
    <t>CAF Application</t>
  </si>
  <si>
    <t>11.54 %</t>
  </si>
  <si>
    <t>M-04</t>
  </si>
  <si>
    <t>61.54 %</t>
  </si>
  <si>
    <t>137.50 %</t>
  </si>
  <si>
    <t>42.86 %</t>
  </si>
  <si>
    <t>30.56 %</t>
  </si>
  <si>
    <t>M-05</t>
  </si>
  <si>
    <t>57.69 %</t>
  </si>
  <si>
    <t>34.38 %</t>
  </si>
  <si>
    <t>M-06</t>
  </si>
  <si>
    <t>11.11 %</t>
  </si>
  <si>
    <t>28.57 %</t>
  </si>
  <si>
    <t>46.15 %</t>
  </si>
  <si>
    <t>57.14 %</t>
  </si>
  <si>
    <t>300.00 %</t>
  </si>
  <si>
    <t>7.69 %</t>
  </si>
  <si>
    <t>288.89 %</t>
  </si>
  <si>
    <t>68.57 %</t>
  </si>
  <si>
    <t>172.22 %</t>
  </si>
  <si>
    <t>11.43 %</t>
  </si>
  <si>
    <t>Site Permit</t>
  </si>
  <si>
    <t>Datalink</t>
  </si>
  <si>
    <t>500.00 %</t>
  </si>
  <si>
    <t>384.62 %</t>
  </si>
  <si>
    <t>32.47 %</t>
  </si>
  <si>
    <t>676.92 %</t>
  </si>
  <si>
    <t>880.00 %</t>
  </si>
  <si>
    <t>37.01 %</t>
  </si>
  <si>
    <t>438.46 %</t>
  </si>
  <si>
    <t>570.00 %</t>
  </si>
  <si>
    <t>80.00 %</t>
  </si>
  <si>
    <t>128.13 %</t>
  </si>
  <si>
    <t>2.78 %</t>
  </si>
  <si>
    <t>33.33 %</t>
  </si>
  <si>
    <t>51.43 %</t>
  </si>
  <si>
    <t>56.25 %</t>
  </si>
  <si>
    <t>76.92 %</t>
  </si>
  <si>
    <t>45.71 %</t>
  </si>
  <si>
    <t>180.00 %</t>
  </si>
  <si>
    <t>100.00 %</t>
  </si>
  <si>
    <t>331.25 %</t>
  </si>
  <si>
    <t>54.29 %</t>
  </si>
  <si>
    <t>105.56 %</t>
  </si>
  <si>
    <t>35.71 %</t>
  </si>
  <si>
    <t>423.08 %</t>
  </si>
  <si>
    <t>550.00 %</t>
  </si>
  <si>
    <t>750.00 %</t>
  </si>
  <si>
    <t>576.92 %</t>
  </si>
  <si>
    <t>48.70 %</t>
  </si>
  <si>
    <t>250.00 %</t>
  </si>
  <si>
    <t>192.31 %</t>
  </si>
  <si>
    <t>16.23 %</t>
  </si>
  <si>
    <t>Pre-Implementation</t>
  </si>
  <si>
    <t>Survey - TSSR</t>
  </si>
  <si>
    <t>30.00 %</t>
  </si>
  <si>
    <t>PLN Termination</t>
  </si>
  <si>
    <t>185.23 %</t>
  </si>
  <si>
    <t>PLN Bongkar Rampung</t>
  </si>
  <si>
    <t>85.21 %</t>
  </si>
  <si>
    <t>Dismantle Inbound</t>
  </si>
  <si>
    <t>100.91 %</t>
  </si>
  <si>
    <t>Dismantle ATP</t>
  </si>
  <si>
    <t>137.25 %</t>
  </si>
  <si>
    <t>BA Dismantle</t>
  </si>
  <si>
    <t>323.38 %</t>
  </si>
  <si>
    <t>317.53 %</t>
  </si>
  <si>
    <t>156.38 %</t>
  </si>
  <si>
    <t>68.18 %</t>
  </si>
  <si>
    <t>47.47 %</t>
  </si>
  <si>
    <t>104.55 %</t>
  </si>
  <si>
    <t>3.64 %</t>
  </si>
  <si>
    <t>1.14 %</t>
  </si>
  <si>
    <t>2.72 %</t>
  </si>
  <si>
    <t>24.09 %</t>
  </si>
  <si>
    <t>211.07 %</t>
  </si>
  <si>
    <t>67.53 %</t>
  </si>
  <si>
    <t>0.39 %</t>
  </si>
  <si>
    <t>1.36 %</t>
  </si>
  <si>
    <t>7.05 %</t>
  </si>
  <si>
    <t>150.00 %</t>
  </si>
  <si>
    <t>77.78 %</t>
  </si>
  <si>
    <t>64.88 %</t>
  </si>
  <si>
    <t>BAST (AC2)</t>
  </si>
  <si>
    <t>50.73 %</t>
  </si>
  <si>
    <t>BAUT (AC2)</t>
  </si>
  <si>
    <t>66.67 %</t>
  </si>
  <si>
    <t>23.08 %</t>
  </si>
  <si>
    <t>114.29 %</t>
  </si>
  <si>
    <t>51.71 %</t>
  </si>
  <si>
    <t>48.29 %</t>
  </si>
  <si>
    <t>51.22 %</t>
  </si>
  <si>
    <t>31.43 %</t>
  </si>
  <si>
    <t>0.91 %</t>
  </si>
  <si>
    <t>CAF Dismantle</t>
  </si>
  <si>
    <t>12.62 %</t>
  </si>
  <si>
    <t>155.91 %</t>
  </si>
  <si>
    <t>31.21 %</t>
  </si>
  <si>
    <t>ATP PLN</t>
  </si>
  <si>
    <t>3.88 %</t>
  </si>
  <si>
    <t>14.77 %</t>
  </si>
  <si>
    <t>13.09 %</t>
  </si>
  <si>
    <t>6.82 %</t>
  </si>
  <si>
    <t>100.97 %</t>
  </si>
  <si>
    <t>40.91 %</t>
  </si>
  <si>
    <t>84.05 %</t>
  </si>
  <si>
    <t>36.82 %</t>
  </si>
  <si>
    <t>25.17 %</t>
  </si>
  <si>
    <t>83.12 %</t>
  </si>
  <si>
    <t>177.27 %</t>
  </si>
  <si>
    <t>73.83 %</t>
  </si>
  <si>
    <t>12.73 %</t>
  </si>
  <si>
    <t>46.69 %</t>
  </si>
  <si>
    <t>27.27 %</t>
  </si>
  <si>
    <t>5.45 %</t>
  </si>
  <si>
    <t>66.88 %</t>
  </si>
  <si>
    <t>70.81 %</t>
  </si>
  <si>
    <t>3.18 %</t>
  </si>
  <si>
    <t>8.95 %</t>
  </si>
  <si>
    <t>3.41 %</t>
  </si>
  <si>
    <t>PO Mapping</t>
  </si>
  <si>
    <t>1612.90 %</t>
  </si>
  <si>
    <t>1000.00 %</t>
  </si>
  <si>
    <t>PO Mapping Initial</t>
  </si>
  <si>
    <t>648.39 %</t>
  </si>
  <si>
    <t>IPS Submit</t>
  </si>
  <si>
    <t>4100.00 %</t>
  </si>
  <si>
    <t>296.15 %</t>
  </si>
  <si>
    <t>385.00 %</t>
  </si>
  <si>
    <t>565.00 %</t>
  </si>
  <si>
    <t>434.62 %</t>
  </si>
  <si>
    <t>36.69 %</t>
  </si>
  <si>
    <t>8.12 %</t>
  </si>
  <si>
    <t>96.15 %</t>
  </si>
  <si>
    <t>125.00 %</t>
  </si>
  <si>
    <t>155.56 %</t>
  </si>
  <si>
    <t>125.71 %</t>
  </si>
  <si>
    <t>3.85 %</t>
  </si>
  <si>
    <t>158.33 %</t>
  </si>
  <si>
    <t>157.14 %</t>
  </si>
  <si>
    <t>252.78 %</t>
  </si>
  <si>
    <t>322.86 %</t>
  </si>
  <si>
    <t>146.88 %</t>
  </si>
  <si>
    <t>142.86 %</t>
  </si>
  <si>
    <t>55.56 %</t>
  </si>
  <si>
    <t>131.25 %</t>
  </si>
  <si>
    <t>60.00 %</t>
  </si>
  <si>
    <t>38.89 %</t>
  </si>
  <si>
    <t>18.51 %</t>
  </si>
  <si>
    <t>219.23 %</t>
  </si>
  <si>
    <t>285.00 %</t>
  </si>
  <si>
    <t>670.00 %</t>
  </si>
  <si>
    <t>515.38 %</t>
  </si>
  <si>
    <t>43.51 %</t>
  </si>
  <si>
    <t>0.32 %</t>
  </si>
  <si>
    <t>5.00 %</t>
  </si>
  <si>
    <t>RFS</t>
  </si>
  <si>
    <t>PAC Approve</t>
  </si>
  <si>
    <t>FAC Approve</t>
  </si>
  <si>
    <t>752.00 %</t>
  </si>
  <si>
    <t>720.00 %</t>
  </si>
  <si>
    <t>85.71 %</t>
  </si>
  <si>
    <t>14.29 %</t>
  </si>
  <si>
    <t>232.00 %</t>
  </si>
  <si>
    <t>112.00 %</t>
  </si>
  <si>
    <t>15.45 %</t>
  </si>
  <si>
    <t>25.24 %</t>
  </si>
  <si>
    <t>PLN Upgrade</t>
  </si>
  <si>
    <t>12.12 %</t>
  </si>
  <si>
    <t>31.82 %</t>
  </si>
  <si>
    <t>7.78 %</t>
  </si>
  <si>
    <t>82.73 %</t>
  </si>
  <si>
    <t>28.86 %</t>
  </si>
  <si>
    <t>5.84 %</t>
  </si>
  <si>
    <t>4.55 %</t>
  </si>
  <si>
    <t>3.69 %</t>
  </si>
  <si>
    <t>101.36 %</t>
  </si>
  <si>
    <t>12.06 %</t>
  </si>
  <si>
    <t>6.06 %</t>
  </si>
  <si>
    <t>6.80 %</t>
  </si>
  <si>
    <t>8.18 %</t>
  </si>
  <si>
    <t>117.05 %</t>
  </si>
  <si>
    <t>33.46 %</t>
  </si>
  <si>
    <t>231.82 %</t>
  </si>
  <si>
    <t>66.11 %</t>
  </si>
  <si>
    <t>17.53 %</t>
  </si>
  <si>
    <t>24.24 %</t>
  </si>
  <si>
    <t>87.38 %</t>
  </si>
  <si>
    <t>49.35 %</t>
  </si>
  <si>
    <t>41.95 %</t>
  </si>
  <si>
    <t>217.27 %</t>
  </si>
  <si>
    <t>16.73 %</t>
  </si>
  <si>
    <t>35.23 %</t>
  </si>
  <si>
    <t>1.94 %</t>
  </si>
  <si>
    <t>1.82 %</t>
  </si>
  <si>
    <t>2.27 %</t>
  </si>
  <si>
    <t>26.36 %</t>
  </si>
  <si>
    <t>0.78 %</t>
  </si>
  <si>
    <t>76.85 %</t>
  </si>
  <si>
    <t>19.48 %</t>
  </si>
  <si>
    <t>2.91 %</t>
  </si>
  <si>
    <t>10.74 %</t>
  </si>
  <si>
    <t>0.65 %</t>
  </si>
  <si>
    <t>1.17 %</t>
  </si>
  <si>
    <t>SRM</t>
  </si>
  <si>
    <t>Team Activation</t>
  </si>
  <si>
    <t>342.31 %</t>
  </si>
  <si>
    <t>265.38 %</t>
  </si>
  <si>
    <t>326.92 %</t>
  </si>
  <si>
    <t>142.31 %</t>
  </si>
  <si>
    <t>138.46 %</t>
  </si>
  <si>
    <t>123.08 %</t>
  </si>
  <si>
    <t>148.57 %</t>
  </si>
  <si>
    <t>836.11 %</t>
  </si>
  <si>
    <t>448.78 %</t>
  </si>
  <si>
    <t>234.15 %</t>
  </si>
  <si>
    <t>351.22 %</t>
  </si>
  <si>
    <t>644.88 %</t>
  </si>
  <si>
    <t>838.89 %</t>
  </si>
  <si>
    <t>130.77 %</t>
  </si>
  <si>
    <t>198.05 %</t>
  </si>
  <si>
    <t>1977.07 %</t>
  </si>
  <si>
    <t>1943.90 %</t>
  </si>
  <si>
    <t>137.14 %</t>
  </si>
  <si>
    <t>297.07 %</t>
  </si>
  <si>
    <t>420.00 %</t>
  </si>
  <si>
    <t>25.71 %</t>
  </si>
  <si>
    <t>8.33 %</t>
  </si>
  <si>
    <t>19.23 %</t>
  </si>
  <si>
    <t>119.51 %</t>
  </si>
  <si>
    <t>126.34 %</t>
  </si>
  <si>
    <t>117.07 %</t>
  </si>
  <si>
    <t>2.86 %</t>
  </si>
  <si>
    <t>159.38 %</t>
  </si>
  <si>
    <t>134.29 %</t>
  </si>
  <si>
    <t>3.13 %</t>
  </si>
  <si>
    <t>50.00 %</t>
  </si>
  <si>
    <t>246.88 %</t>
  </si>
  <si>
    <t>82.86 %</t>
  </si>
  <si>
    <t>36.11 %</t>
  </si>
  <si>
    <t>58.33 %</t>
  </si>
  <si>
    <t>53.13 %</t>
  </si>
  <si>
    <t>230.77 %</t>
  </si>
  <si>
    <t>65.71 %</t>
  </si>
  <si>
    <t>46.88 %</t>
  </si>
  <si>
    <t>134.62 %</t>
  </si>
  <si>
    <t>38.46 %</t>
  </si>
  <si>
    <t>90.63 %</t>
  </si>
  <si>
    <t>31.07 %</t>
  </si>
  <si>
    <t>69.55 %</t>
  </si>
  <si>
    <t>74.16 %</t>
  </si>
  <si>
    <t>26.82 %</t>
  </si>
  <si>
    <t>2.73 %</t>
  </si>
  <si>
    <t>28.16 %</t>
  </si>
  <si>
    <t>31.54 %</t>
  </si>
  <si>
    <t>15.00 %</t>
  </si>
  <si>
    <t>25.45 %</t>
  </si>
  <si>
    <t>45.64 %</t>
  </si>
  <si>
    <t>57.73 %</t>
  </si>
  <si>
    <t>22.33 %</t>
  </si>
  <si>
    <t>ATP GR Submission</t>
  </si>
  <si>
    <t>30.91 %</t>
  </si>
  <si>
    <t>29.53 %</t>
  </si>
  <si>
    <t>23.18 %</t>
  </si>
  <si>
    <t>0.97 %</t>
  </si>
  <si>
    <t>11.65 %</t>
  </si>
  <si>
    <t>17.27 %</t>
  </si>
  <si>
    <t>2.01 %</t>
  </si>
  <si>
    <t>8.64 %</t>
  </si>
  <si>
    <t>5.83 %</t>
  </si>
  <si>
    <t>0.45 %</t>
  </si>
  <si>
    <t>2450.00 %</t>
  </si>
  <si>
    <t>503.23 %</t>
  </si>
  <si>
    <t>151.61 %</t>
  </si>
  <si>
    <t>4325.00 %</t>
  </si>
  <si>
    <t>309.68 %</t>
  </si>
  <si>
    <t>7.14 %</t>
  </si>
  <si>
    <t>84.62 %</t>
  </si>
  <si>
    <t>110.00 %</t>
  </si>
  <si>
    <t>80.77 %</t>
  </si>
  <si>
    <t>105.00 %</t>
  </si>
  <si>
    <t>45.00 %</t>
  </si>
  <si>
    <t>34.62 %</t>
  </si>
  <si>
    <t>2.92 %</t>
  </si>
  <si>
    <t>11.69 %</t>
  </si>
  <si>
    <t>ISDP DUID/NEID Creation-IOH</t>
  </si>
  <si>
    <t>1747.19 %</t>
  </si>
  <si>
    <t>9072.29 %</t>
  </si>
  <si>
    <t>3.23 %</t>
  </si>
  <si>
    <t>ISDP Subproject Code Creation</t>
  </si>
  <si>
    <t>0.22 %</t>
  </si>
  <si>
    <t>3044.59 %</t>
  </si>
  <si>
    <t>1054.98 %</t>
  </si>
  <si>
    <t>293.55 %</t>
  </si>
  <si>
    <t>657.14 %</t>
  </si>
  <si>
    <t>777.42 %</t>
  </si>
  <si>
    <t>Netgear Tagging MOS &amp; Movement</t>
  </si>
  <si>
    <t>83.33 %</t>
  </si>
  <si>
    <t>M-08b Inbound Done</t>
  </si>
  <si>
    <t>70.13 %</t>
  </si>
  <si>
    <t>ATP Endorse - Wireless</t>
  </si>
  <si>
    <t>55.84 %</t>
  </si>
  <si>
    <t>52.92 %</t>
  </si>
  <si>
    <t>73.38 %</t>
  </si>
  <si>
    <t>107.14 %</t>
  </si>
  <si>
    <t>BAUT/BAMS PAC/BAMG FAC - Wireless</t>
  </si>
  <si>
    <t>Change Request (CR)</t>
  </si>
  <si>
    <t>1.95 %</t>
  </si>
  <si>
    <t>96.75 %</t>
  </si>
  <si>
    <t>202.38 %</t>
  </si>
  <si>
    <t>10.06 %</t>
  </si>
  <si>
    <t>46.92 %</t>
  </si>
  <si>
    <t>117.75 %</t>
  </si>
  <si>
    <t>121.43 %</t>
  </si>
  <si>
    <t>91.67 %</t>
  </si>
  <si>
    <t>10.39 %</t>
  </si>
  <si>
    <t>115.37 %</t>
  </si>
  <si>
    <t>3900.00 %</t>
  </si>
  <si>
    <t>6450.00 %</t>
  </si>
  <si>
    <t>4950.00 %</t>
  </si>
  <si>
    <t>Site Key HO</t>
  </si>
  <si>
    <t>44.81 %</t>
  </si>
  <si>
    <t>1.84 %</t>
  </si>
  <si>
    <t>5.52 %</t>
  </si>
  <si>
    <t>0.87 %</t>
  </si>
  <si>
    <t>31.17 %</t>
  </si>
  <si>
    <t>32.74 %</t>
  </si>
  <si>
    <t>10.71 %</t>
  </si>
  <si>
    <t>115.48 %</t>
  </si>
  <si>
    <t>9.42 %</t>
  </si>
  <si>
    <t>127.38 %</t>
  </si>
  <si>
    <t>133.77 %</t>
  </si>
  <si>
    <t>23.70 %</t>
  </si>
  <si>
    <t>3.03 %</t>
  </si>
  <si>
    <t>92.21 %</t>
  </si>
  <si>
    <t>107.74 %</t>
  </si>
  <si>
    <t>1.79 %</t>
  </si>
  <si>
    <t>12.50 %</t>
  </si>
  <si>
    <t>77.14 %</t>
  </si>
  <si>
    <t>97.22 %</t>
  </si>
  <si>
    <t>111.43 %</t>
  </si>
  <si>
    <t>75.00 %</t>
  </si>
  <si>
    <t>197.22 %</t>
  </si>
  <si>
    <t>208.57 %</t>
  </si>
  <si>
    <t>91.43 %</t>
  </si>
  <si>
    <t>133.33 %</t>
  </si>
  <si>
    <t>182.86 %</t>
  </si>
  <si>
    <t>177.78 %</t>
  </si>
  <si>
    <t>136.11 %</t>
  </si>
  <si>
    <t>131.43 %</t>
  </si>
  <si>
    <t>Customer ATP</t>
  </si>
  <si>
    <t>128.00 %</t>
  </si>
  <si>
    <t>104.00 %</t>
  </si>
  <si>
    <t>20.00 %</t>
  </si>
  <si>
    <t>13.89 %</t>
  </si>
  <si>
    <t>42.31 %</t>
  </si>
  <si>
    <t>122.22 %</t>
  </si>
  <si>
    <t>40.63 %</t>
  </si>
  <si>
    <t>116.67 %</t>
  </si>
  <si>
    <t>102.00 %</t>
  </si>
  <si>
    <t>130.00 %</t>
  </si>
  <si>
    <t>KK MOM Approve</t>
  </si>
  <si>
    <t>176.92 %</t>
  </si>
  <si>
    <t>319.23 %</t>
  </si>
  <si>
    <t>153.85 %</t>
  </si>
  <si>
    <t>157.69 %</t>
  </si>
  <si>
    <t>8.74 %</t>
  </si>
  <si>
    <t>3.90 %</t>
  </si>
  <si>
    <t>1.01 %</t>
  </si>
  <si>
    <t>30.10 %</t>
  </si>
  <si>
    <t>TE - Site Permit</t>
  </si>
  <si>
    <t>113.64 %</t>
  </si>
  <si>
    <t>0.67 %</t>
  </si>
  <si>
    <t>18.45 %</t>
  </si>
  <si>
    <t>10.52 %</t>
  </si>
  <si>
    <t>0.34 %</t>
  </si>
  <si>
    <t>70.87 %</t>
  </si>
  <si>
    <t>10.13 %</t>
  </si>
  <si>
    <t>32.04 %</t>
  </si>
  <si>
    <t>34.55 %</t>
  </si>
  <si>
    <t>13.64 %</t>
  </si>
  <si>
    <t>28.64 %</t>
  </si>
  <si>
    <t>42.80 %</t>
  </si>
  <si>
    <t>127.27 %</t>
  </si>
  <si>
    <t>201.14 %</t>
  </si>
  <si>
    <t>67.70 %</t>
  </si>
  <si>
    <t>9.55 %</t>
  </si>
  <si>
    <t>10.91 %</t>
  </si>
  <si>
    <t>List Dismantle Material</t>
  </si>
  <si>
    <t>10.00 %</t>
  </si>
  <si>
    <t>7.27 %</t>
  </si>
  <si>
    <t>44.32 %</t>
  </si>
  <si>
    <t>15.56 %</t>
  </si>
  <si>
    <t>46.59 %</t>
  </si>
  <si>
    <t>17.90 %</t>
  </si>
  <si>
    <t>12.27 %</t>
  </si>
  <si>
    <t>15.91 %</t>
  </si>
  <si>
    <t>14.09 %</t>
  </si>
  <si>
    <t>5.19 %</t>
  </si>
  <si>
    <t>4.67 %</t>
  </si>
  <si>
    <t>GR Checker IPS</t>
  </si>
  <si>
    <t>0.40 %</t>
  </si>
  <si>
    <t>133.20 %</t>
  </si>
  <si>
    <t>108.00 %</t>
  </si>
  <si>
    <t>154.00 %</t>
  </si>
  <si>
    <t>17.82 %</t>
  </si>
  <si>
    <t>179.55 %</t>
  </si>
  <si>
    <t>2126.92 %</t>
  </si>
  <si>
    <t>2765.00 %</t>
  </si>
  <si>
    <t>155.84 %</t>
  </si>
  <si>
    <t>1846.15 %</t>
  </si>
  <si>
    <t>2400.00 %</t>
  </si>
  <si>
    <t>Contract Closing</t>
  </si>
  <si>
    <t>113.73 %</t>
  </si>
  <si>
    <t>Invoice Supporting Document</t>
  </si>
  <si>
    <t>103.90 %</t>
  </si>
  <si>
    <t>102.60 %</t>
  </si>
  <si>
    <t>105.88 %</t>
  </si>
  <si>
    <t>100.65 %</t>
  </si>
  <si>
    <t>101.96 %</t>
  </si>
  <si>
    <t>48.21 %</t>
  </si>
  <si>
    <t>12.34 %</t>
  </si>
  <si>
    <t>13.31 %</t>
  </si>
  <si>
    <t>29.55 %</t>
  </si>
  <si>
    <t>15.58 %</t>
  </si>
  <si>
    <t>275.00 %</t>
  </si>
  <si>
    <t>42.21 %</t>
  </si>
  <si>
    <t>11.36 %</t>
  </si>
  <si>
    <t>50.81 %</t>
  </si>
  <si>
    <t>241.94 %</t>
  </si>
  <si>
    <t>149.40 %</t>
  </si>
  <si>
    <t>123.38 %</t>
  </si>
  <si>
    <t>128.14 %</t>
  </si>
  <si>
    <t>53.08 %</t>
  </si>
  <si>
    <t>4.22 %</t>
  </si>
  <si>
    <t>129.65 %</t>
  </si>
  <si>
    <t>5.36 %</t>
  </si>
  <si>
    <t>23.21 %</t>
  </si>
  <si>
    <t>19.64 %</t>
  </si>
  <si>
    <t>13.10 %</t>
  </si>
  <si>
    <t>21.43 %</t>
  </si>
  <si>
    <t>9.90 %</t>
  </si>
  <si>
    <t>8.44 %</t>
  </si>
  <si>
    <t>2.98 %</t>
  </si>
  <si>
    <t>1.30 %</t>
  </si>
  <si>
    <t>BAUT/BAMS PAC/BAMG FAC - Non Wireless</t>
  </si>
  <si>
    <t>37.66 %</t>
  </si>
  <si>
    <t>2.60 %</t>
  </si>
  <si>
    <t>235.71 %</t>
  </si>
  <si>
    <t>96.10 %</t>
  </si>
  <si>
    <t>170.78 %</t>
  </si>
  <si>
    <t>3.20 %</t>
  </si>
  <si>
    <t>141.82 %</t>
  </si>
  <si>
    <t>118.18 %</t>
  </si>
  <si>
    <t>BAST</t>
  </si>
  <si>
    <t>18.79 %</t>
  </si>
  <si>
    <t>71.20 %</t>
  </si>
  <si>
    <t>18.18 %</t>
  </si>
  <si>
    <t>26.92 %</t>
  </si>
  <si>
    <t>15.38 %</t>
  </si>
  <si>
    <t>PATP Batch Remote</t>
  </si>
  <si>
    <t>0.11 %</t>
  </si>
  <si>
    <t>Productivity</t>
  </si>
  <si>
    <t>QEHS Inspection (ONSITE)</t>
  </si>
  <si>
    <t>Compliance Check (TL)</t>
  </si>
  <si>
    <t>Training (Class)</t>
  </si>
  <si>
    <t>Achievement</t>
  </si>
  <si>
    <t>Onsite Clock-In</t>
  </si>
  <si>
    <t>M-06 Integrated</t>
  </si>
  <si>
    <t>M-04 MOS   (20%)</t>
  </si>
  <si>
    <t>M-05 Installation   (30%)</t>
  </si>
  <si>
    <t>On Air   (20%)</t>
  </si>
  <si>
    <t>ATP Submit   (20%)</t>
  </si>
  <si>
    <t>ATP Approve   (20%)</t>
  </si>
  <si>
    <t>Total Score</t>
  </si>
  <si>
    <t>SSO-KUT-KPU-NIUT-2026-09-04627</t>
  </si>
  <si>
    <t>SSO-KUT-KPU-NIUT-2026-09-04628</t>
  </si>
  <si>
    <t>SSO-KUT-KPU-NIUT-2026-09-04629</t>
  </si>
  <si>
    <t>SSO-KUT-KPU-NIUT-2026-09-04630</t>
  </si>
  <si>
    <t>SSO-KUT-KPU-NIUT-2026-09-04631</t>
  </si>
  <si>
    <t>Dashboard platform region, isdp IOH</t>
  </si>
  <si>
    <t>NO</t>
  </si>
  <si>
    <t>REGIONAL</t>
  </si>
  <si>
    <t>ID PROJECT</t>
  </si>
  <si>
    <t>&gt; 23 Juni</t>
  </si>
  <si>
    <t xml:space="preserve">PRJ-KUT-KPU-TPED-2026-04-00071 </t>
  </si>
  <si>
    <t>PRJ-KUT-KPU-TPED-2026-04-00074</t>
  </si>
  <si>
    <t xml:space="preserve">Enterprise </t>
  </si>
  <si>
    <t>Tsel</t>
  </si>
  <si>
    <t>PRJ-KUT-KPU-TPED-2026-04-00076</t>
  </si>
  <si>
    <t>Platform REGION</t>
  </si>
  <si>
    <t>PRJ-KUT-KPU-TPED-2026-04-00077</t>
  </si>
  <si>
    <t>PRJ-KUT-KPU-TPED-2026-04-00078</t>
  </si>
  <si>
    <t>PRJ-KUT-KPU-TPED-2026-04-00079</t>
  </si>
  <si>
    <t>PRJ-KUT-KPU-TPED-2026-04-00080</t>
  </si>
  <si>
    <t>SSO-KUT-KPU-NIUT-2026-09-04632</t>
  </si>
  <si>
    <t>SSO-KUT-KPU-NIUT-2026-09-04633</t>
  </si>
  <si>
    <t>392/INV/KUT-PST/IX/2026</t>
  </si>
  <si>
    <t>393/INV/KUT-PST/IX/2026</t>
  </si>
  <si>
    <t>394/INV/KUT-PST/IX/2026</t>
  </si>
  <si>
    <t xml:space="preserve"> 395/INV/KUT-PST/IX/2026</t>
  </si>
  <si>
    <t>396/INV/KUT-PST/IX/2026</t>
  </si>
  <si>
    <t>397/INV/KUT-PST/IX/2026</t>
  </si>
  <si>
    <t>398/INV/KUT-PST/IX/2026</t>
  </si>
  <si>
    <t>399/INV/KUT-PST/IX/2026</t>
  </si>
  <si>
    <t>400/INV/KUT-PST/IX/2026</t>
  </si>
  <si>
    <t>401/INV/KUT-PST/IX/2026</t>
  </si>
  <si>
    <t>402/INV/KUT-PST/IX/2026</t>
  </si>
  <si>
    <t>Request open</t>
  </si>
  <si>
    <t>405/INV/KUT-PST/IX/2026</t>
  </si>
  <si>
    <t>Departemen</t>
  </si>
  <si>
    <t>2026-09-14 - 2026-10-13</t>
  </si>
  <si>
    <t>22.0</t>
  </si>
  <si>
    <t>20.0</t>
  </si>
  <si>
    <t>11.0</t>
  </si>
  <si>
    <t>13.0</t>
  </si>
  <si>
    <t>24.0</t>
  </si>
  <si>
    <t>6.0</t>
  </si>
  <si>
    <t>25.5</t>
  </si>
  <si>
    <t>31.5</t>
  </si>
  <si>
    <t>64.5</t>
  </si>
  <si>
    <t>4.0</t>
  </si>
  <si>
    <t>44.5</t>
  </si>
  <si>
    <t>48.5</t>
  </si>
  <si>
    <t>1.0</t>
  </si>
  <si>
    <t>23.0</t>
  </si>
  <si>
    <t>9.5</t>
  </si>
  <si>
    <t>10.5</t>
  </si>
  <si>
    <t>15.0</t>
  </si>
  <si>
    <t>29.0</t>
  </si>
  <si>
    <t>33.0</t>
  </si>
  <si>
    <t>26.0</t>
  </si>
  <si>
    <t>16.5</t>
  </si>
  <si>
    <t>42.5</t>
  </si>
  <si>
    <t>34.0</t>
  </si>
  <si>
    <t>6.5</t>
  </si>
  <si>
    <t>40.5</t>
  </si>
  <si>
    <t>3.5</t>
  </si>
  <si>
    <t>27.5</t>
  </si>
  <si>
    <t>4.5</t>
  </si>
  <si>
    <t>5.5</t>
  </si>
  <si>
    <t>42.0</t>
  </si>
  <si>
    <t>37.0</t>
  </si>
  <si>
    <t>2.0</t>
  </si>
  <si>
    <t>39.0</t>
  </si>
  <si>
    <t>7.0</t>
  </si>
  <si>
    <t>15.5</t>
  </si>
  <si>
    <t>26.5</t>
  </si>
  <si>
    <t>31.0</t>
  </si>
  <si>
    <t>9.0</t>
  </si>
  <si>
    <t>43.0</t>
  </si>
  <si>
    <t>28.0</t>
  </si>
  <si>
    <t>36.0</t>
  </si>
  <si>
    <t>3.0</t>
  </si>
  <si>
    <t>2026-09-12 - 2026-10-11</t>
  </si>
  <si>
    <t>13.5</t>
  </si>
  <si>
    <t>38.5</t>
  </si>
  <si>
    <t>46.5</t>
  </si>
  <si>
    <t>30.0</t>
  </si>
  <si>
    <t>8.0</t>
  </si>
  <si>
    <t>44.0</t>
  </si>
  <si>
    <t>1.5</t>
  </si>
  <si>
    <t>39.5</t>
  </si>
  <si>
    <t>0.5</t>
  </si>
  <si>
    <t>8.5</t>
  </si>
  <si>
    <t>57.0</t>
  </si>
  <si>
    <t>65.0</t>
  </si>
  <si>
    <t>51.0</t>
  </si>
  <si>
    <t>16.0</t>
  </si>
  <si>
    <t>27.0</t>
  </si>
  <si>
    <t>21.0</t>
  </si>
  <si>
    <t>32.0</t>
  </si>
  <si>
    <t>57.5</t>
  </si>
  <si>
    <t>5.0</t>
  </si>
  <si>
    <t>2.5</t>
  </si>
  <si>
    <t>38.0</t>
  </si>
  <si>
    <t>43.5</t>
  </si>
  <si>
    <t>33.5</t>
  </si>
  <si>
    <t>41.0</t>
  </si>
  <si>
    <t>19.0</t>
  </si>
  <si>
    <t>23.5</t>
  </si>
  <si>
    <t>18.0</t>
  </si>
  <si>
    <t>19.5</t>
  </si>
  <si>
    <t>12.0</t>
  </si>
  <si>
    <t>17.5</t>
  </si>
  <si>
    <t>28.5</t>
  </si>
  <si>
    <t>21.5</t>
  </si>
  <si>
    <t>74.0</t>
  </si>
  <si>
    <t>75.0</t>
  </si>
  <si>
    <t>45.0</t>
  </si>
  <si>
    <t>46.0</t>
  </si>
  <si>
    <t>10.0</t>
  </si>
  <si>
    <t>24.5</t>
  </si>
  <si>
    <t>34.5</t>
  </si>
  <si>
    <t>72.0</t>
  </si>
  <si>
    <t>81.0</t>
  </si>
  <si>
    <t>87.0</t>
  </si>
  <si>
    <t>61.0</t>
  </si>
  <si>
    <t>14.0</t>
  </si>
  <si>
    <t>45.5</t>
  </si>
  <si>
    <t>25.0</t>
  </si>
  <si>
    <t>53.0</t>
  </si>
  <si>
    <t>49.0</t>
  </si>
  <si>
    <t>40.0</t>
  </si>
  <si>
    <t>70.0</t>
  </si>
  <si>
    <t>71.0</t>
  </si>
  <si>
    <t>48.0</t>
  </si>
  <si>
    <t>58.0</t>
  </si>
  <si>
    <t>60.0</t>
  </si>
  <si>
    <t>67.0</t>
  </si>
  <si>
    <t>73.0</t>
  </si>
  <si>
    <t>2026-09-15 - 2026-10-14</t>
  </si>
  <si>
    <t>17.0</t>
  </si>
  <si>
    <t>7.5</t>
  </si>
  <si>
    <t>11.5</t>
  </si>
  <si>
    <t>6228.0</t>
  </si>
  <si>
    <t>11814.0</t>
  </si>
  <si>
    <t>6772.0</t>
  </si>
  <si>
    <t>902.0</t>
  </si>
  <si>
    <t>25716.0</t>
  </si>
  <si>
    <t>1410.0</t>
  </si>
  <si>
    <t>2984.0</t>
  </si>
  <si>
    <t>2942.0</t>
  </si>
  <si>
    <t>7384.0</t>
  </si>
  <si>
    <t>300.0</t>
  </si>
  <si>
    <t>1676.0</t>
  </si>
  <si>
    <t>1378.0</t>
  </si>
  <si>
    <t>3354.0</t>
  </si>
  <si>
    <t>120.0</t>
  </si>
  <si>
    <t>576.0</t>
  </si>
  <si>
    <t>838.0</t>
  </si>
  <si>
    <t>1534.0</t>
  </si>
  <si>
    <t>96.0</t>
  </si>
  <si>
    <t>312.0</t>
  </si>
  <si>
    <t>294.0</t>
  </si>
  <si>
    <t>726.0</t>
  </si>
  <si>
    <t>1980.0</t>
  </si>
  <si>
    <t>3366.0</t>
  </si>
  <si>
    <t>552.0</t>
  </si>
  <si>
    <t>172.0</t>
  </si>
  <si>
    <t>6070.0</t>
  </si>
  <si>
    <t>1020.0</t>
  </si>
  <si>
    <t>244.0</t>
  </si>
  <si>
    <t>64.0</t>
  </si>
  <si>
    <t>1372.0</t>
  </si>
  <si>
    <t>180.0</t>
  </si>
  <si>
    <t>248.0</t>
  </si>
  <si>
    <t>114.0</t>
  </si>
  <si>
    <t>542.0</t>
  </si>
  <si>
    <t>144.0</t>
  </si>
  <si>
    <t>544.0</t>
  </si>
  <si>
    <t>88.0</t>
  </si>
  <si>
    <t>800.0</t>
  </si>
  <si>
    <t>124.0</t>
  </si>
  <si>
    <t>196.0</t>
  </si>
  <si>
    <t>2464.0</t>
  </si>
  <si>
    <t>3756.0</t>
  </si>
  <si>
    <t>2932.0</t>
  </si>
  <si>
    <t>2370.0</t>
  </si>
  <si>
    <t>11522.0</t>
  </si>
  <si>
    <t>2400.0</t>
  </si>
  <si>
    <t>3762.0</t>
  </si>
  <si>
    <t>2472.0</t>
  </si>
  <si>
    <t>1074.0</t>
  </si>
  <si>
    <t>9708.0</t>
  </si>
  <si>
    <t>2864.0</t>
  </si>
  <si>
    <t>4116.0</t>
  </si>
  <si>
    <t>2860.0</t>
  </si>
  <si>
    <t>1400.0</t>
  </si>
  <si>
    <t>11240.0</t>
  </si>
  <si>
    <t>1260.0</t>
  </si>
  <si>
    <t>2280.0</t>
  </si>
  <si>
    <t>1628.0</t>
  </si>
  <si>
    <t>1258.0</t>
  </si>
  <si>
    <t>6426.0</t>
  </si>
  <si>
    <t>360.0</t>
  </si>
  <si>
    <t>792.0</t>
  </si>
  <si>
    <t>980.0</t>
  </si>
  <si>
    <t>2676.0</t>
  </si>
  <si>
    <t>1740.0</t>
  </si>
  <si>
    <t>2964.0</t>
  </si>
  <si>
    <t>2000.0</t>
  </si>
  <si>
    <t>986.0</t>
  </si>
  <si>
    <t>7690.0</t>
  </si>
  <si>
    <t>2240.0</t>
  </si>
  <si>
    <t>2670.0</t>
  </si>
  <si>
    <t>1696.0</t>
  </si>
  <si>
    <t>880.0</t>
  </si>
  <si>
    <t>7486.0</t>
  </si>
  <si>
    <t>380.0</t>
  </si>
  <si>
    <t>960.0</t>
  </si>
  <si>
    <t>290.0</t>
  </si>
  <si>
    <t>1650.0</t>
  </si>
  <si>
    <t>1144.0</t>
  </si>
  <si>
    <t>1764.0</t>
  </si>
  <si>
    <t>1920.0</t>
  </si>
  <si>
    <t>1450.0</t>
  </si>
  <si>
    <t>6278.0</t>
  </si>
  <si>
    <t>808.0</t>
  </si>
  <si>
    <t>1236.0</t>
  </si>
  <si>
    <t>1034.0</t>
  </si>
  <si>
    <t>4222.0</t>
  </si>
  <si>
    <t>1264.0</t>
  </si>
  <si>
    <t>3868.0</t>
  </si>
  <si>
    <t>736.0</t>
  </si>
  <si>
    <t>1104.0</t>
  </si>
  <si>
    <t>932.0</t>
  </si>
  <si>
    <t>494.0</t>
  </si>
  <si>
    <t>3266.0</t>
  </si>
  <si>
    <t>784.0</t>
  </si>
  <si>
    <t>1176.0</t>
  </si>
  <si>
    <t>888.0</t>
  </si>
  <si>
    <t>460.0</t>
  </si>
  <si>
    <t>3308.0</t>
  </si>
  <si>
    <t>1232.0</t>
  </si>
  <si>
    <t>2334.0</t>
  </si>
  <si>
    <t>2672.0</t>
  </si>
  <si>
    <t>6264.0</t>
  </si>
  <si>
    <t>496.0</t>
  </si>
  <si>
    <t>852.0</t>
  </si>
  <si>
    <t>524.0</t>
  </si>
  <si>
    <t>4094.0</t>
  </si>
  <si>
    <t>5966.0</t>
  </si>
  <si>
    <t>160.0</t>
  </si>
  <si>
    <t>390.0</t>
  </si>
  <si>
    <t>2498.0</t>
  </si>
  <si>
    <t>5520.0</t>
  </si>
  <si>
    <t>824.0</t>
  </si>
  <si>
    <t>1242.0</t>
  </si>
  <si>
    <t>660.0</t>
  </si>
  <si>
    <t>1162.0</t>
  </si>
  <si>
    <t>3888.0</t>
  </si>
  <si>
    <t>80.0</t>
  </si>
  <si>
    <t>168.0</t>
  </si>
  <si>
    <t>420.0</t>
  </si>
  <si>
    <t>2136.0</t>
  </si>
  <si>
    <t>2804.0</t>
  </si>
  <si>
    <t>2592.0</t>
  </si>
  <si>
    <t>3772.0</t>
  </si>
  <si>
    <t>712.0</t>
  </si>
  <si>
    <t>10832.0</t>
  </si>
  <si>
    <t>3024.0</t>
  </si>
  <si>
    <t>5856.0</t>
  </si>
  <si>
    <t>1336.0</t>
  </si>
  <si>
    <t>564.0</t>
  </si>
  <si>
    <t>10780.0</t>
  </si>
  <si>
    <t>3192.0</t>
  </si>
  <si>
    <t>10710.0</t>
  </si>
  <si>
    <t>1584.0</t>
  </si>
  <si>
    <t>468.0</t>
  </si>
  <si>
    <t>15954.0</t>
  </si>
  <si>
    <t>608.0</t>
  </si>
  <si>
    <t>2484.0</t>
  </si>
  <si>
    <t>3104.0</t>
  </si>
  <si>
    <t>7176.0</t>
  </si>
  <si>
    <t>396.0</t>
  </si>
  <si>
    <t>23544.0</t>
  </si>
  <si>
    <t>10304.0</t>
  </si>
  <si>
    <t>15372.0</t>
  </si>
  <si>
    <t>9296.0</t>
  </si>
  <si>
    <t>4420.0</t>
  </si>
  <si>
    <t>39392.0</t>
  </si>
  <si>
    <t>3504.0</t>
  </si>
  <si>
    <t>2640.0</t>
  </si>
  <si>
    <t>664.0</t>
  </si>
  <si>
    <t>9208.0</t>
  </si>
  <si>
    <t>3240.0</t>
  </si>
  <si>
    <t>4530.0</t>
  </si>
  <si>
    <t>2740.0</t>
  </si>
  <si>
    <t>2756.0</t>
  </si>
  <si>
    <t>13266.0</t>
  </si>
  <si>
    <t>2692.0</t>
  </si>
  <si>
    <t>4440.0</t>
  </si>
  <si>
    <t>2956.0</t>
  </si>
  <si>
    <t>1678.0</t>
  </si>
  <si>
    <t>11766.0</t>
  </si>
  <si>
    <t>2028.0</t>
  </si>
  <si>
    <t>2850.0</t>
  </si>
  <si>
    <t>3340.0</t>
  </si>
  <si>
    <t>2130.0</t>
  </si>
  <si>
    <t>10348.0</t>
  </si>
  <si>
    <t>860.0</t>
  </si>
  <si>
    <t>1968.0</t>
  </si>
  <si>
    <t>2100.0</t>
  </si>
  <si>
    <t>930.0</t>
  </si>
  <si>
    <t>5858.0</t>
  </si>
  <si>
    <t>232.0</t>
  </si>
  <si>
    <t>944.0</t>
  </si>
  <si>
    <t>410.0</t>
  </si>
  <si>
    <t>2438.0</t>
  </si>
  <si>
    <t>2944.0</t>
  </si>
  <si>
    <t>5364.0</t>
  </si>
  <si>
    <t>2488.0</t>
  </si>
  <si>
    <t>11108.0</t>
  </si>
  <si>
    <t>3256.0</t>
  </si>
  <si>
    <t>5232.0</t>
  </si>
  <si>
    <t>1552.0</t>
  </si>
  <si>
    <t>780.0</t>
  </si>
  <si>
    <t>10820.0</t>
  </si>
  <si>
    <t>2792.0</t>
  </si>
  <si>
    <t>1904.0</t>
  </si>
  <si>
    <t>640.0</t>
  </si>
  <si>
    <t>10700.0</t>
  </si>
  <si>
    <t>1248.0</t>
  </si>
  <si>
    <t>68.0</t>
  </si>
  <si>
    <t>424.0</t>
  </si>
  <si>
    <t>3048.0</t>
  </si>
  <si>
    <t>8742.0</t>
  </si>
  <si>
    <t>3232.0</t>
  </si>
  <si>
    <t>5652.0</t>
  </si>
  <si>
    <t>6300.0</t>
  </si>
  <si>
    <t>656.0</t>
  </si>
  <si>
    <t>15840.0</t>
  </si>
  <si>
    <t>1992.0</t>
  </si>
  <si>
    <t>1842.0</t>
  </si>
  <si>
    <t>1528.0</t>
  </si>
  <si>
    <t>8386.0</t>
  </si>
  <si>
    <t>2712.0</t>
  </si>
  <si>
    <t>5940.0</t>
  </si>
  <si>
    <t>1172.0</t>
  </si>
  <si>
    <t>2048.0</t>
  </si>
  <si>
    <t>11872.0</t>
  </si>
  <si>
    <t>1332.0</t>
  </si>
  <si>
    <t>1986.0</t>
  </si>
  <si>
    <t>3912.0</t>
  </si>
  <si>
    <t>3894.0</t>
  </si>
  <si>
    <t>11124.0</t>
  </si>
  <si>
    <t>1200.0</t>
  </si>
  <si>
    <t>1800.0</t>
  </si>
  <si>
    <t>1060.0</t>
  </si>
  <si>
    <t>2320.0</t>
  </si>
  <si>
    <t>6380.0</t>
  </si>
  <si>
    <t>480.0</t>
  </si>
  <si>
    <t>870.0</t>
  </si>
  <si>
    <t>200.0</t>
  </si>
  <si>
    <t>1080.0</t>
  </si>
  <si>
    <t>2630.0</t>
  </si>
  <si>
    <t>450.0</t>
  </si>
  <si>
    <t>400.0</t>
  </si>
  <si>
    <t>590.0</t>
  </si>
  <si>
    <t>90.0</t>
  </si>
  <si>
    <t>670.0</t>
  </si>
  <si>
    <t>562.0</t>
  </si>
  <si>
    <t>1722.0</t>
  </si>
  <si>
    <t>4176.0</t>
  </si>
  <si>
    <t>264.0</t>
  </si>
  <si>
    <t>7956.0</t>
  </si>
  <si>
    <t>1440.0</t>
  </si>
  <si>
    <t>84.0</t>
  </si>
  <si>
    <t>1884.0</t>
  </si>
  <si>
    <t>132.0</t>
  </si>
  <si>
    <t>1380.0</t>
  </si>
  <si>
    <t>408.0</t>
  </si>
  <si>
    <t>720.0</t>
  </si>
  <si>
    <t>288.0</t>
  </si>
  <si>
    <t>1044.0</t>
  </si>
  <si>
    <t>3032.0</t>
  </si>
  <si>
    <t>4110.0</t>
  </si>
  <si>
    <t>740.0</t>
  </si>
  <si>
    <t>1168.0</t>
  </si>
  <si>
    <t>9050.0</t>
  </si>
  <si>
    <t>2144.0</t>
  </si>
  <si>
    <t>3384.0</t>
  </si>
  <si>
    <t>1392.0</t>
  </si>
  <si>
    <t>906.0</t>
  </si>
  <si>
    <t>7826.0</t>
  </si>
  <si>
    <t>804.0</t>
  </si>
  <si>
    <t>266.0</t>
  </si>
  <si>
    <t>1222.0</t>
  </si>
  <si>
    <t>3864.0</t>
  </si>
  <si>
    <t>840.0</t>
  </si>
  <si>
    <t>10892.0</t>
  </si>
  <si>
    <t>136.0</t>
  </si>
  <si>
    <t>1284.0</t>
  </si>
  <si>
    <t>204.0</t>
  </si>
  <si>
    <t>2344.0</t>
  </si>
  <si>
    <t>128.0</t>
  </si>
  <si>
    <t>696.0</t>
  </si>
  <si>
    <t>1504.0</t>
  </si>
  <si>
    <t>108.0</t>
  </si>
  <si>
    <t>2436.0</t>
  </si>
  <si>
    <t>1088.0</t>
  </si>
  <si>
    <t>1548.0</t>
  </si>
  <si>
    <t>1016.0</t>
  </si>
  <si>
    <t>4204.0</t>
  </si>
  <si>
    <t>176.0</t>
  </si>
  <si>
    <t>1032.0</t>
  </si>
  <si>
    <t>984.0</t>
  </si>
  <si>
    <t>412.0</t>
  </si>
  <si>
    <t>2604.0</t>
  </si>
  <si>
    <t>1912.0</t>
  </si>
  <si>
    <t>3294.0</t>
  </si>
  <si>
    <t>2520.0</t>
  </si>
  <si>
    <t>1492.0</t>
  </si>
  <si>
    <t>9218.0</t>
  </si>
  <si>
    <t>104.0</t>
  </si>
  <si>
    <t>570.0</t>
  </si>
  <si>
    <t>746.0</t>
  </si>
  <si>
    <t>86.0</t>
  </si>
  <si>
    <t>776.0</t>
  </si>
  <si>
    <t>1140.0</t>
  </si>
  <si>
    <t>1076.0</t>
  </si>
  <si>
    <t>472.0</t>
  </si>
  <si>
    <t>3464.0</t>
  </si>
  <si>
    <t>56.0</t>
  </si>
  <si>
    <t>194.0</t>
  </si>
  <si>
    <t>274.0</t>
  </si>
  <si>
    <t>964.0</t>
  </si>
  <si>
    <t>1170.0</t>
  </si>
  <si>
    <t>164.0</t>
  </si>
  <si>
    <t>102.0</t>
  </si>
  <si>
    <t>528.0</t>
  </si>
  <si>
    <t>1052.0</t>
  </si>
  <si>
    <t>308.0</t>
  </si>
  <si>
    <t>2968.0</t>
  </si>
  <si>
    <t>828.0</t>
  </si>
  <si>
    <t>624.0</t>
  </si>
  <si>
    <t>854.0</t>
  </si>
  <si>
    <t>2882.0</t>
  </si>
  <si>
    <t>1374.0</t>
  </si>
  <si>
    <t>866.0</t>
  </si>
  <si>
    <t>66.0</t>
  </si>
  <si>
    <t>170.0</t>
  </si>
  <si>
    <t>1672.0</t>
  </si>
  <si>
    <t>3228.0</t>
  </si>
  <si>
    <t>744.0</t>
  </si>
  <si>
    <t>876.0</t>
  </si>
  <si>
    <t>2132.0</t>
  </si>
  <si>
    <t>5448.0</t>
  </si>
  <si>
    <t>7584.0</t>
  </si>
  <si>
    <t>222.0</t>
  </si>
  <si>
    <t>13274.0</t>
  </si>
  <si>
    <t>1460.0</t>
  </si>
  <si>
    <t>2730.0</t>
  </si>
  <si>
    <t>3608.0</t>
  </si>
  <si>
    <t>1198.0</t>
  </si>
  <si>
    <t>8996.0</t>
  </si>
  <si>
    <t>2536.0</t>
  </si>
  <si>
    <t>3054.0</t>
  </si>
  <si>
    <t>2212.0</t>
  </si>
  <si>
    <t>1120.0</t>
  </si>
  <si>
    <t>8922.0</t>
  </si>
  <si>
    <t>1084.0</t>
  </si>
  <si>
    <t>1028.0</t>
  </si>
  <si>
    <t>426.0</t>
  </si>
  <si>
    <t>5250.0</t>
  </si>
  <si>
    <t>1432.0</t>
  </si>
  <si>
    <t>1908.0</t>
  </si>
  <si>
    <t>1208.0</t>
  </si>
  <si>
    <t>1836.0</t>
  </si>
  <si>
    <t>628.0</t>
  </si>
  <si>
    <t>210.0</t>
  </si>
  <si>
    <t>3882.0</t>
  </si>
  <si>
    <t>1240.0</t>
  </si>
  <si>
    <t>1872.0</t>
  </si>
  <si>
    <t>1276.0</t>
  </si>
  <si>
    <t>282.0</t>
  </si>
  <si>
    <t>4670.0</t>
  </si>
  <si>
    <t>936.0</t>
  </si>
  <si>
    <t>112.0</t>
  </si>
  <si>
    <t>5812.0</t>
  </si>
  <si>
    <t>3648.0</t>
  </si>
  <si>
    <t>500.0</t>
  </si>
  <si>
    <t>5912.0</t>
  </si>
  <si>
    <t>1890.0</t>
  </si>
  <si>
    <t>1420.0</t>
  </si>
  <si>
    <t>4430.0</t>
  </si>
  <si>
    <t>1220.0</t>
  </si>
  <si>
    <t>2190.0</t>
  </si>
  <si>
    <t>4150.0</t>
  </si>
  <si>
    <t>1520.0</t>
  </si>
  <si>
    <t>2340.0</t>
  </si>
  <si>
    <t>440.0</t>
  </si>
  <si>
    <t>4300.0</t>
  </si>
  <si>
    <t>1640.0</t>
  </si>
  <si>
    <t>2220.0</t>
  </si>
  <si>
    <t>340.0</t>
  </si>
  <si>
    <t>4200.0</t>
  </si>
  <si>
    <t>1184.0</t>
  </si>
  <si>
    <t>1632.0</t>
  </si>
  <si>
    <t>560.0</t>
  </si>
  <si>
    <t>224.0</t>
  </si>
  <si>
    <t>3600.0</t>
  </si>
  <si>
    <t>256.0</t>
  </si>
  <si>
    <t>864.0</t>
  </si>
  <si>
    <t>504.0</t>
  </si>
  <si>
    <t>2152.0</t>
  </si>
  <si>
    <t>1680.0</t>
  </si>
  <si>
    <t>2880.0</t>
  </si>
  <si>
    <t>2540.0</t>
  </si>
  <si>
    <t>3540.0</t>
  </si>
  <si>
    <t>520.0</t>
  </si>
  <si>
    <t>6600.0</t>
  </si>
  <si>
    <t>1132.0</t>
  </si>
  <si>
    <t>1758.0</t>
  </si>
  <si>
    <t>728.0</t>
  </si>
  <si>
    <t>4146.0</t>
  </si>
  <si>
    <t>2248.0</t>
  </si>
  <si>
    <t>2646.0</t>
  </si>
  <si>
    <t>1664.0</t>
  </si>
  <si>
    <t>6998.0</t>
  </si>
  <si>
    <t>2408.0</t>
  </si>
  <si>
    <t>3702.0</t>
  </si>
  <si>
    <t>1824.0</t>
  </si>
  <si>
    <t>952.0</t>
  </si>
  <si>
    <t>8886.0</t>
  </si>
  <si>
    <t>328.0</t>
  </si>
  <si>
    <t>928.0</t>
  </si>
  <si>
    <t>2412.0</t>
  </si>
  <si>
    <t>276.0</t>
  </si>
  <si>
    <t>3816.0</t>
  </si>
  <si>
    <t>5040.0</t>
  </si>
  <si>
    <t>1752.0</t>
  </si>
  <si>
    <t>7092.0</t>
  </si>
  <si>
    <t>372.0</t>
  </si>
  <si>
    <t>3564.0</t>
  </si>
  <si>
    <t>1068.0</t>
  </si>
  <si>
    <t>3220.0</t>
  </si>
  <si>
    <t>1542.0</t>
  </si>
  <si>
    <t>292.0</t>
  </si>
  <si>
    <t>3982.0</t>
  </si>
  <si>
    <t>1590.0</t>
  </si>
  <si>
    <t>1008.0</t>
  </si>
  <si>
    <t>672.0</t>
  </si>
  <si>
    <t>4134.0</t>
  </si>
  <si>
    <t>246.0</t>
  </si>
  <si>
    <t>356.0</t>
  </si>
  <si>
    <t>508.0</t>
  </si>
  <si>
    <t>1158.0</t>
  </si>
  <si>
    <t>1360.0</t>
  </si>
  <si>
    <t>2706.0</t>
  </si>
  <si>
    <t>1000.0</t>
  </si>
  <si>
    <t>404.0</t>
  </si>
  <si>
    <t>5470.0</t>
  </si>
  <si>
    <t>432.0</t>
  </si>
  <si>
    <t>690.0</t>
  </si>
  <si>
    <t>138.0</t>
  </si>
  <si>
    <t>1424.0</t>
  </si>
  <si>
    <t>398.0</t>
  </si>
  <si>
    <t>4206.0</t>
  </si>
  <si>
    <t>2668.0</t>
  </si>
  <si>
    <t>5478.0</t>
  </si>
  <si>
    <t>948.0</t>
  </si>
  <si>
    <t>234.0</t>
  </si>
  <si>
    <t>9328.0</t>
  </si>
  <si>
    <t>2036.0</t>
  </si>
  <si>
    <t>3752.0</t>
  </si>
  <si>
    <t>1456.0</t>
  </si>
  <si>
    <t>10208.0</t>
  </si>
  <si>
    <t>1482.0</t>
  </si>
  <si>
    <t>3108.0</t>
  </si>
  <si>
    <t>1268.0</t>
  </si>
  <si>
    <t>1524.0</t>
  </si>
  <si>
    <t>916.0</t>
  </si>
  <si>
    <t>4212.0</t>
  </si>
  <si>
    <t>2034.0</t>
  </si>
  <si>
    <t>1192.0</t>
  </si>
  <si>
    <t>148.0</t>
  </si>
  <si>
    <t>4814.0</t>
  </si>
  <si>
    <t>1228.0</t>
  </si>
  <si>
    <t>1956.0</t>
  </si>
  <si>
    <t>1636.0</t>
  </si>
  <si>
    <t>5696.0</t>
  </si>
  <si>
    <t>1328.0</t>
  </si>
  <si>
    <t>2208.0</t>
  </si>
  <si>
    <t>920.0</t>
  </si>
  <si>
    <t>5516.0</t>
  </si>
  <si>
    <t>1844.0</t>
  </si>
  <si>
    <t>2286.0</t>
  </si>
  <si>
    <t>5658.0</t>
  </si>
  <si>
    <t>908.0</t>
  </si>
  <si>
    <t>350.0</t>
  </si>
  <si>
    <t>3056.0</t>
  </si>
  <si>
    <t>1292.0</t>
  </si>
  <si>
    <t>548.0</t>
  </si>
  <si>
    <t>4900.0</t>
  </si>
  <si>
    <t>186.0</t>
  </si>
  <si>
    <t>100.0</t>
  </si>
  <si>
    <t>348.0</t>
  </si>
  <si>
    <t>512.0</t>
  </si>
  <si>
    <t>2104.0</t>
  </si>
  <si>
    <t>788.0</t>
  </si>
  <si>
    <t>4688.0</t>
  </si>
  <si>
    <t>918.0</t>
  </si>
  <si>
    <t>2760.0</t>
  </si>
  <si>
    <t>750.0</t>
  </si>
  <si>
    <t>1040.0</t>
  </si>
  <si>
    <t>3330.0</t>
  </si>
  <si>
    <t>76.0</t>
  </si>
  <si>
    <t>252.0</t>
  </si>
  <si>
    <t>1188.0</t>
  </si>
  <si>
    <t>3100.0</t>
  </si>
  <si>
    <t>1496.0</t>
  </si>
  <si>
    <t>3416.0</t>
  </si>
  <si>
    <t>2904.0</t>
  </si>
  <si>
    <t>1840.0</t>
  </si>
  <si>
    <t>9072.0</t>
  </si>
  <si>
    <t>1048.0</t>
  </si>
  <si>
    <t>2016.0</t>
  </si>
  <si>
    <t>1712.0</t>
  </si>
  <si>
    <t>1384.0</t>
  </si>
  <si>
    <t>6160.0</t>
  </si>
  <si>
    <t>4650.0</t>
  </si>
  <si>
    <t>1320.0</t>
  </si>
  <si>
    <t>1860.0</t>
  </si>
  <si>
    <t>250.0</t>
  </si>
  <si>
    <t>4550.0</t>
  </si>
  <si>
    <t>1340.0</t>
  </si>
  <si>
    <t>1770.0</t>
  </si>
  <si>
    <t>790.0</t>
  </si>
  <si>
    <t>4940.0</t>
  </si>
  <si>
    <t>620.0</t>
  </si>
  <si>
    <t>1230.0</t>
  </si>
  <si>
    <t>820.0</t>
  </si>
  <si>
    <t>680.0</t>
  </si>
  <si>
    <t>3350.0</t>
  </si>
  <si>
    <t>310.0</t>
  </si>
  <si>
    <t>2110.0</t>
  </si>
  <si>
    <t>1086.0</t>
  </si>
  <si>
    <t>710.0</t>
  </si>
  <si>
    <t>2532.0</t>
  </si>
  <si>
    <t>4004.0</t>
  </si>
  <si>
    <t>5802.0</t>
  </si>
  <si>
    <t>760.0</t>
  </si>
  <si>
    <t>518.0</t>
  </si>
  <si>
    <t>11084.0</t>
  </si>
  <si>
    <t>2298.0</t>
  </si>
  <si>
    <t>3004.0</t>
  </si>
  <si>
    <t>1798.0</t>
  </si>
  <si>
    <t>8460.0</t>
  </si>
  <si>
    <t>2232.0</t>
  </si>
  <si>
    <t>3618.0</t>
  </si>
  <si>
    <t>2108.0</t>
  </si>
  <si>
    <t>8846.0</t>
  </si>
  <si>
    <t>4180.0</t>
  </si>
  <si>
    <t>5934.0</t>
  </si>
  <si>
    <t>1996.0</t>
  </si>
  <si>
    <t>13250.0</t>
  </si>
  <si>
    <t>536.0</t>
  </si>
  <si>
    <t>822.0</t>
  </si>
  <si>
    <t>752.0</t>
  </si>
  <si>
    <t>2918.0</t>
  </si>
  <si>
    <t>5020.0</t>
  </si>
  <si>
    <t>6564.0</t>
  </si>
  <si>
    <t>4064.0</t>
  </si>
  <si>
    <t>1094.0</t>
  </si>
  <si>
    <t>16742.0</t>
  </si>
  <si>
    <t>5800.0</t>
  </si>
  <si>
    <t>8484.0</t>
  </si>
  <si>
    <t>1408.0</t>
  </si>
  <si>
    <t>2938.0</t>
  </si>
  <si>
    <t>18630.0</t>
  </si>
  <si>
    <t>7884.0</t>
  </si>
  <si>
    <t>11292.0</t>
  </si>
  <si>
    <t>3488.0</t>
  </si>
  <si>
    <t>3006.0</t>
  </si>
  <si>
    <t>25670.0</t>
  </si>
  <si>
    <t>6668.0</t>
  </si>
  <si>
    <t>10236.0</t>
  </si>
  <si>
    <t>6592.0</t>
  </si>
  <si>
    <t>27718.0</t>
  </si>
  <si>
    <t>492.0</t>
  </si>
  <si>
    <t>1358.0</t>
  </si>
  <si>
    <t>5306.0</t>
  </si>
  <si>
    <t>2256.0</t>
  </si>
  <si>
    <t>3644.0</t>
  </si>
  <si>
    <t>7292.0</t>
  </si>
  <si>
    <t>260.0</t>
  </si>
  <si>
    <t>4620.0</t>
  </si>
  <si>
    <t>892.0</t>
  </si>
  <si>
    <t>2268.0</t>
  </si>
  <si>
    <t>1100.0</t>
  </si>
  <si>
    <t>4950.0</t>
  </si>
  <si>
    <t>2916.0</t>
  </si>
  <si>
    <t>738.0</t>
  </si>
  <si>
    <t>1710.0</t>
  </si>
  <si>
    <t>1830.0</t>
  </si>
  <si>
    <t>352.0</t>
  </si>
  <si>
    <t>3858.0</t>
  </si>
  <si>
    <t>600.0</t>
  </si>
  <si>
    <t>1110.0</t>
  </si>
  <si>
    <t>2090.0</t>
  </si>
  <si>
    <t>1530.0</t>
  </si>
  <si>
    <t>1780.0</t>
  </si>
  <si>
    <t>320.0</t>
  </si>
  <si>
    <t>50.0</t>
  </si>
  <si>
    <t>1950.0</t>
  </si>
  <si>
    <t>700.0</t>
  </si>
  <si>
    <t>270.0</t>
  </si>
  <si>
    <t>4280.0</t>
  </si>
  <si>
    <t>2715.0</t>
  </si>
  <si>
    <t>1239.0</t>
  </si>
  <si>
    <t>7294.0</t>
  </si>
  <si>
    <t>2410.0</t>
  </si>
  <si>
    <t>1004.0</t>
  </si>
  <si>
    <t>7604.0</t>
  </si>
  <si>
    <t>1280.0</t>
  </si>
  <si>
    <t>1300.0</t>
  </si>
  <si>
    <t>1054.0</t>
  </si>
  <si>
    <t>5434.0</t>
  </si>
  <si>
    <t>748.0</t>
  </si>
  <si>
    <t>2888.0</t>
  </si>
  <si>
    <t>3696.0</t>
  </si>
  <si>
    <t>580.0</t>
  </si>
  <si>
    <t>8108.0</t>
  </si>
  <si>
    <t>4362.0</t>
  </si>
  <si>
    <t>9734.0</t>
  </si>
  <si>
    <t>324.0</t>
  </si>
  <si>
    <t>2026-09-16 - 2026-10-15</t>
  </si>
  <si>
    <t>1500.0</t>
  </si>
  <si>
    <t>1560.0</t>
  </si>
  <si>
    <t>2800.0</t>
  </si>
  <si>
    <t>990.0</t>
  </si>
  <si>
    <t>1630.0</t>
  </si>
  <si>
    <t>240.0</t>
  </si>
  <si>
    <t>1470.0</t>
  </si>
  <si>
    <t>1580.0</t>
  </si>
  <si>
    <t>4070.0</t>
  </si>
  <si>
    <t>2490.0</t>
  </si>
  <si>
    <t>4210.0</t>
  </si>
  <si>
    <t>2010.0</t>
  </si>
  <si>
    <t>3430.0</t>
  </si>
  <si>
    <t>M4 MOS   (20%)</t>
  </si>
  <si>
    <t>M5 Installation   (30%)</t>
  </si>
  <si>
    <t>Kolom1</t>
  </si>
  <si>
    <t>SSO-KUT-KPU-NIUT-2026-09-04656</t>
  </si>
  <si>
    <t>SSO-KUT-KPU-NIUT-2026-09-04657</t>
  </si>
  <si>
    <t>SSO-KUT-KPU-NIUT-2026-09-04658</t>
  </si>
  <si>
    <t>SSO-KUT-KPU-NIUT-2026-09-04659</t>
  </si>
  <si>
    <t>416/INV/KUT-PST/IX/2026</t>
  </si>
  <si>
    <t>419/INV/KUT-PST/IX/2026</t>
  </si>
  <si>
    <t>417/INV/KUT-PST/IX/2026</t>
  </si>
  <si>
    <t>418/INV/KUT-PST/IX/2026</t>
  </si>
  <si>
    <t>420/INV/KUT-PST/IX/2026</t>
  </si>
  <si>
    <t>XLSmart</t>
  </si>
  <si>
    <t>IOH NWL</t>
  </si>
  <si>
    <t>Prepare</t>
  </si>
  <si>
    <t>SSO-KUT-KPU-NIUT-2026-09-04688</t>
  </si>
  <si>
    <t>SSO-KUT-KPU-NIUT-2026-09-04689</t>
  </si>
  <si>
    <t>SSO-KUT-KPU-NIUT-2026-09-04690</t>
  </si>
  <si>
    <t>SSO-KUT-KPU-NIUT-2026-09-04691</t>
  </si>
  <si>
    <t>`</t>
  </si>
  <si>
    <t>SSO-KUT-KPU-NIUT-2026-09-04693</t>
  </si>
  <si>
    <t>SSO-KUT-KPU-NIUT-2026-09-04694</t>
  </si>
  <si>
    <t xml:space="preserve">425/INV/KUT-PST/IX/2026 </t>
  </si>
  <si>
    <t>426/INV/KUT-PST/IX/2026</t>
  </si>
  <si>
    <t>427/INV/KUT-PST/IX/2026</t>
  </si>
  <si>
    <t xml:space="preserve">428/INV/KUT-PST/IX/2026 </t>
  </si>
  <si>
    <t>Project assign by PO</t>
  </si>
  <si>
    <t>Project assign by dashboard</t>
  </si>
  <si>
    <t>Project Code</t>
  </si>
  <si>
    <t>56A0R9P</t>
  </si>
  <si>
    <t>56A0QEJ</t>
  </si>
  <si>
    <t>56A0H56</t>
  </si>
  <si>
    <t>56A0ECJ</t>
  </si>
  <si>
    <t>Role</t>
  </si>
  <si>
    <t>2026-09-20 - 2026-10-19</t>
  </si>
  <si>
    <t>2026-09-18 - 2026-10-17</t>
  </si>
  <si>
    <t>2026-09-19 - 2026-10-18</t>
  </si>
  <si>
    <t>2026-09-21 - 2026-10-20</t>
  </si>
  <si>
    <t>SE</t>
  </si>
  <si>
    <t>Column1</t>
  </si>
  <si>
    <t>Tbc</t>
  </si>
  <si>
    <t>Tidak ada di dashboard</t>
  </si>
  <si>
    <t>SSO-KUT-KPU-NIUT-2026-09-04712</t>
  </si>
  <si>
    <t>SSO-KUT-KPU-NIUT-2026-09-04713</t>
  </si>
  <si>
    <t xml:space="preserve">Rahmana Gautama </t>
  </si>
  <si>
    <t>Lidya Leoni Mutiara</t>
  </si>
  <si>
    <t>Status</t>
  </si>
  <si>
    <t>SSO-KUT-KPU-NIUT-2026-09-04721</t>
  </si>
  <si>
    <t>SSO-KUT-KPU-NIUT-2026-09-04722</t>
  </si>
  <si>
    <t>SSO-KUT-KPU-NIUT-2026-09-04723</t>
  </si>
  <si>
    <t>433/INV/KUT-PST/IX/2026</t>
  </si>
  <si>
    <t>432/INV/KUT-PST/IX/2026</t>
  </si>
  <si>
    <t>SSO-KUT-KPU-NIUT-2026-09-04764</t>
  </si>
  <si>
    <t>SSO-KUT-KPU-NIUT-2026-09-04765</t>
  </si>
  <si>
    <t>De</t>
  </si>
  <si>
    <t>lan</t>
  </si>
  <si>
    <t>sup mala</t>
  </si>
  <si>
    <t>sup xx</t>
  </si>
  <si>
    <t xml:space="preserve">daging 1 </t>
  </si>
  <si>
    <t>daging 2</t>
  </si>
  <si>
    <t>daging 3</t>
  </si>
  <si>
    <t>platter</t>
  </si>
  <si>
    <t>gyoza</t>
  </si>
  <si>
    <t>crab</t>
  </si>
  <si>
    <t>odeng</t>
  </si>
  <si>
    <t>mie tarik</t>
  </si>
  <si>
    <t>udon</t>
  </si>
  <si>
    <t>sayur plater</t>
  </si>
  <si>
    <t>tahu jepang</t>
  </si>
  <si>
    <t>es the</t>
  </si>
  <si>
    <t xml:space="preserve">mangkok 1 </t>
  </si>
  <si>
    <t>mangkok 2</t>
  </si>
  <si>
    <t>mangkok 3</t>
  </si>
  <si>
    <t>Coef up baseline</t>
  </si>
  <si>
    <t>434/INV/KUT-PST/IX/2026</t>
  </si>
  <si>
    <t>435/INV/KUT-PST/IX/2026</t>
  </si>
  <si>
    <t>450/INV/KUT-PST/IX/2026</t>
  </si>
  <si>
    <t>449/INV/KUT-PST/IX/2026</t>
  </si>
  <si>
    <t>448/INV/KUT-PST/IX/2026</t>
  </si>
  <si>
    <t>452/INV/KUT-PST/IX/2026</t>
  </si>
  <si>
    <t>451/INV/KUT-PST/IX/2026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</si>
</sst>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_);_(* \(#,##0\);_(* \-_);_(@_)"/>
    <numFmt numFmtId="165" formatCode="[$-409]dd\-mmm\-yy;@"/>
    <numFmt numFmtId="166" formatCode="&quot;$&quot;#,##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rgb="FF5A5E66"/>
      <name val="Arial"/>
      <family val="2"/>
    </font>
    <font>
      <sz val="10"/>
      <color rgb="FF00000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3" borderId="0" xfId="0" applyFont="1" applyFill="1"/>
    <xf numFmtId="0" fontId="5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/>
    </xf>
    <xf numFmtId="3" fontId="5" fillId="0" borderId="0" xfId="0" applyNumberFormat="1" applyFont="1"/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65" fontId="5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right"/>
    </xf>
    <xf numFmtId="3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6" fillId="3" borderId="1" xfId="0" applyNumberFormat="1" applyFont="1" applyFill="1" applyBorder="1" applyAlignment="1">
      <alignment horizontal="center" vertical="center" wrapText="1"/>
    </xf>
    <xf numFmtId="165" fontId="6" fillId="3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7" fillId="0" borderId="0" xfId="0" applyFont="1"/>
    <xf numFmtId="14" fontId="5" fillId="0" borderId="1" xfId="0" applyNumberFormat="1" applyFont="1" applyBorder="1" applyAlignment="1">
      <alignment horizontal="left" vertical="center"/>
    </xf>
    <xf numFmtId="0" fontId="8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49" fontId="8" fillId="0" borderId="0" xfId="0" applyNumberFormat="1" applyFont="1"/>
    <xf numFmtId="49" fontId="5" fillId="0" borderId="0" xfId="0" applyNumberFormat="1" applyFont="1"/>
    <xf numFmtId="49" fontId="5" fillId="4" borderId="0" xfId="0" applyNumberFormat="1" applyFont="1" applyFill="1"/>
    <xf numFmtId="0" fontId="8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165" fontId="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left" vertical="center"/>
    </xf>
    <xf numFmtId="1" fontId="3" fillId="0" borderId="0" xfId="0" applyNumberFormat="1" applyFont="1"/>
    <xf numFmtId="0" fontId="3" fillId="0" borderId="0" xfId="0" applyFont="1" applyAlignment="1">
      <alignment vertical="top"/>
    </xf>
    <xf numFmtId="165" fontId="3" fillId="0" borderId="1" xfId="0" applyNumberFormat="1" applyFont="1" applyBorder="1" applyAlignment="1">
      <alignment horizontal="left" vertical="center"/>
    </xf>
    <xf numFmtId="0" fontId="14" fillId="0" borderId="0" xfId="0" applyFont="1"/>
    <xf numFmtId="0" fontId="5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" fillId="0" borderId="0" xfId="0" applyFont="1"/>
    <xf numFmtId="0" fontId="1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6" fillId="3" borderId="0" xfId="0" applyFont="1" applyFill="1"/>
    <xf numFmtId="166" fontId="0" fillId="0" borderId="0" xfId="0" applyNumberFormat="1"/>
    <xf numFmtId="41" fontId="0" fillId="0" borderId="0" xfId="0" applyNumberFormat="1"/>
    <xf numFmtId="165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KUT\DMD\Tagihan_DMD_0409.xlsx" TargetMode="External"/><Relationship Id="rId1" Type="http://schemas.openxmlformats.org/officeDocument/2006/relationships/externalLinkPath" Target="Tagihan_DMD_04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 PROJECT"/>
      <sheetName val="PIVOT"/>
      <sheetName val="New"/>
      <sheetName val="Need confirm "/>
      <sheetName val="Tagihan"/>
      <sheetName val="Master Data"/>
      <sheetName val="PO Cancel"/>
    </sheetNames>
    <sheetDataSet>
      <sheetData sheetId="0">
        <row r="4">
          <cell r="E4" t="str">
            <v>REGIONAL</v>
          </cell>
          <cell r="F4" t="str">
            <v>ID PROJECT</v>
          </cell>
        </row>
        <row r="5">
          <cell r="E5" t="str">
            <v>Jabodetabek</v>
          </cell>
          <cell r="F5" t="str">
            <v xml:space="preserve">PRJ-KUT-KPU-TPED-2026-04-00071 </v>
          </cell>
        </row>
        <row r="6">
          <cell r="E6" t="str">
            <v>West Java</v>
          </cell>
          <cell r="F6" t="str">
            <v>PRJ-KUT-KPU-TPED-2026-04-00074</v>
          </cell>
        </row>
        <row r="7">
          <cell r="E7" t="str">
            <v>Central Java</v>
          </cell>
          <cell r="F7" t="str">
            <v>PRJ-KUT-KPU-TPED-2026-04-00075</v>
          </cell>
        </row>
        <row r="8">
          <cell r="E8" t="str">
            <v>East Java</v>
          </cell>
          <cell r="F8" t="str">
            <v>PRJ-KUT-KPU-TPED-2026-04-00076</v>
          </cell>
        </row>
        <row r="9">
          <cell r="E9" t="str">
            <v>Bali Nusra</v>
          </cell>
          <cell r="F9" t="str">
            <v>PRJ-KUT-KPU-TPED-2026-04-00077</v>
          </cell>
        </row>
        <row r="10">
          <cell r="E10" t="str">
            <v>Sumbagsel</v>
          </cell>
          <cell r="F10" t="str">
            <v>PRJ-KUT-KPU-TPED-2026-04-00078</v>
          </cell>
        </row>
        <row r="11">
          <cell r="E11" t="str">
            <v>Kalimantan</v>
          </cell>
          <cell r="F11" t="str">
            <v>PRJ-KUT-KPU-TPED-2026-04-00079</v>
          </cell>
        </row>
        <row r="12">
          <cell r="E12" t="str">
            <v>Sulawesi</v>
          </cell>
          <cell r="F12" t="str">
            <v>PRJ-KUT-KPU-TPED-2026-04-00080</v>
          </cell>
        </row>
        <row r="13">
          <cell r="E13" t="str">
            <v>Sumatera</v>
          </cell>
          <cell r="F13" t="str">
            <v>PRJ-KUT-KPU-TPED-2026-04-00078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48CF20-BC84-448B-8015-CBEF326045B4}" autoFormatId="16" applyNumberFormats="0" applyBorderFormats="0" applyFontFormats="0" applyPatternFormats="0" applyAlignmentFormats="0" applyWidthHeightFormats="0">
  <queryTableRefresh nextId="31">
    <queryTableFields count="30">
      <queryTableField id="1" name="Uniq-ID" tableColumnId="1"/>
      <queryTableField id="30" dataBound="0" tableColumnId="30"/>
      <queryTableField id="2" name="Name ID" tableColumnId="2"/>
      <queryTableField id="3" name="Account" tableColumnId="3"/>
      <queryTableField id="4" name="Period" tableColumnId="4"/>
      <queryTableField id="5" name="Period Date" tableColumnId="5"/>
      <queryTableField id="6" name="Period Status" tableColumnId="6"/>
      <queryTableField id="7" name="Productivity Range" tableColumnId="7"/>
      <queryTableField id="8" name="Total % Ach." tableColumnId="8"/>
      <queryTableField id="9" name="Payment Coef." tableColumnId="9"/>
      <queryTableField id="10" name="Document Category" tableColumnId="10"/>
      <queryTableField id="11" name="Document Type" tableColumnId="11"/>
      <queryTableField id="12" name="Source Data" tableColumnId="12"/>
      <queryTableField id="13" name="Baseline/Cycle" tableColumnId="13"/>
      <queryTableField id="14" name="Total Doc." tableColumnId="14"/>
      <queryTableField id="15" name="% Achievement" tableColumnId="15"/>
      <queryTableField id="16" name="Departemen" tableColumnId="16"/>
      <queryTableField id="17" name="Region" tableColumnId="17"/>
      <queryTableField id="18" name="Productivity" tableColumnId="18"/>
      <queryTableField id="19" name="QEHS Inspection (ONSITE)" tableColumnId="19"/>
      <queryTableField id="20" name="Compliance Check (TL)" tableColumnId="20"/>
      <queryTableField id="21" name="Training (Class)" tableColumnId="21"/>
      <queryTableField id="22" name="Baseline" tableColumnId="22"/>
      <queryTableField id="23" name="Achievement" tableColumnId="23"/>
      <queryTableField id="24" name="M-04 MOS   (20%)" tableColumnId="24"/>
      <queryTableField id="25" name="M-05 Installation   (30%)" tableColumnId="25"/>
      <queryTableField id="26" name="On Air   (20%)" tableColumnId="26"/>
      <queryTableField id="27" name="ATP Submit   (20%)" tableColumnId="27"/>
      <queryTableField id="28" name="ATP Approve   (20%)" tableColumnId="28"/>
      <queryTableField id="29" name="Total Score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A08CCF1-66B8-40E5-8FBC-D2FFC06EBAC9}" autoFormatId="16" applyNumberFormats="0" applyBorderFormats="0" applyFontFormats="0" applyPatternFormats="0" applyAlignmentFormats="0" applyWidthHeightFormats="0">
  <queryTableRefresh nextId="33">
    <queryTableFields count="32">
      <queryTableField id="1" name="Role" tableColumnId="1"/>
      <queryTableField id="2" name="Uniq-ID" tableColumnId="2"/>
      <queryTableField id="32" dataBound="0" tableColumnId="32"/>
      <queryTableField id="3" name="Name ID" tableColumnId="3"/>
      <queryTableField id="4" name="Account" tableColumnId="4"/>
      <queryTableField id="5" name="Region" tableColumnId="5"/>
      <queryTableField id="6" name="Period" tableColumnId="6"/>
      <queryTableField id="7" name="Period Date" tableColumnId="7"/>
      <queryTableField id="8" name="Period Status" tableColumnId="8"/>
      <queryTableField id="9" name="Productivity Range" tableColumnId="9"/>
      <queryTableField id="10" name="Productivity" tableColumnId="10"/>
      <queryTableField id="11" name="Payment Coef." tableColumnId="11"/>
      <queryTableField id="12" name="Total % Ach." tableColumnId="12"/>
      <queryTableField id="13" name="Document Category" tableColumnId="13"/>
      <queryTableField id="14" name="Document Type" tableColumnId="14"/>
      <queryTableField id="15" name="Source Data" tableColumnId="15"/>
      <queryTableField id="16" name="Baseline/Cycle" tableColumnId="16"/>
      <queryTableField id="17" name="Total Doc." tableColumnId="17"/>
      <queryTableField id="18" name="% Achievement" tableColumnId="18"/>
      <queryTableField id="19" name="QEHS Inspection (ONSITE)" tableColumnId="19"/>
      <queryTableField id="20" name="Compliance Check (TL)" tableColumnId="20"/>
      <queryTableField id="21" name="Training (Class)" tableColumnId="21"/>
      <queryTableField id="22" name="Baseline" tableColumnId="22"/>
      <queryTableField id="23" name="Achievement" tableColumnId="23"/>
      <queryTableField id="24" name="Onsite Clock-In" tableColumnId="24"/>
      <queryTableField id="25" name="M-06 Integrated" tableColumnId="25"/>
      <queryTableField id="26" name="M-04 MOS   (20%)" tableColumnId="26"/>
      <queryTableField id="27" name="M-05 Installation   (30%)" tableColumnId="27"/>
      <queryTableField id="28" name="On Air   (20%)" tableColumnId="28"/>
      <queryTableField id="29" name="ATP Submit   (20%)" tableColumnId="29"/>
      <queryTableField id="30" name="ATP Approve   (20%)" tableColumnId="30"/>
      <queryTableField id="31" name="Total Score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6AEAE0-B26D-48F0-A6D7-95941D533CE5}" name="Master_Data_Productivity" displayName="Master_Data_Productivity" ref="A1:AD1220" tableType="queryTable" totalsRowShown="0">
  <autoFilter ref="A1:AD1220" xr:uid="{7A6AEAE0-B26D-48F0-A6D7-95941D533CE5}"/>
  <tableColumns count="30">
    <tableColumn id="1" xr3:uid="{71B9B9BB-B091-44A7-8BCA-DA398D956C74}" uniqueName="1" name="Uniq-ID" queryTableFieldId="1" dataDxfId="36"/>
    <tableColumn id="30" xr3:uid="{51721862-D3AC-480D-A68A-D3663AAA098A}" uniqueName="30" name="Kolom1" queryTableFieldId="30" dataDxfId="35">
      <calculatedColumnFormula>Master_Data_Productivity[[#This Row],[Uniq-ID]]&amp;"-"&amp;Master_Data_Productivity[[#This Row],[Period]]</calculatedColumnFormula>
    </tableColumn>
    <tableColumn id="2" xr3:uid="{6EDCAA22-32EB-4CF0-BE84-A68267AB4928}" uniqueName="2" name="Name ID" queryTableFieldId="2" dataDxfId="34"/>
    <tableColumn id="3" xr3:uid="{9DBC67F5-742E-4F4D-B71C-DE0A388C6725}" uniqueName="3" name="Account" queryTableFieldId="3" dataDxfId="33"/>
    <tableColumn id="4" xr3:uid="{0E757D37-4654-4C9D-B34D-3F25A9EF8987}" uniqueName="4" name="Period" queryTableFieldId="4" dataDxfId="32"/>
    <tableColumn id="5" xr3:uid="{5BE3CCAF-8B0C-48A6-A9E0-C1FE1524CA90}" uniqueName="5" name="Period Date" queryTableFieldId="5" dataDxfId="31"/>
    <tableColumn id="6" xr3:uid="{51D11C5D-8588-41D2-B4E9-A7EA424DCEA9}" uniqueName="6" name="Period Status" queryTableFieldId="6" dataDxfId="30"/>
    <tableColumn id="7" xr3:uid="{FB86DBE7-CB21-430B-A6B4-8774B9636C1E}" uniqueName="7" name="Productivity Range" queryTableFieldId="7" dataDxfId="29"/>
    <tableColumn id="8" xr3:uid="{C61DCBEC-88F2-4014-8931-6647313FA7BB}" uniqueName="8" name="Total % Ach." queryTableFieldId="8"/>
    <tableColumn id="9" xr3:uid="{7766A7CC-E1C7-4AAD-8688-0F1BB3AA3580}" uniqueName="9" name="Payment Coef." queryTableFieldId="9"/>
    <tableColumn id="10" xr3:uid="{C4136AFD-D1CD-4276-A8D6-00CC8302B2E1}" uniqueName="10" name="Document Category" queryTableFieldId="10" dataDxfId="28"/>
    <tableColumn id="11" xr3:uid="{9AF19A3B-FC74-4657-8279-C3148E112C91}" uniqueName="11" name="Document Type" queryTableFieldId="11" dataDxfId="27"/>
    <tableColumn id="12" xr3:uid="{E3841B15-1732-4415-9CCF-82D9C3062633}" uniqueName="12" name="Source Data" queryTableFieldId="12" dataDxfId="26"/>
    <tableColumn id="13" xr3:uid="{BD6D3BAD-4AF9-4D3E-9F95-22C02F38C84B}" uniqueName="13" name="Baseline/Cycle" queryTableFieldId="13"/>
    <tableColumn id="14" xr3:uid="{9435EBDD-44C9-4742-B799-6D7D523F82CC}" uniqueName="14" name="Total Doc." queryTableFieldId="14"/>
    <tableColumn id="15" xr3:uid="{3D6C4710-A698-4DBC-A03E-063C6628A81E}" uniqueName="15" name="% Achievement" queryTableFieldId="15"/>
    <tableColumn id="16" xr3:uid="{528CD1AD-A52E-4A83-9C0C-DE20296477A5}" uniqueName="16" name="Departemen" queryTableFieldId="16" dataDxfId="25"/>
    <tableColumn id="17" xr3:uid="{E6ADFF37-BC03-4720-A87B-CBD9861EBE33}" uniqueName="17" name="Region" queryTableFieldId="17" dataDxfId="24"/>
    <tableColumn id="18" xr3:uid="{E579175F-8708-4CB1-B05E-A93F31E50255}" uniqueName="18" name="Productivity" queryTableFieldId="18" dataDxfId="23"/>
    <tableColumn id="19" xr3:uid="{01861EB1-0A20-4BE6-8441-B64BECB839BD}" uniqueName="19" name="QEHS Inspection (ONSITE)" queryTableFieldId="19" dataDxfId="22"/>
    <tableColumn id="20" xr3:uid="{06773DB8-70DC-48D0-B8A6-054C0DF5E872}" uniqueName="20" name="Compliance Check (TL)" queryTableFieldId="20" dataDxfId="21"/>
    <tableColumn id="21" xr3:uid="{8B31E02C-441B-42CC-9E27-43309C3B9C2B}" uniqueName="21" name="Training (Class)" queryTableFieldId="21" dataDxfId="20"/>
    <tableColumn id="22" xr3:uid="{11ED5A4B-4DF5-4B04-8838-B22312C63DBA}" uniqueName="22" name="Baseline" queryTableFieldId="22" dataDxfId="19"/>
    <tableColumn id="23" xr3:uid="{61B04B67-1037-4FCF-A3D8-340874E0853E}" uniqueName="23" name="Achievement" queryTableFieldId="23" dataDxfId="18"/>
    <tableColumn id="24" xr3:uid="{0BB9BC58-3E96-4751-AA04-EE9B40788E33}" uniqueName="24" name="M4 MOS   (20%)" queryTableFieldId="24" dataDxfId="17"/>
    <tableColumn id="25" xr3:uid="{D2652907-76D2-4FE0-8286-B995DA883B23}" uniqueName="25" name="M5 Installation   (30%)" queryTableFieldId="25" dataDxfId="16"/>
    <tableColumn id="26" xr3:uid="{297C888F-2739-46CA-ACC0-4A114ED302AE}" uniqueName="26" name="On Air   (20%)" queryTableFieldId="26" dataDxfId="15"/>
    <tableColumn id="27" xr3:uid="{D89C58ED-528A-485E-BEE2-230D3378E371}" uniqueName="27" name="ATP Submit   (20%)" queryTableFieldId="27" dataDxfId="14"/>
    <tableColumn id="28" xr3:uid="{E33ACDEB-65B8-403D-8556-05461C51079E}" uniqueName="28" name="ATP Approve   (20%)" queryTableFieldId="28" dataDxfId="13"/>
    <tableColumn id="29" xr3:uid="{207CB535-66C3-4B84-9372-CCB745C0E04E}" uniqueName="29" name="Total Score" queryTableFieldId="29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29D08-CF37-40B1-BC82-8B433253546A}" name="Data_Master" displayName="Data_Master" ref="A1:AF1521" tableType="queryTable" totalsRowShown="0">
  <autoFilter ref="A1:AF1521" xr:uid="{34629D08-CF37-40B1-BC82-8B433253546A}"/>
  <tableColumns count="32">
    <tableColumn id="1" xr3:uid="{49B0241D-143C-42AB-B7E1-3FD3255CF216}" uniqueName="1" name="Role" queryTableFieldId="1" dataDxfId="11"/>
    <tableColumn id="2" xr3:uid="{AECF7BE4-78AD-418B-B429-89B5DF463D48}" uniqueName="2" name="Uniq-ID" queryTableFieldId="2" dataDxfId="10"/>
    <tableColumn id="32" xr3:uid="{E30EE868-F110-48C2-9A2B-CBD6A7DB8181}" uniqueName="32" name="Column1" queryTableFieldId="32" dataDxfId="9">
      <calculatedColumnFormula>Data_Master[[#This Row],[Uniq-ID]]&amp;"-"&amp;Data_Master[[#This Row],[Period]]</calculatedColumnFormula>
    </tableColumn>
    <tableColumn id="3" xr3:uid="{A1A97F82-FCD0-4942-B198-910047010476}" uniqueName="3" name="Name ID" queryTableFieldId="3" dataDxfId="8"/>
    <tableColumn id="4" xr3:uid="{A6BC1DA2-4157-4F39-87F8-7D426642FD11}" uniqueName="4" name="Account" queryTableFieldId="4" dataDxfId="7"/>
    <tableColumn id="5" xr3:uid="{9F778D1D-7D20-4714-8A10-D7EC97FA61AB}" uniqueName="5" name="Region" queryTableFieldId="5"/>
    <tableColumn id="6" xr3:uid="{B146AA74-0C02-4765-88FF-38A393BBD265}" uniqueName="6" name="Period" queryTableFieldId="6" dataDxfId="6"/>
    <tableColumn id="7" xr3:uid="{1580667F-A2EB-46E6-9976-C1044500A84B}" uniqueName="7" name="Period Date" queryTableFieldId="7" dataDxfId="5"/>
    <tableColumn id="8" xr3:uid="{70E0F6F4-0AAD-4E5D-A186-31A808C2C612}" uniqueName="8" name="Period Status" queryTableFieldId="8" dataDxfId="4"/>
    <tableColumn id="9" xr3:uid="{9B368506-BED9-4104-982B-8A9FA1AE207F}" uniqueName="9" name="Productivity Range" queryTableFieldId="9" dataDxfId="3"/>
    <tableColumn id="10" xr3:uid="{A3A29A0D-73D0-4575-81D9-79D48CA5D42B}" uniqueName="10" name="Productivity" queryTableFieldId="10"/>
    <tableColumn id="11" xr3:uid="{BCC5F84C-62C7-43B8-BD0F-F057BB24D492}" uniqueName="11" name="Payment Coef." queryTableFieldId="11"/>
    <tableColumn id="12" xr3:uid="{FFBC810D-3E0A-4CDC-8801-2B66E08EE331}" uniqueName="12" name="Total % Ach." queryTableFieldId="12"/>
    <tableColumn id="13" xr3:uid="{7CECDF9B-B380-48FD-80F5-F1B7B04264C8}" uniqueName="13" name="Document Category" queryTableFieldId="13" dataDxfId="2"/>
    <tableColumn id="14" xr3:uid="{F2BCD716-2450-4AEB-8B24-2C67BDD99DC3}" uniqueName="14" name="Document Type" queryTableFieldId="14" dataDxfId="1"/>
    <tableColumn id="15" xr3:uid="{36267808-EA82-4814-8623-28F9EC94B479}" uniqueName="15" name="Source Data" queryTableFieldId="15" dataDxfId="0"/>
    <tableColumn id="16" xr3:uid="{9A542613-BCF1-40DC-9BEB-0206EEAAE60A}" uniqueName="16" name="Baseline/Cycle" queryTableFieldId="16"/>
    <tableColumn id="17" xr3:uid="{297BFC76-EDD3-4DC9-92E1-F72BD5060E8B}" uniqueName="17" name="Total Doc." queryTableFieldId="17"/>
    <tableColumn id="18" xr3:uid="{FA271E69-3AAB-4B38-B892-0CBADCE39FE7}" uniqueName="18" name="% Achievement" queryTableFieldId="18"/>
    <tableColumn id="19" xr3:uid="{EE7371B1-63E4-4A94-949E-A49D238E830C}" uniqueName="19" name="QEHS Inspection (ONSITE)" queryTableFieldId="19"/>
    <tableColumn id="20" xr3:uid="{69C30243-2758-40AD-A473-CB929C2B9446}" uniqueName="20" name="Compliance Check (TL)" queryTableFieldId="20"/>
    <tableColumn id="21" xr3:uid="{96BFE3C9-0AFD-42B5-8704-82D0E3E3A69D}" uniqueName="21" name="Training (Class)" queryTableFieldId="21"/>
    <tableColumn id="22" xr3:uid="{5D67F5B4-7225-4C2E-9779-565EA61228D7}" uniqueName="22" name="Baseline" queryTableFieldId="22"/>
    <tableColumn id="23" xr3:uid="{3915524F-D7C2-4166-B9BF-67A23F836587}" uniqueName="23" name="Achievement" queryTableFieldId="23"/>
    <tableColumn id="24" xr3:uid="{BB1350CD-8CA3-469A-AA83-DB9176B95382}" uniqueName="24" name="Onsite Clock-In" queryTableFieldId="24"/>
    <tableColumn id="25" xr3:uid="{A32129BE-2835-4A84-A9F6-41C0AC1EED99}" uniqueName="25" name="M-06 Integrated" queryTableFieldId="25"/>
    <tableColumn id="26" xr3:uid="{28875E35-D184-449E-A095-24E8FE5BBF33}" uniqueName="26" name="M-04 MOS   (20%)" queryTableFieldId="26"/>
    <tableColumn id="27" xr3:uid="{1CF24C4B-FDE9-4F84-A16D-50636680FEA2}" uniqueName="27" name="M-05 Installation   (30%)" queryTableFieldId="27"/>
    <tableColumn id="28" xr3:uid="{C5D0EC65-516C-464F-8F2E-FAE6346D394E}" uniqueName="28" name="On Air   (20%)" queryTableFieldId="28"/>
    <tableColumn id="29" xr3:uid="{3717B031-C89A-4AB6-9F47-4441AA6E5E43}" uniqueName="29" name="ATP Submit   (20%)" queryTableFieldId="29"/>
    <tableColumn id="30" xr3:uid="{455B2C93-D7DD-4B21-B404-41264029107C}" uniqueName="30" name="ATP Approve   (20%)" queryTableFieldId="30"/>
    <tableColumn id="31" xr3:uid="{BE8851CD-F654-4794-B3B7-7A147CBCF9C6}" uniqueName="31" name="Total Score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0354-9831-4C57-8127-9E82419FA6D3}">
  <dimension ref="A1:AD1220"/>
  <sheetViews>
    <sheetView topLeftCell="B1" workbookViewId="0">
      <selection sqref="A1:A1048576"/>
    </sheetView>
  </sheetViews>
  <sheetFormatPr defaultRowHeight="15"/>
  <cols>
    <col min="1" max="1" width="25.85546875" bestFit="1" customWidth="1"/>
    <col min="2" max="2" width="25.85546875" customWidth="1"/>
    <col min="3" max="3" width="42.5703125" bestFit="1" customWidth="1"/>
    <col min="4" max="4" width="14.140625" bestFit="1" customWidth="1"/>
    <col min="5" max="5" width="8.5703125" bestFit="1" customWidth="1"/>
    <col min="6" max="6" width="21.140625" bestFit="1" customWidth="1"/>
    <col min="7" max="7" width="14.28515625" bestFit="1" customWidth="1"/>
    <col min="8" max="8" width="18.85546875" bestFit="1" customWidth="1"/>
    <col min="9" max="9" width="13.42578125" bestFit="1" customWidth="1"/>
    <col min="10" max="10" width="15.42578125" bestFit="1" customWidth="1"/>
    <col min="11" max="11" width="19.85546875" bestFit="1" customWidth="1"/>
    <col min="12" max="12" width="37.7109375" bestFit="1" customWidth="1"/>
    <col min="13" max="13" width="13.140625" bestFit="1" customWidth="1"/>
    <col min="14" max="14" width="15.140625" bestFit="1" customWidth="1"/>
    <col min="15" max="15" width="11.5703125" bestFit="1" customWidth="1"/>
    <col min="16" max="16" width="16" bestFit="1" customWidth="1"/>
    <col min="17" max="17" width="13.5703125" bestFit="1" customWidth="1"/>
    <col min="18" max="18" width="11.42578125" bestFit="1" customWidth="1"/>
    <col min="19" max="19" width="13.140625" bestFit="1" customWidth="1"/>
    <col min="20" max="20" width="24.85546875" bestFit="1" customWidth="1"/>
    <col min="21" max="21" width="22" bestFit="1" customWidth="1"/>
    <col min="22" max="22" width="15.85546875" bestFit="1" customWidth="1"/>
    <col min="23" max="23" width="10" bestFit="1" customWidth="1"/>
    <col min="24" max="24" width="14" bestFit="1" customWidth="1"/>
    <col min="25" max="25" width="18.140625" bestFit="1" customWidth="1"/>
    <col min="26" max="26" width="23.7109375" bestFit="1" customWidth="1"/>
    <col min="27" max="27" width="14.42578125" bestFit="1" customWidth="1"/>
    <col min="28" max="28" width="18.85546875" bestFit="1" customWidth="1"/>
    <col min="29" max="29" width="20.140625" bestFit="1" customWidth="1"/>
    <col min="30" max="30" width="12.42578125" bestFit="1" customWidth="1"/>
  </cols>
  <sheetData>
    <row r="1" spans="1:30">
      <c r="A1" t="s">
        <v>0</v>
      </c>
      <c r="B1" t="s">
        <v>4118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2862</v>
      </c>
      <c r="I1" t="s">
        <v>2863</v>
      </c>
      <c r="J1" t="s">
        <v>7</v>
      </c>
      <c r="K1" t="s">
        <v>2864</v>
      </c>
      <c r="L1" t="s">
        <v>2865</v>
      </c>
      <c r="M1" t="s">
        <v>2866</v>
      </c>
      <c r="N1" t="s">
        <v>2867</v>
      </c>
      <c r="O1" t="s">
        <v>2868</v>
      </c>
      <c r="P1" t="s">
        <v>2869</v>
      </c>
      <c r="Q1" t="s">
        <v>3404</v>
      </c>
      <c r="R1" t="s">
        <v>3</v>
      </c>
      <c r="S1" t="s">
        <v>3356</v>
      </c>
      <c r="T1" t="s">
        <v>3357</v>
      </c>
      <c r="U1" t="s">
        <v>3358</v>
      </c>
      <c r="V1" t="s">
        <v>3359</v>
      </c>
      <c r="W1" t="s">
        <v>719</v>
      </c>
      <c r="X1" t="s">
        <v>3360</v>
      </c>
      <c r="Y1" t="s">
        <v>4116</v>
      </c>
      <c r="Z1" t="s">
        <v>4117</v>
      </c>
      <c r="AA1" t="s">
        <v>3365</v>
      </c>
      <c r="AB1" t="s">
        <v>3366</v>
      </c>
      <c r="AC1" t="s">
        <v>3367</v>
      </c>
      <c r="AD1" t="s">
        <v>3368</v>
      </c>
    </row>
    <row r="2" spans="1:30">
      <c r="A2" t="s">
        <v>211</v>
      </c>
      <c r="B2" t="str">
        <f>Master_Data_Productivity[[#This Row],[Uniq-ID]]&amp;"-"&amp;Master_Data_Productivity[[#This Row],[Period]]</f>
        <v>DC-Document_Controller-017-M1</v>
      </c>
      <c r="C2" t="s">
        <v>212</v>
      </c>
      <c r="D2" t="s">
        <v>48</v>
      </c>
      <c r="E2" t="s">
        <v>13</v>
      </c>
      <c r="F2" t="s">
        <v>200</v>
      </c>
      <c r="G2" t="s">
        <v>15</v>
      </c>
      <c r="H2" t="s">
        <v>16</v>
      </c>
      <c r="I2">
        <v>2.093</v>
      </c>
      <c r="J2">
        <v>1.05</v>
      </c>
      <c r="K2" t="s">
        <v>2871</v>
      </c>
      <c r="L2" t="s">
        <v>3192</v>
      </c>
      <c r="M2" t="s">
        <v>2873</v>
      </c>
      <c r="N2">
        <v>154</v>
      </c>
      <c r="O2">
        <v>108</v>
      </c>
      <c r="P2">
        <v>0.70130000000000003</v>
      </c>
      <c r="Q2" t="s">
        <v>8</v>
      </c>
      <c r="R2" t="s">
        <v>12</v>
      </c>
      <c r="S2" t="s">
        <v>12</v>
      </c>
      <c r="T2" t="s">
        <v>12</v>
      </c>
      <c r="U2" t="s">
        <v>12</v>
      </c>
      <c r="V2" t="s">
        <v>12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</row>
    <row r="3" spans="1:30">
      <c r="A3" t="s">
        <v>211</v>
      </c>
      <c r="B3" t="str">
        <f>Master_Data_Productivity[[#This Row],[Uniq-ID]]&amp;"-"&amp;Master_Data_Productivity[[#This Row],[Period]]</f>
        <v>DC-Document_Controller-017-M1</v>
      </c>
      <c r="C3" t="s">
        <v>212</v>
      </c>
      <c r="D3" t="s">
        <v>48</v>
      </c>
      <c r="E3" t="s">
        <v>13</v>
      </c>
      <c r="F3" t="s">
        <v>200</v>
      </c>
      <c r="G3" t="s">
        <v>15</v>
      </c>
      <c r="H3" t="s">
        <v>16</v>
      </c>
      <c r="I3">
        <v>2.093</v>
      </c>
      <c r="J3">
        <v>1.05</v>
      </c>
      <c r="K3" t="s">
        <v>2871</v>
      </c>
      <c r="L3" t="s">
        <v>3190</v>
      </c>
      <c r="M3" t="s">
        <v>2873</v>
      </c>
      <c r="N3">
        <v>168</v>
      </c>
      <c r="O3">
        <v>140</v>
      </c>
      <c r="P3">
        <v>0.83330000000000004</v>
      </c>
      <c r="Q3" t="s">
        <v>8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</row>
    <row r="4" spans="1:30">
      <c r="A4" t="s">
        <v>211</v>
      </c>
      <c r="B4" t="str">
        <f>Master_Data_Productivity[[#This Row],[Uniq-ID]]&amp;"-"&amp;Master_Data_Productivity[[#This Row],[Period]]</f>
        <v>DC-Document_Controller-017-M1</v>
      </c>
      <c r="C4" t="s">
        <v>212</v>
      </c>
      <c r="D4" t="s">
        <v>48</v>
      </c>
      <c r="E4" t="s">
        <v>13</v>
      </c>
      <c r="F4" t="s">
        <v>200</v>
      </c>
      <c r="G4" t="s">
        <v>15</v>
      </c>
      <c r="H4" t="s">
        <v>16</v>
      </c>
      <c r="I4">
        <v>2.093</v>
      </c>
      <c r="J4">
        <v>1.05</v>
      </c>
      <c r="K4" t="s">
        <v>2887</v>
      </c>
      <c r="L4" t="s">
        <v>3194</v>
      </c>
      <c r="M4" t="s">
        <v>2873</v>
      </c>
      <c r="N4">
        <v>616</v>
      </c>
      <c r="O4">
        <v>344</v>
      </c>
      <c r="P4">
        <v>0.55840000000000001</v>
      </c>
      <c r="Q4" t="s">
        <v>8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12</v>
      </c>
    </row>
    <row r="5" spans="1:30">
      <c r="A5" t="s">
        <v>211</v>
      </c>
      <c r="B5" t="str">
        <f>Master_Data_Productivity[[#This Row],[Uniq-ID]]&amp;"-"&amp;Master_Data_Productivity[[#This Row],[Period]]</f>
        <v>DC-Document_Controller-017-M2</v>
      </c>
      <c r="C5" t="s">
        <v>212</v>
      </c>
      <c r="D5" t="s">
        <v>48</v>
      </c>
      <c r="E5" t="s">
        <v>18</v>
      </c>
      <c r="F5" t="s">
        <v>202</v>
      </c>
      <c r="G5" t="s">
        <v>15</v>
      </c>
      <c r="H5" t="s">
        <v>16</v>
      </c>
      <c r="I5">
        <v>2.347</v>
      </c>
      <c r="J5">
        <v>1.17</v>
      </c>
      <c r="K5" t="s">
        <v>2871</v>
      </c>
      <c r="L5" t="s">
        <v>3192</v>
      </c>
      <c r="M5" t="s">
        <v>2873</v>
      </c>
      <c r="N5">
        <v>154</v>
      </c>
      <c r="O5">
        <v>115</v>
      </c>
      <c r="P5">
        <v>0.74680000000000002</v>
      </c>
      <c r="Q5" t="s">
        <v>8</v>
      </c>
      <c r="R5" t="s">
        <v>12</v>
      </c>
      <c r="S5" t="s">
        <v>12</v>
      </c>
      <c r="T5" t="s">
        <v>12</v>
      </c>
      <c r="U5" t="s">
        <v>12</v>
      </c>
      <c r="V5" t="s">
        <v>12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12</v>
      </c>
    </row>
    <row r="6" spans="1:30">
      <c r="A6" t="s">
        <v>211</v>
      </c>
      <c r="B6" t="str">
        <f>Master_Data_Productivity[[#This Row],[Uniq-ID]]&amp;"-"&amp;Master_Data_Productivity[[#This Row],[Period]]</f>
        <v>DC-Document_Controller-017-M2</v>
      </c>
      <c r="C6" t="s">
        <v>212</v>
      </c>
      <c r="D6" t="s">
        <v>48</v>
      </c>
      <c r="E6" t="s">
        <v>18</v>
      </c>
      <c r="F6" t="s">
        <v>202</v>
      </c>
      <c r="G6" t="s">
        <v>15</v>
      </c>
      <c r="H6" t="s">
        <v>16</v>
      </c>
      <c r="I6">
        <v>2.347</v>
      </c>
      <c r="J6">
        <v>1.17</v>
      </c>
      <c r="K6" t="s">
        <v>2871</v>
      </c>
      <c r="L6" t="s">
        <v>3190</v>
      </c>
      <c r="M6" t="s">
        <v>2873</v>
      </c>
      <c r="N6">
        <v>168</v>
      </c>
      <c r="O6">
        <v>180</v>
      </c>
      <c r="P6">
        <v>1.0713999999999999</v>
      </c>
      <c r="Q6" t="s">
        <v>8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</row>
    <row r="7" spans="1:30">
      <c r="A7" t="s">
        <v>211</v>
      </c>
      <c r="B7" t="str">
        <f>Master_Data_Productivity[[#This Row],[Uniq-ID]]&amp;"-"&amp;Master_Data_Productivity[[#This Row],[Period]]</f>
        <v>DC-Document_Controller-017-M2</v>
      </c>
      <c r="C7" t="s">
        <v>212</v>
      </c>
      <c r="D7" t="s">
        <v>48</v>
      </c>
      <c r="E7" t="s">
        <v>18</v>
      </c>
      <c r="F7" t="s">
        <v>202</v>
      </c>
      <c r="G7" t="s">
        <v>15</v>
      </c>
      <c r="H7" t="s">
        <v>16</v>
      </c>
      <c r="I7">
        <v>2.347</v>
      </c>
      <c r="J7">
        <v>1.17</v>
      </c>
      <c r="K7" t="s">
        <v>2887</v>
      </c>
      <c r="L7" t="s">
        <v>3194</v>
      </c>
      <c r="M7" t="s">
        <v>2873</v>
      </c>
      <c r="N7">
        <v>616</v>
      </c>
      <c r="O7">
        <v>326</v>
      </c>
      <c r="P7">
        <v>0.5292</v>
      </c>
      <c r="Q7" t="s">
        <v>8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</row>
    <row r="8" spans="1:30">
      <c r="A8" t="s">
        <v>211</v>
      </c>
      <c r="B8" t="str">
        <f>Master_Data_Productivity[[#This Row],[Uniq-ID]]&amp;"-"&amp;Master_Data_Productivity[[#This Row],[Period]]</f>
        <v>DC-Document_Controller-017-M3</v>
      </c>
      <c r="C8" t="s">
        <v>212</v>
      </c>
      <c r="D8" t="s">
        <v>48</v>
      </c>
      <c r="E8" t="s">
        <v>22</v>
      </c>
      <c r="F8" t="s">
        <v>204</v>
      </c>
      <c r="G8" t="s">
        <v>15</v>
      </c>
      <c r="H8" t="s">
        <v>16</v>
      </c>
      <c r="I8">
        <v>3.2410000000000001</v>
      </c>
      <c r="J8">
        <v>1.5</v>
      </c>
      <c r="K8" t="s">
        <v>2887</v>
      </c>
      <c r="L8" t="s">
        <v>3194</v>
      </c>
      <c r="M8" t="s">
        <v>2873</v>
      </c>
      <c r="N8">
        <v>616</v>
      </c>
      <c r="O8">
        <v>72</v>
      </c>
      <c r="P8">
        <v>0.1169</v>
      </c>
      <c r="Q8" t="s">
        <v>8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</row>
    <row r="9" spans="1:30">
      <c r="A9" t="s">
        <v>211</v>
      </c>
      <c r="B9" t="str">
        <f>Master_Data_Productivity[[#This Row],[Uniq-ID]]&amp;"-"&amp;Master_Data_Productivity[[#This Row],[Period]]</f>
        <v>DC-Document_Controller-017-M3</v>
      </c>
      <c r="C9" t="s">
        <v>212</v>
      </c>
      <c r="D9" t="s">
        <v>48</v>
      </c>
      <c r="E9" t="s">
        <v>22</v>
      </c>
      <c r="F9" t="s">
        <v>204</v>
      </c>
      <c r="G9" t="s">
        <v>15</v>
      </c>
      <c r="H9" t="s">
        <v>16</v>
      </c>
      <c r="I9">
        <v>3.2410000000000001</v>
      </c>
      <c r="J9">
        <v>1.5</v>
      </c>
      <c r="K9" t="s">
        <v>2887</v>
      </c>
      <c r="L9" t="s">
        <v>3199</v>
      </c>
      <c r="M9" t="s">
        <v>2916</v>
      </c>
      <c r="O9">
        <v>239</v>
      </c>
      <c r="Q9" t="s">
        <v>8</v>
      </c>
      <c r="R9" t="s">
        <v>12</v>
      </c>
      <c r="S9" t="s">
        <v>12</v>
      </c>
      <c r="T9" t="s">
        <v>12</v>
      </c>
      <c r="U9" t="s">
        <v>12</v>
      </c>
      <c r="V9" t="s">
        <v>12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t="s">
        <v>12</v>
      </c>
      <c r="AC9" t="s">
        <v>12</v>
      </c>
      <c r="AD9" t="s">
        <v>12</v>
      </c>
    </row>
    <row r="10" spans="1:30">
      <c r="A10" t="s">
        <v>211</v>
      </c>
      <c r="B10" t="str">
        <f>Master_Data_Productivity[[#This Row],[Uniq-ID]]&amp;"-"&amp;Master_Data_Productivity[[#This Row],[Period]]</f>
        <v>DC-Document_Controller-017-M3</v>
      </c>
      <c r="C10" t="s">
        <v>212</v>
      </c>
      <c r="D10" t="s">
        <v>48</v>
      </c>
      <c r="E10" t="s">
        <v>22</v>
      </c>
      <c r="F10" t="s">
        <v>204</v>
      </c>
      <c r="G10" t="s">
        <v>15</v>
      </c>
      <c r="H10" t="s">
        <v>16</v>
      </c>
      <c r="I10">
        <v>3.2410000000000001</v>
      </c>
      <c r="J10">
        <v>1.5</v>
      </c>
      <c r="K10" t="s">
        <v>2887</v>
      </c>
      <c r="L10" t="s">
        <v>3200</v>
      </c>
      <c r="M10" t="s">
        <v>2916</v>
      </c>
      <c r="N10">
        <v>308</v>
      </c>
      <c r="O10">
        <v>6</v>
      </c>
      <c r="P10">
        <v>1.95E-2</v>
      </c>
      <c r="Q10" t="s">
        <v>8</v>
      </c>
      <c r="R10" t="s">
        <v>12</v>
      </c>
      <c r="S10" t="s">
        <v>12</v>
      </c>
      <c r="T10" t="s">
        <v>12</v>
      </c>
      <c r="U10" t="s">
        <v>12</v>
      </c>
      <c r="V10" t="s">
        <v>12</v>
      </c>
      <c r="W10" t="s">
        <v>12</v>
      </c>
      <c r="X10" t="s">
        <v>12</v>
      </c>
      <c r="Y10" t="s">
        <v>12</v>
      </c>
      <c r="Z10" t="s">
        <v>12</v>
      </c>
      <c r="AA10" t="s">
        <v>12</v>
      </c>
      <c r="AB10" t="s">
        <v>12</v>
      </c>
      <c r="AC10" t="s">
        <v>12</v>
      </c>
      <c r="AD10" t="s">
        <v>12</v>
      </c>
    </row>
    <row r="11" spans="1:30">
      <c r="A11" t="s">
        <v>211</v>
      </c>
      <c r="B11" t="str">
        <f>Master_Data_Productivity[[#This Row],[Uniq-ID]]&amp;"-"&amp;Master_Data_Productivity[[#This Row],[Period]]</f>
        <v>DC-Document_Controller-017-M3</v>
      </c>
      <c r="C11" t="s">
        <v>212</v>
      </c>
      <c r="D11" t="s">
        <v>48</v>
      </c>
      <c r="E11" t="s">
        <v>22</v>
      </c>
      <c r="F11" t="s">
        <v>204</v>
      </c>
      <c r="G11" t="s">
        <v>15</v>
      </c>
      <c r="H11" t="s">
        <v>16</v>
      </c>
      <c r="I11">
        <v>3.2410000000000001</v>
      </c>
      <c r="J11">
        <v>1.5</v>
      </c>
      <c r="K11" t="s">
        <v>2871</v>
      </c>
      <c r="L11" t="s">
        <v>3192</v>
      </c>
      <c r="M11" t="s">
        <v>2873</v>
      </c>
      <c r="N11">
        <v>154</v>
      </c>
      <c r="O11">
        <v>151</v>
      </c>
      <c r="P11">
        <v>0.98050000000000004</v>
      </c>
      <c r="Q11" t="s">
        <v>8</v>
      </c>
      <c r="R11" t="s">
        <v>12</v>
      </c>
      <c r="S11" t="s">
        <v>12</v>
      </c>
      <c r="T11" t="s">
        <v>12</v>
      </c>
      <c r="U11" t="s">
        <v>12</v>
      </c>
      <c r="V11" t="s">
        <v>12</v>
      </c>
      <c r="W11" t="s">
        <v>12</v>
      </c>
      <c r="X11" t="s">
        <v>12</v>
      </c>
      <c r="Y11" t="s">
        <v>12</v>
      </c>
      <c r="Z11" t="s">
        <v>12</v>
      </c>
      <c r="AA11" t="s">
        <v>12</v>
      </c>
      <c r="AB11" t="s">
        <v>12</v>
      </c>
      <c r="AC11" t="s">
        <v>12</v>
      </c>
      <c r="AD11" t="s">
        <v>12</v>
      </c>
    </row>
    <row r="12" spans="1:30">
      <c r="A12" t="s">
        <v>211</v>
      </c>
      <c r="B12" t="str">
        <f>Master_Data_Productivity[[#This Row],[Uniq-ID]]&amp;"-"&amp;Master_Data_Productivity[[#This Row],[Period]]</f>
        <v>DC-Document_Controller-017-M3</v>
      </c>
      <c r="C12" t="s">
        <v>212</v>
      </c>
      <c r="D12" t="s">
        <v>48</v>
      </c>
      <c r="E12" t="s">
        <v>22</v>
      </c>
      <c r="F12" t="s">
        <v>204</v>
      </c>
      <c r="G12" t="s">
        <v>15</v>
      </c>
      <c r="H12" t="s">
        <v>16</v>
      </c>
      <c r="I12">
        <v>3.2410000000000001</v>
      </c>
      <c r="J12">
        <v>1.5</v>
      </c>
      <c r="K12" t="s">
        <v>2871</v>
      </c>
      <c r="L12" t="s">
        <v>3190</v>
      </c>
      <c r="M12" t="s">
        <v>2873</v>
      </c>
      <c r="N12">
        <v>168</v>
      </c>
      <c r="O12">
        <v>340</v>
      </c>
      <c r="P12">
        <v>2.0238</v>
      </c>
      <c r="Q12" t="s">
        <v>8</v>
      </c>
      <c r="R12" t="s">
        <v>12</v>
      </c>
      <c r="S12" t="s">
        <v>12</v>
      </c>
      <c r="T12" t="s">
        <v>12</v>
      </c>
      <c r="U12" t="s">
        <v>12</v>
      </c>
      <c r="V12" t="s">
        <v>12</v>
      </c>
      <c r="W12" t="s">
        <v>12</v>
      </c>
      <c r="X12" t="s">
        <v>12</v>
      </c>
      <c r="Y12" t="s">
        <v>12</v>
      </c>
      <c r="Z12" t="s">
        <v>12</v>
      </c>
      <c r="AA12" t="s">
        <v>12</v>
      </c>
      <c r="AB12" t="s">
        <v>12</v>
      </c>
      <c r="AC12" t="s">
        <v>12</v>
      </c>
      <c r="AD12" t="s">
        <v>12</v>
      </c>
    </row>
    <row r="13" spans="1:30">
      <c r="A13" t="s">
        <v>211</v>
      </c>
      <c r="B13" t="str">
        <f>Master_Data_Productivity[[#This Row],[Uniq-ID]]&amp;"-"&amp;Master_Data_Productivity[[#This Row],[Period]]</f>
        <v>DC-Document_Controller-017-M3</v>
      </c>
      <c r="C13" t="s">
        <v>212</v>
      </c>
      <c r="D13" t="s">
        <v>48</v>
      </c>
      <c r="E13" t="s">
        <v>22</v>
      </c>
      <c r="F13" t="s">
        <v>204</v>
      </c>
      <c r="G13" t="s">
        <v>15</v>
      </c>
      <c r="H13" t="s">
        <v>16</v>
      </c>
      <c r="I13">
        <v>3.2410000000000001</v>
      </c>
      <c r="J13">
        <v>1.5</v>
      </c>
      <c r="K13" t="s">
        <v>2879</v>
      </c>
      <c r="L13" t="s">
        <v>3200</v>
      </c>
      <c r="M13" t="s">
        <v>2916</v>
      </c>
      <c r="N13">
        <v>308</v>
      </c>
      <c r="O13">
        <v>31</v>
      </c>
      <c r="P13">
        <v>0.10059999999999999</v>
      </c>
      <c r="Q13" t="s">
        <v>8</v>
      </c>
      <c r="R13" t="s">
        <v>12</v>
      </c>
      <c r="S13" t="s">
        <v>12</v>
      </c>
      <c r="T13" t="s">
        <v>12</v>
      </c>
      <c r="U13" t="s">
        <v>12</v>
      </c>
      <c r="V13" t="s">
        <v>12</v>
      </c>
      <c r="W13" t="s">
        <v>12</v>
      </c>
      <c r="X13" t="s">
        <v>12</v>
      </c>
      <c r="Y13" t="s">
        <v>12</v>
      </c>
      <c r="Z13" t="s">
        <v>12</v>
      </c>
      <c r="AA13" t="s">
        <v>12</v>
      </c>
      <c r="AB13" t="s">
        <v>12</v>
      </c>
      <c r="AC13" t="s">
        <v>12</v>
      </c>
      <c r="AD13" t="s">
        <v>12</v>
      </c>
    </row>
    <row r="14" spans="1:30">
      <c r="A14" t="s">
        <v>211</v>
      </c>
      <c r="B14" t="str">
        <f>Master_Data_Productivity[[#This Row],[Uniq-ID]]&amp;"-"&amp;Master_Data_Productivity[[#This Row],[Period]]</f>
        <v>DC-Document_Controller-017-M4</v>
      </c>
      <c r="C14" t="s">
        <v>212</v>
      </c>
      <c r="D14" t="s">
        <v>48</v>
      </c>
      <c r="E14" t="s">
        <v>25</v>
      </c>
      <c r="F14" t="s">
        <v>206</v>
      </c>
      <c r="G14" t="s">
        <v>15</v>
      </c>
      <c r="H14" t="s">
        <v>16</v>
      </c>
      <c r="I14">
        <v>3.907</v>
      </c>
      <c r="J14">
        <v>1.5</v>
      </c>
      <c r="K14" t="s">
        <v>12</v>
      </c>
      <c r="L14" t="s">
        <v>3199</v>
      </c>
      <c r="M14" t="s">
        <v>2873</v>
      </c>
      <c r="O14">
        <v>695</v>
      </c>
      <c r="Q14" t="s">
        <v>8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</row>
    <row r="15" spans="1:30">
      <c r="A15" t="s">
        <v>211</v>
      </c>
      <c r="B15" t="str">
        <f>Master_Data_Productivity[[#This Row],[Uniq-ID]]&amp;"-"&amp;Master_Data_Productivity[[#This Row],[Period]]</f>
        <v>DC-Document_Controller-017-M4</v>
      </c>
      <c r="C15" t="s">
        <v>212</v>
      </c>
      <c r="D15" t="s">
        <v>48</v>
      </c>
      <c r="E15" t="s">
        <v>25</v>
      </c>
      <c r="F15" t="s">
        <v>206</v>
      </c>
      <c r="G15" t="s">
        <v>15</v>
      </c>
      <c r="H15" t="s">
        <v>16</v>
      </c>
      <c r="I15">
        <v>3.907</v>
      </c>
      <c r="J15">
        <v>1.5</v>
      </c>
      <c r="K15" t="s">
        <v>2879</v>
      </c>
      <c r="L15" t="s">
        <v>3200</v>
      </c>
      <c r="M15" t="s">
        <v>2916</v>
      </c>
      <c r="N15">
        <v>308</v>
      </c>
      <c r="O15">
        <v>36</v>
      </c>
      <c r="P15">
        <v>0.1169</v>
      </c>
      <c r="Q15" t="s">
        <v>8</v>
      </c>
      <c r="R15" t="s">
        <v>12</v>
      </c>
      <c r="S15" t="s">
        <v>12</v>
      </c>
      <c r="T15" t="s">
        <v>12</v>
      </c>
      <c r="U15" t="s">
        <v>12</v>
      </c>
      <c r="V15" t="s">
        <v>12</v>
      </c>
      <c r="W15" t="s">
        <v>12</v>
      </c>
      <c r="X15" t="s">
        <v>12</v>
      </c>
      <c r="Y15" t="s">
        <v>12</v>
      </c>
      <c r="Z15" t="s">
        <v>12</v>
      </c>
      <c r="AA15" t="s">
        <v>12</v>
      </c>
      <c r="AB15" t="s">
        <v>12</v>
      </c>
      <c r="AC15" t="s">
        <v>12</v>
      </c>
      <c r="AD15" t="s">
        <v>12</v>
      </c>
    </row>
    <row r="16" spans="1:30">
      <c r="A16" t="s">
        <v>211</v>
      </c>
      <c r="B16" t="str">
        <f>Master_Data_Productivity[[#This Row],[Uniq-ID]]&amp;"-"&amp;Master_Data_Productivity[[#This Row],[Period]]</f>
        <v>DC-Document_Controller-017-M4</v>
      </c>
      <c r="C16" t="s">
        <v>212</v>
      </c>
      <c r="D16" t="s">
        <v>48</v>
      </c>
      <c r="E16" t="s">
        <v>25</v>
      </c>
      <c r="F16" t="s">
        <v>206</v>
      </c>
      <c r="G16" t="s">
        <v>15</v>
      </c>
      <c r="H16" t="s">
        <v>16</v>
      </c>
      <c r="I16">
        <v>3.907</v>
      </c>
      <c r="J16">
        <v>1.5</v>
      </c>
      <c r="K16" t="s">
        <v>2871</v>
      </c>
      <c r="L16" t="s">
        <v>3190</v>
      </c>
      <c r="M16" t="s">
        <v>2873</v>
      </c>
      <c r="N16">
        <v>168</v>
      </c>
      <c r="O16">
        <v>154</v>
      </c>
      <c r="P16">
        <v>0.91669999999999996</v>
      </c>
      <c r="Q16" t="s">
        <v>8</v>
      </c>
      <c r="R16" t="s">
        <v>12</v>
      </c>
      <c r="S16" t="s">
        <v>12</v>
      </c>
      <c r="T16" t="s">
        <v>12</v>
      </c>
      <c r="U16" t="s">
        <v>12</v>
      </c>
      <c r="V16" t="s">
        <v>12</v>
      </c>
      <c r="W16" t="s">
        <v>12</v>
      </c>
      <c r="X16" t="s">
        <v>12</v>
      </c>
      <c r="Y16" t="s">
        <v>12</v>
      </c>
      <c r="Z16" t="s">
        <v>12</v>
      </c>
      <c r="AA16" t="s">
        <v>12</v>
      </c>
      <c r="AB16" t="s">
        <v>12</v>
      </c>
      <c r="AC16" t="s">
        <v>12</v>
      </c>
      <c r="AD16" t="s">
        <v>12</v>
      </c>
    </row>
    <row r="17" spans="1:30">
      <c r="A17" t="s">
        <v>211</v>
      </c>
      <c r="B17" t="str">
        <f>Master_Data_Productivity[[#This Row],[Uniq-ID]]&amp;"-"&amp;Master_Data_Productivity[[#This Row],[Period]]</f>
        <v>DC-Document_Controller-017-M4</v>
      </c>
      <c r="C17" t="s">
        <v>212</v>
      </c>
      <c r="D17" t="s">
        <v>48</v>
      </c>
      <c r="E17" t="s">
        <v>25</v>
      </c>
      <c r="F17" t="s">
        <v>206</v>
      </c>
      <c r="G17" t="s">
        <v>15</v>
      </c>
      <c r="H17" t="s">
        <v>16</v>
      </c>
      <c r="I17">
        <v>3.907</v>
      </c>
      <c r="J17">
        <v>1.5</v>
      </c>
      <c r="K17" t="s">
        <v>2871</v>
      </c>
      <c r="L17" t="s">
        <v>3192</v>
      </c>
      <c r="M17" t="s">
        <v>2873</v>
      </c>
      <c r="N17">
        <v>154</v>
      </c>
      <c r="O17">
        <v>189</v>
      </c>
      <c r="P17">
        <v>1.2273000000000001</v>
      </c>
      <c r="Q17" t="s">
        <v>8</v>
      </c>
      <c r="R17" t="s">
        <v>12</v>
      </c>
      <c r="S17" t="s">
        <v>12</v>
      </c>
      <c r="T17" t="s">
        <v>12</v>
      </c>
      <c r="U17" t="s">
        <v>12</v>
      </c>
      <c r="V17" t="s">
        <v>12</v>
      </c>
      <c r="W17" t="s">
        <v>12</v>
      </c>
      <c r="X17" t="s">
        <v>12</v>
      </c>
      <c r="Y17" t="s">
        <v>12</v>
      </c>
      <c r="Z17" t="s">
        <v>12</v>
      </c>
      <c r="AA17" t="s">
        <v>12</v>
      </c>
      <c r="AB17" t="s">
        <v>12</v>
      </c>
      <c r="AC17" t="s">
        <v>12</v>
      </c>
      <c r="AD17" t="s">
        <v>12</v>
      </c>
    </row>
    <row r="18" spans="1:30">
      <c r="A18" t="s">
        <v>211</v>
      </c>
      <c r="B18" t="str">
        <f>Master_Data_Productivity[[#This Row],[Uniq-ID]]&amp;"-"&amp;Master_Data_Productivity[[#This Row],[Period]]</f>
        <v>DC-Document_Controller-017-M4</v>
      </c>
      <c r="C18" t="s">
        <v>212</v>
      </c>
      <c r="D18" t="s">
        <v>48</v>
      </c>
      <c r="E18" t="s">
        <v>25</v>
      </c>
      <c r="F18" t="s">
        <v>206</v>
      </c>
      <c r="G18" t="s">
        <v>15</v>
      </c>
      <c r="H18" t="s">
        <v>16</v>
      </c>
      <c r="I18">
        <v>3.907</v>
      </c>
      <c r="J18">
        <v>1.5</v>
      </c>
      <c r="K18" t="s">
        <v>2887</v>
      </c>
      <c r="L18" t="s">
        <v>3199</v>
      </c>
      <c r="M18" t="s">
        <v>2873</v>
      </c>
      <c r="N18">
        <v>462</v>
      </c>
      <c r="O18">
        <v>544</v>
      </c>
      <c r="P18">
        <v>1.1775</v>
      </c>
      <c r="Q18" t="s">
        <v>8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</row>
    <row r="19" spans="1:30">
      <c r="A19" t="s">
        <v>211</v>
      </c>
      <c r="B19" t="str">
        <f>Master_Data_Productivity[[#This Row],[Uniq-ID]]&amp;"-"&amp;Master_Data_Productivity[[#This Row],[Period]]</f>
        <v>DC-Document_Controller-017-M4</v>
      </c>
      <c r="C19" t="s">
        <v>212</v>
      </c>
      <c r="D19" t="s">
        <v>48</v>
      </c>
      <c r="E19" t="s">
        <v>25</v>
      </c>
      <c r="F19" t="s">
        <v>206</v>
      </c>
      <c r="G19" t="s">
        <v>15</v>
      </c>
      <c r="H19" t="s">
        <v>16</v>
      </c>
      <c r="I19">
        <v>3.907</v>
      </c>
      <c r="J19">
        <v>1.5</v>
      </c>
      <c r="K19" t="s">
        <v>2887</v>
      </c>
      <c r="L19" t="s">
        <v>3194</v>
      </c>
      <c r="M19" t="s">
        <v>2873</v>
      </c>
      <c r="N19">
        <v>616</v>
      </c>
      <c r="O19">
        <v>289</v>
      </c>
      <c r="P19">
        <v>0.46920000000000001</v>
      </c>
      <c r="Q19" t="s">
        <v>8</v>
      </c>
      <c r="R19" t="s">
        <v>12</v>
      </c>
      <c r="S19" t="s">
        <v>12</v>
      </c>
      <c r="T19" t="s">
        <v>12</v>
      </c>
      <c r="U19" t="s">
        <v>12</v>
      </c>
      <c r="V19" t="s">
        <v>12</v>
      </c>
      <c r="W19" t="s">
        <v>12</v>
      </c>
      <c r="X19" t="s">
        <v>12</v>
      </c>
      <c r="Y19" t="s">
        <v>12</v>
      </c>
      <c r="Z19" t="s">
        <v>12</v>
      </c>
      <c r="AA19" t="s">
        <v>12</v>
      </c>
      <c r="AB19" t="s">
        <v>12</v>
      </c>
      <c r="AC19" t="s">
        <v>12</v>
      </c>
      <c r="AD19" t="s">
        <v>12</v>
      </c>
    </row>
    <row r="20" spans="1:30">
      <c r="A20" t="s">
        <v>211</v>
      </c>
      <c r="B20" t="str">
        <f>Master_Data_Productivity[[#This Row],[Uniq-ID]]&amp;"-"&amp;Master_Data_Productivity[[#This Row],[Period]]</f>
        <v>DC-Document_Controller-017-M5</v>
      </c>
      <c r="C20" t="s">
        <v>212</v>
      </c>
      <c r="D20" t="s">
        <v>48</v>
      </c>
      <c r="E20" t="s">
        <v>28</v>
      </c>
      <c r="F20" t="s">
        <v>208</v>
      </c>
      <c r="G20" t="s">
        <v>15</v>
      </c>
      <c r="H20" t="s">
        <v>20</v>
      </c>
      <c r="I20">
        <v>1.6830000000000001</v>
      </c>
      <c r="J20">
        <v>1</v>
      </c>
      <c r="K20" t="s">
        <v>2887</v>
      </c>
      <c r="L20" t="s">
        <v>3194</v>
      </c>
      <c r="M20" t="s">
        <v>2873</v>
      </c>
      <c r="N20">
        <v>616</v>
      </c>
      <c r="O20">
        <v>50</v>
      </c>
      <c r="P20">
        <v>8.1199999999999994E-2</v>
      </c>
      <c r="Q20" t="s">
        <v>8</v>
      </c>
      <c r="R20" t="s">
        <v>12</v>
      </c>
      <c r="S20" t="s">
        <v>12</v>
      </c>
      <c r="T20" t="s">
        <v>12</v>
      </c>
      <c r="U20" t="s">
        <v>12</v>
      </c>
      <c r="V20" t="s">
        <v>12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</row>
    <row r="21" spans="1:30">
      <c r="A21" t="s">
        <v>211</v>
      </c>
      <c r="B21" t="str">
        <f>Master_Data_Productivity[[#This Row],[Uniq-ID]]&amp;"-"&amp;Master_Data_Productivity[[#This Row],[Period]]</f>
        <v>DC-Document_Controller-017-M5</v>
      </c>
      <c r="C21" t="s">
        <v>212</v>
      </c>
      <c r="D21" t="s">
        <v>48</v>
      </c>
      <c r="E21" t="s">
        <v>28</v>
      </c>
      <c r="F21" t="s">
        <v>208</v>
      </c>
      <c r="G21" t="s">
        <v>15</v>
      </c>
      <c r="H21" t="s">
        <v>20</v>
      </c>
      <c r="I21">
        <v>1.6830000000000001</v>
      </c>
      <c r="J21">
        <v>1</v>
      </c>
      <c r="K21" t="s">
        <v>2887</v>
      </c>
      <c r="L21" t="s">
        <v>3199</v>
      </c>
      <c r="M21" t="s">
        <v>2873</v>
      </c>
      <c r="N21">
        <v>462</v>
      </c>
      <c r="O21">
        <v>533</v>
      </c>
      <c r="P21">
        <v>1.1536999999999999</v>
      </c>
      <c r="Q21" t="s">
        <v>8</v>
      </c>
      <c r="R21" t="s">
        <v>12</v>
      </c>
      <c r="S21" t="s">
        <v>12</v>
      </c>
      <c r="T21" t="s">
        <v>12</v>
      </c>
      <c r="U21" t="s">
        <v>12</v>
      </c>
      <c r="V21" t="s">
        <v>12</v>
      </c>
      <c r="W21" t="s">
        <v>12</v>
      </c>
      <c r="X21" t="s">
        <v>12</v>
      </c>
      <c r="Y21" t="s">
        <v>12</v>
      </c>
      <c r="Z21" t="s">
        <v>12</v>
      </c>
      <c r="AA21" t="s">
        <v>12</v>
      </c>
      <c r="AB21" t="s">
        <v>12</v>
      </c>
      <c r="AC21" t="s">
        <v>12</v>
      </c>
      <c r="AD21" t="s">
        <v>12</v>
      </c>
    </row>
    <row r="22" spans="1:30">
      <c r="A22" t="s">
        <v>211</v>
      </c>
      <c r="B22" t="str">
        <f>Master_Data_Productivity[[#This Row],[Uniq-ID]]&amp;"-"&amp;Master_Data_Productivity[[#This Row],[Period]]</f>
        <v>DC-Document_Controller-017-M5</v>
      </c>
      <c r="C22" t="s">
        <v>212</v>
      </c>
      <c r="D22" t="s">
        <v>48</v>
      </c>
      <c r="E22" t="s">
        <v>28</v>
      </c>
      <c r="F22" t="s">
        <v>208</v>
      </c>
      <c r="G22" t="s">
        <v>15</v>
      </c>
      <c r="H22" t="s">
        <v>20</v>
      </c>
      <c r="I22">
        <v>1.6830000000000001</v>
      </c>
      <c r="J22">
        <v>1</v>
      </c>
      <c r="K22" t="s">
        <v>2871</v>
      </c>
      <c r="L22" t="s">
        <v>3192</v>
      </c>
      <c r="M22" t="s">
        <v>2873</v>
      </c>
      <c r="N22">
        <v>154</v>
      </c>
      <c r="O22">
        <v>52</v>
      </c>
      <c r="P22">
        <v>0.3377</v>
      </c>
      <c r="Q22" t="s">
        <v>8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</row>
    <row r="23" spans="1:30">
      <c r="A23" t="s">
        <v>211</v>
      </c>
      <c r="B23" t="str">
        <f>Master_Data_Productivity[[#This Row],[Uniq-ID]]&amp;"-"&amp;Master_Data_Productivity[[#This Row],[Period]]</f>
        <v>DC-Document_Controller-017-M5</v>
      </c>
      <c r="C23" t="s">
        <v>212</v>
      </c>
      <c r="D23" t="s">
        <v>48</v>
      </c>
      <c r="E23" t="s">
        <v>28</v>
      </c>
      <c r="F23" t="s">
        <v>208</v>
      </c>
      <c r="G23" t="s">
        <v>15</v>
      </c>
      <c r="H23" t="s">
        <v>20</v>
      </c>
      <c r="I23">
        <v>1.6830000000000001</v>
      </c>
      <c r="J23">
        <v>1</v>
      </c>
      <c r="K23" t="s">
        <v>2879</v>
      </c>
      <c r="L23" t="s">
        <v>3200</v>
      </c>
      <c r="M23" t="s">
        <v>2916</v>
      </c>
      <c r="N23">
        <v>308</v>
      </c>
      <c r="O23">
        <v>34</v>
      </c>
      <c r="P23">
        <v>0.1104</v>
      </c>
      <c r="Q23" t="s">
        <v>8</v>
      </c>
      <c r="R23" t="s">
        <v>12</v>
      </c>
      <c r="S23" t="s">
        <v>12</v>
      </c>
      <c r="T23" t="s">
        <v>12</v>
      </c>
      <c r="U23" t="s">
        <v>12</v>
      </c>
      <c r="V23" t="s">
        <v>12</v>
      </c>
      <c r="W23" t="s">
        <v>12</v>
      </c>
      <c r="X23" t="s">
        <v>12</v>
      </c>
      <c r="Y23" t="s">
        <v>12</v>
      </c>
      <c r="Z23" t="s">
        <v>12</v>
      </c>
      <c r="AA23" t="s">
        <v>12</v>
      </c>
      <c r="AB23" t="s">
        <v>12</v>
      </c>
      <c r="AC23" t="s">
        <v>12</v>
      </c>
      <c r="AD23" t="s">
        <v>12</v>
      </c>
    </row>
    <row r="24" spans="1:30">
      <c r="A24" t="s">
        <v>211</v>
      </c>
      <c r="B24" t="str">
        <f>Master_Data_Productivity[[#This Row],[Uniq-ID]]&amp;"-"&amp;Master_Data_Productivity[[#This Row],[Period]]</f>
        <v>DC-Document_Controller-017-M5</v>
      </c>
      <c r="C24" t="s">
        <v>212</v>
      </c>
      <c r="D24" t="s">
        <v>48</v>
      </c>
      <c r="E24" t="s">
        <v>28</v>
      </c>
      <c r="F24" t="s">
        <v>208</v>
      </c>
      <c r="G24" t="s">
        <v>15</v>
      </c>
      <c r="H24" t="s">
        <v>20</v>
      </c>
      <c r="I24">
        <v>1.6830000000000001</v>
      </c>
      <c r="J24">
        <v>1</v>
      </c>
      <c r="K24" t="s">
        <v>12</v>
      </c>
      <c r="L24" t="s">
        <v>3199</v>
      </c>
      <c r="M24" t="s">
        <v>2873</v>
      </c>
      <c r="O24">
        <v>421</v>
      </c>
      <c r="Q24" t="s">
        <v>8</v>
      </c>
      <c r="R24" t="s">
        <v>12</v>
      </c>
      <c r="S24" t="s">
        <v>12</v>
      </c>
      <c r="T24" t="s">
        <v>12</v>
      </c>
      <c r="U24" t="s">
        <v>12</v>
      </c>
      <c r="V24" t="s">
        <v>12</v>
      </c>
      <c r="W24" t="s">
        <v>12</v>
      </c>
      <c r="X24" t="s">
        <v>12</v>
      </c>
      <c r="Y24" t="s">
        <v>12</v>
      </c>
      <c r="Z24" t="s">
        <v>12</v>
      </c>
      <c r="AA24" t="s">
        <v>12</v>
      </c>
      <c r="AB24" t="s">
        <v>12</v>
      </c>
      <c r="AC24" t="s">
        <v>12</v>
      </c>
      <c r="AD24" t="s">
        <v>12</v>
      </c>
    </row>
    <row r="25" spans="1:30">
      <c r="A25" t="s">
        <v>211</v>
      </c>
      <c r="B25" t="str">
        <f>Master_Data_Productivity[[#This Row],[Uniq-ID]]&amp;"-"&amp;Master_Data_Productivity[[#This Row],[Period]]</f>
        <v>DC-Document_Controller-017-M6</v>
      </c>
      <c r="C25" t="s">
        <v>212</v>
      </c>
      <c r="D25" t="s">
        <v>48</v>
      </c>
      <c r="E25" t="s">
        <v>31</v>
      </c>
      <c r="F25" t="s">
        <v>210</v>
      </c>
      <c r="G25" t="s">
        <v>33</v>
      </c>
      <c r="H25" t="s">
        <v>44</v>
      </c>
      <c r="I25">
        <v>1.2999999999999999E-2</v>
      </c>
      <c r="J25">
        <v>0.5</v>
      </c>
      <c r="K25" t="s">
        <v>2871</v>
      </c>
      <c r="L25" t="s">
        <v>3192</v>
      </c>
      <c r="M25" t="s">
        <v>2873</v>
      </c>
      <c r="N25">
        <v>154</v>
      </c>
      <c r="O25">
        <v>2</v>
      </c>
      <c r="P25">
        <v>1.2999999999999999E-2</v>
      </c>
      <c r="Q25" t="s">
        <v>8</v>
      </c>
      <c r="R25" t="s">
        <v>12</v>
      </c>
      <c r="S25" t="s">
        <v>12</v>
      </c>
      <c r="T25" t="s">
        <v>12</v>
      </c>
      <c r="U25" t="s">
        <v>12</v>
      </c>
      <c r="V25" t="s">
        <v>12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</row>
    <row r="26" spans="1:30">
      <c r="A26" t="s">
        <v>185</v>
      </c>
      <c r="B26" t="str">
        <f>Master_Data_Productivity[[#This Row],[Uniq-ID]]&amp;"-"&amp;Master_Data_Productivity[[#This Row],[Period]]</f>
        <v>DC-Document_Controller-023-M1</v>
      </c>
      <c r="C26" t="s">
        <v>186</v>
      </c>
      <c r="D26" t="s">
        <v>76</v>
      </c>
      <c r="E26" t="s">
        <v>13</v>
      </c>
      <c r="F26" t="s">
        <v>14</v>
      </c>
      <c r="G26" t="s">
        <v>15</v>
      </c>
      <c r="H26" t="s">
        <v>16</v>
      </c>
      <c r="I26">
        <v>24.5</v>
      </c>
      <c r="J26">
        <v>1.5</v>
      </c>
      <c r="K26" t="s">
        <v>2887</v>
      </c>
      <c r="L26" t="s">
        <v>3019</v>
      </c>
      <c r="M26" t="s">
        <v>2916</v>
      </c>
      <c r="N26">
        <v>4</v>
      </c>
      <c r="O26">
        <v>98</v>
      </c>
      <c r="P26">
        <v>24.5</v>
      </c>
      <c r="Q26" t="s">
        <v>8</v>
      </c>
      <c r="R26" t="s">
        <v>12</v>
      </c>
      <c r="S26" t="s">
        <v>12</v>
      </c>
      <c r="T26" t="s">
        <v>12</v>
      </c>
      <c r="U26" t="s">
        <v>12</v>
      </c>
      <c r="V26" t="s">
        <v>12</v>
      </c>
      <c r="W26" t="s">
        <v>12</v>
      </c>
      <c r="X26" t="s">
        <v>12</v>
      </c>
      <c r="Y26" t="s">
        <v>12</v>
      </c>
      <c r="Z26" t="s">
        <v>12</v>
      </c>
      <c r="AA26" t="s">
        <v>12</v>
      </c>
      <c r="AB26" t="s">
        <v>12</v>
      </c>
      <c r="AC26" t="s">
        <v>12</v>
      </c>
      <c r="AD26" t="s">
        <v>12</v>
      </c>
    </row>
    <row r="27" spans="1:30">
      <c r="A27" t="s">
        <v>185</v>
      </c>
      <c r="B27" t="str">
        <f>Master_Data_Productivity[[#This Row],[Uniq-ID]]&amp;"-"&amp;Master_Data_Productivity[[#This Row],[Period]]</f>
        <v>DC-Document_Controller-023-M2</v>
      </c>
      <c r="C27" t="s">
        <v>186</v>
      </c>
      <c r="D27" t="s">
        <v>76</v>
      </c>
      <c r="E27" t="s">
        <v>18</v>
      </c>
      <c r="F27" t="s">
        <v>19</v>
      </c>
      <c r="G27" t="s">
        <v>15</v>
      </c>
      <c r="H27" t="s">
        <v>16</v>
      </c>
      <c r="I27">
        <v>5.032</v>
      </c>
      <c r="J27">
        <v>1.5</v>
      </c>
      <c r="K27" t="s">
        <v>3017</v>
      </c>
      <c r="L27" t="s">
        <v>3014</v>
      </c>
      <c r="M27" t="s">
        <v>2916</v>
      </c>
      <c r="N27">
        <v>31</v>
      </c>
      <c r="O27">
        <v>156</v>
      </c>
      <c r="P27">
        <v>5.0323000000000002</v>
      </c>
      <c r="Q27" t="s">
        <v>8</v>
      </c>
      <c r="R27" t="s">
        <v>12</v>
      </c>
      <c r="S27" t="s">
        <v>12</v>
      </c>
      <c r="T27" t="s">
        <v>12</v>
      </c>
      <c r="U27" t="s">
        <v>12</v>
      </c>
      <c r="V27" t="s">
        <v>12</v>
      </c>
      <c r="W27" t="s">
        <v>12</v>
      </c>
      <c r="X27" t="s">
        <v>12</v>
      </c>
      <c r="Y27" t="s">
        <v>12</v>
      </c>
      <c r="Z27" t="s">
        <v>12</v>
      </c>
      <c r="AA27" t="s">
        <v>12</v>
      </c>
      <c r="AB27" t="s">
        <v>12</v>
      </c>
      <c r="AC27" t="s">
        <v>12</v>
      </c>
      <c r="AD27" t="s">
        <v>12</v>
      </c>
    </row>
    <row r="28" spans="1:30">
      <c r="A28" t="s">
        <v>185</v>
      </c>
      <c r="B28" t="str">
        <f>Master_Data_Productivity[[#This Row],[Uniq-ID]]&amp;"-"&amp;Master_Data_Productivity[[#This Row],[Period]]</f>
        <v>DC-Document_Controller-023-M3</v>
      </c>
      <c r="C28" t="s">
        <v>186</v>
      </c>
      <c r="D28" t="s">
        <v>76</v>
      </c>
      <c r="E28" t="s">
        <v>22</v>
      </c>
      <c r="F28" t="s">
        <v>23</v>
      </c>
      <c r="G28" t="s">
        <v>15</v>
      </c>
      <c r="H28" t="s">
        <v>20</v>
      </c>
      <c r="I28">
        <v>1.516</v>
      </c>
      <c r="J28">
        <v>1</v>
      </c>
      <c r="K28" t="s">
        <v>3017</v>
      </c>
      <c r="L28" t="s">
        <v>3014</v>
      </c>
      <c r="M28" t="s">
        <v>2916</v>
      </c>
      <c r="O28">
        <v>47</v>
      </c>
      <c r="Q28" t="s">
        <v>8</v>
      </c>
      <c r="R28" t="s">
        <v>12</v>
      </c>
      <c r="S28" t="s">
        <v>12</v>
      </c>
      <c r="T28" t="s">
        <v>12</v>
      </c>
      <c r="U28" t="s">
        <v>12</v>
      </c>
      <c r="V28" t="s">
        <v>12</v>
      </c>
      <c r="W28" t="s">
        <v>12</v>
      </c>
      <c r="X28" t="s">
        <v>12</v>
      </c>
      <c r="Y28" t="s">
        <v>12</v>
      </c>
      <c r="Z28" t="s">
        <v>12</v>
      </c>
      <c r="AA28" t="s">
        <v>12</v>
      </c>
      <c r="AB28" t="s">
        <v>12</v>
      </c>
      <c r="AC28" t="s">
        <v>12</v>
      </c>
      <c r="AD28" t="s">
        <v>12</v>
      </c>
    </row>
    <row r="29" spans="1:30">
      <c r="A29" t="s">
        <v>185</v>
      </c>
      <c r="B29" t="str">
        <f>Master_Data_Productivity[[#This Row],[Uniq-ID]]&amp;"-"&amp;Master_Data_Productivity[[#This Row],[Period]]</f>
        <v>DC-Document_Controller-023-M3</v>
      </c>
      <c r="C29" t="s">
        <v>186</v>
      </c>
      <c r="D29" t="s">
        <v>76</v>
      </c>
      <c r="E29" t="s">
        <v>22</v>
      </c>
      <c r="F29" t="s">
        <v>23</v>
      </c>
      <c r="G29" t="s">
        <v>15</v>
      </c>
      <c r="H29" t="s">
        <v>20</v>
      </c>
      <c r="I29">
        <v>1.516</v>
      </c>
      <c r="J29">
        <v>1</v>
      </c>
      <c r="K29" t="s">
        <v>3017</v>
      </c>
      <c r="L29" t="s">
        <v>3014</v>
      </c>
      <c r="M29" t="s">
        <v>2916</v>
      </c>
      <c r="N29">
        <v>31</v>
      </c>
      <c r="O29">
        <v>47</v>
      </c>
      <c r="P29">
        <v>1.5161</v>
      </c>
      <c r="Q29" t="s">
        <v>8</v>
      </c>
      <c r="R29" t="s">
        <v>12</v>
      </c>
      <c r="S29" t="s">
        <v>12</v>
      </c>
      <c r="T29" t="s">
        <v>12</v>
      </c>
      <c r="U29" t="s">
        <v>12</v>
      </c>
      <c r="V29" t="s">
        <v>12</v>
      </c>
      <c r="W29" t="s">
        <v>12</v>
      </c>
      <c r="X29" t="s">
        <v>12</v>
      </c>
      <c r="Y29" t="s">
        <v>12</v>
      </c>
      <c r="Z29" t="s">
        <v>12</v>
      </c>
      <c r="AA29" t="s">
        <v>12</v>
      </c>
      <c r="AB29" t="s">
        <v>12</v>
      </c>
      <c r="AC29" t="s">
        <v>12</v>
      </c>
      <c r="AD29" t="s">
        <v>12</v>
      </c>
    </row>
    <row r="30" spans="1:30">
      <c r="A30" t="s">
        <v>185</v>
      </c>
      <c r="B30" t="str">
        <f>Master_Data_Productivity[[#This Row],[Uniq-ID]]&amp;"-"&amp;Master_Data_Productivity[[#This Row],[Period]]</f>
        <v>DC-Document_Controller-023-M3</v>
      </c>
      <c r="C30" t="s">
        <v>186</v>
      </c>
      <c r="D30" t="s">
        <v>76</v>
      </c>
      <c r="E30" t="s">
        <v>22</v>
      </c>
      <c r="F30" t="s">
        <v>23</v>
      </c>
      <c r="G30" t="s">
        <v>15</v>
      </c>
      <c r="H30" t="s">
        <v>20</v>
      </c>
      <c r="I30">
        <v>1.516</v>
      </c>
      <c r="J30">
        <v>1</v>
      </c>
      <c r="K30" t="s">
        <v>2887</v>
      </c>
      <c r="L30" t="s">
        <v>3014</v>
      </c>
      <c r="M30" t="s">
        <v>2916</v>
      </c>
      <c r="O30">
        <v>38</v>
      </c>
      <c r="Q30" t="s">
        <v>8</v>
      </c>
      <c r="R30" t="s">
        <v>12</v>
      </c>
      <c r="S30" t="s">
        <v>12</v>
      </c>
      <c r="T30" t="s">
        <v>12</v>
      </c>
      <c r="U30" t="s">
        <v>12</v>
      </c>
      <c r="V30" t="s">
        <v>12</v>
      </c>
      <c r="W30" t="s">
        <v>12</v>
      </c>
      <c r="X30" t="s">
        <v>12</v>
      </c>
      <c r="Y30" t="s">
        <v>12</v>
      </c>
      <c r="Z30" t="s">
        <v>12</v>
      </c>
      <c r="AA30" t="s">
        <v>12</v>
      </c>
      <c r="AB30" t="s">
        <v>12</v>
      </c>
      <c r="AC30" t="s">
        <v>12</v>
      </c>
      <c r="AD30" t="s">
        <v>12</v>
      </c>
    </row>
    <row r="31" spans="1:30">
      <c r="A31" t="s">
        <v>185</v>
      </c>
      <c r="B31" t="str">
        <f>Master_Data_Productivity[[#This Row],[Uniq-ID]]&amp;"-"&amp;Master_Data_Productivity[[#This Row],[Period]]</f>
        <v>DC-Document_Controller-023-M4</v>
      </c>
      <c r="C31" t="s">
        <v>186</v>
      </c>
      <c r="D31" t="s">
        <v>76</v>
      </c>
      <c r="E31" t="s">
        <v>25</v>
      </c>
      <c r="F31" t="s">
        <v>26</v>
      </c>
      <c r="G31" t="s">
        <v>15</v>
      </c>
      <c r="H31" t="s">
        <v>16</v>
      </c>
      <c r="I31">
        <v>43.25</v>
      </c>
      <c r="J31">
        <v>1.5</v>
      </c>
      <c r="K31" t="s">
        <v>2887</v>
      </c>
      <c r="L31" t="s">
        <v>3019</v>
      </c>
      <c r="M31" t="s">
        <v>2916</v>
      </c>
      <c r="N31">
        <v>4</v>
      </c>
      <c r="O31">
        <v>173</v>
      </c>
      <c r="P31">
        <v>43.25</v>
      </c>
      <c r="Q31" t="s">
        <v>8</v>
      </c>
      <c r="R31" t="s">
        <v>12</v>
      </c>
      <c r="S31" t="s">
        <v>12</v>
      </c>
      <c r="T31" t="s">
        <v>12</v>
      </c>
      <c r="U31" t="s">
        <v>12</v>
      </c>
      <c r="V31" t="s">
        <v>12</v>
      </c>
      <c r="W31" t="s">
        <v>12</v>
      </c>
      <c r="X31" t="s">
        <v>12</v>
      </c>
      <c r="Y31" t="s">
        <v>12</v>
      </c>
      <c r="Z31" t="s">
        <v>12</v>
      </c>
      <c r="AA31" t="s">
        <v>12</v>
      </c>
      <c r="AB31" t="s">
        <v>12</v>
      </c>
      <c r="AC31" t="s">
        <v>12</v>
      </c>
      <c r="AD31" t="s">
        <v>12</v>
      </c>
    </row>
    <row r="32" spans="1:30">
      <c r="A32" t="s">
        <v>185</v>
      </c>
      <c r="B32" t="str">
        <f>Master_Data_Productivity[[#This Row],[Uniq-ID]]&amp;"-"&amp;Master_Data_Productivity[[#This Row],[Period]]</f>
        <v>DC-Document_Controller-023-M5</v>
      </c>
      <c r="C32" t="s">
        <v>186</v>
      </c>
      <c r="D32" t="s">
        <v>76</v>
      </c>
      <c r="E32" t="s">
        <v>28</v>
      </c>
      <c r="F32" t="s">
        <v>29</v>
      </c>
      <c r="G32" t="s">
        <v>15</v>
      </c>
      <c r="H32" t="s">
        <v>16</v>
      </c>
      <c r="I32">
        <v>3.097</v>
      </c>
      <c r="J32">
        <v>1.5</v>
      </c>
      <c r="K32" t="s">
        <v>2879</v>
      </c>
      <c r="L32" t="s">
        <v>3014</v>
      </c>
      <c r="M32" t="s">
        <v>2916</v>
      </c>
      <c r="N32">
        <v>31</v>
      </c>
      <c r="O32">
        <v>96</v>
      </c>
      <c r="P32">
        <v>3.0968</v>
      </c>
      <c r="Q32" t="s">
        <v>8</v>
      </c>
      <c r="R32" t="s">
        <v>12</v>
      </c>
      <c r="S32" t="s">
        <v>12</v>
      </c>
      <c r="T32" t="s">
        <v>12</v>
      </c>
      <c r="U32" t="s">
        <v>12</v>
      </c>
      <c r="V32" t="s">
        <v>12</v>
      </c>
      <c r="W32" t="s">
        <v>12</v>
      </c>
      <c r="X32" t="s">
        <v>12</v>
      </c>
      <c r="Y32" t="s">
        <v>12</v>
      </c>
      <c r="Z32" t="s">
        <v>12</v>
      </c>
      <c r="AA32" t="s">
        <v>12</v>
      </c>
      <c r="AB32" t="s">
        <v>12</v>
      </c>
      <c r="AC32" t="s">
        <v>12</v>
      </c>
      <c r="AD32" t="s">
        <v>12</v>
      </c>
    </row>
    <row r="33" spans="1:30">
      <c r="A33" t="s">
        <v>185</v>
      </c>
      <c r="B33" t="str">
        <f>Master_Data_Productivity[[#This Row],[Uniq-ID]]&amp;"-"&amp;Master_Data_Productivity[[#This Row],[Period]]</f>
        <v>DC-Document_Controller-023-M6</v>
      </c>
      <c r="C33" t="s">
        <v>186</v>
      </c>
      <c r="D33" t="s">
        <v>76</v>
      </c>
      <c r="E33" t="s">
        <v>31</v>
      </c>
      <c r="F33" t="s">
        <v>32</v>
      </c>
      <c r="G33" t="s">
        <v>33</v>
      </c>
      <c r="H33" t="s">
        <v>44</v>
      </c>
      <c r="I33">
        <v>0</v>
      </c>
      <c r="K33" t="s">
        <v>12</v>
      </c>
      <c r="L33" t="s">
        <v>12</v>
      </c>
      <c r="M33" t="s">
        <v>12</v>
      </c>
      <c r="Q33" t="s">
        <v>8</v>
      </c>
      <c r="R33" t="s">
        <v>12</v>
      </c>
      <c r="S33" t="s">
        <v>12</v>
      </c>
      <c r="T33" t="s">
        <v>12</v>
      </c>
      <c r="U33" t="s">
        <v>12</v>
      </c>
      <c r="V33" t="s">
        <v>12</v>
      </c>
      <c r="W33" t="s">
        <v>12</v>
      </c>
      <c r="X33" t="s">
        <v>12</v>
      </c>
      <c r="Y33" t="s">
        <v>12</v>
      </c>
      <c r="Z33" t="s">
        <v>12</v>
      </c>
      <c r="AA33" t="s">
        <v>12</v>
      </c>
      <c r="AB33" t="s">
        <v>12</v>
      </c>
      <c r="AC33" t="s">
        <v>12</v>
      </c>
      <c r="AD33" t="s">
        <v>12</v>
      </c>
    </row>
    <row r="34" spans="1:30">
      <c r="A34" t="s">
        <v>192</v>
      </c>
      <c r="B34" t="str">
        <f>Master_Data_Productivity[[#This Row],[Uniq-ID]]&amp;"-"&amp;Master_Data_Productivity[[#This Row],[Period]]</f>
        <v>DC-Document_Controller-022-M1</v>
      </c>
      <c r="C34" t="s">
        <v>193</v>
      </c>
      <c r="D34" t="s">
        <v>112</v>
      </c>
      <c r="E34" t="s">
        <v>13</v>
      </c>
      <c r="F34" t="s">
        <v>14</v>
      </c>
      <c r="G34" t="s">
        <v>15</v>
      </c>
      <c r="H34" t="s">
        <v>16</v>
      </c>
      <c r="I34">
        <v>2.0179999999999998</v>
      </c>
      <c r="J34">
        <v>1.01</v>
      </c>
      <c r="K34" t="s">
        <v>2879</v>
      </c>
      <c r="L34" t="s">
        <v>2915</v>
      </c>
      <c r="M34" t="s">
        <v>2916</v>
      </c>
      <c r="N34">
        <v>308</v>
      </c>
      <c r="O34">
        <v>22</v>
      </c>
      <c r="P34">
        <v>7.1400000000000005E-2</v>
      </c>
      <c r="Q34" t="s">
        <v>8</v>
      </c>
      <c r="R34" t="s">
        <v>12</v>
      </c>
      <c r="S34" t="s">
        <v>12</v>
      </c>
      <c r="T34" t="s">
        <v>12</v>
      </c>
      <c r="U34" t="s">
        <v>12</v>
      </c>
      <c r="V34" t="s">
        <v>12</v>
      </c>
      <c r="W34" t="s">
        <v>12</v>
      </c>
      <c r="X34" t="s">
        <v>12</v>
      </c>
      <c r="Y34" t="s">
        <v>12</v>
      </c>
      <c r="Z34" t="s">
        <v>12</v>
      </c>
      <c r="AA34" t="s">
        <v>12</v>
      </c>
      <c r="AB34" t="s">
        <v>12</v>
      </c>
      <c r="AC34" t="s">
        <v>12</v>
      </c>
      <c r="AD34" t="s">
        <v>12</v>
      </c>
    </row>
    <row r="35" spans="1:30">
      <c r="A35" t="s">
        <v>192</v>
      </c>
      <c r="B35" t="str">
        <f>Master_Data_Productivity[[#This Row],[Uniq-ID]]&amp;"-"&amp;Master_Data_Productivity[[#This Row],[Period]]</f>
        <v>DC-Document_Controller-022-M1</v>
      </c>
      <c r="C35" t="s">
        <v>193</v>
      </c>
      <c r="D35" t="s">
        <v>112</v>
      </c>
      <c r="E35" t="s">
        <v>13</v>
      </c>
      <c r="F35" t="s">
        <v>14</v>
      </c>
      <c r="G35" t="s">
        <v>15</v>
      </c>
      <c r="H35" t="s">
        <v>16</v>
      </c>
      <c r="I35">
        <v>2.0179999999999998</v>
      </c>
      <c r="J35">
        <v>1.01</v>
      </c>
      <c r="K35" t="s">
        <v>2879</v>
      </c>
      <c r="L35" t="s">
        <v>2915</v>
      </c>
      <c r="M35" t="s">
        <v>2916</v>
      </c>
      <c r="N35">
        <v>26</v>
      </c>
      <c r="O35">
        <v>22</v>
      </c>
      <c r="P35">
        <v>0.84619999999999995</v>
      </c>
      <c r="Q35" t="s">
        <v>8</v>
      </c>
      <c r="R35" t="s">
        <v>12</v>
      </c>
      <c r="S35" t="s">
        <v>12</v>
      </c>
      <c r="T35" t="s">
        <v>12</v>
      </c>
      <c r="U35" t="s">
        <v>12</v>
      </c>
      <c r="V35" t="s">
        <v>12</v>
      </c>
      <c r="W35" t="s">
        <v>12</v>
      </c>
      <c r="X35" t="s">
        <v>12</v>
      </c>
      <c r="Y35" t="s">
        <v>12</v>
      </c>
      <c r="Z35" t="s">
        <v>12</v>
      </c>
      <c r="AA35" t="s">
        <v>12</v>
      </c>
      <c r="AB35" t="s">
        <v>12</v>
      </c>
      <c r="AC35" t="s">
        <v>12</v>
      </c>
      <c r="AD35" t="s">
        <v>12</v>
      </c>
    </row>
    <row r="36" spans="1:30">
      <c r="A36" t="s">
        <v>192</v>
      </c>
      <c r="B36" t="str">
        <f>Master_Data_Productivity[[#This Row],[Uniq-ID]]&amp;"-"&amp;Master_Data_Productivity[[#This Row],[Period]]</f>
        <v>DC-Document_Controller-022-M1</v>
      </c>
      <c r="C36" t="s">
        <v>193</v>
      </c>
      <c r="D36" t="s">
        <v>112</v>
      </c>
      <c r="E36" t="s">
        <v>13</v>
      </c>
      <c r="F36" t="s">
        <v>14</v>
      </c>
      <c r="G36" t="s">
        <v>15</v>
      </c>
      <c r="H36" t="s">
        <v>16</v>
      </c>
      <c r="I36">
        <v>2.0179999999999998</v>
      </c>
      <c r="J36">
        <v>1.01</v>
      </c>
      <c r="K36" t="s">
        <v>2879</v>
      </c>
      <c r="L36" t="s">
        <v>2915</v>
      </c>
      <c r="M36" t="s">
        <v>2916</v>
      </c>
      <c r="N36">
        <v>20</v>
      </c>
      <c r="O36">
        <v>22</v>
      </c>
      <c r="P36">
        <v>1.1000000000000001</v>
      </c>
      <c r="Q36" t="s">
        <v>8</v>
      </c>
      <c r="R36" t="s">
        <v>12</v>
      </c>
      <c r="S36" t="s">
        <v>12</v>
      </c>
      <c r="T36" t="s">
        <v>12</v>
      </c>
      <c r="U36" t="s">
        <v>12</v>
      </c>
      <c r="V36" t="s">
        <v>12</v>
      </c>
      <c r="W36" t="s">
        <v>12</v>
      </c>
      <c r="X36" t="s">
        <v>12</v>
      </c>
      <c r="Y36" t="s">
        <v>12</v>
      </c>
      <c r="Z36" t="s">
        <v>12</v>
      </c>
      <c r="AA36" t="s">
        <v>12</v>
      </c>
      <c r="AB36" t="s">
        <v>12</v>
      </c>
      <c r="AC36" t="s">
        <v>12</v>
      </c>
      <c r="AD36" t="s">
        <v>12</v>
      </c>
    </row>
    <row r="37" spans="1:30">
      <c r="A37" t="s">
        <v>192</v>
      </c>
      <c r="B37" t="str">
        <f>Master_Data_Productivity[[#This Row],[Uniq-ID]]&amp;"-"&amp;Master_Data_Productivity[[#This Row],[Period]]</f>
        <v>DC-Document_Controller-022-M2</v>
      </c>
      <c r="C37" t="s">
        <v>193</v>
      </c>
      <c r="D37" t="s">
        <v>112</v>
      </c>
      <c r="E37" t="s">
        <v>18</v>
      </c>
      <c r="F37" t="s">
        <v>19</v>
      </c>
      <c r="G37" t="s">
        <v>15</v>
      </c>
      <c r="H37" t="s">
        <v>20</v>
      </c>
      <c r="I37">
        <v>1.9259999999999999</v>
      </c>
      <c r="J37">
        <v>1</v>
      </c>
      <c r="K37" t="s">
        <v>2879</v>
      </c>
      <c r="L37" t="s">
        <v>2915</v>
      </c>
      <c r="M37" t="s">
        <v>2916</v>
      </c>
      <c r="N37">
        <v>20</v>
      </c>
      <c r="O37">
        <v>21</v>
      </c>
      <c r="P37">
        <v>1.05</v>
      </c>
      <c r="Q37" t="s">
        <v>8</v>
      </c>
      <c r="R37" t="s">
        <v>12</v>
      </c>
      <c r="S37" t="s">
        <v>12</v>
      </c>
      <c r="T37" t="s">
        <v>12</v>
      </c>
      <c r="U37" t="s">
        <v>12</v>
      </c>
      <c r="V37" t="s">
        <v>12</v>
      </c>
      <c r="W37" t="s">
        <v>12</v>
      </c>
      <c r="X37" t="s">
        <v>12</v>
      </c>
      <c r="Y37" t="s">
        <v>12</v>
      </c>
      <c r="Z37" t="s">
        <v>12</v>
      </c>
      <c r="AA37" t="s">
        <v>12</v>
      </c>
      <c r="AB37" t="s">
        <v>12</v>
      </c>
      <c r="AC37" t="s">
        <v>12</v>
      </c>
      <c r="AD37" t="s">
        <v>12</v>
      </c>
    </row>
    <row r="38" spans="1:30">
      <c r="A38" t="s">
        <v>192</v>
      </c>
      <c r="B38" t="str">
        <f>Master_Data_Productivity[[#This Row],[Uniq-ID]]&amp;"-"&amp;Master_Data_Productivity[[#This Row],[Period]]</f>
        <v>DC-Document_Controller-022-M2</v>
      </c>
      <c r="C38" t="s">
        <v>193</v>
      </c>
      <c r="D38" t="s">
        <v>112</v>
      </c>
      <c r="E38" t="s">
        <v>18</v>
      </c>
      <c r="F38" t="s">
        <v>19</v>
      </c>
      <c r="G38" t="s">
        <v>15</v>
      </c>
      <c r="H38" t="s">
        <v>20</v>
      </c>
      <c r="I38">
        <v>1.9259999999999999</v>
      </c>
      <c r="J38">
        <v>1</v>
      </c>
      <c r="K38" t="s">
        <v>2879</v>
      </c>
      <c r="L38" t="s">
        <v>2915</v>
      </c>
      <c r="M38" t="s">
        <v>2916</v>
      </c>
      <c r="N38">
        <v>26</v>
      </c>
      <c r="O38">
        <v>21</v>
      </c>
      <c r="P38">
        <v>0.80769999999999997</v>
      </c>
      <c r="Q38" t="s">
        <v>8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</row>
    <row r="39" spans="1:30">
      <c r="A39" t="s">
        <v>192</v>
      </c>
      <c r="B39" t="str">
        <f>Master_Data_Productivity[[#This Row],[Uniq-ID]]&amp;"-"&amp;Master_Data_Productivity[[#This Row],[Period]]</f>
        <v>DC-Document_Controller-022-M2</v>
      </c>
      <c r="C39" t="s">
        <v>193</v>
      </c>
      <c r="D39" t="s">
        <v>112</v>
      </c>
      <c r="E39" t="s">
        <v>18</v>
      </c>
      <c r="F39" t="s">
        <v>19</v>
      </c>
      <c r="G39" t="s">
        <v>15</v>
      </c>
      <c r="H39" t="s">
        <v>20</v>
      </c>
      <c r="I39">
        <v>1.9259999999999999</v>
      </c>
      <c r="J39">
        <v>1</v>
      </c>
      <c r="K39" t="s">
        <v>2879</v>
      </c>
      <c r="L39" t="s">
        <v>2915</v>
      </c>
      <c r="M39" t="s">
        <v>2916</v>
      </c>
      <c r="N39">
        <v>308</v>
      </c>
      <c r="O39">
        <v>21</v>
      </c>
      <c r="P39">
        <v>6.8199999999999997E-2</v>
      </c>
      <c r="Q39" t="s">
        <v>8</v>
      </c>
      <c r="R39" t="s">
        <v>12</v>
      </c>
      <c r="S39" t="s">
        <v>12</v>
      </c>
      <c r="T39" t="s">
        <v>12</v>
      </c>
      <c r="U39" t="s">
        <v>12</v>
      </c>
      <c r="V39" t="s">
        <v>12</v>
      </c>
      <c r="W39" t="s">
        <v>12</v>
      </c>
      <c r="X39" t="s">
        <v>12</v>
      </c>
      <c r="Y39" t="s">
        <v>12</v>
      </c>
      <c r="Z39" t="s">
        <v>12</v>
      </c>
      <c r="AA39" t="s">
        <v>12</v>
      </c>
      <c r="AB39" t="s">
        <v>12</v>
      </c>
      <c r="AC39" t="s">
        <v>12</v>
      </c>
      <c r="AD39" t="s">
        <v>12</v>
      </c>
    </row>
    <row r="40" spans="1:30">
      <c r="A40" t="s">
        <v>192</v>
      </c>
      <c r="B40" t="str">
        <f>Master_Data_Productivity[[#This Row],[Uniq-ID]]&amp;"-"&amp;Master_Data_Productivity[[#This Row],[Period]]</f>
        <v>DC-Document_Controller-022-M3</v>
      </c>
      <c r="C40" t="s">
        <v>193</v>
      </c>
      <c r="D40" t="s">
        <v>112</v>
      </c>
      <c r="E40" t="s">
        <v>22</v>
      </c>
      <c r="F40" t="s">
        <v>23</v>
      </c>
      <c r="G40" t="s">
        <v>15</v>
      </c>
      <c r="H40" t="s">
        <v>44</v>
      </c>
      <c r="I40">
        <v>0.82499999999999996</v>
      </c>
      <c r="J40">
        <v>0.83</v>
      </c>
      <c r="K40" t="s">
        <v>2879</v>
      </c>
      <c r="L40" t="s">
        <v>2915</v>
      </c>
      <c r="M40" t="s">
        <v>2916</v>
      </c>
      <c r="N40">
        <v>26</v>
      </c>
      <c r="O40">
        <v>9</v>
      </c>
      <c r="P40">
        <v>0.34620000000000001</v>
      </c>
      <c r="Q40" t="s">
        <v>8</v>
      </c>
      <c r="R40" t="s">
        <v>12</v>
      </c>
      <c r="S40" t="s">
        <v>12</v>
      </c>
      <c r="T40" t="s">
        <v>12</v>
      </c>
      <c r="U40" t="s">
        <v>12</v>
      </c>
      <c r="V40" t="s">
        <v>12</v>
      </c>
      <c r="W40" t="s">
        <v>12</v>
      </c>
      <c r="X40" t="s">
        <v>12</v>
      </c>
      <c r="Y40" t="s">
        <v>12</v>
      </c>
      <c r="Z40" t="s">
        <v>12</v>
      </c>
      <c r="AA40" t="s">
        <v>12</v>
      </c>
      <c r="AB40" t="s">
        <v>12</v>
      </c>
      <c r="AC40" t="s">
        <v>12</v>
      </c>
      <c r="AD40" t="s">
        <v>12</v>
      </c>
    </row>
    <row r="41" spans="1:30">
      <c r="A41" t="s">
        <v>192</v>
      </c>
      <c r="B41" t="str">
        <f>Master_Data_Productivity[[#This Row],[Uniq-ID]]&amp;"-"&amp;Master_Data_Productivity[[#This Row],[Period]]</f>
        <v>DC-Document_Controller-022-M3</v>
      </c>
      <c r="C41" t="s">
        <v>193</v>
      </c>
      <c r="D41" t="s">
        <v>112</v>
      </c>
      <c r="E41" t="s">
        <v>22</v>
      </c>
      <c r="F41" t="s">
        <v>23</v>
      </c>
      <c r="G41" t="s">
        <v>15</v>
      </c>
      <c r="H41" t="s">
        <v>44</v>
      </c>
      <c r="I41">
        <v>0.82499999999999996</v>
      </c>
      <c r="J41">
        <v>0.83</v>
      </c>
      <c r="K41" t="s">
        <v>2879</v>
      </c>
      <c r="L41" t="s">
        <v>2915</v>
      </c>
      <c r="M41" t="s">
        <v>2916</v>
      </c>
      <c r="N41">
        <v>20</v>
      </c>
      <c r="O41">
        <v>9</v>
      </c>
      <c r="P41">
        <v>0.45</v>
      </c>
      <c r="Q41" t="s">
        <v>8</v>
      </c>
      <c r="R41" t="s">
        <v>12</v>
      </c>
      <c r="S41" t="s">
        <v>12</v>
      </c>
      <c r="T41" t="s">
        <v>12</v>
      </c>
      <c r="U41" t="s">
        <v>12</v>
      </c>
      <c r="V41" t="s">
        <v>12</v>
      </c>
      <c r="W41" t="s">
        <v>12</v>
      </c>
      <c r="X41" t="s">
        <v>12</v>
      </c>
      <c r="Y41" t="s">
        <v>12</v>
      </c>
      <c r="Z41" t="s">
        <v>12</v>
      </c>
      <c r="AA41" t="s">
        <v>12</v>
      </c>
      <c r="AB41" t="s">
        <v>12</v>
      </c>
      <c r="AC41" t="s">
        <v>12</v>
      </c>
      <c r="AD41" t="s">
        <v>12</v>
      </c>
    </row>
    <row r="42" spans="1:30">
      <c r="A42" t="s">
        <v>192</v>
      </c>
      <c r="B42" t="str">
        <f>Master_Data_Productivity[[#This Row],[Uniq-ID]]&amp;"-"&amp;Master_Data_Productivity[[#This Row],[Period]]</f>
        <v>DC-Document_Controller-022-M3</v>
      </c>
      <c r="C42" t="s">
        <v>193</v>
      </c>
      <c r="D42" t="s">
        <v>112</v>
      </c>
      <c r="E42" t="s">
        <v>22</v>
      </c>
      <c r="F42" t="s">
        <v>23</v>
      </c>
      <c r="G42" t="s">
        <v>15</v>
      </c>
      <c r="H42" t="s">
        <v>44</v>
      </c>
      <c r="I42">
        <v>0.82499999999999996</v>
      </c>
      <c r="J42">
        <v>0.83</v>
      </c>
      <c r="K42" t="s">
        <v>2879</v>
      </c>
      <c r="L42" t="s">
        <v>2915</v>
      </c>
      <c r="M42" t="s">
        <v>2916</v>
      </c>
      <c r="N42">
        <v>308</v>
      </c>
      <c r="O42">
        <v>9</v>
      </c>
      <c r="P42">
        <v>2.92E-2</v>
      </c>
      <c r="Q42" t="s">
        <v>8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</row>
    <row r="43" spans="1:30">
      <c r="A43" t="s">
        <v>192</v>
      </c>
      <c r="B43" t="str">
        <f>Master_Data_Productivity[[#This Row],[Uniq-ID]]&amp;"-"&amp;Master_Data_Productivity[[#This Row],[Period]]</f>
        <v>DC-Document_Controller-022-M4</v>
      </c>
      <c r="C43" t="s">
        <v>193</v>
      </c>
      <c r="D43" t="s">
        <v>112</v>
      </c>
      <c r="E43" t="s">
        <v>25</v>
      </c>
      <c r="F43" t="s">
        <v>26</v>
      </c>
      <c r="G43" t="s">
        <v>15</v>
      </c>
      <c r="H43" t="s">
        <v>16</v>
      </c>
      <c r="I43">
        <v>3.3010000000000002</v>
      </c>
      <c r="J43">
        <v>1.5</v>
      </c>
      <c r="K43" t="s">
        <v>2879</v>
      </c>
      <c r="L43" t="s">
        <v>2915</v>
      </c>
      <c r="M43" t="s">
        <v>2916</v>
      </c>
      <c r="N43">
        <v>20</v>
      </c>
      <c r="O43">
        <v>36</v>
      </c>
      <c r="P43">
        <v>1.8</v>
      </c>
      <c r="Q43" t="s">
        <v>8</v>
      </c>
      <c r="R43" t="s">
        <v>12</v>
      </c>
      <c r="S43" t="s">
        <v>12</v>
      </c>
      <c r="T43" t="s">
        <v>12</v>
      </c>
      <c r="U43" t="s">
        <v>12</v>
      </c>
      <c r="V43" t="s">
        <v>12</v>
      </c>
      <c r="W43" t="s">
        <v>12</v>
      </c>
      <c r="X43" t="s">
        <v>12</v>
      </c>
      <c r="Y43" t="s">
        <v>12</v>
      </c>
      <c r="Z43" t="s">
        <v>12</v>
      </c>
      <c r="AA43" t="s">
        <v>12</v>
      </c>
      <c r="AB43" t="s">
        <v>12</v>
      </c>
      <c r="AC43" t="s">
        <v>12</v>
      </c>
      <c r="AD43" t="s">
        <v>12</v>
      </c>
    </row>
    <row r="44" spans="1:30">
      <c r="A44" t="s">
        <v>192</v>
      </c>
      <c r="B44" t="str">
        <f>Master_Data_Productivity[[#This Row],[Uniq-ID]]&amp;"-"&amp;Master_Data_Productivity[[#This Row],[Period]]</f>
        <v>DC-Document_Controller-022-M4</v>
      </c>
      <c r="C44" t="s">
        <v>193</v>
      </c>
      <c r="D44" t="s">
        <v>112</v>
      </c>
      <c r="E44" t="s">
        <v>25</v>
      </c>
      <c r="F44" t="s">
        <v>26</v>
      </c>
      <c r="G44" t="s">
        <v>15</v>
      </c>
      <c r="H44" t="s">
        <v>16</v>
      </c>
      <c r="I44">
        <v>3.3010000000000002</v>
      </c>
      <c r="J44">
        <v>1.5</v>
      </c>
      <c r="K44" t="s">
        <v>2879</v>
      </c>
      <c r="L44" t="s">
        <v>2915</v>
      </c>
      <c r="M44" t="s">
        <v>2916</v>
      </c>
      <c r="N44">
        <v>26</v>
      </c>
      <c r="O44">
        <v>36</v>
      </c>
      <c r="P44">
        <v>1.3846000000000001</v>
      </c>
      <c r="Q44" t="s">
        <v>8</v>
      </c>
      <c r="R44" t="s">
        <v>12</v>
      </c>
      <c r="S44" t="s">
        <v>12</v>
      </c>
      <c r="T44" t="s">
        <v>12</v>
      </c>
      <c r="U44" t="s">
        <v>12</v>
      </c>
      <c r="V44" t="s">
        <v>12</v>
      </c>
      <c r="W44" t="s">
        <v>12</v>
      </c>
      <c r="X44" t="s">
        <v>12</v>
      </c>
      <c r="Y44" t="s">
        <v>12</v>
      </c>
      <c r="Z44" t="s">
        <v>12</v>
      </c>
      <c r="AA44" t="s">
        <v>12</v>
      </c>
      <c r="AB44" t="s">
        <v>12</v>
      </c>
      <c r="AC44" t="s">
        <v>12</v>
      </c>
      <c r="AD44" t="s">
        <v>12</v>
      </c>
    </row>
    <row r="45" spans="1:30">
      <c r="A45" t="s">
        <v>192</v>
      </c>
      <c r="B45" t="str">
        <f>Master_Data_Productivity[[#This Row],[Uniq-ID]]&amp;"-"&amp;Master_Data_Productivity[[#This Row],[Period]]</f>
        <v>DC-Document_Controller-022-M4</v>
      </c>
      <c r="C45" t="s">
        <v>193</v>
      </c>
      <c r="D45" t="s">
        <v>112</v>
      </c>
      <c r="E45" t="s">
        <v>25</v>
      </c>
      <c r="F45" t="s">
        <v>26</v>
      </c>
      <c r="G45" t="s">
        <v>15</v>
      </c>
      <c r="H45" t="s">
        <v>16</v>
      </c>
      <c r="I45">
        <v>3.3010000000000002</v>
      </c>
      <c r="J45">
        <v>1.5</v>
      </c>
      <c r="K45" t="s">
        <v>2879</v>
      </c>
      <c r="L45" t="s">
        <v>2915</v>
      </c>
      <c r="M45" t="s">
        <v>2916</v>
      </c>
      <c r="N45">
        <v>308</v>
      </c>
      <c r="O45">
        <v>36</v>
      </c>
      <c r="P45">
        <v>0.1169</v>
      </c>
      <c r="Q45" t="s">
        <v>8</v>
      </c>
      <c r="R45" t="s">
        <v>12</v>
      </c>
      <c r="S45" t="s">
        <v>12</v>
      </c>
      <c r="T45" t="s">
        <v>12</v>
      </c>
      <c r="U45" t="s">
        <v>12</v>
      </c>
      <c r="V45" t="s">
        <v>12</v>
      </c>
      <c r="W45" t="s">
        <v>12</v>
      </c>
      <c r="X45" t="s">
        <v>12</v>
      </c>
      <c r="Y45" t="s">
        <v>12</v>
      </c>
      <c r="Z45" t="s">
        <v>12</v>
      </c>
      <c r="AA45" t="s">
        <v>12</v>
      </c>
      <c r="AB45" t="s">
        <v>12</v>
      </c>
      <c r="AC45" t="s">
        <v>12</v>
      </c>
      <c r="AD45" t="s">
        <v>12</v>
      </c>
    </row>
    <row r="46" spans="1:30">
      <c r="A46" t="s">
        <v>192</v>
      </c>
      <c r="B46" t="str">
        <f>Master_Data_Productivity[[#This Row],[Uniq-ID]]&amp;"-"&amp;Master_Data_Productivity[[#This Row],[Period]]</f>
        <v>DC-Document_Controller-022-M5</v>
      </c>
      <c r="C46" t="s">
        <v>193</v>
      </c>
      <c r="D46" t="s">
        <v>112</v>
      </c>
      <c r="E46" t="s">
        <v>28</v>
      </c>
      <c r="F46" t="s">
        <v>29</v>
      </c>
      <c r="G46" t="s">
        <v>15</v>
      </c>
      <c r="H46" t="s">
        <v>44</v>
      </c>
      <c r="I46">
        <v>0</v>
      </c>
      <c r="K46" t="s">
        <v>12</v>
      </c>
      <c r="L46" t="s">
        <v>12</v>
      </c>
      <c r="M46" t="s">
        <v>12</v>
      </c>
      <c r="Q46" t="s">
        <v>8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</row>
    <row r="47" spans="1:30">
      <c r="A47" t="s">
        <v>192</v>
      </c>
      <c r="B47" t="str">
        <f>Master_Data_Productivity[[#This Row],[Uniq-ID]]&amp;"-"&amp;Master_Data_Productivity[[#This Row],[Period]]</f>
        <v>DC-Document_Controller-022-M6</v>
      </c>
      <c r="C47" t="s">
        <v>193</v>
      </c>
      <c r="D47" t="s">
        <v>112</v>
      </c>
      <c r="E47" t="s">
        <v>31</v>
      </c>
      <c r="F47" t="s">
        <v>32</v>
      </c>
      <c r="G47" t="s">
        <v>33</v>
      </c>
      <c r="H47" t="s">
        <v>44</v>
      </c>
      <c r="I47">
        <v>0</v>
      </c>
      <c r="K47" t="s">
        <v>12</v>
      </c>
      <c r="L47" t="s">
        <v>12</v>
      </c>
      <c r="M47" t="s">
        <v>12</v>
      </c>
      <c r="Q47" t="s">
        <v>8</v>
      </c>
      <c r="R47" t="s">
        <v>12</v>
      </c>
      <c r="S47" t="s">
        <v>12</v>
      </c>
      <c r="T47" t="s">
        <v>12</v>
      </c>
      <c r="U47" t="s">
        <v>12</v>
      </c>
      <c r="V47" t="s">
        <v>12</v>
      </c>
      <c r="W47" t="s">
        <v>12</v>
      </c>
      <c r="X47" t="s">
        <v>12</v>
      </c>
      <c r="Y47" t="s">
        <v>12</v>
      </c>
      <c r="Z47" t="s">
        <v>12</v>
      </c>
      <c r="AA47" t="s">
        <v>12</v>
      </c>
      <c r="AB47" t="s">
        <v>12</v>
      </c>
      <c r="AC47" t="s">
        <v>12</v>
      </c>
      <c r="AD47" t="s">
        <v>12</v>
      </c>
    </row>
    <row r="48" spans="1:30">
      <c r="A48" t="s">
        <v>9</v>
      </c>
      <c r="B48" t="str">
        <f>Master_Data_Productivity[[#This Row],[Uniq-ID]]&amp;"-"&amp;Master_Data_Productivity[[#This Row],[Period]]</f>
        <v>DC-Document_Controller-021-M1</v>
      </c>
      <c r="C48" t="s">
        <v>10</v>
      </c>
      <c r="D48" t="s">
        <v>11</v>
      </c>
      <c r="E48" t="s">
        <v>13</v>
      </c>
      <c r="F48" t="s">
        <v>14</v>
      </c>
      <c r="G48" t="s">
        <v>15</v>
      </c>
      <c r="H48" t="s">
        <v>16</v>
      </c>
      <c r="I48">
        <v>2.7229999999999999</v>
      </c>
      <c r="J48">
        <v>1.36</v>
      </c>
      <c r="K48" t="s">
        <v>2871</v>
      </c>
      <c r="L48" t="s">
        <v>2875</v>
      </c>
      <c r="M48" t="s">
        <v>2873</v>
      </c>
      <c r="N48">
        <v>36</v>
      </c>
      <c r="O48">
        <v>2</v>
      </c>
      <c r="P48">
        <v>5.5599999999999997E-2</v>
      </c>
      <c r="Q48" t="s">
        <v>8</v>
      </c>
      <c r="R48" t="s">
        <v>12</v>
      </c>
      <c r="S48" t="s">
        <v>12</v>
      </c>
      <c r="T48" t="s">
        <v>12</v>
      </c>
      <c r="U48" t="s">
        <v>12</v>
      </c>
      <c r="V48" t="s">
        <v>12</v>
      </c>
      <c r="W48" t="s">
        <v>12</v>
      </c>
      <c r="X48" t="s">
        <v>12</v>
      </c>
      <c r="Y48" t="s">
        <v>12</v>
      </c>
      <c r="Z48" t="s">
        <v>12</v>
      </c>
      <c r="AA48" t="s">
        <v>12</v>
      </c>
      <c r="AB48" t="s">
        <v>12</v>
      </c>
      <c r="AC48" t="s">
        <v>12</v>
      </c>
      <c r="AD48" t="s">
        <v>12</v>
      </c>
    </row>
    <row r="49" spans="1:30">
      <c r="A49" t="s">
        <v>9</v>
      </c>
      <c r="B49" t="str">
        <f>Master_Data_Productivity[[#This Row],[Uniq-ID]]&amp;"-"&amp;Master_Data_Productivity[[#This Row],[Period]]</f>
        <v>DC-Document_Controller-021-M1</v>
      </c>
      <c r="C49" t="s">
        <v>10</v>
      </c>
      <c r="D49" t="s">
        <v>11</v>
      </c>
      <c r="E49" t="s">
        <v>13</v>
      </c>
      <c r="F49" t="s">
        <v>14</v>
      </c>
      <c r="G49" t="s">
        <v>15</v>
      </c>
      <c r="H49" t="s">
        <v>16</v>
      </c>
      <c r="I49">
        <v>2.7229999999999999</v>
      </c>
      <c r="J49">
        <v>1.36</v>
      </c>
      <c r="K49" t="s">
        <v>2871</v>
      </c>
      <c r="L49" t="s">
        <v>2872</v>
      </c>
      <c r="M49" t="s">
        <v>2873</v>
      </c>
      <c r="N49">
        <v>35</v>
      </c>
      <c r="O49">
        <v>2</v>
      </c>
      <c r="P49">
        <v>5.7099999999999998E-2</v>
      </c>
      <c r="Q49" t="s">
        <v>8</v>
      </c>
      <c r="R49" t="s">
        <v>12</v>
      </c>
      <c r="S49" t="s">
        <v>12</v>
      </c>
      <c r="T49" t="s">
        <v>12</v>
      </c>
      <c r="U49" t="s">
        <v>12</v>
      </c>
      <c r="V49" t="s">
        <v>12</v>
      </c>
      <c r="W49" t="s">
        <v>12</v>
      </c>
      <c r="X49" t="s">
        <v>12</v>
      </c>
      <c r="Y49" t="s">
        <v>12</v>
      </c>
      <c r="Z49" t="s">
        <v>12</v>
      </c>
      <c r="AA49" t="s">
        <v>12</v>
      </c>
      <c r="AB49" t="s">
        <v>12</v>
      </c>
      <c r="AC49" t="s">
        <v>12</v>
      </c>
      <c r="AD49" t="s">
        <v>12</v>
      </c>
    </row>
    <row r="50" spans="1:30">
      <c r="A50" t="s">
        <v>9</v>
      </c>
      <c r="B50" t="str">
        <f>Master_Data_Productivity[[#This Row],[Uniq-ID]]&amp;"-"&amp;Master_Data_Productivity[[#This Row],[Period]]</f>
        <v>DC-Document_Controller-021-M1</v>
      </c>
      <c r="C50" t="s">
        <v>10</v>
      </c>
      <c r="D50" t="s">
        <v>11</v>
      </c>
      <c r="E50" t="s">
        <v>13</v>
      </c>
      <c r="F50" t="s">
        <v>14</v>
      </c>
      <c r="G50" t="s">
        <v>15</v>
      </c>
      <c r="H50" t="s">
        <v>16</v>
      </c>
      <c r="I50">
        <v>2.7229999999999999</v>
      </c>
      <c r="J50">
        <v>1.36</v>
      </c>
      <c r="K50" t="s">
        <v>2871</v>
      </c>
      <c r="L50" t="s">
        <v>2877</v>
      </c>
      <c r="M50" t="s">
        <v>2873</v>
      </c>
      <c r="N50">
        <v>32</v>
      </c>
      <c r="O50">
        <v>54</v>
      </c>
      <c r="P50">
        <v>1.6875</v>
      </c>
      <c r="Q50" t="s">
        <v>8</v>
      </c>
      <c r="R50" t="s">
        <v>12</v>
      </c>
      <c r="S50" t="s">
        <v>12</v>
      </c>
      <c r="T50" t="s">
        <v>12</v>
      </c>
      <c r="U50" t="s">
        <v>12</v>
      </c>
      <c r="V50" t="s">
        <v>12</v>
      </c>
      <c r="W50" t="s">
        <v>12</v>
      </c>
      <c r="X50" t="s">
        <v>12</v>
      </c>
      <c r="Y50" t="s">
        <v>12</v>
      </c>
      <c r="Z50" t="s">
        <v>12</v>
      </c>
      <c r="AA50" t="s">
        <v>12</v>
      </c>
      <c r="AB50" t="s">
        <v>12</v>
      </c>
      <c r="AC50" t="s">
        <v>12</v>
      </c>
      <c r="AD50" t="s">
        <v>12</v>
      </c>
    </row>
    <row r="51" spans="1:30">
      <c r="A51" t="s">
        <v>9</v>
      </c>
      <c r="B51" t="str">
        <f>Master_Data_Productivity[[#This Row],[Uniq-ID]]&amp;"-"&amp;Master_Data_Productivity[[#This Row],[Period]]</f>
        <v>DC-Document_Controller-021-M1</v>
      </c>
      <c r="C51" t="s">
        <v>10</v>
      </c>
      <c r="D51" t="s">
        <v>11</v>
      </c>
      <c r="E51" t="s">
        <v>13</v>
      </c>
      <c r="F51" t="s">
        <v>14</v>
      </c>
      <c r="G51" t="s">
        <v>15</v>
      </c>
      <c r="H51" t="s">
        <v>16</v>
      </c>
      <c r="I51">
        <v>2.7229999999999999</v>
      </c>
      <c r="J51">
        <v>1.36</v>
      </c>
      <c r="K51" t="s">
        <v>2879</v>
      </c>
      <c r="L51" t="s">
        <v>2880</v>
      </c>
      <c r="M51" t="s">
        <v>2873</v>
      </c>
      <c r="N51">
        <v>13</v>
      </c>
      <c r="O51">
        <v>12</v>
      </c>
      <c r="P51">
        <v>0.92310000000000003</v>
      </c>
      <c r="Q51" t="s">
        <v>8</v>
      </c>
      <c r="R51" t="s">
        <v>12</v>
      </c>
      <c r="S51" t="s">
        <v>12</v>
      </c>
      <c r="T51" t="s">
        <v>12</v>
      </c>
      <c r="U51" t="s">
        <v>12</v>
      </c>
      <c r="V51" t="s">
        <v>12</v>
      </c>
      <c r="W51" t="s">
        <v>12</v>
      </c>
      <c r="X51" t="s">
        <v>12</v>
      </c>
      <c r="Y51" t="s">
        <v>12</v>
      </c>
      <c r="Z51" t="s">
        <v>12</v>
      </c>
      <c r="AA51" t="s">
        <v>12</v>
      </c>
      <c r="AB51" t="s">
        <v>12</v>
      </c>
      <c r="AC51" t="s">
        <v>12</v>
      </c>
      <c r="AD51" t="s">
        <v>12</v>
      </c>
    </row>
    <row r="52" spans="1:30">
      <c r="A52" t="s">
        <v>9</v>
      </c>
      <c r="B52" t="str">
        <f>Master_Data_Productivity[[#This Row],[Uniq-ID]]&amp;"-"&amp;Master_Data_Productivity[[#This Row],[Period]]</f>
        <v>DC-Document_Controller-021-M2</v>
      </c>
      <c r="C52" t="s">
        <v>10</v>
      </c>
      <c r="D52" t="s">
        <v>11</v>
      </c>
      <c r="E52" t="s">
        <v>18</v>
      </c>
      <c r="F52" t="s">
        <v>19</v>
      </c>
      <c r="G52" t="s">
        <v>15</v>
      </c>
      <c r="H52" t="s">
        <v>20</v>
      </c>
      <c r="I52">
        <v>1.9510000000000001</v>
      </c>
      <c r="J52">
        <v>1</v>
      </c>
      <c r="K52" t="s">
        <v>2871</v>
      </c>
      <c r="L52" t="s">
        <v>2875</v>
      </c>
      <c r="M52" t="s">
        <v>2873</v>
      </c>
      <c r="N52">
        <v>36</v>
      </c>
      <c r="O52">
        <v>19</v>
      </c>
      <c r="P52">
        <v>0.52780000000000005</v>
      </c>
      <c r="Q52" t="s">
        <v>8</v>
      </c>
      <c r="R52" t="s">
        <v>12</v>
      </c>
      <c r="S52" t="s">
        <v>12</v>
      </c>
      <c r="T52" t="s">
        <v>12</v>
      </c>
      <c r="U52" t="s">
        <v>12</v>
      </c>
      <c r="V52" t="s">
        <v>12</v>
      </c>
      <c r="W52" t="s">
        <v>12</v>
      </c>
      <c r="X52" t="s">
        <v>12</v>
      </c>
      <c r="Y52" t="s">
        <v>12</v>
      </c>
      <c r="Z52" t="s">
        <v>12</v>
      </c>
      <c r="AA52" t="s">
        <v>12</v>
      </c>
      <c r="AB52" t="s">
        <v>12</v>
      </c>
      <c r="AC52" t="s">
        <v>12</v>
      </c>
      <c r="AD52" t="s">
        <v>12</v>
      </c>
    </row>
    <row r="53" spans="1:30">
      <c r="A53" t="s">
        <v>9</v>
      </c>
      <c r="B53" t="str">
        <f>Master_Data_Productivity[[#This Row],[Uniq-ID]]&amp;"-"&amp;Master_Data_Productivity[[#This Row],[Period]]</f>
        <v>DC-Document_Controller-021-M2</v>
      </c>
      <c r="C53" t="s">
        <v>10</v>
      </c>
      <c r="D53" t="s">
        <v>11</v>
      </c>
      <c r="E53" t="s">
        <v>18</v>
      </c>
      <c r="F53" t="s">
        <v>19</v>
      </c>
      <c r="G53" t="s">
        <v>15</v>
      </c>
      <c r="H53" t="s">
        <v>20</v>
      </c>
      <c r="I53">
        <v>1.9510000000000001</v>
      </c>
      <c r="J53">
        <v>1</v>
      </c>
      <c r="K53" t="s">
        <v>2871</v>
      </c>
      <c r="L53" t="s">
        <v>2872</v>
      </c>
      <c r="M53" t="s">
        <v>2873</v>
      </c>
      <c r="N53">
        <v>35</v>
      </c>
      <c r="O53">
        <v>17</v>
      </c>
      <c r="P53">
        <v>0.48570000000000002</v>
      </c>
      <c r="Q53" t="s">
        <v>8</v>
      </c>
      <c r="R53" t="s">
        <v>12</v>
      </c>
      <c r="S53" t="s">
        <v>12</v>
      </c>
      <c r="T53" t="s">
        <v>12</v>
      </c>
      <c r="U53" t="s">
        <v>12</v>
      </c>
      <c r="V53" t="s">
        <v>12</v>
      </c>
      <c r="W53" t="s">
        <v>12</v>
      </c>
      <c r="X53" t="s">
        <v>12</v>
      </c>
      <c r="Y53" t="s">
        <v>12</v>
      </c>
      <c r="Z53" t="s">
        <v>12</v>
      </c>
      <c r="AA53" t="s">
        <v>12</v>
      </c>
      <c r="AB53" t="s">
        <v>12</v>
      </c>
      <c r="AC53" t="s">
        <v>12</v>
      </c>
      <c r="AD53" t="s">
        <v>12</v>
      </c>
    </row>
    <row r="54" spans="1:30">
      <c r="A54" t="s">
        <v>9</v>
      </c>
      <c r="B54" t="str">
        <f>Master_Data_Productivity[[#This Row],[Uniq-ID]]&amp;"-"&amp;Master_Data_Productivity[[#This Row],[Period]]</f>
        <v>DC-Document_Controller-021-M2</v>
      </c>
      <c r="C54" t="s">
        <v>10</v>
      </c>
      <c r="D54" t="s">
        <v>11</v>
      </c>
      <c r="E54" t="s">
        <v>18</v>
      </c>
      <c r="F54" t="s">
        <v>19</v>
      </c>
      <c r="G54" t="s">
        <v>15</v>
      </c>
      <c r="H54" t="s">
        <v>20</v>
      </c>
      <c r="I54">
        <v>1.9510000000000001</v>
      </c>
      <c r="J54">
        <v>1</v>
      </c>
      <c r="K54" t="s">
        <v>2871</v>
      </c>
      <c r="L54" t="s">
        <v>2877</v>
      </c>
      <c r="M54" t="s">
        <v>2873</v>
      </c>
      <c r="N54">
        <v>32</v>
      </c>
      <c r="O54">
        <v>30</v>
      </c>
      <c r="P54">
        <v>0.9375</v>
      </c>
      <c r="Q54" t="s">
        <v>8</v>
      </c>
      <c r="R54" t="s">
        <v>12</v>
      </c>
      <c r="S54" t="s">
        <v>12</v>
      </c>
      <c r="T54" t="s">
        <v>12</v>
      </c>
      <c r="U54" t="s">
        <v>12</v>
      </c>
      <c r="V54" t="s">
        <v>12</v>
      </c>
      <c r="W54" t="s">
        <v>12</v>
      </c>
      <c r="X54" t="s">
        <v>12</v>
      </c>
      <c r="Y54" t="s">
        <v>12</v>
      </c>
      <c r="Z54" t="s">
        <v>12</v>
      </c>
      <c r="AA54" t="s">
        <v>12</v>
      </c>
      <c r="AB54" t="s">
        <v>12</v>
      </c>
      <c r="AC54" t="s">
        <v>12</v>
      </c>
      <c r="AD54" t="s">
        <v>12</v>
      </c>
    </row>
    <row r="55" spans="1:30">
      <c r="A55" t="s">
        <v>9</v>
      </c>
      <c r="B55" t="str">
        <f>Master_Data_Productivity[[#This Row],[Uniq-ID]]&amp;"-"&amp;Master_Data_Productivity[[#This Row],[Period]]</f>
        <v>DC-Document_Controller-021-M3</v>
      </c>
      <c r="C55" t="s">
        <v>10</v>
      </c>
      <c r="D55" t="s">
        <v>11</v>
      </c>
      <c r="E55" t="s">
        <v>22</v>
      </c>
      <c r="F55" t="s">
        <v>23</v>
      </c>
      <c r="G55" t="s">
        <v>15</v>
      </c>
      <c r="H55" t="s">
        <v>16</v>
      </c>
      <c r="I55">
        <v>8.8789999999999996</v>
      </c>
      <c r="J55">
        <v>1.5</v>
      </c>
      <c r="K55" t="s">
        <v>2879</v>
      </c>
      <c r="L55" t="s">
        <v>2894</v>
      </c>
      <c r="M55" t="s">
        <v>2873</v>
      </c>
      <c r="N55">
        <v>26</v>
      </c>
      <c r="O55">
        <v>3</v>
      </c>
      <c r="P55">
        <v>0.1154</v>
      </c>
      <c r="Q55" t="s">
        <v>8</v>
      </c>
      <c r="R55" t="s">
        <v>12</v>
      </c>
      <c r="S55" t="s">
        <v>12</v>
      </c>
      <c r="T55" t="s">
        <v>12</v>
      </c>
      <c r="U55" t="s">
        <v>12</v>
      </c>
      <c r="V55" t="s">
        <v>12</v>
      </c>
      <c r="W55" t="s">
        <v>12</v>
      </c>
      <c r="X55" t="s">
        <v>12</v>
      </c>
      <c r="Y55" t="s">
        <v>12</v>
      </c>
      <c r="Z55" t="s">
        <v>12</v>
      </c>
      <c r="AA55" t="s">
        <v>12</v>
      </c>
      <c r="AB55" t="s">
        <v>12</v>
      </c>
      <c r="AC55" t="s">
        <v>12</v>
      </c>
      <c r="AD55" t="s">
        <v>12</v>
      </c>
    </row>
    <row r="56" spans="1:30">
      <c r="A56" t="s">
        <v>9</v>
      </c>
      <c r="B56" t="str">
        <f>Master_Data_Productivity[[#This Row],[Uniq-ID]]&amp;"-"&amp;Master_Data_Productivity[[#This Row],[Period]]</f>
        <v>DC-Document_Controller-021-M3</v>
      </c>
      <c r="C56" t="s">
        <v>10</v>
      </c>
      <c r="D56" t="s">
        <v>11</v>
      </c>
      <c r="E56" t="s">
        <v>22</v>
      </c>
      <c r="F56" t="s">
        <v>23</v>
      </c>
      <c r="G56" t="s">
        <v>15</v>
      </c>
      <c r="H56" t="s">
        <v>16</v>
      </c>
      <c r="I56">
        <v>8.8789999999999996</v>
      </c>
      <c r="J56">
        <v>1.5</v>
      </c>
      <c r="K56" t="s">
        <v>2887</v>
      </c>
      <c r="L56" t="s">
        <v>2890</v>
      </c>
      <c r="M56" t="s">
        <v>2873</v>
      </c>
      <c r="N56">
        <v>205</v>
      </c>
      <c r="O56">
        <v>537</v>
      </c>
      <c r="P56">
        <v>2.6194999999999999</v>
      </c>
      <c r="Q56" t="s">
        <v>8</v>
      </c>
      <c r="R56" t="s">
        <v>12</v>
      </c>
      <c r="S56" t="s">
        <v>12</v>
      </c>
      <c r="T56" t="s">
        <v>12</v>
      </c>
      <c r="U56" t="s">
        <v>12</v>
      </c>
      <c r="V56" t="s">
        <v>12</v>
      </c>
      <c r="W56" t="s">
        <v>12</v>
      </c>
      <c r="X56" t="s">
        <v>12</v>
      </c>
      <c r="Y56" t="s">
        <v>12</v>
      </c>
      <c r="Z56" t="s">
        <v>12</v>
      </c>
      <c r="AA56" t="s">
        <v>12</v>
      </c>
      <c r="AB56" t="s">
        <v>12</v>
      </c>
      <c r="AC56" t="s">
        <v>12</v>
      </c>
      <c r="AD56" t="s">
        <v>12</v>
      </c>
    </row>
    <row r="57" spans="1:30">
      <c r="A57" t="s">
        <v>9</v>
      </c>
      <c r="B57" t="str">
        <f>Master_Data_Productivity[[#This Row],[Uniq-ID]]&amp;"-"&amp;Master_Data_Productivity[[#This Row],[Period]]</f>
        <v>DC-Document_Controller-021-M3</v>
      </c>
      <c r="C57" t="s">
        <v>10</v>
      </c>
      <c r="D57" t="s">
        <v>11</v>
      </c>
      <c r="E57" t="s">
        <v>22</v>
      </c>
      <c r="F57" t="s">
        <v>23</v>
      </c>
      <c r="G57" t="s">
        <v>15</v>
      </c>
      <c r="H57" t="s">
        <v>16</v>
      </c>
      <c r="I57">
        <v>8.8789999999999996</v>
      </c>
      <c r="J57">
        <v>1.5</v>
      </c>
      <c r="K57" t="s">
        <v>2887</v>
      </c>
      <c r="L57" t="s">
        <v>2888</v>
      </c>
      <c r="M57" t="s">
        <v>2873</v>
      </c>
      <c r="N57">
        <v>205</v>
      </c>
      <c r="O57">
        <v>537</v>
      </c>
      <c r="P57">
        <v>2.6194999999999999</v>
      </c>
      <c r="Q57" t="s">
        <v>8</v>
      </c>
      <c r="R57" t="s">
        <v>12</v>
      </c>
      <c r="S57" t="s">
        <v>12</v>
      </c>
      <c r="T57" t="s">
        <v>12</v>
      </c>
      <c r="U57" t="s">
        <v>12</v>
      </c>
      <c r="V57" t="s">
        <v>12</v>
      </c>
      <c r="W57" t="s">
        <v>12</v>
      </c>
      <c r="X57" t="s">
        <v>12</v>
      </c>
      <c r="Y57" t="s">
        <v>12</v>
      </c>
      <c r="Z57" t="s">
        <v>12</v>
      </c>
      <c r="AA57" t="s">
        <v>12</v>
      </c>
      <c r="AB57" t="s">
        <v>12</v>
      </c>
      <c r="AC57" t="s">
        <v>12</v>
      </c>
      <c r="AD57" t="s">
        <v>12</v>
      </c>
    </row>
    <row r="58" spans="1:30">
      <c r="A58" t="s">
        <v>9</v>
      </c>
      <c r="B58" t="str">
        <f>Master_Data_Productivity[[#This Row],[Uniq-ID]]&amp;"-"&amp;Master_Data_Productivity[[#This Row],[Period]]</f>
        <v>DC-Document_Controller-021-M3</v>
      </c>
      <c r="C58" t="s">
        <v>10</v>
      </c>
      <c r="D58" t="s">
        <v>11</v>
      </c>
      <c r="E58" t="s">
        <v>22</v>
      </c>
      <c r="F58" t="s">
        <v>23</v>
      </c>
      <c r="G58" t="s">
        <v>15</v>
      </c>
      <c r="H58" t="s">
        <v>16</v>
      </c>
      <c r="I58">
        <v>8.8789999999999996</v>
      </c>
      <c r="J58">
        <v>1.5</v>
      </c>
      <c r="K58" t="s">
        <v>2871</v>
      </c>
      <c r="L58" t="s">
        <v>2875</v>
      </c>
      <c r="M58" t="s">
        <v>2873</v>
      </c>
      <c r="N58">
        <v>36</v>
      </c>
      <c r="O58">
        <v>9</v>
      </c>
      <c r="P58">
        <v>0.25</v>
      </c>
      <c r="Q58" t="s">
        <v>8</v>
      </c>
      <c r="R58" t="s">
        <v>12</v>
      </c>
      <c r="S58" t="s">
        <v>12</v>
      </c>
      <c r="T58" t="s">
        <v>12</v>
      </c>
      <c r="U58" t="s">
        <v>12</v>
      </c>
      <c r="V58" t="s">
        <v>12</v>
      </c>
      <c r="W58" t="s">
        <v>12</v>
      </c>
      <c r="X58" t="s">
        <v>12</v>
      </c>
      <c r="Y58" t="s">
        <v>12</v>
      </c>
      <c r="Z58" t="s">
        <v>12</v>
      </c>
      <c r="AA58" t="s">
        <v>12</v>
      </c>
      <c r="AB58" t="s">
        <v>12</v>
      </c>
      <c r="AC58" t="s">
        <v>12</v>
      </c>
      <c r="AD58" t="s">
        <v>12</v>
      </c>
    </row>
    <row r="59" spans="1:30">
      <c r="A59" t="s">
        <v>9</v>
      </c>
      <c r="B59" t="str">
        <f>Master_Data_Productivity[[#This Row],[Uniq-ID]]&amp;"-"&amp;Master_Data_Productivity[[#This Row],[Period]]</f>
        <v>DC-Document_Controller-021-M3</v>
      </c>
      <c r="C59" t="s">
        <v>10</v>
      </c>
      <c r="D59" t="s">
        <v>11</v>
      </c>
      <c r="E59" t="s">
        <v>22</v>
      </c>
      <c r="F59" t="s">
        <v>23</v>
      </c>
      <c r="G59" t="s">
        <v>15</v>
      </c>
      <c r="H59" t="s">
        <v>16</v>
      </c>
      <c r="I59">
        <v>8.8789999999999996</v>
      </c>
      <c r="J59">
        <v>1.5</v>
      </c>
      <c r="K59" t="s">
        <v>2871</v>
      </c>
      <c r="L59" t="s">
        <v>2872</v>
      </c>
      <c r="M59" t="s">
        <v>2873</v>
      </c>
      <c r="N59">
        <v>35</v>
      </c>
      <c r="O59">
        <v>14</v>
      </c>
      <c r="P59">
        <v>0.4</v>
      </c>
      <c r="Q59" t="s">
        <v>8</v>
      </c>
      <c r="R59" t="s">
        <v>12</v>
      </c>
      <c r="S59" t="s">
        <v>12</v>
      </c>
      <c r="T59" t="s">
        <v>12</v>
      </c>
      <c r="U59" t="s">
        <v>12</v>
      </c>
      <c r="V59" t="s">
        <v>12</v>
      </c>
      <c r="W59" t="s">
        <v>12</v>
      </c>
      <c r="X59" t="s">
        <v>12</v>
      </c>
      <c r="Y59" t="s">
        <v>12</v>
      </c>
      <c r="Z59" t="s">
        <v>12</v>
      </c>
      <c r="AA59" t="s">
        <v>12</v>
      </c>
      <c r="AB59" t="s">
        <v>12</v>
      </c>
      <c r="AC59" t="s">
        <v>12</v>
      </c>
      <c r="AD59" t="s">
        <v>12</v>
      </c>
    </row>
    <row r="60" spans="1:30">
      <c r="A60" t="s">
        <v>9</v>
      </c>
      <c r="B60" t="str">
        <f>Master_Data_Productivity[[#This Row],[Uniq-ID]]&amp;"-"&amp;Master_Data_Productivity[[#This Row],[Period]]</f>
        <v>DC-Document_Controller-021-M3</v>
      </c>
      <c r="C60" t="s">
        <v>10</v>
      </c>
      <c r="D60" t="s">
        <v>11</v>
      </c>
      <c r="E60" t="s">
        <v>22</v>
      </c>
      <c r="F60" t="s">
        <v>23</v>
      </c>
      <c r="G60" t="s">
        <v>15</v>
      </c>
      <c r="H60" t="s">
        <v>16</v>
      </c>
      <c r="I60">
        <v>8.8789999999999996</v>
      </c>
      <c r="J60">
        <v>1.5</v>
      </c>
      <c r="K60" t="s">
        <v>2871</v>
      </c>
      <c r="L60" t="s">
        <v>2877</v>
      </c>
      <c r="M60" t="s">
        <v>2873</v>
      </c>
      <c r="N60">
        <v>32</v>
      </c>
      <c r="O60">
        <v>92</v>
      </c>
      <c r="P60">
        <v>2.875</v>
      </c>
      <c r="Q60" t="s">
        <v>8</v>
      </c>
      <c r="R60" t="s">
        <v>12</v>
      </c>
      <c r="S60" t="s">
        <v>12</v>
      </c>
      <c r="T60" t="s">
        <v>12</v>
      </c>
      <c r="U60" t="s">
        <v>12</v>
      </c>
      <c r="V60" t="s">
        <v>12</v>
      </c>
      <c r="W60" t="s">
        <v>12</v>
      </c>
      <c r="X60" t="s">
        <v>12</v>
      </c>
      <c r="Y60" t="s">
        <v>12</v>
      </c>
      <c r="Z60" t="s">
        <v>12</v>
      </c>
      <c r="AA60" t="s">
        <v>12</v>
      </c>
      <c r="AB60" t="s">
        <v>12</v>
      </c>
      <c r="AC60" t="s">
        <v>12</v>
      </c>
      <c r="AD60" t="s">
        <v>12</v>
      </c>
    </row>
    <row r="61" spans="1:30">
      <c r="A61" t="s">
        <v>9</v>
      </c>
      <c r="B61" t="str">
        <f>Master_Data_Productivity[[#This Row],[Uniq-ID]]&amp;"-"&amp;Master_Data_Productivity[[#This Row],[Period]]</f>
        <v>DC-Document_Controller-021-M4</v>
      </c>
      <c r="C61" t="s">
        <v>10</v>
      </c>
      <c r="D61" t="s">
        <v>11</v>
      </c>
      <c r="E61" t="s">
        <v>25</v>
      </c>
      <c r="F61" t="s">
        <v>26</v>
      </c>
      <c r="G61" t="s">
        <v>15</v>
      </c>
      <c r="H61" t="s">
        <v>16</v>
      </c>
      <c r="I61">
        <v>2.78</v>
      </c>
      <c r="J61">
        <v>1.39</v>
      </c>
      <c r="K61" t="s">
        <v>2871</v>
      </c>
      <c r="L61" t="s">
        <v>2875</v>
      </c>
      <c r="M61" t="s">
        <v>2873</v>
      </c>
      <c r="N61">
        <v>36</v>
      </c>
      <c r="O61">
        <v>13</v>
      </c>
      <c r="P61">
        <v>0.36109999999999998</v>
      </c>
      <c r="Q61" t="s">
        <v>8</v>
      </c>
      <c r="R61" t="s">
        <v>12</v>
      </c>
      <c r="S61" t="s">
        <v>12</v>
      </c>
      <c r="T61" t="s">
        <v>12</v>
      </c>
      <c r="U61" t="s">
        <v>12</v>
      </c>
      <c r="V61" t="s">
        <v>12</v>
      </c>
      <c r="W61" t="s">
        <v>12</v>
      </c>
      <c r="X61" t="s">
        <v>12</v>
      </c>
      <c r="Y61" t="s">
        <v>12</v>
      </c>
      <c r="Z61" t="s">
        <v>12</v>
      </c>
      <c r="AA61" t="s">
        <v>12</v>
      </c>
      <c r="AB61" t="s">
        <v>12</v>
      </c>
      <c r="AC61" t="s">
        <v>12</v>
      </c>
      <c r="AD61" t="s">
        <v>12</v>
      </c>
    </row>
    <row r="62" spans="1:30">
      <c r="A62" t="s">
        <v>9</v>
      </c>
      <c r="B62" t="str">
        <f>Master_Data_Productivity[[#This Row],[Uniq-ID]]&amp;"-"&amp;Master_Data_Productivity[[#This Row],[Period]]</f>
        <v>DC-Document_Controller-021-M4</v>
      </c>
      <c r="C62" t="s">
        <v>10</v>
      </c>
      <c r="D62" t="s">
        <v>11</v>
      </c>
      <c r="E62" t="s">
        <v>25</v>
      </c>
      <c r="F62" t="s">
        <v>26</v>
      </c>
      <c r="G62" t="s">
        <v>15</v>
      </c>
      <c r="H62" t="s">
        <v>16</v>
      </c>
      <c r="I62">
        <v>2.78</v>
      </c>
      <c r="J62">
        <v>1.39</v>
      </c>
      <c r="K62" t="s">
        <v>2871</v>
      </c>
      <c r="L62" t="s">
        <v>2872</v>
      </c>
      <c r="M62" t="s">
        <v>2873</v>
      </c>
      <c r="N62">
        <v>35</v>
      </c>
      <c r="O62">
        <v>15</v>
      </c>
      <c r="P62">
        <v>0.42859999999999998</v>
      </c>
      <c r="Q62" t="s">
        <v>8</v>
      </c>
      <c r="R62" t="s">
        <v>12</v>
      </c>
      <c r="S62" t="s">
        <v>12</v>
      </c>
      <c r="T62" t="s">
        <v>12</v>
      </c>
      <c r="U62" t="s">
        <v>12</v>
      </c>
      <c r="V62" t="s">
        <v>12</v>
      </c>
      <c r="W62" t="s">
        <v>12</v>
      </c>
      <c r="X62" t="s">
        <v>12</v>
      </c>
      <c r="Y62" t="s">
        <v>12</v>
      </c>
      <c r="Z62" t="s">
        <v>12</v>
      </c>
      <c r="AA62" t="s">
        <v>12</v>
      </c>
      <c r="AB62" t="s">
        <v>12</v>
      </c>
      <c r="AC62" t="s">
        <v>12</v>
      </c>
      <c r="AD62" t="s">
        <v>12</v>
      </c>
    </row>
    <row r="63" spans="1:30">
      <c r="A63" t="s">
        <v>9</v>
      </c>
      <c r="B63" t="str">
        <f>Master_Data_Productivity[[#This Row],[Uniq-ID]]&amp;"-"&amp;Master_Data_Productivity[[#This Row],[Period]]</f>
        <v>DC-Document_Controller-021-M4</v>
      </c>
      <c r="C63" t="s">
        <v>10</v>
      </c>
      <c r="D63" t="s">
        <v>11</v>
      </c>
      <c r="E63" t="s">
        <v>25</v>
      </c>
      <c r="F63" t="s">
        <v>26</v>
      </c>
      <c r="G63" t="s">
        <v>15</v>
      </c>
      <c r="H63" t="s">
        <v>16</v>
      </c>
      <c r="I63">
        <v>2.78</v>
      </c>
      <c r="J63">
        <v>1.39</v>
      </c>
      <c r="K63" t="s">
        <v>2871</v>
      </c>
      <c r="L63" t="s">
        <v>2877</v>
      </c>
      <c r="M63" t="s">
        <v>2873</v>
      </c>
      <c r="N63">
        <v>32</v>
      </c>
      <c r="O63">
        <v>44</v>
      </c>
      <c r="P63">
        <v>1.375</v>
      </c>
      <c r="Q63" t="s">
        <v>8</v>
      </c>
      <c r="R63" t="s">
        <v>12</v>
      </c>
      <c r="S63" t="s">
        <v>12</v>
      </c>
      <c r="T63" t="s">
        <v>12</v>
      </c>
      <c r="U63" t="s">
        <v>12</v>
      </c>
      <c r="V63" t="s">
        <v>12</v>
      </c>
      <c r="W63" t="s">
        <v>12</v>
      </c>
      <c r="X63" t="s">
        <v>12</v>
      </c>
      <c r="Y63" t="s">
        <v>12</v>
      </c>
      <c r="Z63" t="s">
        <v>12</v>
      </c>
      <c r="AA63" t="s">
        <v>12</v>
      </c>
      <c r="AB63" t="s">
        <v>12</v>
      </c>
      <c r="AC63" t="s">
        <v>12</v>
      </c>
      <c r="AD63" t="s">
        <v>12</v>
      </c>
    </row>
    <row r="64" spans="1:30">
      <c r="A64" t="s">
        <v>9</v>
      </c>
      <c r="B64" t="str">
        <f>Master_Data_Productivity[[#This Row],[Uniq-ID]]&amp;"-"&amp;Master_Data_Productivity[[#This Row],[Period]]</f>
        <v>DC-Document_Controller-021-M4</v>
      </c>
      <c r="C64" t="s">
        <v>10</v>
      </c>
      <c r="D64" t="s">
        <v>11</v>
      </c>
      <c r="E64" t="s">
        <v>25</v>
      </c>
      <c r="F64" t="s">
        <v>26</v>
      </c>
      <c r="G64" t="s">
        <v>15</v>
      </c>
      <c r="H64" t="s">
        <v>16</v>
      </c>
      <c r="I64">
        <v>2.78</v>
      </c>
      <c r="J64">
        <v>1.39</v>
      </c>
      <c r="K64" t="s">
        <v>2879</v>
      </c>
      <c r="L64" t="s">
        <v>2880</v>
      </c>
      <c r="M64" t="s">
        <v>2873</v>
      </c>
      <c r="N64">
        <v>13</v>
      </c>
      <c r="O64">
        <v>8</v>
      </c>
      <c r="P64">
        <v>0.61539999999999995</v>
      </c>
      <c r="Q64" t="s">
        <v>8</v>
      </c>
      <c r="R64" t="s">
        <v>12</v>
      </c>
      <c r="S64" t="s">
        <v>12</v>
      </c>
      <c r="T64" t="s">
        <v>12</v>
      </c>
      <c r="U64" t="s">
        <v>12</v>
      </c>
      <c r="V64" t="s">
        <v>12</v>
      </c>
      <c r="W64" t="s">
        <v>12</v>
      </c>
      <c r="X64" t="s">
        <v>12</v>
      </c>
      <c r="Y64" t="s">
        <v>12</v>
      </c>
      <c r="Z64" t="s">
        <v>12</v>
      </c>
      <c r="AA64" t="s">
        <v>12</v>
      </c>
      <c r="AB64" t="s">
        <v>12</v>
      </c>
      <c r="AC64" t="s">
        <v>12</v>
      </c>
      <c r="AD64" t="s">
        <v>12</v>
      </c>
    </row>
    <row r="65" spans="1:30">
      <c r="A65" t="s">
        <v>9</v>
      </c>
      <c r="B65" t="str">
        <f>Master_Data_Productivity[[#This Row],[Uniq-ID]]&amp;"-"&amp;Master_Data_Productivity[[#This Row],[Period]]</f>
        <v>DC-Document_Controller-021-M5</v>
      </c>
      <c r="C65" t="s">
        <v>10</v>
      </c>
      <c r="D65" t="s">
        <v>11</v>
      </c>
      <c r="E65" t="s">
        <v>28</v>
      </c>
      <c r="F65" t="s">
        <v>29</v>
      </c>
      <c r="G65" t="s">
        <v>15</v>
      </c>
      <c r="H65" t="s">
        <v>16</v>
      </c>
      <c r="I65">
        <v>2.1859999999999999</v>
      </c>
      <c r="J65">
        <v>1.0900000000000001</v>
      </c>
      <c r="K65" t="s">
        <v>2879</v>
      </c>
      <c r="L65" t="s">
        <v>2880</v>
      </c>
      <c r="M65" t="s">
        <v>2873</v>
      </c>
      <c r="N65">
        <v>13</v>
      </c>
      <c r="O65">
        <v>8</v>
      </c>
      <c r="P65">
        <v>0.61539999999999995</v>
      </c>
      <c r="Q65" t="s">
        <v>8</v>
      </c>
      <c r="R65" t="s">
        <v>12</v>
      </c>
      <c r="S65" t="s">
        <v>12</v>
      </c>
      <c r="T65" t="s">
        <v>12</v>
      </c>
      <c r="U65" t="s">
        <v>12</v>
      </c>
      <c r="V65" t="s">
        <v>12</v>
      </c>
      <c r="W65" t="s">
        <v>12</v>
      </c>
      <c r="X65" t="s">
        <v>12</v>
      </c>
      <c r="Y65" t="s">
        <v>12</v>
      </c>
      <c r="Z65" t="s">
        <v>12</v>
      </c>
      <c r="AA65" t="s">
        <v>12</v>
      </c>
      <c r="AB65" t="s">
        <v>12</v>
      </c>
      <c r="AC65" t="s">
        <v>12</v>
      </c>
      <c r="AD65" t="s">
        <v>12</v>
      </c>
    </row>
    <row r="66" spans="1:30">
      <c r="A66" t="s">
        <v>9</v>
      </c>
      <c r="B66" t="str">
        <f>Master_Data_Productivity[[#This Row],[Uniq-ID]]&amp;"-"&amp;Master_Data_Productivity[[#This Row],[Period]]</f>
        <v>DC-Document_Controller-021-M5</v>
      </c>
      <c r="C66" t="s">
        <v>10</v>
      </c>
      <c r="D66" t="s">
        <v>11</v>
      </c>
      <c r="E66" t="s">
        <v>28</v>
      </c>
      <c r="F66" t="s">
        <v>29</v>
      </c>
      <c r="G66" t="s">
        <v>15</v>
      </c>
      <c r="H66" t="s">
        <v>16</v>
      </c>
      <c r="I66">
        <v>2.1859999999999999</v>
      </c>
      <c r="J66">
        <v>1.0900000000000001</v>
      </c>
      <c r="K66" t="s">
        <v>2879</v>
      </c>
      <c r="L66" t="s">
        <v>2894</v>
      </c>
      <c r="M66" t="s">
        <v>2873</v>
      </c>
      <c r="N66">
        <v>26</v>
      </c>
      <c r="O66">
        <v>15</v>
      </c>
      <c r="P66">
        <v>0.57689999999999997</v>
      </c>
      <c r="Q66" t="s">
        <v>8</v>
      </c>
      <c r="R66" t="s">
        <v>12</v>
      </c>
      <c r="S66" t="s">
        <v>12</v>
      </c>
      <c r="T66" t="s">
        <v>12</v>
      </c>
      <c r="U66" t="s">
        <v>12</v>
      </c>
      <c r="V66" t="s">
        <v>12</v>
      </c>
      <c r="W66" t="s">
        <v>12</v>
      </c>
      <c r="X66" t="s">
        <v>12</v>
      </c>
      <c r="Y66" t="s">
        <v>12</v>
      </c>
      <c r="Z66" t="s">
        <v>12</v>
      </c>
      <c r="AA66" t="s">
        <v>12</v>
      </c>
      <c r="AB66" t="s">
        <v>12</v>
      </c>
      <c r="AC66" t="s">
        <v>12</v>
      </c>
      <c r="AD66" t="s">
        <v>12</v>
      </c>
    </row>
    <row r="67" spans="1:30">
      <c r="A67" t="s">
        <v>9</v>
      </c>
      <c r="B67" t="str">
        <f>Master_Data_Productivity[[#This Row],[Uniq-ID]]&amp;"-"&amp;Master_Data_Productivity[[#This Row],[Period]]</f>
        <v>DC-Document_Controller-021-M5</v>
      </c>
      <c r="C67" t="s">
        <v>10</v>
      </c>
      <c r="D67" t="s">
        <v>11</v>
      </c>
      <c r="E67" t="s">
        <v>28</v>
      </c>
      <c r="F67" t="s">
        <v>29</v>
      </c>
      <c r="G67" t="s">
        <v>15</v>
      </c>
      <c r="H67" t="s">
        <v>16</v>
      </c>
      <c r="I67">
        <v>2.1859999999999999</v>
      </c>
      <c r="J67">
        <v>1.0900000000000001</v>
      </c>
      <c r="K67" t="s">
        <v>2871</v>
      </c>
      <c r="L67" t="s">
        <v>2875</v>
      </c>
      <c r="M67" t="s">
        <v>2873</v>
      </c>
      <c r="N67">
        <v>36</v>
      </c>
      <c r="O67">
        <v>9</v>
      </c>
      <c r="P67">
        <v>0.25</v>
      </c>
      <c r="Q67" t="s">
        <v>8</v>
      </c>
      <c r="R67" t="s">
        <v>12</v>
      </c>
      <c r="S67" t="s">
        <v>12</v>
      </c>
      <c r="T67" t="s">
        <v>12</v>
      </c>
      <c r="U67" t="s">
        <v>12</v>
      </c>
      <c r="V67" t="s">
        <v>12</v>
      </c>
      <c r="W67" t="s">
        <v>12</v>
      </c>
      <c r="X67" t="s">
        <v>12</v>
      </c>
      <c r="Y67" t="s">
        <v>12</v>
      </c>
      <c r="Z67" t="s">
        <v>12</v>
      </c>
      <c r="AA67" t="s">
        <v>12</v>
      </c>
      <c r="AB67" t="s">
        <v>12</v>
      </c>
      <c r="AC67" t="s">
        <v>12</v>
      </c>
      <c r="AD67" t="s">
        <v>12</v>
      </c>
    </row>
    <row r="68" spans="1:30">
      <c r="A68" t="s">
        <v>9</v>
      </c>
      <c r="B68" t="str">
        <f>Master_Data_Productivity[[#This Row],[Uniq-ID]]&amp;"-"&amp;Master_Data_Productivity[[#This Row],[Period]]</f>
        <v>DC-Document_Controller-021-M5</v>
      </c>
      <c r="C68" t="s">
        <v>10</v>
      </c>
      <c r="D68" t="s">
        <v>11</v>
      </c>
      <c r="E68" t="s">
        <v>28</v>
      </c>
      <c r="F68" t="s">
        <v>29</v>
      </c>
      <c r="G68" t="s">
        <v>15</v>
      </c>
      <c r="H68" t="s">
        <v>16</v>
      </c>
      <c r="I68">
        <v>2.1859999999999999</v>
      </c>
      <c r="J68">
        <v>1.0900000000000001</v>
      </c>
      <c r="K68" t="s">
        <v>2871</v>
      </c>
      <c r="L68" t="s">
        <v>2872</v>
      </c>
      <c r="M68" t="s">
        <v>2873</v>
      </c>
      <c r="N68">
        <v>35</v>
      </c>
      <c r="O68">
        <v>14</v>
      </c>
      <c r="P68">
        <v>0.4</v>
      </c>
      <c r="Q68" t="s">
        <v>8</v>
      </c>
      <c r="R68" t="s">
        <v>12</v>
      </c>
      <c r="S68" t="s">
        <v>12</v>
      </c>
      <c r="T68" t="s">
        <v>12</v>
      </c>
      <c r="U68" t="s">
        <v>12</v>
      </c>
      <c r="V68" t="s">
        <v>12</v>
      </c>
      <c r="W68" t="s">
        <v>12</v>
      </c>
      <c r="X68" t="s">
        <v>12</v>
      </c>
      <c r="Y68" t="s">
        <v>12</v>
      </c>
      <c r="Z68" t="s">
        <v>12</v>
      </c>
      <c r="AA68" t="s">
        <v>12</v>
      </c>
      <c r="AB68" t="s">
        <v>12</v>
      </c>
      <c r="AC68" t="s">
        <v>12</v>
      </c>
      <c r="AD68" t="s">
        <v>12</v>
      </c>
    </row>
    <row r="69" spans="1:30">
      <c r="A69" t="s">
        <v>9</v>
      </c>
      <c r="B69" t="str">
        <f>Master_Data_Productivity[[#This Row],[Uniq-ID]]&amp;"-"&amp;Master_Data_Productivity[[#This Row],[Period]]</f>
        <v>DC-Document_Controller-021-M5</v>
      </c>
      <c r="C69" t="s">
        <v>10</v>
      </c>
      <c r="D69" t="s">
        <v>11</v>
      </c>
      <c r="E69" t="s">
        <v>28</v>
      </c>
      <c r="F69" t="s">
        <v>29</v>
      </c>
      <c r="G69" t="s">
        <v>15</v>
      </c>
      <c r="H69" t="s">
        <v>16</v>
      </c>
      <c r="I69">
        <v>2.1859999999999999</v>
      </c>
      <c r="J69">
        <v>1.0900000000000001</v>
      </c>
      <c r="K69" t="s">
        <v>2871</v>
      </c>
      <c r="L69" t="s">
        <v>2877</v>
      </c>
      <c r="M69" t="s">
        <v>2873</v>
      </c>
      <c r="N69">
        <v>32</v>
      </c>
      <c r="O69">
        <v>11</v>
      </c>
      <c r="P69">
        <v>0.34379999999999999</v>
      </c>
      <c r="Q69" t="s">
        <v>8</v>
      </c>
      <c r="R69" t="s">
        <v>12</v>
      </c>
      <c r="S69" t="s">
        <v>12</v>
      </c>
      <c r="T69" t="s">
        <v>12</v>
      </c>
      <c r="U69" t="s">
        <v>12</v>
      </c>
      <c r="V69" t="s">
        <v>12</v>
      </c>
      <c r="W69" t="s">
        <v>12</v>
      </c>
      <c r="X69" t="s">
        <v>12</v>
      </c>
      <c r="Y69" t="s">
        <v>12</v>
      </c>
      <c r="Z69" t="s">
        <v>12</v>
      </c>
      <c r="AA69" t="s">
        <v>12</v>
      </c>
      <c r="AB69" t="s">
        <v>12</v>
      </c>
      <c r="AC69" t="s">
        <v>12</v>
      </c>
      <c r="AD69" t="s">
        <v>12</v>
      </c>
    </row>
    <row r="70" spans="1:30">
      <c r="A70" t="s">
        <v>9</v>
      </c>
      <c r="B70" t="str">
        <f>Master_Data_Productivity[[#This Row],[Uniq-ID]]&amp;"-"&amp;Master_Data_Productivity[[#This Row],[Period]]</f>
        <v>DC-Document_Controller-021-M6</v>
      </c>
      <c r="C70" t="s">
        <v>10</v>
      </c>
      <c r="D70" t="s">
        <v>11</v>
      </c>
      <c r="E70" t="s">
        <v>31</v>
      </c>
      <c r="F70" t="s">
        <v>32</v>
      </c>
      <c r="G70" t="s">
        <v>33</v>
      </c>
      <c r="H70" t="s">
        <v>16</v>
      </c>
      <c r="I70">
        <v>2.5619999999999998</v>
      </c>
      <c r="J70">
        <v>1.28</v>
      </c>
      <c r="K70" t="s">
        <v>2879</v>
      </c>
      <c r="L70" t="s">
        <v>2880</v>
      </c>
      <c r="M70" t="s">
        <v>2873</v>
      </c>
      <c r="N70">
        <v>13</v>
      </c>
      <c r="O70">
        <v>20</v>
      </c>
      <c r="P70">
        <v>1.5385</v>
      </c>
      <c r="Q70" t="s">
        <v>8</v>
      </c>
      <c r="R70" t="s">
        <v>12</v>
      </c>
      <c r="S70" t="s">
        <v>12</v>
      </c>
      <c r="T70" t="s">
        <v>12</v>
      </c>
      <c r="U70" t="s">
        <v>12</v>
      </c>
      <c r="V70" t="s">
        <v>12</v>
      </c>
      <c r="W70" t="s">
        <v>12</v>
      </c>
      <c r="X70" t="s">
        <v>12</v>
      </c>
      <c r="Y70" t="s">
        <v>12</v>
      </c>
      <c r="Z70" t="s">
        <v>12</v>
      </c>
      <c r="AA70" t="s">
        <v>12</v>
      </c>
      <c r="AB70" t="s">
        <v>12</v>
      </c>
      <c r="AC70" t="s">
        <v>12</v>
      </c>
      <c r="AD70" t="s">
        <v>12</v>
      </c>
    </row>
    <row r="71" spans="1:30">
      <c r="A71" t="s">
        <v>9</v>
      </c>
      <c r="B71" t="str">
        <f>Master_Data_Productivity[[#This Row],[Uniq-ID]]&amp;"-"&amp;Master_Data_Productivity[[#This Row],[Period]]</f>
        <v>DC-Document_Controller-021-M6</v>
      </c>
      <c r="C71" t="s">
        <v>10</v>
      </c>
      <c r="D71" t="s">
        <v>11</v>
      </c>
      <c r="E71" t="s">
        <v>31</v>
      </c>
      <c r="F71" t="s">
        <v>32</v>
      </c>
      <c r="G71" t="s">
        <v>33</v>
      </c>
      <c r="H71" t="s">
        <v>16</v>
      </c>
      <c r="I71">
        <v>2.5619999999999998</v>
      </c>
      <c r="J71">
        <v>1.28</v>
      </c>
      <c r="K71" t="s">
        <v>2871</v>
      </c>
      <c r="L71" t="s">
        <v>2877</v>
      </c>
      <c r="M71" t="s">
        <v>2873</v>
      </c>
      <c r="N71">
        <v>32</v>
      </c>
      <c r="O71">
        <v>11</v>
      </c>
      <c r="P71">
        <v>0.34379999999999999</v>
      </c>
      <c r="Q71" t="s">
        <v>8</v>
      </c>
      <c r="R71" t="s">
        <v>12</v>
      </c>
      <c r="S71" t="s">
        <v>12</v>
      </c>
      <c r="T71" t="s">
        <v>12</v>
      </c>
      <c r="U71" t="s">
        <v>12</v>
      </c>
      <c r="V71" t="s">
        <v>12</v>
      </c>
      <c r="W71" t="s">
        <v>12</v>
      </c>
      <c r="X71" t="s">
        <v>12</v>
      </c>
      <c r="Y71" t="s">
        <v>12</v>
      </c>
      <c r="Z71" t="s">
        <v>12</v>
      </c>
      <c r="AA71" t="s">
        <v>12</v>
      </c>
      <c r="AB71" t="s">
        <v>12</v>
      </c>
      <c r="AC71" t="s">
        <v>12</v>
      </c>
      <c r="AD71" t="s">
        <v>12</v>
      </c>
    </row>
    <row r="72" spans="1:30">
      <c r="A72" t="s">
        <v>9</v>
      </c>
      <c r="B72" t="str">
        <f>Master_Data_Productivity[[#This Row],[Uniq-ID]]&amp;"-"&amp;Master_Data_Productivity[[#This Row],[Period]]</f>
        <v>DC-Document_Controller-021-M6</v>
      </c>
      <c r="C72" t="s">
        <v>10</v>
      </c>
      <c r="D72" t="s">
        <v>11</v>
      </c>
      <c r="E72" t="s">
        <v>31</v>
      </c>
      <c r="F72" t="s">
        <v>32</v>
      </c>
      <c r="G72" t="s">
        <v>33</v>
      </c>
      <c r="H72" t="s">
        <v>16</v>
      </c>
      <c r="I72">
        <v>2.5619999999999998</v>
      </c>
      <c r="J72">
        <v>1.28</v>
      </c>
      <c r="K72" t="s">
        <v>2871</v>
      </c>
      <c r="L72" t="s">
        <v>2872</v>
      </c>
      <c r="M72" t="s">
        <v>2873</v>
      </c>
      <c r="N72">
        <v>35</v>
      </c>
      <c r="O72">
        <v>17</v>
      </c>
      <c r="P72">
        <v>0.48570000000000002</v>
      </c>
      <c r="Q72" t="s">
        <v>8</v>
      </c>
      <c r="R72" t="s">
        <v>12</v>
      </c>
      <c r="S72" t="s">
        <v>12</v>
      </c>
      <c r="T72" t="s">
        <v>12</v>
      </c>
      <c r="U72" t="s">
        <v>12</v>
      </c>
      <c r="V72" t="s">
        <v>12</v>
      </c>
      <c r="W72" t="s">
        <v>12</v>
      </c>
      <c r="X72" t="s">
        <v>12</v>
      </c>
      <c r="Y72" t="s">
        <v>12</v>
      </c>
      <c r="Z72" t="s">
        <v>12</v>
      </c>
      <c r="AA72" t="s">
        <v>12</v>
      </c>
      <c r="AB72" t="s">
        <v>12</v>
      </c>
      <c r="AC72" t="s">
        <v>12</v>
      </c>
      <c r="AD72" t="s">
        <v>12</v>
      </c>
    </row>
    <row r="73" spans="1:30">
      <c r="A73" t="s">
        <v>9</v>
      </c>
      <c r="B73" t="str">
        <f>Master_Data_Productivity[[#This Row],[Uniq-ID]]&amp;"-"&amp;Master_Data_Productivity[[#This Row],[Period]]</f>
        <v>DC-Document_Controller-021-M6</v>
      </c>
      <c r="C73" t="s">
        <v>10</v>
      </c>
      <c r="D73" t="s">
        <v>11</v>
      </c>
      <c r="E73" t="s">
        <v>31</v>
      </c>
      <c r="F73" t="s">
        <v>32</v>
      </c>
      <c r="G73" t="s">
        <v>33</v>
      </c>
      <c r="H73" t="s">
        <v>16</v>
      </c>
      <c r="I73">
        <v>2.5619999999999998</v>
      </c>
      <c r="J73">
        <v>1.28</v>
      </c>
      <c r="K73" t="s">
        <v>2871</v>
      </c>
      <c r="L73" t="s">
        <v>2875</v>
      </c>
      <c r="M73" t="s">
        <v>2873</v>
      </c>
      <c r="N73">
        <v>36</v>
      </c>
      <c r="O73">
        <v>7</v>
      </c>
      <c r="P73">
        <v>0.19439999999999999</v>
      </c>
      <c r="Q73" t="s">
        <v>8</v>
      </c>
      <c r="R73" t="s">
        <v>12</v>
      </c>
      <c r="S73" t="s">
        <v>12</v>
      </c>
      <c r="T73" t="s">
        <v>12</v>
      </c>
      <c r="U73" t="s">
        <v>12</v>
      </c>
      <c r="V73" t="s">
        <v>12</v>
      </c>
      <c r="W73" t="s">
        <v>12</v>
      </c>
      <c r="X73" t="s">
        <v>12</v>
      </c>
      <c r="Y73" t="s">
        <v>12</v>
      </c>
      <c r="Z73" t="s">
        <v>12</v>
      </c>
      <c r="AA73" t="s">
        <v>12</v>
      </c>
      <c r="AB73" t="s">
        <v>12</v>
      </c>
      <c r="AC73" t="s">
        <v>12</v>
      </c>
      <c r="AD73" t="s">
        <v>12</v>
      </c>
    </row>
    <row r="74" spans="1:30">
      <c r="A74" t="s">
        <v>58</v>
      </c>
      <c r="B74" t="str">
        <f>Master_Data_Productivity[[#This Row],[Uniq-ID]]&amp;"-"&amp;Master_Data_Productivity[[#This Row],[Period]]</f>
        <v>DC-Document_Controller-001-M1</v>
      </c>
      <c r="C74" t="s">
        <v>59</v>
      </c>
      <c r="D74" t="s">
        <v>11</v>
      </c>
      <c r="E74" t="s">
        <v>13</v>
      </c>
      <c r="F74" t="s">
        <v>49</v>
      </c>
      <c r="G74" t="s">
        <v>15</v>
      </c>
      <c r="H74" t="s">
        <v>16</v>
      </c>
      <c r="I74">
        <v>2.109</v>
      </c>
      <c r="J74">
        <v>1.05</v>
      </c>
      <c r="K74" t="s">
        <v>2871</v>
      </c>
      <c r="L74" t="s">
        <v>2872</v>
      </c>
      <c r="M74" t="s">
        <v>2873</v>
      </c>
      <c r="N74">
        <v>35</v>
      </c>
      <c r="O74">
        <v>28</v>
      </c>
      <c r="P74">
        <v>0.8</v>
      </c>
      <c r="Q74" t="s">
        <v>8</v>
      </c>
      <c r="R74" t="s">
        <v>12</v>
      </c>
      <c r="S74" t="s">
        <v>12</v>
      </c>
      <c r="T74" t="s">
        <v>12</v>
      </c>
      <c r="U74" t="s">
        <v>12</v>
      </c>
      <c r="V74" t="s">
        <v>12</v>
      </c>
      <c r="W74" t="s">
        <v>12</v>
      </c>
      <c r="X74" t="s">
        <v>12</v>
      </c>
      <c r="Y74" t="s">
        <v>12</v>
      </c>
      <c r="Z74" t="s">
        <v>12</v>
      </c>
      <c r="AA74" t="s">
        <v>12</v>
      </c>
      <c r="AB74" t="s">
        <v>12</v>
      </c>
      <c r="AC74" t="s">
        <v>12</v>
      </c>
      <c r="AD74" t="s">
        <v>12</v>
      </c>
    </row>
    <row r="75" spans="1:30">
      <c r="A75" t="s">
        <v>58</v>
      </c>
      <c r="B75" t="str">
        <f>Master_Data_Productivity[[#This Row],[Uniq-ID]]&amp;"-"&amp;Master_Data_Productivity[[#This Row],[Period]]</f>
        <v>DC-Document_Controller-001-M1</v>
      </c>
      <c r="C75" t="s">
        <v>59</v>
      </c>
      <c r="D75" t="s">
        <v>11</v>
      </c>
      <c r="E75" t="s">
        <v>13</v>
      </c>
      <c r="F75" t="s">
        <v>49</v>
      </c>
      <c r="G75" t="s">
        <v>15</v>
      </c>
      <c r="H75" t="s">
        <v>16</v>
      </c>
      <c r="I75">
        <v>2.109</v>
      </c>
      <c r="J75">
        <v>1.05</v>
      </c>
      <c r="K75" t="s">
        <v>2871</v>
      </c>
      <c r="L75" t="s">
        <v>2877</v>
      </c>
      <c r="M75" t="s">
        <v>2873</v>
      </c>
      <c r="N75">
        <v>32</v>
      </c>
      <c r="O75">
        <v>41</v>
      </c>
      <c r="P75">
        <v>1.2813000000000001</v>
      </c>
      <c r="Q75" t="s">
        <v>8</v>
      </c>
      <c r="R75" t="s">
        <v>12</v>
      </c>
      <c r="S75" t="s">
        <v>12</v>
      </c>
      <c r="T75" t="s">
        <v>12</v>
      </c>
      <c r="U75" t="s">
        <v>12</v>
      </c>
      <c r="V75" t="s">
        <v>12</v>
      </c>
      <c r="W75" t="s">
        <v>12</v>
      </c>
      <c r="X75" t="s">
        <v>12</v>
      </c>
      <c r="Y75" t="s">
        <v>12</v>
      </c>
      <c r="Z75" t="s">
        <v>12</v>
      </c>
      <c r="AA75" t="s">
        <v>12</v>
      </c>
      <c r="AB75" t="s">
        <v>12</v>
      </c>
      <c r="AC75" t="s">
        <v>12</v>
      </c>
      <c r="AD75" t="s">
        <v>12</v>
      </c>
    </row>
    <row r="76" spans="1:30">
      <c r="A76" t="s">
        <v>58</v>
      </c>
      <c r="B76" t="str">
        <f>Master_Data_Productivity[[#This Row],[Uniq-ID]]&amp;"-"&amp;Master_Data_Productivity[[#This Row],[Period]]</f>
        <v>DC-Document_Controller-001-M1</v>
      </c>
      <c r="C76" t="s">
        <v>59</v>
      </c>
      <c r="D76" t="s">
        <v>11</v>
      </c>
      <c r="E76" t="s">
        <v>13</v>
      </c>
      <c r="F76" t="s">
        <v>49</v>
      </c>
      <c r="G76" t="s">
        <v>15</v>
      </c>
      <c r="H76" t="s">
        <v>16</v>
      </c>
      <c r="I76">
        <v>2.109</v>
      </c>
      <c r="J76">
        <v>1.05</v>
      </c>
      <c r="K76" t="s">
        <v>2871</v>
      </c>
      <c r="L76" t="s">
        <v>2875</v>
      </c>
      <c r="M76" t="s">
        <v>2873</v>
      </c>
      <c r="N76">
        <v>36</v>
      </c>
      <c r="O76">
        <v>1</v>
      </c>
      <c r="P76">
        <v>2.7799999999999998E-2</v>
      </c>
      <c r="Q76" t="s">
        <v>8</v>
      </c>
      <c r="R76" t="s">
        <v>12</v>
      </c>
      <c r="S76" t="s">
        <v>12</v>
      </c>
      <c r="T76" t="s">
        <v>12</v>
      </c>
      <c r="U76" t="s">
        <v>12</v>
      </c>
      <c r="V76" t="s">
        <v>12</v>
      </c>
      <c r="W76" t="s">
        <v>12</v>
      </c>
      <c r="X76" t="s">
        <v>12</v>
      </c>
      <c r="Y76" t="s">
        <v>12</v>
      </c>
      <c r="Z76" t="s">
        <v>12</v>
      </c>
      <c r="AA76" t="s">
        <v>12</v>
      </c>
      <c r="AB76" t="s">
        <v>12</v>
      </c>
      <c r="AC76" t="s">
        <v>12</v>
      </c>
      <c r="AD76" t="s">
        <v>12</v>
      </c>
    </row>
    <row r="77" spans="1:30">
      <c r="A77" t="s">
        <v>58</v>
      </c>
      <c r="B77" t="str">
        <f>Master_Data_Productivity[[#This Row],[Uniq-ID]]&amp;"-"&amp;Master_Data_Productivity[[#This Row],[Period]]</f>
        <v>DC-Document_Controller-001-M2</v>
      </c>
      <c r="C77" t="s">
        <v>59</v>
      </c>
      <c r="D77" t="s">
        <v>11</v>
      </c>
      <c r="E77" t="s">
        <v>18</v>
      </c>
      <c r="F77" t="s">
        <v>51</v>
      </c>
      <c r="G77" t="s">
        <v>15</v>
      </c>
      <c r="H77" t="s">
        <v>16</v>
      </c>
      <c r="I77">
        <v>2.1789999999999998</v>
      </c>
      <c r="J77">
        <v>1.0900000000000001</v>
      </c>
      <c r="K77" t="s">
        <v>2871</v>
      </c>
      <c r="L77" t="s">
        <v>2872</v>
      </c>
      <c r="M77" t="s">
        <v>2873</v>
      </c>
      <c r="N77">
        <v>35</v>
      </c>
      <c r="O77">
        <v>18</v>
      </c>
      <c r="P77">
        <v>0.51429999999999998</v>
      </c>
      <c r="Q77" t="s">
        <v>8</v>
      </c>
      <c r="R77" t="s">
        <v>12</v>
      </c>
      <c r="S77" t="s">
        <v>12</v>
      </c>
      <c r="T77" t="s">
        <v>12</v>
      </c>
      <c r="U77" t="s">
        <v>12</v>
      </c>
      <c r="V77" t="s">
        <v>12</v>
      </c>
      <c r="W77" t="s">
        <v>12</v>
      </c>
      <c r="X77" t="s">
        <v>12</v>
      </c>
      <c r="Y77" t="s">
        <v>12</v>
      </c>
      <c r="Z77" t="s">
        <v>12</v>
      </c>
      <c r="AA77" t="s">
        <v>12</v>
      </c>
      <c r="AB77" t="s">
        <v>12</v>
      </c>
      <c r="AC77" t="s">
        <v>12</v>
      </c>
      <c r="AD77" t="s">
        <v>12</v>
      </c>
    </row>
    <row r="78" spans="1:30">
      <c r="A78" t="s">
        <v>58</v>
      </c>
      <c r="B78" t="str">
        <f>Master_Data_Productivity[[#This Row],[Uniq-ID]]&amp;"-"&amp;Master_Data_Productivity[[#This Row],[Period]]</f>
        <v>DC-Document_Controller-001-M2</v>
      </c>
      <c r="C78" t="s">
        <v>59</v>
      </c>
      <c r="D78" t="s">
        <v>11</v>
      </c>
      <c r="E78" t="s">
        <v>18</v>
      </c>
      <c r="F78" t="s">
        <v>51</v>
      </c>
      <c r="G78" t="s">
        <v>15</v>
      </c>
      <c r="H78" t="s">
        <v>16</v>
      </c>
      <c r="I78">
        <v>2.1789999999999998</v>
      </c>
      <c r="J78">
        <v>1.0900000000000001</v>
      </c>
      <c r="K78" t="s">
        <v>2871</v>
      </c>
      <c r="L78" t="s">
        <v>2877</v>
      </c>
      <c r="M78" t="s">
        <v>2873</v>
      </c>
      <c r="N78">
        <v>32</v>
      </c>
      <c r="O78">
        <v>18</v>
      </c>
      <c r="P78">
        <v>0.5625</v>
      </c>
      <c r="Q78" t="s">
        <v>8</v>
      </c>
      <c r="R78" t="s">
        <v>12</v>
      </c>
      <c r="S78" t="s">
        <v>12</v>
      </c>
      <c r="T78" t="s">
        <v>12</v>
      </c>
      <c r="U78" t="s">
        <v>12</v>
      </c>
      <c r="V78" t="s">
        <v>12</v>
      </c>
      <c r="W78" t="s">
        <v>12</v>
      </c>
      <c r="X78" t="s">
        <v>12</v>
      </c>
      <c r="Y78" t="s">
        <v>12</v>
      </c>
      <c r="Z78" t="s">
        <v>12</v>
      </c>
      <c r="AA78" t="s">
        <v>12</v>
      </c>
      <c r="AB78" t="s">
        <v>12</v>
      </c>
      <c r="AC78" t="s">
        <v>12</v>
      </c>
      <c r="AD78" t="s">
        <v>12</v>
      </c>
    </row>
    <row r="79" spans="1:30">
      <c r="A79" t="s">
        <v>58</v>
      </c>
      <c r="B79" t="str">
        <f>Master_Data_Productivity[[#This Row],[Uniq-ID]]&amp;"-"&amp;Master_Data_Productivity[[#This Row],[Period]]</f>
        <v>DC-Document_Controller-001-M2</v>
      </c>
      <c r="C79" t="s">
        <v>59</v>
      </c>
      <c r="D79" t="s">
        <v>11</v>
      </c>
      <c r="E79" t="s">
        <v>18</v>
      </c>
      <c r="F79" t="s">
        <v>51</v>
      </c>
      <c r="G79" t="s">
        <v>15</v>
      </c>
      <c r="H79" t="s">
        <v>16</v>
      </c>
      <c r="I79">
        <v>2.1789999999999998</v>
      </c>
      <c r="J79">
        <v>1.0900000000000001</v>
      </c>
      <c r="K79" t="s">
        <v>2871</v>
      </c>
      <c r="L79" t="s">
        <v>2875</v>
      </c>
      <c r="M79" t="s">
        <v>2873</v>
      </c>
      <c r="N79">
        <v>36</v>
      </c>
      <c r="O79">
        <v>12</v>
      </c>
      <c r="P79">
        <v>0.33329999999999999</v>
      </c>
      <c r="Q79" t="s">
        <v>8</v>
      </c>
      <c r="R79" t="s">
        <v>12</v>
      </c>
      <c r="S79" t="s">
        <v>12</v>
      </c>
      <c r="T79" t="s">
        <v>12</v>
      </c>
      <c r="U79" t="s">
        <v>12</v>
      </c>
      <c r="V79" t="s">
        <v>12</v>
      </c>
      <c r="W79" t="s">
        <v>12</v>
      </c>
      <c r="X79" t="s">
        <v>12</v>
      </c>
      <c r="Y79" t="s">
        <v>12</v>
      </c>
      <c r="Z79" t="s">
        <v>12</v>
      </c>
      <c r="AA79" t="s">
        <v>12</v>
      </c>
      <c r="AB79" t="s">
        <v>12</v>
      </c>
      <c r="AC79" t="s">
        <v>12</v>
      </c>
      <c r="AD79" t="s">
        <v>12</v>
      </c>
    </row>
    <row r="80" spans="1:30">
      <c r="A80" t="s">
        <v>58</v>
      </c>
      <c r="B80" t="str">
        <f>Master_Data_Productivity[[#This Row],[Uniq-ID]]&amp;"-"&amp;Master_Data_Productivity[[#This Row],[Period]]</f>
        <v>DC-Document_Controller-001-M2</v>
      </c>
      <c r="C80" t="s">
        <v>59</v>
      </c>
      <c r="D80" t="s">
        <v>11</v>
      </c>
      <c r="E80" t="s">
        <v>18</v>
      </c>
      <c r="F80" t="s">
        <v>51</v>
      </c>
      <c r="G80" t="s">
        <v>15</v>
      </c>
      <c r="H80" t="s">
        <v>16</v>
      </c>
      <c r="I80">
        <v>2.1789999999999998</v>
      </c>
      <c r="J80">
        <v>1.0900000000000001</v>
      </c>
      <c r="K80" t="s">
        <v>2879</v>
      </c>
      <c r="L80" t="s">
        <v>2894</v>
      </c>
      <c r="M80" t="s">
        <v>2873</v>
      </c>
      <c r="N80">
        <v>26</v>
      </c>
      <c r="O80">
        <v>20</v>
      </c>
      <c r="P80">
        <v>0.76919999999999999</v>
      </c>
      <c r="Q80" t="s">
        <v>8</v>
      </c>
      <c r="R80" t="s">
        <v>12</v>
      </c>
      <c r="S80" t="s">
        <v>12</v>
      </c>
      <c r="T80" t="s">
        <v>12</v>
      </c>
      <c r="U80" t="s">
        <v>12</v>
      </c>
      <c r="V80" t="s">
        <v>12</v>
      </c>
      <c r="W80" t="s">
        <v>12</v>
      </c>
      <c r="X80" t="s">
        <v>12</v>
      </c>
      <c r="Y80" t="s">
        <v>12</v>
      </c>
      <c r="Z80" t="s">
        <v>12</v>
      </c>
      <c r="AA80" t="s">
        <v>12</v>
      </c>
      <c r="AB80" t="s">
        <v>12</v>
      </c>
      <c r="AC80" t="s">
        <v>12</v>
      </c>
      <c r="AD80" t="s">
        <v>12</v>
      </c>
    </row>
    <row r="81" spans="1:30">
      <c r="A81" t="s">
        <v>58</v>
      </c>
      <c r="B81" t="str">
        <f>Master_Data_Productivity[[#This Row],[Uniq-ID]]&amp;"-"&amp;Master_Data_Productivity[[#This Row],[Period]]</f>
        <v>DC-Document_Controller-001-M3</v>
      </c>
      <c r="C81" t="s">
        <v>59</v>
      </c>
      <c r="D81" t="s">
        <v>11</v>
      </c>
      <c r="E81" t="s">
        <v>22</v>
      </c>
      <c r="F81" t="s">
        <v>52</v>
      </c>
      <c r="G81" t="s">
        <v>15</v>
      </c>
      <c r="H81" t="s">
        <v>20</v>
      </c>
      <c r="I81">
        <v>1.8879999999999999</v>
      </c>
      <c r="J81">
        <v>1</v>
      </c>
      <c r="K81" t="s">
        <v>2871</v>
      </c>
      <c r="L81" t="s">
        <v>2872</v>
      </c>
      <c r="M81" t="s">
        <v>2873</v>
      </c>
      <c r="N81">
        <v>35</v>
      </c>
      <c r="O81">
        <v>16</v>
      </c>
      <c r="P81">
        <v>0.45710000000000001</v>
      </c>
      <c r="Q81" t="s">
        <v>8</v>
      </c>
      <c r="R81" t="s">
        <v>12</v>
      </c>
      <c r="S81" t="s">
        <v>12</v>
      </c>
      <c r="T81" t="s">
        <v>12</v>
      </c>
      <c r="U81" t="s">
        <v>12</v>
      </c>
      <c r="V81" t="s">
        <v>12</v>
      </c>
      <c r="W81" t="s">
        <v>12</v>
      </c>
      <c r="X81" t="s">
        <v>12</v>
      </c>
      <c r="Y81" t="s">
        <v>12</v>
      </c>
      <c r="Z81" t="s">
        <v>12</v>
      </c>
      <c r="AA81" t="s">
        <v>12</v>
      </c>
      <c r="AB81" t="s">
        <v>12</v>
      </c>
      <c r="AC81" t="s">
        <v>12</v>
      </c>
      <c r="AD81" t="s">
        <v>12</v>
      </c>
    </row>
    <row r="82" spans="1:30">
      <c r="A82" t="s">
        <v>58</v>
      </c>
      <c r="B82" t="str">
        <f>Master_Data_Productivity[[#This Row],[Uniq-ID]]&amp;"-"&amp;Master_Data_Productivity[[#This Row],[Period]]</f>
        <v>DC-Document_Controller-001-M3</v>
      </c>
      <c r="C82" t="s">
        <v>59</v>
      </c>
      <c r="D82" t="s">
        <v>11</v>
      </c>
      <c r="E82" t="s">
        <v>22</v>
      </c>
      <c r="F82" t="s">
        <v>52</v>
      </c>
      <c r="G82" t="s">
        <v>15</v>
      </c>
      <c r="H82" t="s">
        <v>20</v>
      </c>
      <c r="I82">
        <v>1.8879999999999999</v>
      </c>
      <c r="J82">
        <v>1</v>
      </c>
      <c r="K82" t="s">
        <v>2871</v>
      </c>
      <c r="L82" t="s">
        <v>2877</v>
      </c>
      <c r="M82" t="s">
        <v>2873</v>
      </c>
      <c r="N82">
        <v>32</v>
      </c>
      <c r="O82">
        <v>44</v>
      </c>
      <c r="P82">
        <v>1.375</v>
      </c>
      <c r="Q82" t="s">
        <v>8</v>
      </c>
      <c r="R82" t="s">
        <v>12</v>
      </c>
      <c r="S82" t="s">
        <v>12</v>
      </c>
      <c r="T82" t="s">
        <v>12</v>
      </c>
      <c r="U82" t="s">
        <v>12</v>
      </c>
      <c r="V82" t="s">
        <v>12</v>
      </c>
      <c r="W82" t="s">
        <v>12</v>
      </c>
      <c r="X82" t="s">
        <v>12</v>
      </c>
      <c r="Y82" t="s">
        <v>12</v>
      </c>
      <c r="Z82" t="s">
        <v>12</v>
      </c>
      <c r="AA82" t="s">
        <v>12</v>
      </c>
      <c r="AB82" t="s">
        <v>12</v>
      </c>
      <c r="AC82" t="s">
        <v>12</v>
      </c>
      <c r="AD82" t="s">
        <v>12</v>
      </c>
    </row>
    <row r="83" spans="1:30">
      <c r="A83" t="s">
        <v>58</v>
      </c>
      <c r="B83" t="str">
        <f>Master_Data_Productivity[[#This Row],[Uniq-ID]]&amp;"-"&amp;Master_Data_Productivity[[#This Row],[Period]]</f>
        <v>DC-Document_Controller-001-M3</v>
      </c>
      <c r="C83" t="s">
        <v>59</v>
      </c>
      <c r="D83" t="s">
        <v>11</v>
      </c>
      <c r="E83" t="s">
        <v>22</v>
      </c>
      <c r="F83" t="s">
        <v>52</v>
      </c>
      <c r="G83" t="s">
        <v>15</v>
      </c>
      <c r="H83" t="s">
        <v>20</v>
      </c>
      <c r="I83">
        <v>1.8879999999999999</v>
      </c>
      <c r="J83">
        <v>1</v>
      </c>
      <c r="K83" t="s">
        <v>2871</v>
      </c>
      <c r="L83" t="s">
        <v>2875</v>
      </c>
      <c r="M83" t="s">
        <v>2873</v>
      </c>
      <c r="N83">
        <v>36</v>
      </c>
      <c r="O83">
        <v>2</v>
      </c>
      <c r="P83">
        <v>5.5599999999999997E-2</v>
      </c>
      <c r="Q83" t="s">
        <v>8</v>
      </c>
      <c r="R83" t="s">
        <v>12</v>
      </c>
      <c r="S83" t="s">
        <v>12</v>
      </c>
      <c r="T83" t="s">
        <v>12</v>
      </c>
      <c r="U83" t="s">
        <v>12</v>
      </c>
      <c r="V83" t="s">
        <v>12</v>
      </c>
      <c r="W83" t="s">
        <v>12</v>
      </c>
      <c r="X83" t="s">
        <v>12</v>
      </c>
      <c r="Y83" t="s">
        <v>12</v>
      </c>
      <c r="Z83" t="s">
        <v>12</v>
      </c>
      <c r="AA83" t="s">
        <v>12</v>
      </c>
      <c r="AB83" t="s">
        <v>12</v>
      </c>
      <c r="AC83" t="s">
        <v>12</v>
      </c>
      <c r="AD83" t="s">
        <v>12</v>
      </c>
    </row>
    <row r="84" spans="1:30">
      <c r="A84" t="s">
        <v>58</v>
      </c>
      <c r="B84" t="str">
        <f>Master_Data_Productivity[[#This Row],[Uniq-ID]]&amp;"-"&amp;Master_Data_Productivity[[#This Row],[Period]]</f>
        <v>DC-Document_Controller-001-M4</v>
      </c>
      <c r="C84" t="s">
        <v>59</v>
      </c>
      <c r="D84" t="s">
        <v>11</v>
      </c>
      <c r="E84" t="s">
        <v>25</v>
      </c>
      <c r="F84" t="s">
        <v>54</v>
      </c>
      <c r="G84" t="s">
        <v>15</v>
      </c>
      <c r="H84" t="s">
        <v>16</v>
      </c>
      <c r="I84">
        <v>3.8</v>
      </c>
      <c r="J84">
        <v>1.5</v>
      </c>
      <c r="K84" t="s">
        <v>2871</v>
      </c>
      <c r="L84" t="s">
        <v>2877</v>
      </c>
      <c r="M84" t="s">
        <v>2873</v>
      </c>
      <c r="N84">
        <v>32</v>
      </c>
      <c r="O84">
        <v>32</v>
      </c>
      <c r="P84">
        <v>1</v>
      </c>
      <c r="Q84" t="s">
        <v>8</v>
      </c>
      <c r="R84" t="s">
        <v>12</v>
      </c>
      <c r="S84" t="s">
        <v>12</v>
      </c>
      <c r="T84" t="s">
        <v>12</v>
      </c>
      <c r="U84" t="s">
        <v>12</v>
      </c>
      <c r="V84" t="s">
        <v>12</v>
      </c>
      <c r="W84" t="s">
        <v>12</v>
      </c>
      <c r="X84" t="s">
        <v>12</v>
      </c>
      <c r="Y84" t="s">
        <v>12</v>
      </c>
      <c r="Z84" t="s">
        <v>12</v>
      </c>
      <c r="AA84" t="s">
        <v>12</v>
      </c>
      <c r="AB84" t="s">
        <v>12</v>
      </c>
      <c r="AC84" t="s">
        <v>12</v>
      </c>
      <c r="AD84" t="s">
        <v>12</v>
      </c>
    </row>
    <row r="85" spans="1:30">
      <c r="A85" t="s">
        <v>58</v>
      </c>
      <c r="B85" t="str">
        <f>Master_Data_Productivity[[#This Row],[Uniq-ID]]&amp;"-"&amp;Master_Data_Productivity[[#This Row],[Period]]</f>
        <v>DC-Document_Controller-001-M4</v>
      </c>
      <c r="C85" t="s">
        <v>59</v>
      </c>
      <c r="D85" t="s">
        <v>11</v>
      </c>
      <c r="E85" t="s">
        <v>25</v>
      </c>
      <c r="F85" t="s">
        <v>54</v>
      </c>
      <c r="G85" t="s">
        <v>15</v>
      </c>
      <c r="H85" t="s">
        <v>16</v>
      </c>
      <c r="I85">
        <v>3.8</v>
      </c>
      <c r="J85">
        <v>1.5</v>
      </c>
      <c r="K85" t="s">
        <v>2871</v>
      </c>
      <c r="L85" t="s">
        <v>2872</v>
      </c>
      <c r="M85" t="s">
        <v>2873</v>
      </c>
      <c r="N85">
        <v>35</v>
      </c>
      <c r="O85">
        <v>63</v>
      </c>
      <c r="P85">
        <v>1.8</v>
      </c>
      <c r="Q85" t="s">
        <v>8</v>
      </c>
      <c r="R85" t="s">
        <v>12</v>
      </c>
      <c r="S85" t="s">
        <v>12</v>
      </c>
      <c r="T85" t="s">
        <v>12</v>
      </c>
      <c r="U85" t="s">
        <v>12</v>
      </c>
      <c r="V85" t="s">
        <v>12</v>
      </c>
      <c r="W85" t="s">
        <v>12</v>
      </c>
      <c r="X85" t="s">
        <v>12</v>
      </c>
      <c r="Y85" t="s">
        <v>12</v>
      </c>
      <c r="Z85" t="s">
        <v>12</v>
      </c>
      <c r="AA85" t="s">
        <v>12</v>
      </c>
      <c r="AB85" t="s">
        <v>12</v>
      </c>
      <c r="AC85" t="s">
        <v>12</v>
      </c>
      <c r="AD85" t="s">
        <v>12</v>
      </c>
    </row>
    <row r="86" spans="1:30">
      <c r="A86" t="s">
        <v>58</v>
      </c>
      <c r="B86" t="str">
        <f>Master_Data_Productivity[[#This Row],[Uniq-ID]]&amp;"-"&amp;Master_Data_Productivity[[#This Row],[Period]]</f>
        <v>DC-Document_Controller-001-M4</v>
      </c>
      <c r="C86" t="s">
        <v>59</v>
      </c>
      <c r="D86" t="s">
        <v>11</v>
      </c>
      <c r="E86" t="s">
        <v>25</v>
      </c>
      <c r="F86" t="s">
        <v>54</v>
      </c>
      <c r="G86" t="s">
        <v>15</v>
      </c>
      <c r="H86" t="s">
        <v>16</v>
      </c>
      <c r="I86">
        <v>3.8</v>
      </c>
      <c r="J86">
        <v>1.5</v>
      </c>
      <c r="K86" t="s">
        <v>2871</v>
      </c>
      <c r="L86" t="s">
        <v>2875</v>
      </c>
      <c r="M86" t="s">
        <v>2873</v>
      </c>
      <c r="N86">
        <v>36</v>
      </c>
      <c r="O86">
        <v>36</v>
      </c>
      <c r="P86">
        <v>1</v>
      </c>
      <c r="Q86" t="s">
        <v>8</v>
      </c>
      <c r="R86" t="s">
        <v>12</v>
      </c>
      <c r="S86" t="s">
        <v>12</v>
      </c>
      <c r="T86" t="s">
        <v>12</v>
      </c>
      <c r="U86" t="s">
        <v>12</v>
      </c>
      <c r="V86" t="s">
        <v>12</v>
      </c>
      <c r="W86" t="s">
        <v>12</v>
      </c>
      <c r="X86" t="s">
        <v>12</v>
      </c>
      <c r="Y86" t="s">
        <v>12</v>
      </c>
      <c r="Z86" t="s">
        <v>12</v>
      </c>
      <c r="AA86" t="s">
        <v>12</v>
      </c>
      <c r="AB86" t="s">
        <v>12</v>
      </c>
      <c r="AC86" t="s">
        <v>12</v>
      </c>
      <c r="AD86" t="s">
        <v>12</v>
      </c>
    </row>
    <row r="87" spans="1:30">
      <c r="A87" t="s">
        <v>58</v>
      </c>
      <c r="B87" t="str">
        <f>Master_Data_Productivity[[#This Row],[Uniq-ID]]&amp;"-"&amp;Master_Data_Productivity[[#This Row],[Period]]</f>
        <v>DC-Document_Controller-001-M5</v>
      </c>
      <c r="C87" t="s">
        <v>59</v>
      </c>
      <c r="D87" t="s">
        <v>11</v>
      </c>
      <c r="E87" t="s">
        <v>28</v>
      </c>
      <c r="F87" t="s">
        <v>56</v>
      </c>
      <c r="G87" t="s">
        <v>15</v>
      </c>
      <c r="H87" t="s">
        <v>16</v>
      </c>
      <c r="I87">
        <v>4.9109999999999996</v>
      </c>
      <c r="J87">
        <v>1.5</v>
      </c>
      <c r="K87" t="s">
        <v>2871</v>
      </c>
      <c r="L87" t="s">
        <v>2875</v>
      </c>
      <c r="M87" t="s">
        <v>2873</v>
      </c>
      <c r="N87">
        <v>36</v>
      </c>
      <c r="O87">
        <v>38</v>
      </c>
      <c r="P87">
        <v>1.0556000000000001</v>
      </c>
      <c r="Q87" t="s">
        <v>8</v>
      </c>
      <c r="R87" t="s">
        <v>12</v>
      </c>
      <c r="S87" t="s">
        <v>12</v>
      </c>
      <c r="T87" t="s">
        <v>12</v>
      </c>
      <c r="U87" t="s">
        <v>12</v>
      </c>
      <c r="V87" t="s">
        <v>12</v>
      </c>
      <c r="W87" t="s">
        <v>12</v>
      </c>
      <c r="X87" t="s">
        <v>12</v>
      </c>
      <c r="Y87" t="s">
        <v>12</v>
      </c>
      <c r="Z87" t="s">
        <v>12</v>
      </c>
      <c r="AA87" t="s">
        <v>12</v>
      </c>
      <c r="AB87" t="s">
        <v>12</v>
      </c>
      <c r="AC87" t="s">
        <v>12</v>
      </c>
      <c r="AD87" t="s">
        <v>12</v>
      </c>
    </row>
    <row r="88" spans="1:30">
      <c r="A88" t="s">
        <v>58</v>
      </c>
      <c r="B88" t="str">
        <f>Master_Data_Productivity[[#This Row],[Uniq-ID]]&amp;"-"&amp;Master_Data_Productivity[[#This Row],[Period]]</f>
        <v>DC-Document_Controller-001-M5</v>
      </c>
      <c r="C88" t="s">
        <v>59</v>
      </c>
      <c r="D88" t="s">
        <v>11</v>
      </c>
      <c r="E88" t="s">
        <v>28</v>
      </c>
      <c r="F88" t="s">
        <v>56</v>
      </c>
      <c r="G88" t="s">
        <v>15</v>
      </c>
      <c r="H88" t="s">
        <v>16</v>
      </c>
      <c r="I88">
        <v>4.9109999999999996</v>
      </c>
      <c r="J88">
        <v>1.5</v>
      </c>
      <c r="K88" t="s">
        <v>2871</v>
      </c>
      <c r="L88" t="s">
        <v>2872</v>
      </c>
      <c r="M88" t="s">
        <v>2873</v>
      </c>
      <c r="N88">
        <v>35</v>
      </c>
      <c r="O88">
        <v>19</v>
      </c>
      <c r="P88">
        <v>0.54290000000000005</v>
      </c>
      <c r="Q88" t="s">
        <v>8</v>
      </c>
      <c r="R88" t="s">
        <v>12</v>
      </c>
      <c r="S88" t="s">
        <v>12</v>
      </c>
      <c r="T88" t="s">
        <v>12</v>
      </c>
      <c r="U88" t="s">
        <v>12</v>
      </c>
      <c r="V88" t="s">
        <v>12</v>
      </c>
      <c r="W88" t="s">
        <v>12</v>
      </c>
      <c r="X88" t="s">
        <v>12</v>
      </c>
      <c r="Y88" t="s">
        <v>12</v>
      </c>
      <c r="Z88" t="s">
        <v>12</v>
      </c>
      <c r="AA88" t="s">
        <v>12</v>
      </c>
      <c r="AB88" t="s">
        <v>12</v>
      </c>
      <c r="AC88" t="s">
        <v>12</v>
      </c>
      <c r="AD88" t="s">
        <v>12</v>
      </c>
    </row>
    <row r="89" spans="1:30">
      <c r="A89" t="s">
        <v>58</v>
      </c>
      <c r="B89" t="str">
        <f>Master_Data_Productivity[[#This Row],[Uniq-ID]]&amp;"-"&amp;Master_Data_Productivity[[#This Row],[Period]]</f>
        <v>DC-Document_Controller-001-M5</v>
      </c>
      <c r="C89" t="s">
        <v>59</v>
      </c>
      <c r="D89" t="s">
        <v>11</v>
      </c>
      <c r="E89" t="s">
        <v>28</v>
      </c>
      <c r="F89" t="s">
        <v>56</v>
      </c>
      <c r="G89" t="s">
        <v>15</v>
      </c>
      <c r="H89" t="s">
        <v>16</v>
      </c>
      <c r="I89">
        <v>4.9109999999999996</v>
      </c>
      <c r="J89">
        <v>1.5</v>
      </c>
      <c r="K89" t="s">
        <v>2871</v>
      </c>
      <c r="L89" t="s">
        <v>2877</v>
      </c>
      <c r="M89" t="s">
        <v>2873</v>
      </c>
      <c r="N89">
        <v>32</v>
      </c>
      <c r="O89">
        <v>106</v>
      </c>
      <c r="P89">
        <v>3.3125</v>
      </c>
      <c r="Q89" t="s">
        <v>8</v>
      </c>
      <c r="R89" t="s">
        <v>12</v>
      </c>
      <c r="S89" t="s">
        <v>12</v>
      </c>
      <c r="T89" t="s">
        <v>12</v>
      </c>
      <c r="U89" t="s">
        <v>12</v>
      </c>
      <c r="V89" t="s">
        <v>12</v>
      </c>
      <c r="W89" t="s">
        <v>12</v>
      </c>
      <c r="X89" t="s">
        <v>12</v>
      </c>
      <c r="Y89" t="s">
        <v>12</v>
      </c>
      <c r="Z89" t="s">
        <v>12</v>
      </c>
      <c r="AA89" t="s">
        <v>12</v>
      </c>
      <c r="AB89" t="s">
        <v>12</v>
      </c>
      <c r="AC89" t="s">
        <v>12</v>
      </c>
      <c r="AD89" t="s">
        <v>12</v>
      </c>
    </row>
    <row r="90" spans="1:30">
      <c r="A90" t="s">
        <v>58</v>
      </c>
      <c r="B90" t="str">
        <f>Master_Data_Productivity[[#This Row],[Uniq-ID]]&amp;"-"&amp;Master_Data_Productivity[[#This Row],[Period]]</f>
        <v>DC-Document_Controller-001-M6</v>
      </c>
      <c r="C90" t="s">
        <v>59</v>
      </c>
      <c r="D90" t="s">
        <v>11</v>
      </c>
      <c r="E90" t="s">
        <v>31</v>
      </c>
      <c r="F90" t="s">
        <v>57</v>
      </c>
      <c r="G90" t="s">
        <v>33</v>
      </c>
      <c r="H90" t="s">
        <v>44</v>
      </c>
      <c r="I90">
        <v>5.7000000000000002E-2</v>
      </c>
      <c r="J90">
        <v>0.5</v>
      </c>
      <c r="K90" t="s">
        <v>2871</v>
      </c>
      <c r="L90" t="s">
        <v>2872</v>
      </c>
      <c r="M90" t="s">
        <v>2873</v>
      </c>
      <c r="N90">
        <v>35</v>
      </c>
      <c r="O90">
        <v>2</v>
      </c>
      <c r="P90">
        <v>5.7099999999999998E-2</v>
      </c>
      <c r="Q90" t="s">
        <v>8</v>
      </c>
      <c r="R90" t="s">
        <v>12</v>
      </c>
      <c r="S90" t="s">
        <v>12</v>
      </c>
      <c r="T90" t="s">
        <v>12</v>
      </c>
      <c r="U90" t="s">
        <v>12</v>
      </c>
      <c r="V90" t="s">
        <v>12</v>
      </c>
      <c r="W90" t="s">
        <v>12</v>
      </c>
      <c r="X90" t="s">
        <v>12</v>
      </c>
      <c r="Y90" t="s">
        <v>12</v>
      </c>
      <c r="Z90" t="s">
        <v>12</v>
      </c>
      <c r="AA90" t="s">
        <v>12</v>
      </c>
      <c r="AB90" t="s">
        <v>12</v>
      </c>
      <c r="AC90" t="s">
        <v>12</v>
      </c>
      <c r="AD90" t="s">
        <v>12</v>
      </c>
    </row>
    <row r="91" spans="1:30">
      <c r="A91" t="s">
        <v>218</v>
      </c>
      <c r="B91" t="str">
        <f>Master_Data_Productivity[[#This Row],[Uniq-ID]]&amp;"-"&amp;Master_Data_Productivity[[#This Row],[Period]]</f>
        <v>DC-Document_Controller-066-M1</v>
      </c>
      <c r="C91" t="s">
        <v>219</v>
      </c>
      <c r="D91" t="s">
        <v>76</v>
      </c>
      <c r="E91" t="s">
        <v>13</v>
      </c>
      <c r="F91" t="s">
        <v>220</v>
      </c>
      <c r="G91" t="s">
        <v>15</v>
      </c>
      <c r="H91" t="s">
        <v>16</v>
      </c>
      <c r="I91">
        <v>39</v>
      </c>
      <c r="J91">
        <v>1.5</v>
      </c>
      <c r="K91" t="s">
        <v>2887</v>
      </c>
      <c r="L91" t="s">
        <v>3019</v>
      </c>
      <c r="M91" t="s">
        <v>2916</v>
      </c>
      <c r="N91">
        <v>4</v>
      </c>
      <c r="O91">
        <v>156</v>
      </c>
      <c r="P91">
        <v>39</v>
      </c>
      <c r="Q91" t="s">
        <v>8</v>
      </c>
      <c r="R91" t="s">
        <v>12</v>
      </c>
      <c r="S91" t="s">
        <v>12</v>
      </c>
      <c r="T91" t="s">
        <v>12</v>
      </c>
      <c r="U91" t="s">
        <v>12</v>
      </c>
      <c r="V91" t="s">
        <v>12</v>
      </c>
      <c r="W91" t="s">
        <v>12</v>
      </c>
      <c r="X91" t="s">
        <v>12</v>
      </c>
      <c r="Y91" t="s">
        <v>12</v>
      </c>
      <c r="Z91" t="s">
        <v>12</v>
      </c>
      <c r="AA91" t="s">
        <v>12</v>
      </c>
      <c r="AB91" t="s">
        <v>12</v>
      </c>
      <c r="AC91" t="s">
        <v>12</v>
      </c>
      <c r="AD91" t="s">
        <v>12</v>
      </c>
    </row>
    <row r="92" spans="1:30">
      <c r="A92" t="s">
        <v>218</v>
      </c>
      <c r="B92" t="str">
        <f>Master_Data_Productivity[[#This Row],[Uniq-ID]]&amp;"-"&amp;Master_Data_Productivity[[#This Row],[Period]]</f>
        <v>DC-Document_Controller-066-M2</v>
      </c>
      <c r="C92" t="s">
        <v>219</v>
      </c>
      <c r="D92" t="s">
        <v>76</v>
      </c>
      <c r="E92" t="s">
        <v>18</v>
      </c>
      <c r="F92" t="s">
        <v>222</v>
      </c>
      <c r="G92" t="s">
        <v>15</v>
      </c>
      <c r="H92" t="s">
        <v>16</v>
      </c>
      <c r="I92">
        <v>64.5</v>
      </c>
      <c r="J92">
        <v>1.5</v>
      </c>
      <c r="K92" t="s">
        <v>2887</v>
      </c>
      <c r="L92" t="s">
        <v>3019</v>
      </c>
      <c r="M92" t="s">
        <v>2916</v>
      </c>
      <c r="N92">
        <v>4</v>
      </c>
      <c r="O92">
        <v>258</v>
      </c>
      <c r="P92">
        <v>64.5</v>
      </c>
      <c r="Q92" t="s">
        <v>8</v>
      </c>
      <c r="R92" t="s">
        <v>12</v>
      </c>
      <c r="S92" t="s">
        <v>12</v>
      </c>
      <c r="T92" t="s">
        <v>12</v>
      </c>
      <c r="U92" t="s">
        <v>12</v>
      </c>
      <c r="V92" t="s">
        <v>12</v>
      </c>
      <c r="W92" t="s">
        <v>12</v>
      </c>
      <c r="X92" t="s">
        <v>12</v>
      </c>
      <c r="Y92" t="s">
        <v>12</v>
      </c>
      <c r="Z92" t="s">
        <v>12</v>
      </c>
      <c r="AA92" t="s">
        <v>12</v>
      </c>
      <c r="AB92" t="s">
        <v>12</v>
      </c>
      <c r="AC92" t="s">
        <v>12</v>
      </c>
      <c r="AD92" t="s">
        <v>12</v>
      </c>
    </row>
    <row r="93" spans="1:30">
      <c r="A93" t="s">
        <v>218</v>
      </c>
      <c r="B93" t="str">
        <f>Master_Data_Productivity[[#This Row],[Uniq-ID]]&amp;"-"&amp;Master_Data_Productivity[[#This Row],[Period]]</f>
        <v>DC-Document_Controller-066-M3</v>
      </c>
      <c r="C93" t="s">
        <v>219</v>
      </c>
      <c r="D93" t="s">
        <v>76</v>
      </c>
      <c r="E93" t="s">
        <v>22</v>
      </c>
      <c r="F93" t="s">
        <v>224</v>
      </c>
      <c r="G93" t="s">
        <v>33</v>
      </c>
      <c r="H93" t="s">
        <v>44</v>
      </c>
      <c r="I93">
        <v>0</v>
      </c>
      <c r="K93" t="s">
        <v>12</v>
      </c>
      <c r="L93" t="s">
        <v>12</v>
      </c>
      <c r="M93" t="s">
        <v>12</v>
      </c>
      <c r="Q93" t="s">
        <v>8</v>
      </c>
      <c r="R93" t="s">
        <v>12</v>
      </c>
      <c r="S93" t="s">
        <v>12</v>
      </c>
      <c r="T93" t="s">
        <v>12</v>
      </c>
      <c r="U93" t="s">
        <v>12</v>
      </c>
      <c r="V93" t="s">
        <v>12</v>
      </c>
      <c r="W93" t="s">
        <v>12</v>
      </c>
      <c r="X93" t="s">
        <v>12</v>
      </c>
      <c r="Y93" t="s">
        <v>12</v>
      </c>
      <c r="Z93" t="s">
        <v>12</v>
      </c>
      <c r="AA93" t="s">
        <v>12</v>
      </c>
      <c r="AB93" t="s">
        <v>12</v>
      </c>
      <c r="AC93" t="s">
        <v>12</v>
      </c>
      <c r="AD93" t="s">
        <v>12</v>
      </c>
    </row>
    <row r="94" spans="1:30">
      <c r="A94" t="s">
        <v>46</v>
      </c>
      <c r="B94" t="str">
        <f>Master_Data_Productivity[[#This Row],[Uniq-ID]]&amp;"-"&amp;Master_Data_Productivity[[#This Row],[Period]]</f>
        <v>DC-Document_Controller-004-M1</v>
      </c>
      <c r="C94" t="s">
        <v>47</v>
      </c>
      <c r="D94" t="s">
        <v>48</v>
      </c>
      <c r="E94" t="s">
        <v>13</v>
      </c>
      <c r="F94" t="s">
        <v>49</v>
      </c>
      <c r="G94" t="s">
        <v>15</v>
      </c>
      <c r="H94" t="s">
        <v>16</v>
      </c>
      <c r="I94">
        <v>9.1709999999999994</v>
      </c>
      <c r="J94">
        <v>1.5</v>
      </c>
      <c r="K94" t="s">
        <v>2879</v>
      </c>
      <c r="L94" t="s">
        <v>2915</v>
      </c>
      <c r="M94" t="s">
        <v>2916</v>
      </c>
      <c r="N94">
        <v>20</v>
      </c>
      <c r="O94">
        <v>100</v>
      </c>
      <c r="P94">
        <v>5</v>
      </c>
      <c r="Q94" t="s">
        <v>8</v>
      </c>
      <c r="R94" t="s">
        <v>12</v>
      </c>
      <c r="S94" t="s">
        <v>12</v>
      </c>
      <c r="T94" t="s">
        <v>12</v>
      </c>
      <c r="U94" t="s">
        <v>12</v>
      </c>
      <c r="V94" t="s">
        <v>12</v>
      </c>
      <c r="W94" t="s">
        <v>12</v>
      </c>
      <c r="X94" t="s">
        <v>12</v>
      </c>
      <c r="Y94" t="s">
        <v>12</v>
      </c>
      <c r="Z94" t="s">
        <v>12</v>
      </c>
      <c r="AA94" t="s">
        <v>12</v>
      </c>
      <c r="AB94" t="s">
        <v>12</v>
      </c>
      <c r="AC94" t="s">
        <v>12</v>
      </c>
      <c r="AD94" t="s">
        <v>12</v>
      </c>
    </row>
    <row r="95" spans="1:30">
      <c r="A95" t="s">
        <v>46</v>
      </c>
      <c r="B95" t="str">
        <f>Master_Data_Productivity[[#This Row],[Uniq-ID]]&amp;"-"&amp;Master_Data_Productivity[[#This Row],[Period]]</f>
        <v>DC-Document_Controller-004-M1</v>
      </c>
      <c r="C95" t="s">
        <v>47</v>
      </c>
      <c r="D95" t="s">
        <v>48</v>
      </c>
      <c r="E95" t="s">
        <v>13</v>
      </c>
      <c r="F95" t="s">
        <v>49</v>
      </c>
      <c r="G95" t="s">
        <v>15</v>
      </c>
      <c r="H95" t="s">
        <v>16</v>
      </c>
      <c r="I95">
        <v>9.1709999999999994</v>
      </c>
      <c r="J95">
        <v>1.5</v>
      </c>
      <c r="K95" t="s">
        <v>2879</v>
      </c>
      <c r="L95" t="s">
        <v>2915</v>
      </c>
      <c r="M95" t="s">
        <v>2916</v>
      </c>
      <c r="N95">
        <v>26</v>
      </c>
      <c r="O95">
        <v>100</v>
      </c>
      <c r="P95">
        <v>3.8462000000000001</v>
      </c>
      <c r="Q95" t="s">
        <v>8</v>
      </c>
      <c r="R95" t="s">
        <v>12</v>
      </c>
      <c r="S95" t="s">
        <v>12</v>
      </c>
      <c r="T95" t="s">
        <v>12</v>
      </c>
      <c r="U95" t="s">
        <v>12</v>
      </c>
      <c r="V95" t="s">
        <v>12</v>
      </c>
      <c r="W95" t="s">
        <v>12</v>
      </c>
      <c r="X95" t="s">
        <v>12</v>
      </c>
      <c r="Y95" t="s">
        <v>12</v>
      </c>
      <c r="Z95" t="s">
        <v>12</v>
      </c>
      <c r="AA95" t="s">
        <v>12</v>
      </c>
      <c r="AB95" t="s">
        <v>12</v>
      </c>
      <c r="AC95" t="s">
        <v>12</v>
      </c>
      <c r="AD95" t="s">
        <v>12</v>
      </c>
    </row>
    <row r="96" spans="1:30">
      <c r="A96" t="s">
        <v>46</v>
      </c>
      <c r="B96" t="str">
        <f>Master_Data_Productivity[[#This Row],[Uniq-ID]]&amp;"-"&amp;Master_Data_Productivity[[#This Row],[Period]]</f>
        <v>DC-Document_Controller-004-M1</v>
      </c>
      <c r="C96" t="s">
        <v>47</v>
      </c>
      <c r="D96" t="s">
        <v>48</v>
      </c>
      <c r="E96" t="s">
        <v>13</v>
      </c>
      <c r="F96" t="s">
        <v>49</v>
      </c>
      <c r="G96" t="s">
        <v>15</v>
      </c>
      <c r="H96" t="s">
        <v>16</v>
      </c>
      <c r="I96">
        <v>9.1709999999999994</v>
      </c>
      <c r="J96">
        <v>1.5</v>
      </c>
      <c r="K96" t="s">
        <v>2879</v>
      </c>
      <c r="L96" t="s">
        <v>2915</v>
      </c>
      <c r="M96" t="s">
        <v>2916</v>
      </c>
      <c r="N96">
        <v>308</v>
      </c>
      <c r="O96">
        <v>100</v>
      </c>
      <c r="P96">
        <v>0.32469999999999999</v>
      </c>
      <c r="Q96" t="s">
        <v>8</v>
      </c>
      <c r="R96" t="s">
        <v>12</v>
      </c>
      <c r="S96" t="s">
        <v>12</v>
      </c>
      <c r="T96" t="s">
        <v>12</v>
      </c>
      <c r="U96" t="s">
        <v>12</v>
      </c>
      <c r="V96" t="s">
        <v>12</v>
      </c>
      <c r="W96" t="s">
        <v>12</v>
      </c>
      <c r="X96" t="s">
        <v>12</v>
      </c>
      <c r="Y96" t="s">
        <v>12</v>
      </c>
      <c r="Z96" t="s">
        <v>12</v>
      </c>
      <c r="AA96" t="s">
        <v>12</v>
      </c>
      <c r="AB96" t="s">
        <v>12</v>
      </c>
      <c r="AC96" t="s">
        <v>12</v>
      </c>
      <c r="AD96" t="s">
        <v>12</v>
      </c>
    </row>
    <row r="97" spans="1:30">
      <c r="A97" t="s">
        <v>46</v>
      </c>
      <c r="B97" t="str">
        <f>Master_Data_Productivity[[#This Row],[Uniq-ID]]&amp;"-"&amp;Master_Data_Productivity[[#This Row],[Period]]</f>
        <v>DC-Document_Controller-004-M2</v>
      </c>
      <c r="C97" t="s">
        <v>47</v>
      </c>
      <c r="D97" t="s">
        <v>48</v>
      </c>
      <c r="E97" t="s">
        <v>18</v>
      </c>
      <c r="F97" t="s">
        <v>51</v>
      </c>
      <c r="G97" t="s">
        <v>15</v>
      </c>
      <c r="H97" t="s">
        <v>16</v>
      </c>
      <c r="I97">
        <v>9.1709999999999994</v>
      </c>
      <c r="J97">
        <v>1.5</v>
      </c>
      <c r="K97" t="s">
        <v>2879</v>
      </c>
      <c r="L97" t="s">
        <v>2915</v>
      </c>
      <c r="M97" t="s">
        <v>2916</v>
      </c>
      <c r="N97">
        <v>20</v>
      </c>
      <c r="O97">
        <v>100</v>
      </c>
      <c r="P97">
        <v>5</v>
      </c>
      <c r="Q97" t="s">
        <v>8</v>
      </c>
      <c r="R97" t="s">
        <v>12</v>
      </c>
      <c r="S97" t="s">
        <v>12</v>
      </c>
      <c r="T97" t="s">
        <v>12</v>
      </c>
      <c r="U97" t="s">
        <v>12</v>
      </c>
      <c r="V97" t="s">
        <v>12</v>
      </c>
      <c r="W97" t="s">
        <v>12</v>
      </c>
      <c r="X97" t="s">
        <v>12</v>
      </c>
      <c r="Y97" t="s">
        <v>12</v>
      </c>
      <c r="Z97" t="s">
        <v>12</v>
      </c>
      <c r="AA97" t="s">
        <v>12</v>
      </c>
      <c r="AB97" t="s">
        <v>12</v>
      </c>
      <c r="AC97" t="s">
        <v>12</v>
      </c>
      <c r="AD97" t="s">
        <v>12</v>
      </c>
    </row>
    <row r="98" spans="1:30">
      <c r="A98" t="s">
        <v>46</v>
      </c>
      <c r="B98" t="str">
        <f>Master_Data_Productivity[[#This Row],[Uniq-ID]]&amp;"-"&amp;Master_Data_Productivity[[#This Row],[Period]]</f>
        <v>DC-Document_Controller-004-M2</v>
      </c>
      <c r="C98" t="s">
        <v>47</v>
      </c>
      <c r="D98" t="s">
        <v>48</v>
      </c>
      <c r="E98" t="s">
        <v>18</v>
      </c>
      <c r="F98" t="s">
        <v>51</v>
      </c>
      <c r="G98" t="s">
        <v>15</v>
      </c>
      <c r="H98" t="s">
        <v>16</v>
      </c>
      <c r="I98">
        <v>9.1709999999999994</v>
      </c>
      <c r="J98">
        <v>1.5</v>
      </c>
      <c r="K98" t="s">
        <v>2879</v>
      </c>
      <c r="L98" t="s">
        <v>2915</v>
      </c>
      <c r="M98" t="s">
        <v>2916</v>
      </c>
      <c r="N98">
        <v>26</v>
      </c>
      <c r="O98">
        <v>100</v>
      </c>
      <c r="P98">
        <v>3.8462000000000001</v>
      </c>
      <c r="Q98" t="s">
        <v>8</v>
      </c>
      <c r="R98" t="s">
        <v>12</v>
      </c>
      <c r="S98" t="s">
        <v>12</v>
      </c>
      <c r="T98" t="s">
        <v>12</v>
      </c>
      <c r="U98" t="s">
        <v>12</v>
      </c>
      <c r="V98" t="s">
        <v>12</v>
      </c>
      <c r="W98" t="s">
        <v>12</v>
      </c>
      <c r="X98" t="s">
        <v>12</v>
      </c>
      <c r="Y98" t="s">
        <v>12</v>
      </c>
      <c r="Z98" t="s">
        <v>12</v>
      </c>
      <c r="AA98" t="s">
        <v>12</v>
      </c>
      <c r="AB98" t="s">
        <v>12</v>
      </c>
      <c r="AC98" t="s">
        <v>12</v>
      </c>
      <c r="AD98" t="s">
        <v>12</v>
      </c>
    </row>
    <row r="99" spans="1:30">
      <c r="A99" t="s">
        <v>46</v>
      </c>
      <c r="B99" t="str">
        <f>Master_Data_Productivity[[#This Row],[Uniq-ID]]&amp;"-"&amp;Master_Data_Productivity[[#This Row],[Period]]</f>
        <v>DC-Document_Controller-004-M2</v>
      </c>
      <c r="C99" t="s">
        <v>47</v>
      </c>
      <c r="D99" t="s">
        <v>48</v>
      </c>
      <c r="E99" t="s">
        <v>18</v>
      </c>
      <c r="F99" t="s">
        <v>51</v>
      </c>
      <c r="G99" t="s">
        <v>15</v>
      </c>
      <c r="H99" t="s">
        <v>16</v>
      </c>
      <c r="I99">
        <v>9.1709999999999994</v>
      </c>
      <c r="J99">
        <v>1.5</v>
      </c>
      <c r="K99" t="s">
        <v>2879</v>
      </c>
      <c r="L99" t="s">
        <v>2915</v>
      </c>
      <c r="M99" t="s">
        <v>2916</v>
      </c>
      <c r="N99">
        <v>308</v>
      </c>
      <c r="O99">
        <v>100</v>
      </c>
      <c r="P99">
        <v>0.32469999999999999</v>
      </c>
      <c r="Q99" t="s">
        <v>8</v>
      </c>
      <c r="R99" t="s">
        <v>12</v>
      </c>
      <c r="S99" t="s">
        <v>12</v>
      </c>
      <c r="T99" t="s">
        <v>12</v>
      </c>
      <c r="U99" t="s">
        <v>12</v>
      </c>
      <c r="V99" t="s">
        <v>12</v>
      </c>
      <c r="W99" t="s">
        <v>12</v>
      </c>
      <c r="X99" t="s">
        <v>12</v>
      </c>
      <c r="Y99" t="s">
        <v>12</v>
      </c>
      <c r="Z99" t="s">
        <v>12</v>
      </c>
      <c r="AA99" t="s">
        <v>12</v>
      </c>
      <c r="AB99" t="s">
        <v>12</v>
      </c>
      <c r="AC99" t="s">
        <v>12</v>
      </c>
      <c r="AD99" t="s">
        <v>12</v>
      </c>
    </row>
    <row r="100" spans="1:30">
      <c r="A100" t="s">
        <v>46</v>
      </c>
      <c r="B100" t="str">
        <f>Master_Data_Productivity[[#This Row],[Uniq-ID]]&amp;"-"&amp;Master_Data_Productivity[[#This Row],[Period]]</f>
        <v>DC-Document_Controller-004-M3</v>
      </c>
      <c r="C100" t="s">
        <v>47</v>
      </c>
      <c r="D100" t="s">
        <v>48</v>
      </c>
      <c r="E100" t="s">
        <v>22</v>
      </c>
      <c r="F100" t="s">
        <v>52</v>
      </c>
      <c r="G100" t="s">
        <v>15</v>
      </c>
      <c r="H100" t="s">
        <v>16</v>
      </c>
      <c r="I100">
        <v>16.140999999999998</v>
      </c>
      <c r="J100">
        <v>1.5</v>
      </c>
      <c r="K100" t="s">
        <v>2879</v>
      </c>
      <c r="L100" t="s">
        <v>2915</v>
      </c>
      <c r="M100" t="s">
        <v>2916</v>
      </c>
      <c r="N100">
        <v>26</v>
      </c>
      <c r="O100">
        <v>176</v>
      </c>
      <c r="P100">
        <v>6.7691999999999997</v>
      </c>
      <c r="Q100" t="s">
        <v>8</v>
      </c>
      <c r="R100" t="s">
        <v>12</v>
      </c>
      <c r="S100" t="s">
        <v>12</v>
      </c>
      <c r="T100" t="s">
        <v>12</v>
      </c>
      <c r="U100" t="s">
        <v>12</v>
      </c>
      <c r="V100" t="s">
        <v>12</v>
      </c>
      <c r="W100" t="s">
        <v>12</v>
      </c>
      <c r="X100" t="s">
        <v>12</v>
      </c>
      <c r="Y100" t="s">
        <v>12</v>
      </c>
      <c r="Z100" t="s">
        <v>12</v>
      </c>
      <c r="AA100" t="s">
        <v>12</v>
      </c>
      <c r="AB100" t="s">
        <v>12</v>
      </c>
      <c r="AC100" t="s">
        <v>12</v>
      </c>
      <c r="AD100" t="s">
        <v>12</v>
      </c>
    </row>
    <row r="101" spans="1:30">
      <c r="A101" t="s">
        <v>46</v>
      </c>
      <c r="B101" t="str">
        <f>Master_Data_Productivity[[#This Row],[Uniq-ID]]&amp;"-"&amp;Master_Data_Productivity[[#This Row],[Period]]</f>
        <v>DC-Document_Controller-004-M3</v>
      </c>
      <c r="C101" t="s">
        <v>47</v>
      </c>
      <c r="D101" t="s">
        <v>48</v>
      </c>
      <c r="E101" t="s">
        <v>22</v>
      </c>
      <c r="F101" t="s">
        <v>52</v>
      </c>
      <c r="G101" t="s">
        <v>15</v>
      </c>
      <c r="H101" t="s">
        <v>16</v>
      </c>
      <c r="I101">
        <v>16.140999999999998</v>
      </c>
      <c r="J101">
        <v>1.5</v>
      </c>
      <c r="K101" t="s">
        <v>2879</v>
      </c>
      <c r="L101" t="s">
        <v>2915</v>
      </c>
      <c r="M101" t="s">
        <v>2916</v>
      </c>
      <c r="N101">
        <v>308</v>
      </c>
      <c r="O101">
        <v>176</v>
      </c>
      <c r="P101">
        <v>0.57140000000000002</v>
      </c>
      <c r="Q101" t="s">
        <v>8</v>
      </c>
      <c r="R101" t="s">
        <v>12</v>
      </c>
      <c r="S101" t="s">
        <v>12</v>
      </c>
      <c r="T101" t="s">
        <v>12</v>
      </c>
      <c r="U101" t="s">
        <v>12</v>
      </c>
      <c r="V101" t="s">
        <v>12</v>
      </c>
      <c r="W101" t="s">
        <v>12</v>
      </c>
      <c r="X101" t="s">
        <v>12</v>
      </c>
      <c r="Y101" t="s">
        <v>12</v>
      </c>
      <c r="Z101" t="s">
        <v>12</v>
      </c>
      <c r="AA101" t="s">
        <v>12</v>
      </c>
      <c r="AB101" t="s">
        <v>12</v>
      </c>
      <c r="AC101" t="s">
        <v>12</v>
      </c>
      <c r="AD101" t="s">
        <v>12</v>
      </c>
    </row>
    <row r="102" spans="1:30">
      <c r="A102" t="s">
        <v>46</v>
      </c>
      <c r="B102" t="str">
        <f>Master_Data_Productivity[[#This Row],[Uniq-ID]]&amp;"-"&amp;Master_Data_Productivity[[#This Row],[Period]]</f>
        <v>DC-Document_Controller-004-M3</v>
      </c>
      <c r="C102" t="s">
        <v>47</v>
      </c>
      <c r="D102" t="s">
        <v>48</v>
      </c>
      <c r="E102" t="s">
        <v>22</v>
      </c>
      <c r="F102" t="s">
        <v>52</v>
      </c>
      <c r="G102" t="s">
        <v>15</v>
      </c>
      <c r="H102" t="s">
        <v>16</v>
      </c>
      <c r="I102">
        <v>16.140999999999998</v>
      </c>
      <c r="J102">
        <v>1.5</v>
      </c>
      <c r="K102" t="s">
        <v>2879</v>
      </c>
      <c r="L102" t="s">
        <v>2915</v>
      </c>
      <c r="M102" t="s">
        <v>2916</v>
      </c>
      <c r="N102">
        <v>20</v>
      </c>
      <c r="O102">
        <v>176</v>
      </c>
      <c r="P102">
        <v>8.8000000000000007</v>
      </c>
      <c r="Q102" t="s">
        <v>8</v>
      </c>
      <c r="R102" t="s">
        <v>12</v>
      </c>
      <c r="S102" t="s">
        <v>12</v>
      </c>
      <c r="T102" t="s">
        <v>12</v>
      </c>
      <c r="U102" t="s">
        <v>12</v>
      </c>
      <c r="V102" t="s">
        <v>12</v>
      </c>
      <c r="W102" t="s">
        <v>12</v>
      </c>
      <c r="X102" t="s">
        <v>12</v>
      </c>
      <c r="Y102" t="s">
        <v>12</v>
      </c>
      <c r="Z102" t="s">
        <v>12</v>
      </c>
      <c r="AA102" t="s">
        <v>12</v>
      </c>
      <c r="AB102" t="s">
        <v>12</v>
      </c>
      <c r="AC102" t="s">
        <v>12</v>
      </c>
      <c r="AD102" t="s">
        <v>12</v>
      </c>
    </row>
    <row r="103" spans="1:30">
      <c r="A103" t="s">
        <v>46</v>
      </c>
      <c r="B103" t="str">
        <f>Master_Data_Productivity[[#This Row],[Uniq-ID]]&amp;"-"&amp;Master_Data_Productivity[[#This Row],[Period]]</f>
        <v>DC-Document_Controller-004-M4</v>
      </c>
      <c r="C103" t="s">
        <v>47</v>
      </c>
      <c r="D103" t="s">
        <v>48</v>
      </c>
      <c r="E103" t="s">
        <v>25</v>
      </c>
      <c r="F103" t="s">
        <v>54</v>
      </c>
      <c r="G103" t="s">
        <v>15</v>
      </c>
      <c r="H103" t="s">
        <v>16</v>
      </c>
      <c r="I103">
        <v>10.455</v>
      </c>
      <c r="J103">
        <v>1.5</v>
      </c>
      <c r="K103" t="s">
        <v>2879</v>
      </c>
      <c r="L103" t="s">
        <v>2915</v>
      </c>
      <c r="M103" t="s">
        <v>2916</v>
      </c>
      <c r="N103">
        <v>308</v>
      </c>
      <c r="O103">
        <v>114</v>
      </c>
      <c r="P103">
        <v>0.37009999999999998</v>
      </c>
      <c r="Q103" t="s">
        <v>8</v>
      </c>
      <c r="R103" t="s">
        <v>12</v>
      </c>
      <c r="S103" t="s">
        <v>12</v>
      </c>
      <c r="T103" t="s">
        <v>12</v>
      </c>
      <c r="U103" t="s">
        <v>12</v>
      </c>
      <c r="V103" t="s">
        <v>12</v>
      </c>
      <c r="W103" t="s">
        <v>12</v>
      </c>
      <c r="X103" t="s">
        <v>12</v>
      </c>
      <c r="Y103" t="s">
        <v>12</v>
      </c>
      <c r="Z103" t="s">
        <v>12</v>
      </c>
      <c r="AA103" t="s">
        <v>12</v>
      </c>
      <c r="AB103" t="s">
        <v>12</v>
      </c>
      <c r="AC103" t="s">
        <v>12</v>
      </c>
      <c r="AD103" t="s">
        <v>12</v>
      </c>
    </row>
    <row r="104" spans="1:30">
      <c r="A104" t="s">
        <v>46</v>
      </c>
      <c r="B104" t="str">
        <f>Master_Data_Productivity[[#This Row],[Uniq-ID]]&amp;"-"&amp;Master_Data_Productivity[[#This Row],[Period]]</f>
        <v>DC-Document_Controller-004-M4</v>
      </c>
      <c r="C104" t="s">
        <v>47</v>
      </c>
      <c r="D104" t="s">
        <v>48</v>
      </c>
      <c r="E104" t="s">
        <v>25</v>
      </c>
      <c r="F104" t="s">
        <v>54</v>
      </c>
      <c r="G104" t="s">
        <v>15</v>
      </c>
      <c r="H104" t="s">
        <v>16</v>
      </c>
      <c r="I104">
        <v>10.455</v>
      </c>
      <c r="J104">
        <v>1.5</v>
      </c>
      <c r="K104" t="s">
        <v>2879</v>
      </c>
      <c r="L104" t="s">
        <v>2915</v>
      </c>
      <c r="M104" t="s">
        <v>2916</v>
      </c>
      <c r="N104">
        <v>26</v>
      </c>
      <c r="O104">
        <v>114</v>
      </c>
      <c r="P104">
        <v>4.3845999999999998</v>
      </c>
      <c r="Q104" t="s">
        <v>8</v>
      </c>
      <c r="R104" t="s">
        <v>12</v>
      </c>
      <c r="S104" t="s">
        <v>12</v>
      </c>
      <c r="T104" t="s">
        <v>12</v>
      </c>
      <c r="U104" t="s">
        <v>12</v>
      </c>
      <c r="V104" t="s">
        <v>12</v>
      </c>
      <c r="W104" t="s">
        <v>12</v>
      </c>
      <c r="X104" t="s">
        <v>12</v>
      </c>
      <c r="Y104" t="s">
        <v>12</v>
      </c>
      <c r="Z104" t="s">
        <v>12</v>
      </c>
      <c r="AA104" t="s">
        <v>12</v>
      </c>
      <c r="AB104" t="s">
        <v>12</v>
      </c>
      <c r="AC104" t="s">
        <v>12</v>
      </c>
      <c r="AD104" t="s">
        <v>12</v>
      </c>
    </row>
    <row r="105" spans="1:30">
      <c r="A105" t="s">
        <v>46</v>
      </c>
      <c r="B105" t="str">
        <f>Master_Data_Productivity[[#This Row],[Uniq-ID]]&amp;"-"&amp;Master_Data_Productivity[[#This Row],[Period]]</f>
        <v>DC-Document_Controller-004-M4</v>
      </c>
      <c r="C105" t="s">
        <v>47</v>
      </c>
      <c r="D105" t="s">
        <v>48</v>
      </c>
      <c r="E105" t="s">
        <v>25</v>
      </c>
      <c r="F105" t="s">
        <v>54</v>
      </c>
      <c r="G105" t="s">
        <v>15</v>
      </c>
      <c r="H105" t="s">
        <v>16</v>
      </c>
      <c r="I105">
        <v>10.455</v>
      </c>
      <c r="J105">
        <v>1.5</v>
      </c>
      <c r="K105" t="s">
        <v>2879</v>
      </c>
      <c r="L105" t="s">
        <v>2915</v>
      </c>
      <c r="M105" t="s">
        <v>2916</v>
      </c>
      <c r="N105">
        <v>20</v>
      </c>
      <c r="O105">
        <v>114</v>
      </c>
      <c r="P105">
        <v>5.7</v>
      </c>
      <c r="Q105" t="s">
        <v>8</v>
      </c>
      <c r="R105" t="s">
        <v>12</v>
      </c>
      <c r="S105" t="s">
        <v>12</v>
      </c>
      <c r="T105" t="s">
        <v>12</v>
      </c>
      <c r="U105" t="s">
        <v>12</v>
      </c>
      <c r="V105" t="s">
        <v>12</v>
      </c>
      <c r="W105" t="s">
        <v>12</v>
      </c>
      <c r="X105" t="s">
        <v>12</v>
      </c>
      <c r="Y105" t="s">
        <v>12</v>
      </c>
      <c r="Z105" t="s">
        <v>12</v>
      </c>
      <c r="AA105" t="s">
        <v>12</v>
      </c>
      <c r="AB105" t="s">
        <v>12</v>
      </c>
      <c r="AC105" t="s">
        <v>12</v>
      </c>
      <c r="AD105" t="s">
        <v>12</v>
      </c>
    </row>
    <row r="106" spans="1:30">
      <c r="A106" t="s">
        <v>46</v>
      </c>
      <c r="B106" t="str">
        <f>Master_Data_Productivity[[#This Row],[Uniq-ID]]&amp;"-"&amp;Master_Data_Productivity[[#This Row],[Period]]</f>
        <v>DC-Document_Controller-004-M5</v>
      </c>
      <c r="C106" t="s">
        <v>47</v>
      </c>
      <c r="D106" t="s">
        <v>48</v>
      </c>
      <c r="E106" t="s">
        <v>28</v>
      </c>
      <c r="F106" t="s">
        <v>56</v>
      </c>
      <c r="G106" t="s">
        <v>15</v>
      </c>
      <c r="H106" t="s">
        <v>16</v>
      </c>
      <c r="I106">
        <v>9.1709999999999994</v>
      </c>
      <c r="J106">
        <v>1.5</v>
      </c>
      <c r="K106" t="s">
        <v>2879</v>
      </c>
      <c r="L106" t="s">
        <v>2915</v>
      </c>
      <c r="M106" t="s">
        <v>2916</v>
      </c>
      <c r="N106">
        <v>20</v>
      </c>
      <c r="O106">
        <v>100</v>
      </c>
      <c r="P106">
        <v>5</v>
      </c>
      <c r="Q106" t="s">
        <v>8</v>
      </c>
      <c r="R106" t="s">
        <v>12</v>
      </c>
      <c r="S106" t="s">
        <v>12</v>
      </c>
      <c r="T106" t="s">
        <v>12</v>
      </c>
      <c r="U106" t="s">
        <v>12</v>
      </c>
      <c r="V106" t="s">
        <v>12</v>
      </c>
      <c r="W106" t="s">
        <v>12</v>
      </c>
      <c r="X106" t="s">
        <v>12</v>
      </c>
      <c r="Y106" t="s">
        <v>12</v>
      </c>
      <c r="Z106" t="s">
        <v>12</v>
      </c>
      <c r="AA106" t="s">
        <v>12</v>
      </c>
      <c r="AB106" t="s">
        <v>12</v>
      </c>
      <c r="AC106" t="s">
        <v>12</v>
      </c>
      <c r="AD106" t="s">
        <v>12</v>
      </c>
    </row>
    <row r="107" spans="1:30">
      <c r="A107" t="s">
        <v>46</v>
      </c>
      <c r="B107" t="str">
        <f>Master_Data_Productivity[[#This Row],[Uniq-ID]]&amp;"-"&amp;Master_Data_Productivity[[#This Row],[Period]]</f>
        <v>DC-Document_Controller-004-M5</v>
      </c>
      <c r="C107" t="s">
        <v>47</v>
      </c>
      <c r="D107" t="s">
        <v>48</v>
      </c>
      <c r="E107" t="s">
        <v>28</v>
      </c>
      <c r="F107" t="s">
        <v>56</v>
      </c>
      <c r="G107" t="s">
        <v>15</v>
      </c>
      <c r="H107" t="s">
        <v>16</v>
      </c>
      <c r="I107">
        <v>9.1709999999999994</v>
      </c>
      <c r="J107">
        <v>1.5</v>
      </c>
      <c r="K107" t="s">
        <v>2879</v>
      </c>
      <c r="L107" t="s">
        <v>2915</v>
      </c>
      <c r="M107" t="s">
        <v>2916</v>
      </c>
      <c r="N107">
        <v>26</v>
      </c>
      <c r="O107">
        <v>100</v>
      </c>
      <c r="P107">
        <v>3.8462000000000001</v>
      </c>
      <c r="Q107" t="s">
        <v>8</v>
      </c>
      <c r="R107" t="s">
        <v>12</v>
      </c>
      <c r="S107" t="s">
        <v>12</v>
      </c>
      <c r="T107" t="s">
        <v>12</v>
      </c>
      <c r="U107" t="s">
        <v>12</v>
      </c>
      <c r="V107" t="s">
        <v>12</v>
      </c>
      <c r="W107" t="s">
        <v>12</v>
      </c>
      <c r="X107" t="s">
        <v>12</v>
      </c>
      <c r="Y107" t="s">
        <v>12</v>
      </c>
      <c r="Z107" t="s">
        <v>12</v>
      </c>
      <c r="AA107" t="s">
        <v>12</v>
      </c>
      <c r="AB107" t="s">
        <v>12</v>
      </c>
      <c r="AC107" t="s">
        <v>12</v>
      </c>
      <c r="AD107" t="s">
        <v>12</v>
      </c>
    </row>
    <row r="108" spans="1:30">
      <c r="A108" t="s">
        <v>46</v>
      </c>
      <c r="B108" t="str">
        <f>Master_Data_Productivity[[#This Row],[Uniq-ID]]&amp;"-"&amp;Master_Data_Productivity[[#This Row],[Period]]</f>
        <v>DC-Document_Controller-004-M5</v>
      </c>
      <c r="C108" t="s">
        <v>47</v>
      </c>
      <c r="D108" t="s">
        <v>48</v>
      </c>
      <c r="E108" t="s">
        <v>28</v>
      </c>
      <c r="F108" t="s">
        <v>56</v>
      </c>
      <c r="G108" t="s">
        <v>15</v>
      </c>
      <c r="H108" t="s">
        <v>16</v>
      </c>
      <c r="I108">
        <v>9.1709999999999994</v>
      </c>
      <c r="J108">
        <v>1.5</v>
      </c>
      <c r="K108" t="s">
        <v>2879</v>
      </c>
      <c r="L108" t="s">
        <v>2915</v>
      </c>
      <c r="M108" t="s">
        <v>2916</v>
      </c>
      <c r="N108">
        <v>308</v>
      </c>
      <c r="O108">
        <v>100</v>
      </c>
      <c r="P108">
        <v>0.32469999999999999</v>
      </c>
      <c r="Q108" t="s">
        <v>8</v>
      </c>
      <c r="R108" t="s">
        <v>12</v>
      </c>
      <c r="S108" t="s">
        <v>12</v>
      </c>
      <c r="T108" t="s">
        <v>12</v>
      </c>
      <c r="U108" t="s">
        <v>12</v>
      </c>
      <c r="V108" t="s">
        <v>12</v>
      </c>
      <c r="W108" t="s">
        <v>12</v>
      </c>
      <c r="X108" t="s">
        <v>12</v>
      </c>
      <c r="Y108" t="s">
        <v>12</v>
      </c>
      <c r="Z108" t="s">
        <v>12</v>
      </c>
      <c r="AA108" t="s">
        <v>12</v>
      </c>
      <c r="AB108" t="s">
        <v>12</v>
      </c>
      <c r="AC108" t="s">
        <v>12</v>
      </c>
      <c r="AD108" t="s">
        <v>12</v>
      </c>
    </row>
    <row r="109" spans="1:30">
      <c r="A109" t="s">
        <v>46</v>
      </c>
      <c r="B109" t="str">
        <f>Master_Data_Productivity[[#This Row],[Uniq-ID]]&amp;"-"&amp;Master_Data_Productivity[[#This Row],[Period]]</f>
        <v>DC-Document_Controller-004-M6</v>
      </c>
      <c r="C109" t="s">
        <v>47</v>
      </c>
      <c r="D109" t="s">
        <v>48</v>
      </c>
      <c r="E109" t="s">
        <v>31</v>
      </c>
      <c r="F109" t="s">
        <v>57</v>
      </c>
      <c r="G109" t="s">
        <v>33</v>
      </c>
      <c r="H109" t="s">
        <v>44</v>
      </c>
      <c r="I109">
        <v>0</v>
      </c>
      <c r="K109" t="s">
        <v>12</v>
      </c>
      <c r="L109" t="s">
        <v>12</v>
      </c>
      <c r="M109" t="s">
        <v>12</v>
      </c>
      <c r="Q109" t="s">
        <v>8</v>
      </c>
      <c r="R109" t="s">
        <v>12</v>
      </c>
      <c r="S109" t="s">
        <v>12</v>
      </c>
      <c r="T109" t="s">
        <v>12</v>
      </c>
      <c r="U109" t="s">
        <v>12</v>
      </c>
      <c r="V109" t="s">
        <v>12</v>
      </c>
      <c r="W109" t="s">
        <v>12</v>
      </c>
      <c r="X109" t="s">
        <v>12</v>
      </c>
      <c r="Y109" t="s">
        <v>12</v>
      </c>
      <c r="Z109" t="s">
        <v>12</v>
      </c>
      <c r="AA109" t="s">
        <v>12</v>
      </c>
      <c r="AB109" t="s">
        <v>12</v>
      </c>
      <c r="AC109" t="s">
        <v>12</v>
      </c>
      <c r="AD109" t="s">
        <v>12</v>
      </c>
    </row>
    <row r="110" spans="1:30">
      <c r="A110" t="s">
        <v>226</v>
      </c>
      <c r="B110" t="str">
        <f>Master_Data_Productivity[[#This Row],[Uniq-ID]]&amp;"-"&amp;Master_Data_Productivity[[#This Row],[Period]]</f>
        <v>DC-Document_Controller-064-M1</v>
      </c>
      <c r="C110" t="s">
        <v>227</v>
      </c>
      <c r="D110" t="s">
        <v>76</v>
      </c>
      <c r="E110" t="s">
        <v>13</v>
      </c>
      <c r="F110" t="s">
        <v>228</v>
      </c>
      <c r="G110" t="s">
        <v>15</v>
      </c>
      <c r="H110" t="s">
        <v>16</v>
      </c>
      <c r="I110">
        <v>49.5</v>
      </c>
      <c r="J110">
        <v>1.5</v>
      </c>
      <c r="K110" t="s">
        <v>2887</v>
      </c>
      <c r="L110" t="s">
        <v>3019</v>
      </c>
      <c r="M110" t="s">
        <v>2916</v>
      </c>
      <c r="N110">
        <v>4</v>
      </c>
      <c r="O110">
        <v>198</v>
      </c>
      <c r="P110">
        <v>49.5</v>
      </c>
      <c r="Q110" t="s">
        <v>8</v>
      </c>
      <c r="R110" t="s">
        <v>12</v>
      </c>
      <c r="S110" t="s">
        <v>12</v>
      </c>
      <c r="T110" t="s">
        <v>12</v>
      </c>
      <c r="U110" t="s">
        <v>12</v>
      </c>
      <c r="V110" t="s">
        <v>12</v>
      </c>
      <c r="W110" t="s">
        <v>12</v>
      </c>
      <c r="X110" t="s">
        <v>12</v>
      </c>
      <c r="Y110" t="s">
        <v>12</v>
      </c>
      <c r="Z110" t="s">
        <v>12</v>
      </c>
      <c r="AA110" t="s">
        <v>12</v>
      </c>
      <c r="AB110" t="s">
        <v>12</v>
      </c>
      <c r="AC110" t="s">
        <v>12</v>
      </c>
      <c r="AD110" t="s">
        <v>12</v>
      </c>
    </row>
    <row r="111" spans="1:30">
      <c r="A111" t="s">
        <v>226</v>
      </c>
      <c r="B111" t="str">
        <f>Master_Data_Productivity[[#This Row],[Uniq-ID]]&amp;"-"&amp;Master_Data_Productivity[[#This Row],[Period]]</f>
        <v>DC-Document_Controller-064-M2</v>
      </c>
      <c r="C111" t="s">
        <v>227</v>
      </c>
      <c r="D111" t="s">
        <v>76</v>
      </c>
      <c r="E111" t="s">
        <v>18</v>
      </c>
      <c r="F111" t="s">
        <v>230</v>
      </c>
      <c r="G111" t="s">
        <v>15</v>
      </c>
      <c r="H111" t="s">
        <v>44</v>
      </c>
      <c r="I111">
        <v>0</v>
      </c>
      <c r="K111" t="s">
        <v>12</v>
      </c>
      <c r="L111" t="s">
        <v>12</v>
      </c>
      <c r="M111" t="s">
        <v>12</v>
      </c>
      <c r="Q111" t="s">
        <v>8</v>
      </c>
      <c r="R111" t="s">
        <v>12</v>
      </c>
      <c r="S111" t="s">
        <v>12</v>
      </c>
      <c r="T111" t="s">
        <v>12</v>
      </c>
      <c r="U111" t="s">
        <v>12</v>
      </c>
      <c r="V111" t="s">
        <v>12</v>
      </c>
      <c r="W111" t="s">
        <v>12</v>
      </c>
      <c r="X111" t="s">
        <v>12</v>
      </c>
      <c r="Y111" t="s">
        <v>12</v>
      </c>
      <c r="Z111" t="s">
        <v>12</v>
      </c>
      <c r="AA111" t="s">
        <v>12</v>
      </c>
      <c r="AB111" t="s">
        <v>12</v>
      </c>
      <c r="AC111" t="s">
        <v>12</v>
      </c>
      <c r="AD111" t="s">
        <v>12</v>
      </c>
    </row>
    <row r="112" spans="1:30">
      <c r="A112" t="s">
        <v>226</v>
      </c>
      <c r="B112" t="str">
        <f>Master_Data_Productivity[[#This Row],[Uniq-ID]]&amp;"-"&amp;Master_Data_Productivity[[#This Row],[Period]]</f>
        <v>DC-Document_Controller-064-M3</v>
      </c>
      <c r="C112" t="s">
        <v>227</v>
      </c>
      <c r="D112" t="s">
        <v>76</v>
      </c>
      <c r="E112" t="s">
        <v>22</v>
      </c>
      <c r="F112" t="s">
        <v>231</v>
      </c>
      <c r="G112" t="s">
        <v>33</v>
      </c>
      <c r="H112" t="s">
        <v>44</v>
      </c>
      <c r="I112">
        <v>0</v>
      </c>
      <c r="K112" t="s">
        <v>12</v>
      </c>
      <c r="L112" t="s">
        <v>12</v>
      </c>
      <c r="M112" t="s">
        <v>12</v>
      </c>
      <c r="Q112" t="s">
        <v>8</v>
      </c>
      <c r="R112" t="s">
        <v>12</v>
      </c>
      <c r="S112" t="s">
        <v>12</v>
      </c>
      <c r="T112" t="s">
        <v>12</v>
      </c>
      <c r="U112" t="s">
        <v>12</v>
      </c>
      <c r="V112" t="s">
        <v>12</v>
      </c>
      <c r="W112" t="s">
        <v>12</v>
      </c>
      <c r="X112" t="s">
        <v>12</v>
      </c>
      <c r="Y112" t="s">
        <v>12</v>
      </c>
      <c r="Z112" t="s">
        <v>12</v>
      </c>
      <c r="AA112" t="s">
        <v>12</v>
      </c>
      <c r="AB112" t="s">
        <v>12</v>
      </c>
      <c r="AC112" t="s">
        <v>12</v>
      </c>
      <c r="AD112" t="s">
        <v>12</v>
      </c>
    </row>
    <row r="113" spans="1:30">
      <c r="A113" t="s">
        <v>35</v>
      </c>
      <c r="B113" t="str">
        <f>Master_Data_Productivity[[#This Row],[Uniq-ID]]&amp;"-"&amp;Master_Data_Productivity[[#This Row],[Period]]</f>
        <v>DC-Document_Controller-058-M1</v>
      </c>
      <c r="C113" t="s">
        <v>36</v>
      </c>
      <c r="D113" t="s">
        <v>11</v>
      </c>
      <c r="E113" t="s">
        <v>13</v>
      </c>
      <c r="F113" t="s">
        <v>37</v>
      </c>
      <c r="G113" t="s">
        <v>15</v>
      </c>
      <c r="H113" t="s">
        <v>16</v>
      </c>
      <c r="I113">
        <v>3.6480000000000001</v>
      </c>
      <c r="J113">
        <v>1.5</v>
      </c>
      <c r="K113" t="s">
        <v>2879</v>
      </c>
      <c r="L113" t="s">
        <v>2894</v>
      </c>
      <c r="M113" t="s">
        <v>2873</v>
      </c>
      <c r="N113">
        <v>26</v>
      </c>
      <c r="O113">
        <v>2</v>
      </c>
      <c r="P113">
        <v>7.6899999999999996E-2</v>
      </c>
      <c r="Q113" t="s">
        <v>8</v>
      </c>
      <c r="R113" t="s">
        <v>12</v>
      </c>
      <c r="S113" t="s">
        <v>12</v>
      </c>
      <c r="T113" t="s">
        <v>12</v>
      </c>
      <c r="U113" t="s">
        <v>12</v>
      </c>
      <c r="V113" t="s">
        <v>12</v>
      </c>
      <c r="W113" t="s">
        <v>12</v>
      </c>
      <c r="X113" t="s">
        <v>12</v>
      </c>
      <c r="Y113" t="s">
        <v>12</v>
      </c>
      <c r="Z113" t="s">
        <v>12</v>
      </c>
      <c r="AA113" t="s">
        <v>12</v>
      </c>
      <c r="AB113" t="s">
        <v>12</v>
      </c>
      <c r="AC113" t="s">
        <v>12</v>
      </c>
      <c r="AD113" t="s">
        <v>12</v>
      </c>
    </row>
    <row r="114" spans="1:30">
      <c r="A114" t="s">
        <v>35</v>
      </c>
      <c r="B114" t="str">
        <f>Master_Data_Productivity[[#This Row],[Uniq-ID]]&amp;"-"&amp;Master_Data_Productivity[[#This Row],[Period]]</f>
        <v>DC-Document_Controller-058-M1</v>
      </c>
      <c r="C114" t="s">
        <v>36</v>
      </c>
      <c r="D114" t="s">
        <v>11</v>
      </c>
      <c r="E114" t="s">
        <v>13</v>
      </c>
      <c r="F114" t="s">
        <v>37</v>
      </c>
      <c r="G114" t="s">
        <v>15</v>
      </c>
      <c r="H114" t="s">
        <v>16</v>
      </c>
      <c r="I114">
        <v>3.6480000000000001</v>
      </c>
      <c r="J114">
        <v>1.5</v>
      </c>
      <c r="K114" t="s">
        <v>2871</v>
      </c>
      <c r="L114" t="s">
        <v>2872</v>
      </c>
      <c r="M114" t="s">
        <v>2873</v>
      </c>
      <c r="N114">
        <v>35</v>
      </c>
      <c r="O114">
        <v>20</v>
      </c>
      <c r="P114">
        <v>0.57140000000000002</v>
      </c>
      <c r="Q114" t="s">
        <v>8</v>
      </c>
      <c r="R114" t="s">
        <v>12</v>
      </c>
      <c r="S114" t="s">
        <v>12</v>
      </c>
      <c r="T114" t="s">
        <v>12</v>
      </c>
      <c r="U114" t="s">
        <v>12</v>
      </c>
      <c r="V114" t="s">
        <v>12</v>
      </c>
      <c r="W114" t="s">
        <v>12</v>
      </c>
      <c r="X114" t="s">
        <v>12</v>
      </c>
      <c r="Y114" t="s">
        <v>12</v>
      </c>
      <c r="Z114" t="s">
        <v>12</v>
      </c>
      <c r="AA114" t="s">
        <v>12</v>
      </c>
      <c r="AB114" t="s">
        <v>12</v>
      </c>
      <c r="AC114" t="s">
        <v>12</v>
      </c>
      <c r="AD114" t="s">
        <v>12</v>
      </c>
    </row>
    <row r="115" spans="1:30">
      <c r="A115" t="s">
        <v>35</v>
      </c>
      <c r="B115" t="str">
        <f>Master_Data_Productivity[[#This Row],[Uniq-ID]]&amp;"-"&amp;Master_Data_Productivity[[#This Row],[Period]]</f>
        <v>DC-Document_Controller-058-M1</v>
      </c>
      <c r="C115" t="s">
        <v>36</v>
      </c>
      <c r="D115" t="s">
        <v>11</v>
      </c>
      <c r="E115" t="s">
        <v>13</v>
      </c>
      <c r="F115" t="s">
        <v>37</v>
      </c>
      <c r="G115" t="s">
        <v>15</v>
      </c>
      <c r="H115" t="s">
        <v>16</v>
      </c>
      <c r="I115">
        <v>3.6480000000000001</v>
      </c>
      <c r="J115">
        <v>1.5</v>
      </c>
      <c r="K115" t="s">
        <v>2871</v>
      </c>
      <c r="L115" t="s">
        <v>2875</v>
      </c>
      <c r="M115" t="s">
        <v>2873</v>
      </c>
      <c r="N115">
        <v>36</v>
      </c>
      <c r="O115">
        <v>108</v>
      </c>
      <c r="P115">
        <v>3</v>
      </c>
      <c r="Q115" t="s">
        <v>8</v>
      </c>
      <c r="R115" t="s">
        <v>12</v>
      </c>
      <c r="S115" t="s">
        <v>12</v>
      </c>
      <c r="T115" t="s">
        <v>12</v>
      </c>
      <c r="U115" t="s">
        <v>12</v>
      </c>
      <c r="V115" t="s">
        <v>12</v>
      </c>
      <c r="W115" t="s">
        <v>12</v>
      </c>
      <c r="X115" t="s">
        <v>12</v>
      </c>
      <c r="Y115" t="s">
        <v>12</v>
      </c>
      <c r="Z115" t="s">
        <v>12</v>
      </c>
      <c r="AA115" t="s">
        <v>12</v>
      </c>
      <c r="AB115" t="s">
        <v>12</v>
      </c>
      <c r="AC115" t="s">
        <v>12</v>
      </c>
      <c r="AD115" t="s">
        <v>12</v>
      </c>
    </row>
    <row r="116" spans="1:30">
      <c r="A116" t="s">
        <v>35</v>
      </c>
      <c r="B116" t="str">
        <f>Master_Data_Productivity[[#This Row],[Uniq-ID]]&amp;"-"&amp;Master_Data_Productivity[[#This Row],[Period]]</f>
        <v>DC-Document_Controller-058-M2</v>
      </c>
      <c r="C116" t="s">
        <v>36</v>
      </c>
      <c r="D116" t="s">
        <v>11</v>
      </c>
      <c r="E116" t="s">
        <v>18</v>
      </c>
      <c r="F116" t="s">
        <v>39</v>
      </c>
      <c r="G116" t="s">
        <v>15</v>
      </c>
      <c r="H116" t="s">
        <v>16</v>
      </c>
      <c r="I116">
        <v>3.5750000000000002</v>
      </c>
      <c r="J116">
        <v>1.5</v>
      </c>
      <c r="K116" t="s">
        <v>2871</v>
      </c>
      <c r="L116" t="s">
        <v>2872</v>
      </c>
      <c r="M116" t="s">
        <v>2873</v>
      </c>
      <c r="N116">
        <v>35</v>
      </c>
      <c r="O116">
        <v>24</v>
      </c>
      <c r="P116">
        <v>0.68569999999999998</v>
      </c>
      <c r="Q116" t="s">
        <v>8</v>
      </c>
      <c r="R116" t="s">
        <v>12</v>
      </c>
      <c r="S116" t="s">
        <v>12</v>
      </c>
      <c r="T116" t="s">
        <v>12</v>
      </c>
      <c r="U116" t="s">
        <v>12</v>
      </c>
      <c r="V116" t="s">
        <v>12</v>
      </c>
      <c r="W116" t="s">
        <v>12</v>
      </c>
      <c r="X116" t="s">
        <v>12</v>
      </c>
      <c r="Y116" t="s">
        <v>12</v>
      </c>
      <c r="Z116" t="s">
        <v>12</v>
      </c>
      <c r="AA116" t="s">
        <v>12</v>
      </c>
      <c r="AB116" t="s">
        <v>12</v>
      </c>
      <c r="AC116" t="s">
        <v>12</v>
      </c>
      <c r="AD116" t="s">
        <v>12</v>
      </c>
    </row>
    <row r="117" spans="1:30">
      <c r="A117" t="s">
        <v>35</v>
      </c>
      <c r="B117" t="str">
        <f>Master_Data_Productivity[[#This Row],[Uniq-ID]]&amp;"-"&amp;Master_Data_Productivity[[#This Row],[Period]]</f>
        <v>DC-Document_Controller-058-M2</v>
      </c>
      <c r="C117" t="s">
        <v>36</v>
      </c>
      <c r="D117" t="s">
        <v>11</v>
      </c>
      <c r="E117" t="s">
        <v>18</v>
      </c>
      <c r="F117" t="s">
        <v>39</v>
      </c>
      <c r="G117" t="s">
        <v>15</v>
      </c>
      <c r="H117" t="s">
        <v>16</v>
      </c>
      <c r="I117">
        <v>3.5750000000000002</v>
      </c>
      <c r="J117">
        <v>1.5</v>
      </c>
      <c r="K117" t="s">
        <v>2871</v>
      </c>
      <c r="L117" t="s">
        <v>2875</v>
      </c>
      <c r="M117" t="s">
        <v>2873</v>
      </c>
      <c r="N117">
        <v>36</v>
      </c>
      <c r="O117">
        <v>104</v>
      </c>
      <c r="P117">
        <v>2.8889</v>
      </c>
      <c r="Q117" t="s">
        <v>8</v>
      </c>
      <c r="R117" t="s">
        <v>12</v>
      </c>
      <c r="S117" t="s">
        <v>12</v>
      </c>
      <c r="T117" t="s">
        <v>12</v>
      </c>
      <c r="U117" t="s">
        <v>12</v>
      </c>
      <c r="V117" t="s">
        <v>12</v>
      </c>
      <c r="W117" t="s">
        <v>12</v>
      </c>
      <c r="X117" t="s">
        <v>12</v>
      </c>
      <c r="Y117" t="s">
        <v>12</v>
      </c>
      <c r="Z117" t="s">
        <v>12</v>
      </c>
      <c r="AA117" t="s">
        <v>12</v>
      </c>
      <c r="AB117" t="s">
        <v>12</v>
      </c>
      <c r="AC117" t="s">
        <v>12</v>
      </c>
      <c r="AD117" t="s">
        <v>12</v>
      </c>
    </row>
    <row r="118" spans="1:30">
      <c r="A118" t="s">
        <v>35</v>
      </c>
      <c r="B118" t="str">
        <f>Master_Data_Productivity[[#This Row],[Uniq-ID]]&amp;"-"&amp;Master_Data_Productivity[[#This Row],[Period]]</f>
        <v>DC-Document_Controller-058-M3</v>
      </c>
      <c r="C118" t="s">
        <v>36</v>
      </c>
      <c r="D118" t="s">
        <v>11</v>
      </c>
      <c r="E118" t="s">
        <v>22</v>
      </c>
      <c r="F118" t="s">
        <v>41</v>
      </c>
      <c r="G118" t="s">
        <v>15</v>
      </c>
      <c r="H118" t="s">
        <v>20</v>
      </c>
      <c r="I118">
        <v>1.837</v>
      </c>
      <c r="J118">
        <v>1</v>
      </c>
      <c r="K118" t="s">
        <v>2871</v>
      </c>
      <c r="L118" t="s">
        <v>2872</v>
      </c>
      <c r="M118" t="s">
        <v>2873</v>
      </c>
      <c r="N118">
        <v>35</v>
      </c>
      <c r="O118">
        <v>4</v>
      </c>
      <c r="P118">
        <v>0.1143</v>
      </c>
      <c r="Q118" t="s">
        <v>8</v>
      </c>
      <c r="R118" t="s">
        <v>12</v>
      </c>
      <c r="S118" t="s">
        <v>12</v>
      </c>
      <c r="T118" t="s">
        <v>12</v>
      </c>
      <c r="U118" t="s">
        <v>12</v>
      </c>
      <c r="V118" t="s">
        <v>12</v>
      </c>
      <c r="W118" t="s">
        <v>12</v>
      </c>
      <c r="X118" t="s">
        <v>12</v>
      </c>
      <c r="Y118" t="s">
        <v>12</v>
      </c>
      <c r="Z118" t="s">
        <v>12</v>
      </c>
      <c r="AA118" t="s">
        <v>12</v>
      </c>
      <c r="AB118" t="s">
        <v>12</v>
      </c>
      <c r="AC118" t="s">
        <v>12</v>
      </c>
      <c r="AD118" t="s">
        <v>12</v>
      </c>
    </row>
    <row r="119" spans="1:30">
      <c r="A119" t="s">
        <v>35</v>
      </c>
      <c r="B119" t="str">
        <f>Master_Data_Productivity[[#This Row],[Uniq-ID]]&amp;"-"&amp;Master_Data_Productivity[[#This Row],[Period]]</f>
        <v>DC-Document_Controller-058-M3</v>
      </c>
      <c r="C119" t="s">
        <v>36</v>
      </c>
      <c r="D119" t="s">
        <v>11</v>
      </c>
      <c r="E119" t="s">
        <v>22</v>
      </c>
      <c r="F119" t="s">
        <v>41</v>
      </c>
      <c r="G119" t="s">
        <v>15</v>
      </c>
      <c r="H119" t="s">
        <v>20</v>
      </c>
      <c r="I119">
        <v>1.837</v>
      </c>
      <c r="J119">
        <v>1</v>
      </c>
      <c r="K119" t="s">
        <v>2871</v>
      </c>
      <c r="L119" t="s">
        <v>2875</v>
      </c>
      <c r="M119" t="s">
        <v>2873</v>
      </c>
      <c r="N119">
        <v>36</v>
      </c>
      <c r="O119">
        <v>62</v>
      </c>
      <c r="P119">
        <v>1.7222</v>
      </c>
      <c r="Q119" t="s">
        <v>8</v>
      </c>
      <c r="R119" t="s">
        <v>12</v>
      </c>
      <c r="S119" t="s">
        <v>12</v>
      </c>
      <c r="T119" t="s">
        <v>12</v>
      </c>
      <c r="U119" t="s">
        <v>12</v>
      </c>
      <c r="V119" t="s">
        <v>12</v>
      </c>
      <c r="W119" t="s">
        <v>12</v>
      </c>
      <c r="X119" t="s">
        <v>12</v>
      </c>
      <c r="Y119" t="s">
        <v>12</v>
      </c>
      <c r="Z119" t="s">
        <v>12</v>
      </c>
      <c r="AA119" t="s">
        <v>12</v>
      </c>
      <c r="AB119" t="s">
        <v>12</v>
      </c>
      <c r="AC119" t="s">
        <v>12</v>
      </c>
      <c r="AD119" t="s">
        <v>12</v>
      </c>
    </row>
    <row r="120" spans="1:30">
      <c r="A120" t="s">
        <v>35</v>
      </c>
      <c r="B120" t="str">
        <f>Master_Data_Productivity[[#This Row],[Uniq-ID]]&amp;"-"&amp;Master_Data_Productivity[[#This Row],[Period]]</f>
        <v>DC-Document_Controller-058-M4</v>
      </c>
      <c r="C120" t="s">
        <v>36</v>
      </c>
      <c r="D120" t="s">
        <v>11</v>
      </c>
      <c r="E120" t="s">
        <v>25</v>
      </c>
      <c r="F120" t="s">
        <v>43</v>
      </c>
      <c r="G120" t="s">
        <v>33</v>
      </c>
      <c r="H120" t="s">
        <v>44</v>
      </c>
      <c r="I120">
        <v>0.251</v>
      </c>
      <c r="J120">
        <v>0.5</v>
      </c>
      <c r="K120" t="s">
        <v>2871</v>
      </c>
      <c r="L120" t="s">
        <v>2872</v>
      </c>
      <c r="M120" t="s">
        <v>2873</v>
      </c>
      <c r="N120">
        <v>35</v>
      </c>
      <c r="O120">
        <v>1</v>
      </c>
      <c r="P120">
        <v>2.86E-2</v>
      </c>
      <c r="Q120" t="s">
        <v>8</v>
      </c>
      <c r="R120" t="s">
        <v>12</v>
      </c>
      <c r="S120" t="s">
        <v>12</v>
      </c>
      <c r="T120" t="s">
        <v>12</v>
      </c>
      <c r="U120" t="s">
        <v>12</v>
      </c>
      <c r="V120" t="s">
        <v>12</v>
      </c>
      <c r="W120" t="s">
        <v>12</v>
      </c>
      <c r="X120" t="s">
        <v>12</v>
      </c>
      <c r="Y120" t="s">
        <v>12</v>
      </c>
      <c r="Z120" t="s">
        <v>12</v>
      </c>
      <c r="AA120" t="s">
        <v>12</v>
      </c>
      <c r="AB120" t="s">
        <v>12</v>
      </c>
      <c r="AC120" t="s">
        <v>12</v>
      </c>
      <c r="AD120" t="s">
        <v>12</v>
      </c>
    </row>
    <row r="121" spans="1:30">
      <c r="A121" t="s">
        <v>35</v>
      </c>
      <c r="B121" t="str">
        <f>Master_Data_Productivity[[#This Row],[Uniq-ID]]&amp;"-"&amp;Master_Data_Productivity[[#This Row],[Period]]</f>
        <v>DC-Document_Controller-058-M4</v>
      </c>
      <c r="C121" t="s">
        <v>36</v>
      </c>
      <c r="D121" t="s">
        <v>11</v>
      </c>
      <c r="E121" t="s">
        <v>25</v>
      </c>
      <c r="F121" t="s">
        <v>43</v>
      </c>
      <c r="G121" t="s">
        <v>33</v>
      </c>
      <c r="H121" t="s">
        <v>44</v>
      </c>
      <c r="I121">
        <v>0.251</v>
      </c>
      <c r="J121">
        <v>0.5</v>
      </c>
      <c r="K121" t="s">
        <v>2871</v>
      </c>
      <c r="L121" t="s">
        <v>2875</v>
      </c>
      <c r="M121" t="s">
        <v>2873</v>
      </c>
      <c r="N121">
        <v>36</v>
      </c>
      <c r="O121">
        <v>8</v>
      </c>
      <c r="P121">
        <v>0.22220000000000001</v>
      </c>
      <c r="Q121" t="s">
        <v>8</v>
      </c>
      <c r="R121" t="s">
        <v>12</v>
      </c>
      <c r="S121" t="s">
        <v>12</v>
      </c>
      <c r="T121" t="s">
        <v>12</v>
      </c>
      <c r="U121" t="s">
        <v>12</v>
      </c>
      <c r="V121" t="s">
        <v>12</v>
      </c>
      <c r="W121" t="s">
        <v>12</v>
      </c>
      <c r="X121" t="s">
        <v>12</v>
      </c>
      <c r="Y121" t="s">
        <v>12</v>
      </c>
      <c r="Z121" t="s">
        <v>12</v>
      </c>
      <c r="AA121" t="s">
        <v>12</v>
      </c>
      <c r="AB121" t="s">
        <v>12</v>
      </c>
      <c r="AC121" t="s">
        <v>12</v>
      </c>
      <c r="AD121" t="s">
        <v>12</v>
      </c>
    </row>
    <row r="122" spans="1:30">
      <c r="A122" t="s">
        <v>65</v>
      </c>
      <c r="B122" t="str">
        <f>Master_Data_Productivity[[#This Row],[Uniq-ID]]&amp;"-"&amp;Master_Data_Productivity[[#This Row],[Period]]</f>
        <v>DC-Document_Controller-054-M1</v>
      </c>
      <c r="C122" t="s">
        <v>66</v>
      </c>
      <c r="D122" t="s">
        <v>48</v>
      </c>
      <c r="E122" t="s">
        <v>13</v>
      </c>
      <c r="F122" t="s">
        <v>67</v>
      </c>
      <c r="G122" t="s">
        <v>15</v>
      </c>
      <c r="H122" t="s">
        <v>16</v>
      </c>
      <c r="I122">
        <v>10.087999999999999</v>
      </c>
      <c r="J122">
        <v>1.5</v>
      </c>
      <c r="K122" t="s">
        <v>2879</v>
      </c>
      <c r="L122" t="s">
        <v>2915</v>
      </c>
      <c r="M122" t="s">
        <v>2916</v>
      </c>
      <c r="O122">
        <v>110</v>
      </c>
      <c r="Q122" t="s">
        <v>8</v>
      </c>
      <c r="R122" t="s">
        <v>12</v>
      </c>
      <c r="S122" t="s">
        <v>12</v>
      </c>
      <c r="T122" t="s">
        <v>12</v>
      </c>
      <c r="U122" t="s">
        <v>12</v>
      </c>
      <c r="V122" t="s">
        <v>12</v>
      </c>
      <c r="W122" t="s">
        <v>12</v>
      </c>
      <c r="X122" t="s">
        <v>12</v>
      </c>
      <c r="Y122" t="s">
        <v>12</v>
      </c>
      <c r="Z122" t="s">
        <v>12</v>
      </c>
      <c r="AA122" t="s">
        <v>12</v>
      </c>
      <c r="AB122" t="s">
        <v>12</v>
      </c>
      <c r="AC122" t="s">
        <v>12</v>
      </c>
      <c r="AD122" t="s">
        <v>12</v>
      </c>
    </row>
    <row r="123" spans="1:30">
      <c r="A123" t="s">
        <v>65</v>
      </c>
      <c r="B123" t="str">
        <f>Master_Data_Productivity[[#This Row],[Uniq-ID]]&amp;"-"&amp;Master_Data_Productivity[[#This Row],[Period]]</f>
        <v>DC-Document_Controller-054-M1</v>
      </c>
      <c r="C123" t="s">
        <v>66</v>
      </c>
      <c r="D123" t="s">
        <v>48</v>
      </c>
      <c r="E123" t="s">
        <v>13</v>
      </c>
      <c r="F123" t="s">
        <v>67</v>
      </c>
      <c r="G123" t="s">
        <v>15</v>
      </c>
      <c r="H123" t="s">
        <v>16</v>
      </c>
      <c r="I123">
        <v>10.087999999999999</v>
      </c>
      <c r="J123">
        <v>1.5</v>
      </c>
      <c r="K123" t="s">
        <v>2879</v>
      </c>
      <c r="L123" t="s">
        <v>2915</v>
      </c>
      <c r="M123" t="s">
        <v>2916</v>
      </c>
      <c r="N123">
        <v>308</v>
      </c>
      <c r="O123">
        <v>110</v>
      </c>
      <c r="P123">
        <v>0.35709999999999997</v>
      </c>
      <c r="Q123" t="s">
        <v>8</v>
      </c>
      <c r="R123" t="s">
        <v>12</v>
      </c>
      <c r="S123" t="s">
        <v>12</v>
      </c>
      <c r="T123" t="s">
        <v>12</v>
      </c>
      <c r="U123" t="s">
        <v>12</v>
      </c>
      <c r="V123" t="s">
        <v>12</v>
      </c>
      <c r="W123" t="s">
        <v>12</v>
      </c>
      <c r="X123" t="s">
        <v>12</v>
      </c>
      <c r="Y123" t="s">
        <v>12</v>
      </c>
      <c r="Z123" t="s">
        <v>12</v>
      </c>
      <c r="AA123" t="s">
        <v>12</v>
      </c>
      <c r="AB123" t="s">
        <v>12</v>
      </c>
      <c r="AC123" t="s">
        <v>12</v>
      </c>
      <c r="AD123" t="s">
        <v>12</v>
      </c>
    </row>
    <row r="124" spans="1:30">
      <c r="A124" t="s">
        <v>65</v>
      </c>
      <c r="B124" t="str">
        <f>Master_Data_Productivity[[#This Row],[Uniq-ID]]&amp;"-"&amp;Master_Data_Productivity[[#This Row],[Period]]</f>
        <v>DC-Document_Controller-054-M1</v>
      </c>
      <c r="C124" t="s">
        <v>66</v>
      </c>
      <c r="D124" t="s">
        <v>48</v>
      </c>
      <c r="E124" t="s">
        <v>13</v>
      </c>
      <c r="F124" t="s">
        <v>67</v>
      </c>
      <c r="G124" t="s">
        <v>15</v>
      </c>
      <c r="H124" t="s">
        <v>16</v>
      </c>
      <c r="I124">
        <v>10.087999999999999</v>
      </c>
      <c r="J124">
        <v>1.5</v>
      </c>
      <c r="K124" t="s">
        <v>2879</v>
      </c>
      <c r="L124" t="s">
        <v>2915</v>
      </c>
      <c r="M124" t="s">
        <v>2916</v>
      </c>
      <c r="N124">
        <v>26</v>
      </c>
      <c r="O124">
        <v>110</v>
      </c>
      <c r="P124">
        <v>4.2308000000000003</v>
      </c>
      <c r="Q124" t="s">
        <v>8</v>
      </c>
      <c r="R124" t="s">
        <v>12</v>
      </c>
      <c r="S124" t="s">
        <v>12</v>
      </c>
      <c r="T124" t="s">
        <v>12</v>
      </c>
      <c r="U124" t="s">
        <v>12</v>
      </c>
      <c r="V124" t="s">
        <v>12</v>
      </c>
      <c r="W124" t="s">
        <v>12</v>
      </c>
      <c r="X124" t="s">
        <v>12</v>
      </c>
      <c r="Y124" t="s">
        <v>12</v>
      </c>
      <c r="Z124" t="s">
        <v>12</v>
      </c>
      <c r="AA124" t="s">
        <v>12</v>
      </c>
      <c r="AB124" t="s">
        <v>12</v>
      </c>
      <c r="AC124" t="s">
        <v>12</v>
      </c>
      <c r="AD124" t="s">
        <v>12</v>
      </c>
    </row>
    <row r="125" spans="1:30">
      <c r="A125" t="s">
        <v>65</v>
      </c>
      <c r="B125" t="str">
        <f>Master_Data_Productivity[[#This Row],[Uniq-ID]]&amp;"-"&amp;Master_Data_Productivity[[#This Row],[Period]]</f>
        <v>DC-Document_Controller-054-M1</v>
      </c>
      <c r="C125" t="s">
        <v>66</v>
      </c>
      <c r="D125" t="s">
        <v>48</v>
      </c>
      <c r="E125" t="s">
        <v>13</v>
      </c>
      <c r="F125" t="s">
        <v>67</v>
      </c>
      <c r="G125" t="s">
        <v>15</v>
      </c>
      <c r="H125" t="s">
        <v>16</v>
      </c>
      <c r="I125">
        <v>10.087999999999999</v>
      </c>
      <c r="J125">
        <v>1.5</v>
      </c>
      <c r="K125" t="s">
        <v>2879</v>
      </c>
      <c r="L125" t="s">
        <v>2915</v>
      </c>
      <c r="M125" t="s">
        <v>2916</v>
      </c>
      <c r="N125">
        <v>20</v>
      </c>
      <c r="O125">
        <v>110</v>
      </c>
      <c r="P125">
        <v>5.5</v>
      </c>
      <c r="Q125" t="s">
        <v>8</v>
      </c>
      <c r="R125" t="s">
        <v>12</v>
      </c>
      <c r="S125" t="s">
        <v>12</v>
      </c>
      <c r="T125" t="s">
        <v>12</v>
      </c>
      <c r="U125" t="s">
        <v>12</v>
      </c>
      <c r="V125" t="s">
        <v>12</v>
      </c>
      <c r="W125" t="s">
        <v>12</v>
      </c>
      <c r="X125" t="s">
        <v>12</v>
      </c>
      <c r="Y125" t="s">
        <v>12</v>
      </c>
      <c r="Z125" t="s">
        <v>12</v>
      </c>
      <c r="AA125" t="s">
        <v>12</v>
      </c>
      <c r="AB125" t="s">
        <v>12</v>
      </c>
      <c r="AC125" t="s">
        <v>12</v>
      </c>
      <c r="AD125" t="s">
        <v>12</v>
      </c>
    </row>
    <row r="126" spans="1:30">
      <c r="A126" t="s">
        <v>65</v>
      </c>
      <c r="B126" t="str">
        <f>Master_Data_Productivity[[#This Row],[Uniq-ID]]&amp;"-"&amp;Master_Data_Productivity[[#This Row],[Period]]</f>
        <v>DC-Document_Controller-054-M2</v>
      </c>
      <c r="C126" t="s">
        <v>66</v>
      </c>
      <c r="D126" t="s">
        <v>48</v>
      </c>
      <c r="E126" t="s">
        <v>18</v>
      </c>
      <c r="F126" t="s">
        <v>69</v>
      </c>
      <c r="G126" t="s">
        <v>15</v>
      </c>
      <c r="H126" t="s">
        <v>16</v>
      </c>
      <c r="I126">
        <v>13.756</v>
      </c>
      <c r="J126">
        <v>1.5</v>
      </c>
      <c r="K126" t="s">
        <v>2879</v>
      </c>
      <c r="L126" t="s">
        <v>2915</v>
      </c>
      <c r="M126" t="s">
        <v>2916</v>
      </c>
      <c r="N126">
        <v>308</v>
      </c>
      <c r="O126">
        <v>150</v>
      </c>
      <c r="P126">
        <v>0.48699999999999999</v>
      </c>
      <c r="Q126" t="s">
        <v>8</v>
      </c>
      <c r="R126" t="s">
        <v>12</v>
      </c>
      <c r="S126" t="s">
        <v>12</v>
      </c>
      <c r="T126" t="s">
        <v>12</v>
      </c>
      <c r="U126" t="s">
        <v>12</v>
      </c>
      <c r="V126" t="s">
        <v>12</v>
      </c>
      <c r="W126" t="s">
        <v>12</v>
      </c>
      <c r="X126" t="s">
        <v>12</v>
      </c>
      <c r="Y126" t="s">
        <v>12</v>
      </c>
      <c r="Z126" t="s">
        <v>12</v>
      </c>
      <c r="AA126" t="s">
        <v>12</v>
      </c>
      <c r="AB126" t="s">
        <v>12</v>
      </c>
      <c r="AC126" t="s">
        <v>12</v>
      </c>
      <c r="AD126" t="s">
        <v>12</v>
      </c>
    </row>
    <row r="127" spans="1:30">
      <c r="A127" t="s">
        <v>65</v>
      </c>
      <c r="B127" t="str">
        <f>Master_Data_Productivity[[#This Row],[Uniq-ID]]&amp;"-"&amp;Master_Data_Productivity[[#This Row],[Period]]</f>
        <v>DC-Document_Controller-054-M2</v>
      </c>
      <c r="C127" t="s">
        <v>66</v>
      </c>
      <c r="D127" t="s">
        <v>48</v>
      </c>
      <c r="E127" t="s">
        <v>18</v>
      </c>
      <c r="F127" t="s">
        <v>69</v>
      </c>
      <c r="G127" t="s">
        <v>15</v>
      </c>
      <c r="H127" t="s">
        <v>16</v>
      </c>
      <c r="I127">
        <v>13.756</v>
      </c>
      <c r="J127">
        <v>1.5</v>
      </c>
      <c r="K127" t="s">
        <v>2879</v>
      </c>
      <c r="L127" t="s">
        <v>2915</v>
      </c>
      <c r="M127" t="s">
        <v>2916</v>
      </c>
      <c r="N127">
        <v>26</v>
      </c>
      <c r="O127">
        <v>150</v>
      </c>
      <c r="P127">
        <v>5.7691999999999997</v>
      </c>
      <c r="Q127" t="s">
        <v>8</v>
      </c>
      <c r="R127" t="s">
        <v>12</v>
      </c>
      <c r="S127" t="s">
        <v>12</v>
      </c>
      <c r="T127" t="s">
        <v>12</v>
      </c>
      <c r="U127" t="s">
        <v>12</v>
      </c>
      <c r="V127" t="s">
        <v>12</v>
      </c>
      <c r="W127" t="s">
        <v>12</v>
      </c>
      <c r="X127" t="s">
        <v>12</v>
      </c>
      <c r="Y127" t="s">
        <v>12</v>
      </c>
      <c r="Z127" t="s">
        <v>12</v>
      </c>
      <c r="AA127" t="s">
        <v>12</v>
      </c>
      <c r="AB127" t="s">
        <v>12</v>
      </c>
      <c r="AC127" t="s">
        <v>12</v>
      </c>
      <c r="AD127" t="s">
        <v>12</v>
      </c>
    </row>
    <row r="128" spans="1:30">
      <c r="A128" t="s">
        <v>65</v>
      </c>
      <c r="B128" t="str">
        <f>Master_Data_Productivity[[#This Row],[Uniq-ID]]&amp;"-"&amp;Master_Data_Productivity[[#This Row],[Period]]</f>
        <v>DC-Document_Controller-054-M2</v>
      </c>
      <c r="C128" t="s">
        <v>66</v>
      </c>
      <c r="D128" t="s">
        <v>48</v>
      </c>
      <c r="E128" t="s">
        <v>18</v>
      </c>
      <c r="F128" t="s">
        <v>69</v>
      </c>
      <c r="G128" t="s">
        <v>15</v>
      </c>
      <c r="H128" t="s">
        <v>16</v>
      </c>
      <c r="I128">
        <v>13.756</v>
      </c>
      <c r="J128">
        <v>1.5</v>
      </c>
      <c r="K128" t="s">
        <v>2879</v>
      </c>
      <c r="L128" t="s">
        <v>2915</v>
      </c>
      <c r="M128" t="s">
        <v>2916</v>
      </c>
      <c r="N128">
        <v>20</v>
      </c>
      <c r="O128">
        <v>150</v>
      </c>
      <c r="P128">
        <v>7.5</v>
      </c>
      <c r="Q128" t="s">
        <v>8</v>
      </c>
      <c r="R128" t="s">
        <v>12</v>
      </c>
      <c r="S128" t="s">
        <v>12</v>
      </c>
      <c r="T128" t="s">
        <v>12</v>
      </c>
      <c r="U128" t="s">
        <v>12</v>
      </c>
      <c r="V128" t="s">
        <v>12</v>
      </c>
      <c r="W128" t="s">
        <v>12</v>
      </c>
      <c r="X128" t="s">
        <v>12</v>
      </c>
      <c r="Y128" t="s">
        <v>12</v>
      </c>
      <c r="Z128" t="s">
        <v>12</v>
      </c>
      <c r="AA128" t="s">
        <v>12</v>
      </c>
      <c r="AB128" t="s">
        <v>12</v>
      </c>
      <c r="AC128" t="s">
        <v>12</v>
      </c>
      <c r="AD128" t="s">
        <v>12</v>
      </c>
    </row>
    <row r="129" spans="1:30">
      <c r="A129" t="s">
        <v>65</v>
      </c>
      <c r="B129" t="str">
        <f>Master_Data_Productivity[[#This Row],[Uniq-ID]]&amp;"-"&amp;Master_Data_Productivity[[#This Row],[Period]]</f>
        <v>DC-Document_Controller-054-M3</v>
      </c>
      <c r="C129" t="s">
        <v>66</v>
      </c>
      <c r="D129" t="s">
        <v>48</v>
      </c>
      <c r="E129" t="s">
        <v>22</v>
      </c>
      <c r="F129" t="s">
        <v>71</v>
      </c>
      <c r="G129" t="s">
        <v>15</v>
      </c>
      <c r="H129" t="s">
        <v>16</v>
      </c>
      <c r="I129">
        <v>4.585</v>
      </c>
      <c r="J129">
        <v>1.5</v>
      </c>
      <c r="K129" t="s">
        <v>2879</v>
      </c>
      <c r="L129" t="s">
        <v>2915</v>
      </c>
      <c r="M129" t="s">
        <v>2916</v>
      </c>
      <c r="N129">
        <v>308</v>
      </c>
      <c r="O129">
        <v>50</v>
      </c>
      <c r="P129">
        <v>0.1623</v>
      </c>
      <c r="Q129" t="s">
        <v>8</v>
      </c>
      <c r="R129" t="s">
        <v>12</v>
      </c>
      <c r="S129" t="s">
        <v>12</v>
      </c>
      <c r="T129" t="s">
        <v>12</v>
      </c>
      <c r="U129" t="s">
        <v>12</v>
      </c>
      <c r="V129" t="s">
        <v>12</v>
      </c>
      <c r="W129" t="s">
        <v>12</v>
      </c>
      <c r="X129" t="s">
        <v>12</v>
      </c>
      <c r="Y129" t="s">
        <v>12</v>
      </c>
      <c r="Z129" t="s">
        <v>12</v>
      </c>
      <c r="AA129" t="s">
        <v>12</v>
      </c>
      <c r="AB129" t="s">
        <v>12</v>
      </c>
      <c r="AC129" t="s">
        <v>12</v>
      </c>
      <c r="AD129" t="s">
        <v>12</v>
      </c>
    </row>
    <row r="130" spans="1:30">
      <c r="A130" t="s">
        <v>65</v>
      </c>
      <c r="B130" t="str">
        <f>Master_Data_Productivity[[#This Row],[Uniq-ID]]&amp;"-"&amp;Master_Data_Productivity[[#This Row],[Period]]</f>
        <v>DC-Document_Controller-054-M3</v>
      </c>
      <c r="C130" t="s">
        <v>66</v>
      </c>
      <c r="D130" t="s">
        <v>48</v>
      </c>
      <c r="E130" t="s">
        <v>22</v>
      </c>
      <c r="F130" t="s">
        <v>71</v>
      </c>
      <c r="G130" t="s">
        <v>15</v>
      </c>
      <c r="H130" t="s">
        <v>16</v>
      </c>
      <c r="I130">
        <v>4.585</v>
      </c>
      <c r="J130">
        <v>1.5</v>
      </c>
      <c r="K130" t="s">
        <v>2879</v>
      </c>
      <c r="L130" t="s">
        <v>2915</v>
      </c>
      <c r="M130" t="s">
        <v>2916</v>
      </c>
      <c r="N130">
        <v>26</v>
      </c>
      <c r="O130">
        <v>50</v>
      </c>
      <c r="P130">
        <v>1.9231</v>
      </c>
      <c r="Q130" t="s">
        <v>8</v>
      </c>
      <c r="R130" t="s">
        <v>12</v>
      </c>
      <c r="S130" t="s">
        <v>12</v>
      </c>
      <c r="T130" t="s">
        <v>12</v>
      </c>
      <c r="U130" t="s">
        <v>12</v>
      </c>
      <c r="V130" t="s">
        <v>12</v>
      </c>
      <c r="W130" t="s">
        <v>12</v>
      </c>
      <c r="X130" t="s">
        <v>12</v>
      </c>
      <c r="Y130" t="s">
        <v>12</v>
      </c>
      <c r="Z130" t="s">
        <v>12</v>
      </c>
      <c r="AA130" t="s">
        <v>12</v>
      </c>
      <c r="AB130" t="s">
        <v>12</v>
      </c>
      <c r="AC130" t="s">
        <v>12</v>
      </c>
      <c r="AD130" t="s">
        <v>12</v>
      </c>
    </row>
    <row r="131" spans="1:30">
      <c r="A131" t="s">
        <v>65</v>
      </c>
      <c r="B131" t="str">
        <f>Master_Data_Productivity[[#This Row],[Uniq-ID]]&amp;"-"&amp;Master_Data_Productivity[[#This Row],[Period]]</f>
        <v>DC-Document_Controller-054-M3</v>
      </c>
      <c r="C131" t="s">
        <v>66</v>
      </c>
      <c r="D131" t="s">
        <v>48</v>
      </c>
      <c r="E131" t="s">
        <v>22</v>
      </c>
      <c r="F131" t="s">
        <v>71</v>
      </c>
      <c r="G131" t="s">
        <v>15</v>
      </c>
      <c r="H131" t="s">
        <v>16</v>
      </c>
      <c r="I131">
        <v>4.585</v>
      </c>
      <c r="J131">
        <v>1.5</v>
      </c>
      <c r="K131" t="s">
        <v>2879</v>
      </c>
      <c r="L131" t="s">
        <v>2915</v>
      </c>
      <c r="M131" t="s">
        <v>2916</v>
      </c>
      <c r="N131">
        <v>20</v>
      </c>
      <c r="O131">
        <v>50</v>
      </c>
      <c r="P131">
        <v>2.5</v>
      </c>
      <c r="Q131" t="s">
        <v>8</v>
      </c>
      <c r="R131" t="s">
        <v>12</v>
      </c>
      <c r="S131" t="s">
        <v>12</v>
      </c>
      <c r="T131" t="s">
        <v>12</v>
      </c>
      <c r="U131" t="s">
        <v>12</v>
      </c>
      <c r="V131" t="s">
        <v>12</v>
      </c>
      <c r="W131" t="s">
        <v>12</v>
      </c>
      <c r="X131" t="s">
        <v>12</v>
      </c>
      <c r="Y131" t="s">
        <v>12</v>
      </c>
      <c r="Z131" t="s">
        <v>12</v>
      </c>
      <c r="AA131" t="s">
        <v>12</v>
      </c>
      <c r="AB131" t="s">
        <v>12</v>
      </c>
      <c r="AC131" t="s">
        <v>12</v>
      </c>
      <c r="AD131" t="s">
        <v>12</v>
      </c>
    </row>
    <row r="132" spans="1:30">
      <c r="A132" t="s">
        <v>65</v>
      </c>
      <c r="B132" t="str">
        <f>Master_Data_Productivity[[#This Row],[Uniq-ID]]&amp;"-"&amp;Master_Data_Productivity[[#This Row],[Period]]</f>
        <v>DC-Document_Controller-054-M4</v>
      </c>
      <c r="C132" t="s">
        <v>66</v>
      </c>
      <c r="D132" t="s">
        <v>48</v>
      </c>
      <c r="E132" t="s">
        <v>25</v>
      </c>
      <c r="F132" t="s">
        <v>73</v>
      </c>
      <c r="G132" t="s">
        <v>33</v>
      </c>
      <c r="H132" t="s">
        <v>44</v>
      </c>
      <c r="I132">
        <v>0</v>
      </c>
      <c r="K132" t="s">
        <v>12</v>
      </c>
      <c r="L132" t="s">
        <v>12</v>
      </c>
      <c r="M132" t="s">
        <v>12</v>
      </c>
      <c r="Q132" t="s">
        <v>8</v>
      </c>
      <c r="R132" t="s">
        <v>12</v>
      </c>
      <c r="S132" t="s">
        <v>12</v>
      </c>
      <c r="T132" t="s">
        <v>12</v>
      </c>
      <c r="U132" t="s">
        <v>12</v>
      </c>
      <c r="V132" t="s">
        <v>12</v>
      </c>
      <c r="W132" t="s">
        <v>12</v>
      </c>
      <c r="X132" t="s">
        <v>12</v>
      </c>
      <c r="Y132" t="s">
        <v>12</v>
      </c>
      <c r="Z132" t="s">
        <v>12</v>
      </c>
      <c r="AA132" t="s">
        <v>12</v>
      </c>
      <c r="AB132" t="s">
        <v>12</v>
      </c>
      <c r="AC132" t="s">
        <v>12</v>
      </c>
      <c r="AD132" t="s">
        <v>12</v>
      </c>
    </row>
    <row r="133" spans="1:30">
      <c r="A133" t="s">
        <v>74</v>
      </c>
      <c r="B133" t="str">
        <f>Master_Data_Productivity[[#This Row],[Uniq-ID]]&amp;"-"&amp;Master_Data_Productivity[[#This Row],[Period]]</f>
        <v>DC-Document_Controller-049-M1</v>
      </c>
      <c r="C133" t="s">
        <v>75</v>
      </c>
      <c r="D133" t="s">
        <v>76</v>
      </c>
      <c r="E133" t="s">
        <v>13</v>
      </c>
      <c r="F133" t="s">
        <v>37</v>
      </c>
      <c r="G133" t="s">
        <v>15</v>
      </c>
      <c r="H133" t="s">
        <v>16</v>
      </c>
      <c r="I133">
        <v>8.6199999999999992</v>
      </c>
      <c r="J133">
        <v>1.5</v>
      </c>
      <c r="K133" t="s">
        <v>2947</v>
      </c>
      <c r="L133" t="s">
        <v>2948</v>
      </c>
      <c r="M133" t="s">
        <v>2873</v>
      </c>
      <c r="N133">
        <v>110</v>
      </c>
      <c r="O133">
        <v>33</v>
      </c>
      <c r="P133">
        <v>0.3</v>
      </c>
      <c r="Q133" t="s">
        <v>8</v>
      </c>
      <c r="R133" t="s">
        <v>12</v>
      </c>
      <c r="S133" t="s">
        <v>12</v>
      </c>
      <c r="T133" t="s">
        <v>12</v>
      </c>
      <c r="U133" t="s">
        <v>12</v>
      </c>
      <c r="V133" t="s">
        <v>12</v>
      </c>
      <c r="W133" t="s">
        <v>12</v>
      </c>
      <c r="X133" t="s">
        <v>12</v>
      </c>
      <c r="Y133" t="s">
        <v>12</v>
      </c>
      <c r="Z133" t="s">
        <v>12</v>
      </c>
      <c r="AA133" t="s">
        <v>12</v>
      </c>
      <c r="AB133" t="s">
        <v>12</v>
      </c>
      <c r="AC133" t="s">
        <v>12</v>
      </c>
      <c r="AD133" t="s">
        <v>12</v>
      </c>
    </row>
    <row r="134" spans="1:30">
      <c r="A134" t="s">
        <v>74</v>
      </c>
      <c r="B134" t="str">
        <f>Master_Data_Productivity[[#This Row],[Uniq-ID]]&amp;"-"&amp;Master_Data_Productivity[[#This Row],[Period]]</f>
        <v>DC-Document_Controller-049-M1</v>
      </c>
      <c r="C134" t="s">
        <v>75</v>
      </c>
      <c r="D134" t="s">
        <v>76</v>
      </c>
      <c r="E134" t="s">
        <v>13</v>
      </c>
      <c r="F134" t="s">
        <v>37</v>
      </c>
      <c r="G134" t="s">
        <v>15</v>
      </c>
      <c r="H134" t="s">
        <v>16</v>
      </c>
      <c r="I134">
        <v>8.6199999999999992</v>
      </c>
      <c r="J134">
        <v>1.5</v>
      </c>
      <c r="K134" t="s">
        <v>2871</v>
      </c>
      <c r="L134" t="s">
        <v>2950</v>
      </c>
      <c r="M134" t="s">
        <v>2873</v>
      </c>
      <c r="N134">
        <v>88</v>
      </c>
      <c r="O134">
        <v>163</v>
      </c>
      <c r="P134">
        <v>1.8523000000000001</v>
      </c>
      <c r="Q134" t="s">
        <v>8</v>
      </c>
      <c r="R134" t="s">
        <v>12</v>
      </c>
      <c r="S134" t="s">
        <v>12</v>
      </c>
      <c r="T134" t="s">
        <v>12</v>
      </c>
      <c r="U134" t="s">
        <v>12</v>
      </c>
      <c r="V134" t="s">
        <v>12</v>
      </c>
      <c r="W134" t="s">
        <v>12</v>
      </c>
      <c r="X134" t="s">
        <v>12</v>
      </c>
      <c r="Y134" t="s">
        <v>12</v>
      </c>
      <c r="Z134" t="s">
        <v>12</v>
      </c>
      <c r="AA134" t="s">
        <v>12</v>
      </c>
      <c r="AB134" t="s">
        <v>12</v>
      </c>
      <c r="AC134" t="s">
        <v>12</v>
      </c>
      <c r="AD134" t="s">
        <v>12</v>
      </c>
    </row>
    <row r="135" spans="1:30">
      <c r="A135" t="s">
        <v>74</v>
      </c>
      <c r="B135" t="str">
        <f>Master_Data_Productivity[[#This Row],[Uniq-ID]]&amp;"-"&amp;Master_Data_Productivity[[#This Row],[Period]]</f>
        <v>DC-Document_Controller-049-M1</v>
      </c>
      <c r="C135" t="s">
        <v>75</v>
      </c>
      <c r="D135" t="s">
        <v>76</v>
      </c>
      <c r="E135" t="s">
        <v>13</v>
      </c>
      <c r="F135" t="s">
        <v>37</v>
      </c>
      <c r="G135" t="s">
        <v>15</v>
      </c>
      <c r="H135" t="s">
        <v>16</v>
      </c>
      <c r="I135">
        <v>8.6199999999999992</v>
      </c>
      <c r="J135">
        <v>1.5</v>
      </c>
      <c r="K135" t="s">
        <v>2871</v>
      </c>
      <c r="L135" t="s">
        <v>2952</v>
      </c>
      <c r="M135" t="s">
        <v>2873</v>
      </c>
      <c r="N135">
        <v>257</v>
      </c>
      <c r="O135">
        <v>219</v>
      </c>
      <c r="P135">
        <v>0.85209999999999997</v>
      </c>
      <c r="Q135" t="s">
        <v>8</v>
      </c>
      <c r="R135" t="s">
        <v>12</v>
      </c>
      <c r="S135" t="s">
        <v>12</v>
      </c>
      <c r="T135" t="s">
        <v>12</v>
      </c>
      <c r="U135" t="s">
        <v>12</v>
      </c>
      <c r="V135" t="s">
        <v>12</v>
      </c>
      <c r="W135" t="s">
        <v>12</v>
      </c>
      <c r="X135" t="s">
        <v>12</v>
      </c>
      <c r="Y135" t="s">
        <v>12</v>
      </c>
      <c r="Z135" t="s">
        <v>12</v>
      </c>
      <c r="AA135" t="s">
        <v>12</v>
      </c>
      <c r="AB135" t="s">
        <v>12</v>
      </c>
      <c r="AC135" t="s">
        <v>12</v>
      </c>
      <c r="AD135" t="s">
        <v>12</v>
      </c>
    </row>
    <row r="136" spans="1:30">
      <c r="A136" t="s">
        <v>74</v>
      </c>
      <c r="B136" t="str">
        <f>Master_Data_Productivity[[#This Row],[Uniq-ID]]&amp;"-"&amp;Master_Data_Productivity[[#This Row],[Period]]</f>
        <v>DC-Document_Controller-049-M1</v>
      </c>
      <c r="C136" t="s">
        <v>75</v>
      </c>
      <c r="D136" t="s">
        <v>76</v>
      </c>
      <c r="E136" t="s">
        <v>13</v>
      </c>
      <c r="F136" t="s">
        <v>37</v>
      </c>
      <c r="G136" t="s">
        <v>15</v>
      </c>
      <c r="H136" t="s">
        <v>16</v>
      </c>
      <c r="I136">
        <v>8.6199999999999992</v>
      </c>
      <c r="J136">
        <v>1.5</v>
      </c>
      <c r="K136" t="s">
        <v>2871</v>
      </c>
      <c r="L136" t="s">
        <v>2954</v>
      </c>
      <c r="M136" t="s">
        <v>2873</v>
      </c>
      <c r="N136">
        <v>220</v>
      </c>
      <c r="O136">
        <v>222</v>
      </c>
      <c r="P136">
        <v>1.0091000000000001</v>
      </c>
      <c r="Q136" t="s">
        <v>8</v>
      </c>
      <c r="R136" t="s">
        <v>12</v>
      </c>
      <c r="S136" t="s">
        <v>12</v>
      </c>
      <c r="T136" t="s">
        <v>12</v>
      </c>
      <c r="U136" t="s">
        <v>12</v>
      </c>
      <c r="V136" t="s">
        <v>12</v>
      </c>
      <c r="W136" t="s">
        <v>12</v>
      </c>
      <c r="X136" t="s">
        <v>12</v>
      </c>
      <c r="Y136" t="s">
        <v>12</v>
      </c>
      <c r="Z136" t="s">
        <v>12</v>
      </c>
      <c r="AA136" t="s">
        <v>12</v>
      </c>
      <c r="AB136" t="s">
        <v>12</v>
      </c>
      <c r="AC136" t="s">
        <v>12</v>
      </c>
      <c r="AD136" t="s">
        <v>12</v>
      </c>
    </row>
    <row r="137" spans="1:30">
      <c r="A137" t="s">
        <v>74</v>
      </c>
      <c r="B137" t="str">
        <f>Master_Data_Productivity[[#This Row],[Uniq-ID]]&amp;"-"&amp;Master_Data_Productivity[[#This Row],[Period]]</f>
        <v>DC-Document_Controller-049-M1</v>
      </c>
      <c r="C137" t="s">
        <v>75</v>
      </c>
      <c r="D137" t="s">
        <v>76</v>
      </c>
      <c r="E137" t="s">
        <v>13</v>
      </c>
      <c r="F137" t="s">
        <v>37</v>
      </c>
      <c r="G137" t="s">
        <v>15</v>
      </c>
      <c r="H137" t="s">
        <v>16</v>
      </c>
      <c r="I137">
        <v>8.6199999999999992</v>
      </c>
      <c r="J137">
        <v>1.5</v>
      </c>
      <c r="K137" t="s">
        <v>2871</v>
      </c>
      <c r="L137" t="s">
        <v>2956</v>
      </c>
      <c r="M137" t="s">
        <v>2873</v>
      </c>
      <c r="N137">
        <v>298</v>
      </c>
      <c r="O137">
        <v>409</v>
      </c>
      <c r="P137">
        <v>1.3725000000000001</v>
      </c>
      <c r="Q137" t="s">
        <v>8</v>
      </c>
      <c r="R137" t="s">
        <v>12</v>
      </c>
      <c r="S137" t="s">
        <v>12</v>
      </c>
      <c r="T137" t="s">
        <v>12</v>
      </c>
      <c r="U137" t="s">
        <v>12</v>
      </c>
      <c r="V137" t="s">
        <v>12</v>
      </c>
      <c r="W137" t="s">
        <v>12</v>
      </c>
      <c r="X137" t="s">
        <v>12</v>
      </c>
      <c r="Y137" t="s">
        <v>12</v>
      </c>
      <c r="Z137" t="s">
        <v>12</v>
      </c>
      <c r="AA137" t="s">
        <v>12</v>
      </c>
      <c r="AB137" t="s">
        <v>12</v>
      </c>
      <c r="AC137" t="s">
        <v>12</v>
      </c>
      <c r="AD137" t="s">
        <v>12</v>
      </c>
    </row>
    <row r="138" spans="1:30">
      <c r="A138" t="s">
        <v>74</v>
      </c>
      <c r="B138" t="str">
        <f>Master_Data_Productivity[[#This Row],[Uniq-ID]]&amp;"-"&amp;Master_Data_Productivity[[#This Row],[Period]]</f>
        <v>DC-Document_Controller-049-M1</v>
      </c>
      <c r="C138" t="s">
        <v>75</v>
      </c>
      <c r="D138" t="s">
        <v>76</v>
      </c>
      <c r="E138" t="s">
        <v>13</v>
      </c>
      <c r="F138" t="s">
        <v>37</v>
      </c>
      <c r="G138" t="s">
        <v>15</v>
      </c>
      <c r="H138" t="s">
        <v>16</v>
      </c>
      <c r="I138">
        <v>8.6199999999999992</v>
      </c>
      <c r="J138">
        <v>1.5</v>
      </c>
      <c r="K138" t="s">
        <v>2871</v>
      </c>
      <c r="L138" t="s">
        <v>2958</v>
      </c>
      <c r="M138" t="s">
        <v>2873</v>
      </c>
      <c r="N138">
        <v>154</v>
      </c>
      <c r="O138">
        <v>498</v>
      </c>
      <c r="P138">
        <v>3.2338</v>
      </c>
      <c r="Q138" t="s">
        <v>8</v>
      </c>
      <c r="R138" t="s">
        <v>12</v>
      </c>
      <c r="S138" t="s">
        <v>12</v>
      </c>
      <c r="T138" t="s">
        <v>12</v>
      </c>
      <c r="U138" t="s">
        <v>12</v>
      </c>
      <c r="V138" t="s">
        <v>12</v>
      </c>
      <c r="W138" t="s">
        <v>12</v>
      </c>
      <c r="X138" t="s">
        <v>12</v>
      </c>
      <c r="Y138" t="s">
        <v>12</v>
      </c>
      <c r="Z138" t="s">
        <v>12</v>
      </c>
      <c r="AA138" t="s">
        <v>12</v>
      </c>
      <c r="AB138" t="s">
        <v>12</v>
      </c>
      <c r="AC138" t="s">
        <v>12</v>
      </c>
      <c r="AD138" t="s">
        <v>12</v>
      </c>
    </row>
    <row r="139" spans="1:30">
      <c r="A139" t="s">
        <v>74</v>
      </c>
      <c r="B139" t="str">
        <f>Master_Data_Productivity[[#This Row],[Uniq-ID]]&amp;"-"&amp;Master_Data_Productivity[[#This Row],[Period]]</f>
        <v>DC-Document_Controller-049-M2</v>
      </c>
      <c r="C139" t="s">
        <v>75</v>
      </c>
      <c r="D139" t="s">
        <v>76</v>
      </c>
      <c r="E139" t="s">
        <v>18</v>
      </c>
      <c r="F139" t="s">
        <v>39</v>
      </c>
      <c r="G139" t="s">
        <v>15</v>
      </c>
      <c r="H139" t="s">
        <v>16</v>
      </c>
      <c r="I139">
        <v>6.9770000000000003</v>
      </c>
      <c r="J139">
        <v>1.5</v>
      </c>
      <c r="K139" t="s">
        <v>2871</v>
      </c>
      <c r="L139" t="s">
        <v>2954</v>
      </c>
      <c r="M139" t="s">
        <v>2873</v>
      </c>
      <c r="N139">
        <v>220</v>
      </c>
      <c r="O139">
        <v>150</v>
      </c>
      <c r="P139">
        <v>0.68179999999999996</v>
      </c>
      <c r="Q139" t="s">
        <v>8</v>
      </c>
      <c r="R139" t="s">
        <v>12</v>
      </c>
      <c r="S139" t="s">
        <v>12</v>
      </c>
      <c r="T139" t="s">
        <v>12</v>
      </c>
      <c r="U139" t="s">
        <v>12</v>
      </c>
      <c r="V139" t="s">
        <v>12</v>
      </c>
      <c r="W139" t="s">
        <v>12</v>
      </c>
      <c r="X139" t="s">
        <v>12</v>
      </c>
      <c r="Y139" t="s">
        <v>12</v>
      </c>
      <c r="Z139" t="s">
        <v>12</v>
      </c>
      <c r="AA139" t="s">
        <v>12</v>
      </c>
      <c r="AB139" t="s">
        <v>12</v>
      </c>
      <c r="AC139" t="s">
        <v>12</v>
      </c>
      <c r="AD139" t="s">
        <v>12</v>
      </c>
    </row>
    <row r="140" spans="1:30">
      <c r="A140" t="s">
        <v>74</v>
      </c>
      <c r="B140" t="str">
        <f>Master_Data_Productivity[[#This Row],[Uniq-ID]]&amp;"-"&amp;Master_Data_Productivity[[#This Row],[Period]]</f>
        <v>DC-Document_Controller-049-M2</v>
      </c>
      <c r="C140" t="s">
        <v>75</v>
      </c>
      <c r="D140" t="s">
        <v>76</v>
      </c>
      <c r="E140" t="s">
        <v>18</v>
      </c>
      <c r="F140" t="s">
        <v>39</v>
      </c>
      <c r="G140" t="s">
        <v>15</v>
      </c>
      <c r="H140" t="s">
        <v>16</v>
      </c>
      <c r="I140">
        <v>6.9770000000000003</v>
      </c>
      <c r="J140">
        <v>1.5</v>
      </c>
      <c r="K140" t="s">
        <v>2871</v>
      </c>
      <c r="L140" t="s">
        <v>2956</v>
      </c>
      <c r="M140" t="s">
        <v>2873</v>
      </c>
      <c r="N140">
        <v>298</v>
      </c>
      <c r="O140">
        <v>466</v>
      </c>
      <c r="P140">
        <v>1.5638000000000001</v>
      </c>
      <c r="Q140" t="s">
        <v>8</v>
      </c>
      <c r="R140" t="s">
        <v>12</v>
      </c>
      <c r="S140" t="s">
        <v>12</v>
      </c>
      <c r="T140" t="s">
        <v>12</v>
      </c>
      <c r="U140" t="s">
        <v>12</v>
      </c>
      <c r="V140" t="s">
        <v>12</v>
      </c>
      <c r="W140" t="s">
        <v>12</v>
      </c>
      <c r="X140" t="s">
        <v>12</v>
      </c>
      <c r="Y140" t="s">
        <v>12</v>
      </c>
      <c r="Z140" t="s">
        <v>12</v>
      </c>
      <c r="AA140" t="s">
        <v>12</v>
      </c>
      <c r="AB140" t="s">
        <v>12</v>
      </c>
      <c r="AC140" t="s">
        <v>12</v>
      </c>
      <c r="AD140" t="s">
        <v>12</v>
      </c>
    </row>
    <row r="141" spans="1:30">
      <c r="A141" t="s">
        <v>74</v>
      </c>
      <c r="B141" t="str">
        <f>Master_Data_Productivity[[#This Row],[Uniq-ID]]&amp;"-"&amp;Master_Data_Productivity[[#This Row],[Period]]</f>
        <v>DC-Document_Controller-049-M2</v>
      </c>
      <c r="C141" t="s">
        <v>75</v>
      </c>
      <c r="D141" t="s">
        <v>76</v>
      </c>
      <c r="E141" t="s">
        <v>18</v>
      </c>
      <c r="F141" t="s">
        <v>39</v>
      </c>
      <c r="G141" t="s">
        <v>15</v>
      </c>
      <c r="H141" t="s">
        <v>16</v>
      </c>
      <c r="I141">
        <v>6.9770000000000003</v>
      </c>
      <c r="J141">
        <v>1.5</v>
      </c>
      <c r="K141" t="s">
        <v>2871</v>
      </c>
      <c r="L141" t="s">
        <v>2958</v>
      </c>
      <c r="M141" t="s">
        <v>2873</v>
      </c>
      <c r="N141">
        <v>154</v>
      </c>
      <c r="O141">
        <v>489</v>
      </c>
      <c r="P141">
        <v>3.1753</v>
      </c>
      <c r="Q141" t="s">
        <v>8</v>
      </c>
      <c r="R141" t="s">
        <v>12</v>
      </c>
      <c r="S141" t="s">
        <v>12</v>
      </c>
      <c r="T141" t="s">
        <v>12</v>
      </c>
      <c r="U141" t="s">
        <v>12</v>
      </c>
      <c r="V141" t="s">
        <v>12</v>
      </c>
      <c r="W141" t="s">
        <v>12</v>
      </c>
      <c r="X141" t="s">
        <v>12</v>
      </c>
      <c r="Y141" t="s">
        <v>12</v>
      </c>
      <c r="Z141" t="s">
        <v>12</v>
      </c>
      <c r="AA141" t="s">
        <v>12</v>
      </c>
      <c r="AB141" t="s">
        <v>12</v>
      </c>
      <c r="AC141" t="s">
        <v>12</v>
      </c>
      <c r="AD141" t="s">
        <v>12</v>
      </c>
    </row>
    <row r="142" spans="1:30">
      <c r="A142" t="s">
        <v>74</v>
      </c>
      <c r="B142" t="str">
        <f>Master_Data_Productivity[[#This Row],[Uniq-ID]]&amp;"-"&amp;Master_Data_Productivity[[#This Row],[Period]]</f>
        <v>DC-Document_Controller-049-M2</v>
      </c>
      <c r="C142" t="s">
        <v>75</v>
      </c>
      <c r="D142" t="s">
        <v>76</v>
      </c>
      <c r="E142" t="s">
        <v>18</v>
      </c>
      <c r="F142" t="s">
        <v>39</v>
      </c>
      <c r="G142" t="s">
        <v>15</v>
      </c>
      <c r="H142" t="s">
        <v>16</v>
      </c>
      <c r="I142">
        <v>6.9770000000000003</v>
      </c>
      <c r="J142">
        <v>1.5</v>
      </c>
      <c r="K142" t="s">
        <v>2871</v>
      </c>
      <c r="L142" t="s">
        <v>2950</v>
      </c>
      <c r="M142" t="s">
        <v>2873</v>
      </c>
      <c r="N142">
        <v>88</v>
      </c>
      <c r="O142">
        <v>92</v>
      </c>
      <c r="P142">
        <v>1.0455000000000001</v>
      </c>
      <c r="Q142" t="s">
        <v>8</v>
      </c>
      <c r="R142" t="s">
        <v>12</v>
      </c>
      <c r="S142" t="s">
        <v>12</v>
      </c>
      <c r="T142" t="s">
        <v>12</v>
      </c>
      <c r="U142" t="s">
        <v>12</v>
      </c>
      <c r="V142" t="s">
        <v>12</v>
      </c>
      <c r="W142" t="s">
        <v>12</v>
      </c>
      <c r="X142" t="s">
        <v>12</v>
      </c>
      <c r="Y142" t="s">
        <v>12</v>
      </c>
      <c r="Z142" t="s">
        <v>12</v>
      </c>
      <c r="AA142" t="s">
        <v>12</v>
      </c>
      <c r="AB142" t="s">
        <v>12</v>
      </c>
      <c r="AC142" t="s">
        <v>12</v>
      </c>
      <c r="AD142" t="s">
        <v>12</v>
      </c>
    </row>
    <row r="143" spans="1:30">
      <c r="A143" t="s">
        <v>74</v>
      </c>
      <c r="B143" t="str">
        <f>Master_Data_Productivity[[#This Row],[Uniq-ID]]&amp;"-"&amp;Master_Data_Productivity[[#This Row],[Period]]</f>
        <v>DC-Document_Controller-049-M2</v>
      </c>
      <c r="C143" t="s">
        <v>75</v>
      </c>
      <c r="D143" t="s">
        <v>76</v>
      </c>
      <c r="E143" t="s">
        <v>18</v>
      </c>
      <c r="F143" t="s">
        <v>39</v>
      </c>
      <c r="G143" t="s">
        <v>15</v>
      </c>
      <c r="H143" t="s">
        <v>16</v>
      </c>
      <c r="I143">
        <v>6.9770000000000003</v>
      </c>
      <c r="J143">
        <v>1.5</v>
      </c>
      <c r="K143" t="s">
        <v>2871</v>
      </c>
      <c r="L143" t="s">
        <v>2952</v>
      </c>
      <c r="M143" t="s">
        <v>2873</v>
      </c>
      <c r="N143">
        <v>257</v>
      </c>
      <c r="O143">
        <v>122</v>
      </c>
      <c r="P143">
        <v>0.47470000000000001</v>
      </c>
      <c r="Q143" t="s">
        <v>8</v>
      </c>
      <c r="R143" t="s">
        <v>12</v>
      </c>
      <c r="S143" t="s">
        <v>12</v>
      </c>
      <c r="T143" t="s">
        <v>12</v>
      </c>
      <c r="U143" t="s">
        <v>12</v>
      </c>
      <c r="V143" t="s">
        <v>12</v>
      </c>
      <c r="W143" t="s">
        <v>12</v>
      </c>
      <c r="X143" t="s">
        <v>12</v>
      </c>
      <c r="Y143" t="s">
        <v>12</v>
      </c>
      <c r="Z143" t="s">
        <v>12</v>
      </c>
      <c r="AA143" t="s">
        <v>12</v>
      </c>
      <c r="AB143" t="s">
        <v>12</v>
      </c>
      <c r="AC143" t="s">
        <v>12</v>
      </c>
      <c r="AD143" t="s">
        <v>12</v>
      </c>
    </row>
    <row r="144" spans="1:30">
      <c r="A144" t="s">
        <v>74</v>
      </c>
      <c r="B144" t="str">
        <f>Master_Data_Productivity[[#This Row],[Uniq-ID]]&amp;"-"&amp;Master_Data_Productivity[[#This Row],[Period]]</f>
        <v>DC-Document_Controller-049-M2</v>
      </c>
      <c r="C144" t="s">
        <v>75</v>
      </c>
      <c r="D144" t="s">
        <v>76</v>
      </c>
      <c r="E144" t="s">
        <v>18</v>
      </c>
      <c r="F144" t="s">
        <v>39</v>
      </c>
      <c r="G144" t="s">
        <v>15</v>
      </c>
      <c r="H144" t="s">
        <v>16</v>
      </c>
      <c r="I144">
        <v>6.9770000000000003</v>
      </c>
      <c r="J144">
        <v>1.5</v>
      </c>
      <c r="K144" t="s">
        <v>2947</v>
      </c>
      <c r="L144" t="s">
        <v>2948</v>
      </c>
      <c r="M144" t="s">
        <v>2873</v>
      </c>
      <c r="N144">
        <v>110</v>
      </c>
      <c r="O144">
        <v>4</v>
      </c>
      <c r="P144">
        <v>3.6400000000000002E-2</v>
      </c>
      <c r="Q144" t="s">
        <v>8</v>
      </c>
      <c r="R144" t="s">
        <v>12</v>
      </c>
      <c r="S144" t="s">
        <v>12</v>
      </c>
      <c r="T144" t="s">
        <v>12</v>
      </c>
      <c r="U144" t="s">
        <v>12</v>
      </c>
      <c r="V144" t="s">
        <v>12</v>
      </c>
      <c r="W144" t="s">
        <v>12</v>
      </c>
      <c r="X144" t="s">
        <v>12</v>
      </c>
      <c r="Y144" t="s">
        <v>12</v>
      </c>
      <c r="Z144" t="s">
        <v>12</v>
      </c>
      <c r="AA144" t="s">
        <v>12</v>
      </c>
      <c r="AB144" t="s">
        <v>12</v>
      </c>
      <c r="AC144" t="s">
        <v>12</v>
      </c>
      <c r="AD144" t="s">
        <v>12</v>
      </c>
    </row>
    <row r="145" spans="1:30">
      <c r="A145" t="s">
        <v>74</v>
      </c>
      <c r="B145" t="str">
        <f>Master_Data_Productivity[[#This Row],[Uniq-ID]]&amp;"-"&amp;Master_Data_Productivity[[#This Row],[Period]]</f>
        <v>DC-Document_Controller-049-M3</v>
      </c>
      <c r="C145" t="s">
        <v>75</v>
      </c>
      <c r="D145" t="s">
        <v>76</v>
      </c>
      <c r="E145" t="s">
        <v>22</v>
      </c>
      <c r="F145" t="s">
        <v>41</v>
      </c>
      <c r="G145" t="s">
        <v>15</v>
      </c>
      <c r="H145" t="s">
        <v>16</v>
      </c>
      <c r="I145">
        <v>3.0950000000000002</v>
      </c>
      <c r="J145">
        <v>1.5</v>
      </c>
      <c r="K145" t="s">
        <v>2947</v>
      </c>
      <c r="L145" t="s">
        <v>2948</v>
      </c>
      <c r="M145" t="s">
        <v>2873</v>
      </c>
      <c r="N145">
        <v>110</v>
      </c>
      <c r="O145">
        <v>4</v>
      </c>
      <c r="P145">
        <v>3.6400000000000002E-2</v>
      </c>
      <c r="Q145" t="s">
        <v>8</v>
      </c>
      <c r="R145" t="s">
        <v>12</v>
      </c>
      <c r="S145" t="s">
        <v>12</v>
      </c>
      <c r="T145" t="s">
        <v>12</v>
      </c>
      <c r="U145" t="s">
        <v>12</v>
      </c>
      <c r="V145" t="s">
        <v>12</v>
      </c>
      <c r="W145" t="s">
        <v>12</v>
      </c>
      <c r="X145" t="s">
        <v>12</v>
      </c>
      <c r="Y145" t="s">
        <v>12</v>
      </c>
      <c r="Z145" t="s">
        <v>12</v>
      </c>
      <c r="AA145" t="s">
        <v>12</v>
      </c>
      <c r="AB145" t="s">
        <v>12</v>
      </c>
      <c r="AC145" t="s">
        <v>12</v>
      </c>
      <c r="AD145" t="s">
        <v>12</v>
      </c>
    </row>
    <row r="146" spans="1:30">
      <c r="A146" t="s">
        <v>74</v>
      </c>
      <c r="B146" t="str">
        <f>Master_Data_Productivity[[#This Row],[Uniq-ID]]&amp;"-"&amp;Master_Data_Productivity[[#This Row],[Period]]</f>
        <v>DC-Document_Controller-049-M3</v>
      </c>
      <c r="C146" t="s">
        <v>75</v>
      </c>
      <c r="D146" t="s">
        <v>76</v>
      </c>
      <c r="E146" t="s">
        <v>22</v>
      </c>
      <c r="F146" t="s">
        <v>41</v>
      </c>
      <c r="G146" t="s">
        <v>15</v>
      </c>
      <c r="H146" t="s">
        <v>16</v>
      </c>
      <c r="I146">
        <v>3.0950000000000002</v>
      </c>
      <c r="J146">
        <v>1.5</v>
      </c>
      <c r="K146" t="s">
        <v>2871</v>
      </c>
      <c r="L146" t="s">
        <v>2950</v>
      </c>
      <c r="M146" t="s">
        <v>2873</v>
      </c>
      <c r="N146">
        <v>88</v>
      </c>
      <c r="O146">
        <v>1</v>
      </c>
      <c r="P146">
        <v>1.14E-2</v>
      </c>
      <c r="Q146" t="s">
        <v>8</v>
      </c>
      <c r="R146" t="s">
        <v>12</v>
      </c>
      <c r="S146" t="s">
        <v>12</v>
      </c>
      <c r="T146" t="s">
        <v>12</v>
      </c>
      <c r="U146" t="s">
        <v>12</v>
      </c>
      <c r="V146" t="s">
        <v>12</v>
      </c>
      <c r="W146" t="s">
        <v>12</v>
      </c>
      <c r="X146" t="s">
        <v>12</v>
      </c>
      <c r="Y146" t="s">
        <v>12</v>
      </c>
      <c r="Z146" t="s">
        <v>12</v>
      </c>
      <c r="AA146" t="s">
        <v>12</v>
      </c>
      <c r="AB146" t="s">
        <v>12</v>
      </c>
      <c r="AC146" t="s">
        <v>12</v>
      </c>
      <c r="AD146" t="s">
        <v>12</v>
      </c>
    </row>
    <row r="147" spans="1:30">
      <c r="A147" t="s">
        <v>74</v>
      </c>
      <c r="B147" t="str">
        <f>Master_Data_Productivity[[#This Row],[Uniq-ID]]&amp;"-"&amp;Master_Data_Productivity[[#This Row],[Period]]</f>
        <v>DC-Document_Controller-049-M3</v>
      </c>
      <c r="C147" t="s">
        <v>75</v>
      </c>
      <c r="D147" t="s">
        <v>76</v>
      </c>
      <c r="E147" t="s">
        <v>22</v>
      </c>
      <c r="F147" t="s">
        <v>41</v>
      </c>
      <c r="G147" t="s">
        <v>15</v>
      </c>
      <c r="H147" t="s">
        <v>16</v>
      </c>
      <c r="I147">
        <v>3.0950000000000002</v>
      </c>
      <c r="J147">
        <v>1.5</v>
      </c>
      <c r="K147" t="s">
        <v>2871</v>
      </c>
      <c r="L147" t="s">
        <v>2952</v>
      </c>
      <c r="M147" t="s">
        <v>2873</v>
      </c>
      <c r="N147">
        <v>257</v>
      </c>
      <c r="O147">
        <v>7</v>
      </c>
      <c r="P147">
        <v>2.7199999999999998E-2</v>
      </c>
      <c r="Q147" t="s">
        <v>8</v>
      </c>
      <c r="R147" t="s">
        <v>12</v>
      </c>
      <c r="S147" t="s">
        <v>12</v>
      </c>
      <c r="T147" t="s">
        <v>12</v>
      </c>
      <c r="U147" t="s">
        <v>12</v>
      </c>
      <c r="V147" t="s">
        <v>12</v>
      </c>
      <c r="W147" t="s">
        <v>12</v>
      </c>
      <c r="X147" t="s">
        <v>12</v>
      </c>
      <c r="Y147" t="s">
        <v>12</v>
      </c>
      <c r="Z147" t="s">
        <v>12</v>
      </c>
      <c r="AA147" t="s">
        <v>12</v>
      </c>
      <c r="AB147" t="s">
        <v>12</v>
      </c>
      <c r="AC147" t="s">
        <v>12</v>
      </c>
      <c r="AD147" t="s">
        <v>12</v>
      </c>
    </row>
    <row r="148" spans="1:30">
      <c r="A148" t="s">
        <v>74</v>
      </c>
      <c r="B148" t="str">
        <f>Master_Data_Productivity[[#This Row],[Uniq-ID]]&amp;"-"&amp;Master_Data_Productivity[[#This Row],[Period]]</f>
        <v>DC-Document_Controller-049-M3</v>
      </c>
      <c r="C148" t="s">
        <v>75</v>
      </c>
      <c r="D148" t="s">
        <v>76</v>
      </c>
      <c r="E148" t="s">
        <v>22</v>
      </c>
      <c r="F148" t="s">
        <v>41</v>
      </c>
      <c r="G148" t="s">
        <v>15</v>
      </c>
      <c r="H148" t="s">
        <v>16</v>
      </c>
      <c r="I148">
        <v>3.0950000000000002</v>
      </c>
      <c r="J148">
        <v>1.5</v>
      </c>
      <c r="K148" t="s">
        <v>2871</v>
      </c>
      <c r="L148" t="s">
        <v>2954</v>
      </c>
      <c r="M148" t="s">
        <v>2873</v>
      </c>
      <c r="N148">
        <v>220</v>
      </c>
      <c r="O148">
        <v>53</v>
      </c>
      <c r="P148">
        <v>0.2409</v>
      </c>
      <c r="Q148" t="s">
        <v>8</v>
      </c>
      <c r="R148" t="s">
        <v>12</v>
      </c>
      <c r="S148" t="s">
        <v>12</v>
      </c>
      <c r="T148" t="s">
        <v>12</v>
      </c>
      <c r="U148" t="s">
        <v>12</v>
      </c>
      <c r="V148" t="s">
        <v>12</v>
      </c>
      <c r="W148" t="s">
        <v>12</v>
      </c>
      <c r="X148" t="s">
        <v>12</v>
      </c>
      <c r="Y148" t="s">
        <v>12</v>
      </c>
      <c r="Z148" t="s">
        <v>12</v>
      </c>
      <c r="AA148" t="s">
        <v>12</v>
      </c>
      <c r="AB148" t="s">
        <v>12</v>
      </c>
      <c r="AC148" t="s">
        <v>12</v>
      </c>
      <c r="AD148" t="s">
        <v>12</v>
      </c>
    </row>
    <row r="149" spans="1:30">
      <c r="A149" t="s">
        <v>74</v>
      </c>
      <c r="B149" t="str">
        <f>Master_Data_Productivity[[#This Row],[Uniq-ID]]&amp;"-"&amp;Master_Data_Productivity[[#This Row],[Period]]</f>
        <v>DC-Document_Controller-049-M3</v>
      </c>
      <c r="C149" t="s">
        <v>75</v>
      </c>
      <c r="D149" t="s">
        <v>76</v>
      </c>
      <c r="E149" t="s">
        <v>22</v>
      </c>
      <c r="F149" t="s">
        <v>41</v>
      </c>
      <c r="G149" t="s">
        <v>15</v>
      </c>
      <c r="H149" t="s">
        <v>16</v>
      </c>
      <c r="I149">
        <v>3.0950000000000002</v>
      </c>
      <c r="J149">
        <v>1.5</v>
      </c>
      <c r="K149" t="s">
        <v>2871</v>
      </c>
      <c r="L149" t="s">
        <v>2956</v>
      </c>
      <c r="M149" t="s">
        <v>2873</v>
      </c>
      <c r="N149">
        <v>298</v>
      </c>
      <c r="O149">
        <v>627</v>
      </c>
      <c r="P149">
        <v>2.1040000000000001</v>
      </c>
      <c r="Q149" t="s">
        <v>8</v>
      </c>
      <c r="R149" t="s">
        <v>12</v>
      </c>
      <c r="S149" t="s">
        <v>12</v>
      </c>
      <c r="T149" t="s">
        <v>12</v>
      </c>
      <c r="U149" t="s">
        <v>12</v>
      </c>
      <c r="V149" t="s">
        <v>12</v>
      </c>
      <c r="W149" t="s">
        <v>12</v>
      </c>
      <c r="X149" t="s">
        <v>12</v>
      </c>
      <c r="Y149" t="s">
        <v>12</v>
      </c>
      <c r="Z149" t="s">
        <v>12</v>
      </c>
      <c r="AA149" t="s">
        <v>12</v>
      </c>
      <c r="AB149" t="s">
        <v>12</v>
      </c>
      <c r="AC149" t="s">
        <v>12</v>
      </c>
      <c r="AD149" t="s">
        <v>12</v>
      </c>
    </row>
    <row r="150" spans="1:30">
      <c r="A150" t="s">
        <v>74</v>
      </c>
      <c r="B150" t="str">
        <f>Master_Data_Productivity[[#This Row],[Uniq-ID]]&amp;"-"&amp;Master_Data_Productivity[[#This Row],[Period]]</f>
        <v>DC-Document_Controller-049-M3</v>
      </c>
      <c r="C150" t="s">
        <v>75</v>
      </c>
      <c r="D150" t="s">
        <v>76</v>
      </c>
      <c r="E150" t="s">
        <v>22</v>
      </c>
      <c r="F150" t="s">
        <v>41</v>
      </c>
      <c r="G150" t="s">
        <v>15</v>
      </c>
      <c r="H150" t="s">
        <v>16</v>
      </c>
      <c r="I150">
        <v>3.0950000000000002</v>
      </c>
      <c r="J150">
        <v>1.5</v>
      </c>
      <c r="K150" t="s">
        <v>2871</v>
      </c>
      <c r="L150" t="s">
        <v>2958</v>
      </c>
      <c r="M150" t="s">
        <v>2873</v>
      </c>
      <c r="N150">
        <v>154</v>
      </c>
      <c r="O150">
        <v>104</v>
      </c>
      <c r="P150">
        <v>0.67530000000000001</v>
      </c>
      <c r="Q150" t="s">
        <v>8</v>
      </c>
      <c r="R150" t="s">
        <v>12</v>
      </c>
      <c r="S150" t="s">
        <v>12</v>
      </c>
      <c r="T150" t="s">
        <v>12</v>
      </c>
      <c r="U150" t="s">
        <v>12</v>
      </c>
      <c r="V150" t="s">
        <v>12</v>
      </c>
      <c r="W150" t="s">
        <v>12</v>
      </c>
      <c r="X150" t="s">
        <v>12</v>
      </c>
      <c r="Y150" t="s">
        <v>12</v>
      </c>
      <c r="Z150" t="s">
        <v>12</v>
      </c>
      <c r="AA150" t="s">
        <v>12</v>
      </c>
      <c r="AB150" t="s">
        <v>12</v>
      </c>
      <c r="AC150" t="s">
        <v>12</v>
      </c>
      <c r="AD150" t="s">
        <v>12</v>
      </c>
    </row>
    <row r="151" spans="1:30">
      <c r="A151" t="s">
        <v>74</v>
      </c>
      <c r="B151" t="str">
        <f>Master_Data_Productivity[[#This Row],[Uniq-ID]]&amp;"-"&amp;Master_Data_Productivity[[#This Row],[Period]]</f>
        <v>DC-Document_Controller-049-M4</v>
      </c>
      <c r="C151" t="s">
        <v>75</v>
      </c>
      <c r="D151" t="s">
        <v>76</v>
      </c>
      <c r="E151" t="s">
        <v>25</v>
      </c>
      <c r="F151" t="s">
        <v>43</v>
      </c>
      <c r="G151" t="s">
        <v>33</v>
      </c>
      <c r="H151" t="s">
        <v>44</v>
      </c>
      <c r="I151">
        <v>0.36499999999999999</v>
      </c>
      <c r="J151">
        <v>0.5</v>
      </c>
      <c r="K151" t="s">
        <v>2871</v>
      </c>
      <c r="L151" t="s">
        <v>2956</v>
      </c>
      <c r="M151" t="s">
        <v>2873</v>
      </c>
      <c r="N151">
        <v>298</v>
      </c>
      <c r="O151">
        <v>94</v>
      </c>
      <c r="P151">
        <v>0.31540000000000001</v>
      </c>
      <c r="Q151" t="s">
        <v>8</v>
      </c>
      <c r="R151" t="s">
        <v>12</v>
      </c>
      <c r="S151" t="s">
        <v>12</v>
      </c>
      <c r="T151" t="s">
        <v>12</v>
      </c>
      <c r="U151" t="s">
        <v>12</v>
      </c>
      <c r="V151" t="s">
        <v>12</v>
      </c>
      <c r="W151" t="s">
        <v>12</v>
      </c>
      <c r="X151" t="s">
        <v>12</v>
      </c>
      <c r="Y151" t="s">
        <v>12</v>
      </c>
      <c r="Z151" t="s">
        <v>12</v>
      </c>
      <c r="AA151" t="s">
        <v>12</v>
      </c>
      <c r="AB151" t="s">
        <v>12</v>
      </c>
      <c r="AC151" t="s">
        <v>12</v>
      </c>
      <c r="AD151" t="s">
        <v>12</v>
      </c>
    </row>
    <row r="152" spans="1:30">
      <c r="A152" t="s">
        <v>74</v>
      </c>
      <c r="B152" t="str">
        <f>Master_Data_Productivity[[#This Row],[Uniq-ID]]&amp;"-"&amp;Master_Data_Productivity[[#This Row],[Period]]</f>
        <v>DC-Document_Controller-049-M4</v>
      </c>
      <c r="C152" t="s">
        <v>75</v>
      </c>
      <c r="D152" t="s">
        <v>76</v>
      </c>
      <c r="E152" t="s">
        <v>25</v>
      </c>
      <c r="F152" t="s">
        <v>43</v>
      </c>
      <c r="G152" t="s">
        <v>33</v>
      </c>
      <c r="H152" t="s">
        <v>44</v>
      </c>
      <c r="I152">
        <v>0.36499999999999999</v>
      </c>
      <c r="J152">
        <v>0.5</v>
      </c>
      <c r="K152" t="s">
        <v>2871</v>
      </c>
      <c r="L152" t="s">
        <v>2954</v>
      </c>
      <c r="M152" t="s">
        <v>2873</v>
      </c>
      <c r="N152">
        <v>220</v>
      </c>
      <c r="O152">
        <v>10</v>
      </c>
      <c r="P152">
        <v>4.5499999999999999E-2</v>
      </c>
      <c r="Q152" t="s">
        <v>8</v>
      </c>
      <c r="R152" t="s">
        <v>12</v>
      </c>
      <c r="S152" t="s">
        <v>12</v>
      </c>
      <c r="T152" t="s">
        <v>12</v>
      </c>
      <c r="U152" t="s">
        <v>12</v>
      </c>
      <c r="V152" t="s">
        <v>12</v>
      </c>
      <c r="W152" t="s">
        <v>12</v>
      </c>
      <c r="X152" t="s">
        <v>12</v>
      </c>
      <c r="Y152" t="s">
        <v>12</v>
      </c>
      <c r="Z152" t="s">
        <v>12</v>
      </c>
      <c r="AA152" t="s">
        <v>12</v>
      </c>
      <c r="AB152" t="s">
        <v>12</v>
      </c>
      <c r="AC152" t="s">
        <v>12</v>
      </c>
      <c r="AD152" t="s">
        <v>12</v>
      </c>
    </row>
    <row r="153" spans="1:30">
      <c r="A153" t="s">
        <v>74</v>
      </c>
      <c r="B153" t="str">
        <f>Master_Data_Productivity[[#This Row],[Uniq-ID]]&amp;"-"&amp;Master_Data_Productivity[[#This Row],[Period]]</f>
        <v>DC-Document_Controller-049-M4</v>
      </c>
      <c r="C153" t="s">
        <v>75</v>
      </c>
      <c r="D153" t="s">
        <v>76</v>
      </c>
      <c r="E153" t="s">
        <v>25</v>
      </c>
      <c r="F153" t="s">
        <v>43</v>
      </c>
      <c r="G153" t="s">
        <v>33</v>
      </c>
      <c r="H153" t="s">
        <v>44</v>
      </c>
      <c r="I153">
        <v>0.36499999999999999</v>
      </c>
      <c r="J153">
        <v>0.5</v>
      </c>
      <c r="K153" t="s">
        <v>2871</v>
      </c>
      <c r="L153" t="s">
        <v>2952</v>
      </c>
      <c r="M153" t="s">
        <v>2873</v>
      </c>
      <c r="N153">
        <v>257</v>
      </c>
      <c r="O153">
        <v>1</v>
      </c>
      <c r="P153">
        <v>3.8999999999999998E-3</v>
      </c>
      <c r="Q153" t="s">
        <v>8</v>
      </c>
      <c r="R153" t="s">
        <v>12</v>
      </c>
      <c r="S153" t="s">
        <v>12</v>
      </c>
      <c r="T153" t="s">
        <v>12</v>
      </c>
      <c r="U153" t="s">
        <v>12</v>
      </c>
      <c r="V153" t="s">
        <v>12</v>
      </c>
      <c r="W153" t="s">
        <v>12</v>
      </c>
      <c r="X153" t="s">
        <v>12</v>
      </c>
      <c r="Y153" t="s">
        <v>12</v>
      </c>
      <c r="Z153" t="s">
        <v>12</v>
      </c>
      <c r="AA153" t="s">
        <v>12</v>
      </c>
      <c r="AB153" t="s">
        <v>12</v>
      </c>
      <c r="AC153" t="s">
        <v>12</v>
      </c>
      <c r="AD153" t="s">
        <v>12</v>
      </c>
    </row>
    <row r="154" spans="1:30">
      <c r="A154" t="s">
        <v>98</v>
      </c>
      <c r="B154" t="str">
        <f>Master_Data_Productivity[[#This Row],[Uniq-ID]]&amp;"-"&amp;Master_Data_Productivity[[#This Row],[Period]]</f>
        <v>DC-Document_Controller-008-M1</v>
      </c>
      <c r="C154" t="s">
        <v>99</v>
      </c>
      <c r="D154" t="s">
        <v>76</v>
      </c>
      <c r="E154" t="s">
        <v>13</v>
      </c>
      <c r="F154" t="s">
        <v>100</v>
      </c>
      <c r="G154" t="s">
        <v>15</v>
      </c>
      <c r="H154" t="s">
        <v>16</v>
      </c>
      <c r="I154">
        <v>16.129000000000001</v>
      </c>
      <c r="J154">
        <v>1.5</v>
      </c>
      <c r="K154" t="s">
        <v>2879</v>
      </c>
      <c r="L154" t="s">
        <v>3014</v>
      </c>
      <c r="M154" t="s">
        <v>2916</v>
      </c>
      <c r="N154">
        <v>31</v>
      </c>
      <c r="O154">
        <v>500</v>
      </c>
      <c r="P154">
        <v>16.129000000000001</v>
      </c>
      <c r="Q154" t="s">
        <v>8</v>
      </c>
      <c r="R154" t="s">
        <v>12</v>
      </c>
      <c r="S154" t="s">
        <v>12</v>
      </c>
      <c r="T154" t="s">
        <v>12</v>
      </c>
      <c r="U154" t="s">
        <v>12</v>
      </c>
      <c r="V154" t="s">
        <v>12</v>
      </c>
      <c r="W154" t="s">
        <v>12</v>
      </c>
      <c r="X154" t="s">
        <v>12</v>
      </c>
      <c r="Y154" t="s">
        <v>12</v>
      </c>
      <c r="Z154" t="s">
        <v>12</v>
      </c>
      <c r="AA154" t="s">
        <v>12</v>
      </c>
      <c r="AB154" t="s">
        <v>12</v>
      </c>
      <c r="AC154" t="s">
        <v>12</v>
      </c>
      <c r="AD154" t="s">
        <v>12</v>
      </c>
    </row>
    <row r="155" spans="1:30">
      <c r="A155" t="s">
        <v>98</v>
      </c>
      <c r="B155" t="str">
        <f>Master_Data_Productivity[[#This Row],[Uniq-ID]]&amp;"-"&amp;Master_Data_Productivity[[#This Row],[Period]]</f>
        <v>DC-Document_Controller-008-M2</v>
      </c>
      <c r="C155" t="s">
        <v>99</v>
      </c>
      <c r="D155" t="s">
        <v>76</v>
      </c>
      <c r="E155" t="s">
        <v>18</v>
      </c>
      <c r="F155" t="s">
        <v>102</v>
      </c>
      <c r="G155" t="s">
        <v>15</v>
      </c>
      <c r="H155" t="s">
        <v>16</v>
      </c>
      <c r="I155">
        <v>10</v>
      </c>
      <c r="J155">
        <v>1.5</v>
      </c>
      <c r="K155" t="s">
        <v>2879</v>
      </c>
      <c r="L155" t="s">
        <v>3014</v>
      </c>
      <c r="M155" t="s">
        <v>2916</v>
      </c>
      <c r="N155">
        <v>31</v>
      </c>
      <c r="O155">
        <v>310</v>
      </c>
      <c r="P155">
        <v>10</v>
      </c>
      <c r="Q155" t="s">
        <v>8</v>
      </c>
      <c r="R155" t="s">
        <v>12</v>
      </c>
      <c r="S155" t="s">
        <v>12</v>
      </c>
      <c r="T155" t="s">
        <v>12</v>
      </c>
      <c r="U155" t="s">
        <v>12</v>
      </c>
      <c r="V155" t="s">
        <v>12</v>
      </c>
      <c r="W155" t="s">
        <v>12</v>
      </c>
      <c r="X155" t="s">
        <v>12</v>
      </c>
      <c r="Y155" t="s">
        <v>12</v>
      </c>
      <c r="Z155" t="s">
        <v>12</v>
      </c>
      <c r="AA155" t="s">
        <v>12</v>
      </c>
      <c r="AB155" t="s">
        <v>12</v>
      </c>
      <c r="AC155" t="s">
        <v>12</v>
      </c>
      <c r="AD155" t="s">
        <v>12</v>
      </c>
    </row>
    <row r="156" spans="1:30">
      <c r="A156" t="s">
        <v>98</v>
      </c>
      <c r="B156" t="str">
        <f>Master_Data_Productivity[[#This Row],[Uniq-ID]]&amp;"-"&amp;Master_Data_Productivity[[#This Row],[Period]]</f>
        <v>DC-Document_Controller-008-M3</v>
      </c>
      <c r="C156" t="s">
        <v>99</v>
      </c>
      <c r="D156" t="s">
        <v>76</v>
      </c>
      <c r="E156" t="s">
        <v>22</v>
      </c>
      <c r="F156" t="s">
        <v>104</v>
      </c>
      <c r="G156" t="s">
        <v>15</v>
      </c>
      <c r="H156" t="s">
        <v>16</v>
      </c>
      <c r="I156">
        <v>6.484</v>
      </c>
      <c r="J156">
        <v>1.5</v>
      </c>
      <c r="K156" t="s">
        <v>3017</v>
      </c>
      <c r="L156" t="s">
        <v>3014</v>
      </c>
      <c r="M156" t="s">
        <v>2916</v>
      </c>
      <c r="N156">
        <v>31</v>
      </c>
      <c r="O156">
        <v>201</v>
      </c>
      <c r="P156">
        <v>6.4839000000000002</v>
      </c>
      <c r="Q156" t="s">
        <v>8</v>
      </c>
      <c r="R156" t="s">
        <v>12</v>
      </c>
      <c r="S156" t="s">
        <v>12</v>
      </c>
      <c r="T156" t="s">
        <v>12</v>
      </c>
      <c r="U156" t="s">
        <v>12</v>
      </c>
      <c r="V156" t="s">
        <v>12</v>
      </c>
      <c r="W156" t="s">
        <v>12</v>
      </c>
      <c r="X156" t="s">
        <v>12</v>
      </c>
      <c r="Y156" t="s">
        <v>12</v>
      </c>
      <c r="Z156" t="s">
        <v>12</v>
      </c>
      <c r="AA156" t="s">
        <v>12</v>
      </c>
      <c r="AB156" t="s">
        <v>12</v>
      </c>
      <c r="AC156" t="s">
        <v>12</v>
      </c>
      <c r="AD156" t="s">
        <v>12</v>
      </c>
    </row>
    <row r="157" spans="1:30">
      <c r="A157" t="s">
        <v>98</v>
      </c>
      <c r="B157" t="str">
        <f>Master_Data_Productivity[[#This Row],[Uniq-ID]]&amp;"-"&amp;Master_Data_Productivity[[#This Row],[Period]]</f>
        <v>DC-Document_Controller-008-M4</v>
      </c>
      <c r="C157" t="s">
        <v>99</v>
      </c>
      <c r="D157" t="s">
        <v>76</v>
      </c>
      <c r="E157" t="s">
        <v>25</v>
      </c>
      <c r="F157" t="s">
        <v>106</v>
      </c>
      <c r="G157" t="s">
        <v>15</v>
      </c>
      <c r="H157" t="s">
        <v>16</v>
      </c>
      <c r="I157">
        <v>41</v>
      </c>
      <c r="J157">
        <v>1.5</v>
      </c>
      <c r="K157" t="s">
        <v>2887</v>
      </c>
      <c r="L157" t="s">
        <v>3019</v>
      </c>
      <c r="M157" t="s">
        <v>2916</v>
      </c>
      <c r="N157">
        <v>4</v>
      </c>
      <c r="O157">
        <v>164</v>
      </c>
      <c r="P157">
        <v>41</v>
      </c>
      <c r="Q157" t="s">
        <v>8</v>
      </c>
      <c r="R157" t="s">
        <v>12</v>
      </c>
      <c r="S157" t="s">
        <v>12</v>
      </c>
      <c r="T157" t="s">
        <v>12</v>
      </c>
      <c r="U157" t="s">
        <v>12</v>
      </c>
      <c r="V157" t="s">
        <v>12</v>
      </c>
      <c r="W157" t="s">
        <v>12</v>
      </c>
      <c r="X157" t="s">
        <v>12</v>
      </c>
      <c r="Y157" t="s">
        <v>12</v>
      </c>
      <c r="Z157" t="s">
        <v>12</v>
      </c>
      <c r="AA157" t="s">
        <v>12</v>
      </c>
      <c r="AB157" t="s">
        <v>12</v>
      </c>
      <c r="AC157" t="s">
        <v>12</v>
      </c>
      <c r="AD157" t="s">
        <v>12</v>
      </c>
    </row>
    <row r="158" spans="1:30">
      <c r="A158" t="s">
        <v>98</v>
      </c>
      <c r="B158" t="str">
        <f>Master_Data_Productivity[[#This Row],[Uniq-ID]]&amp;"-"&amp;Master_Data_Productivity[[#This Row],[Period]]</f>
        <v>DC-Document_Controller-008-M5</v>
      </c>
      <c r="C158" t="s">
        <v>99</v>
      </c>
      <c r="D158" t="s">
        <v>76</v>
      </c>
      <c r="E158" t="s">
        <v>28</v>
      </c>
      <c r="F158" t="s">
        <v>108</v>
      </c>
      <c r="G158" t="s">
        <v>15</v>
      </c>
      <c r="H158" t="s">
        <v>44</v>
      </c>
      <c r="I158">
        <v>0</v>
      </c>
      <c r="K158" t="s">
        <v>12</v>
      </c>
      <c r="L158" t="s">
        <v>12</v>
      </c>
      <c r="M158" t="s">
        <v>12</v>
      </c>
      <c r="Q158" t="s">
        <v>8</v>
      </c>
      <c r="R158" t="s">
        <v>12</v>
      </c>
      <c r="S158" t="s">
        <v>12</v>
      </c>
      <c r="T158" t="s">
        <v>12</v>
      </c>
      <c r="U158" t="s">
        <v>12</v>
      </c>
      <c r="V158" t="s">
        <v>12</v>
      </c>
      <c r="W158" t="s">
        <v>12</v>
      </c>
      <c r="X158" t="s">
        <v>12</v>
      </c>
      <c r="Y158" t="s">
        <v>12</v>
      </c>
      <c r="Z158" t="s">
        <v>12</v>
      </c>
      <c r="AA158" t="s">
        <v>12</v>
      </c>
      <c r="AB158" t="s">
        <v>12</v>
      </c>
      <c r="AC158" t="s">
        <v>12</v>
      </c>
      <c r="AD158" t="s">
        <v>12</v>
      </c>
    </row>
    <row r="159" spans="1:30">
      <c r="A159" t="s">
        <v>98</v>
      </c>
      <c r="B159" t="str">
        <f>Master_Data_Productivity[[#This Row],[Uniq-ID]]&amp;"-"&amp;Master_Data_Productivity[[#This Row],[Period]]</f>
        <v>DC-Document_Controller-008-M6</v>
      </c>
      <c r="C159" t="s">
        <v>99</v>
      </c>
      <c r="D159" t="s">
        <v>76</v>
      </c>
      <c r="E159" t="s">
        <v>31</v>
      </c>
      <c r="F159" t="s">
        <v>109</v>
      </c>
      <c r="G159" t="s">
        <v>33</v>
      </c>
      <c r="H159" t="s">
        <v>44</v>
      </c>
      <c r="I159">
        <v>0</v>
      </c>
      <c r="K159" t="s">
        <v>12</v>
      </c>
      <c r="L159" t="s">
        <v>12</v>
      </c>
      <c r="M159" t="s">
        <v>12</v>
      </c>
      <c r="Q159" t="s">
        <v>8</v>
      </c>
      <c r="R159" t="s">
        <v>12</v>
      </c>
      <c r="S159" t="s">
        <v>12</v>
      </c>
      <c r="T159" t="s">
        <v>12</v>
      </c>
      <c r="U159" t="s">
        <v>12</v>
      </c>
      <c r="V159" t="s">
        <v>12</v>
      </c>
      <c r="W159" t="s">
        <v>12</v>
      </c>
      <c r="X159" t="s">
        <v>12</v>
      </c>
      <c r="Y159" t="s">
        <v>12</v>
      </c>
      <c r="Z159" t="s">
        <v>12</v>
      </c>
      <c r="AA159" t="s">
        <v>12</v>
      </c>
      <c r="AB159" t="s">
        <v>12</v>
      </c>
      <c r="AC159" t="s">
        <v>12</v>
      </c>
      <c r="AD159" t="s">
        <v>12</v>
      </c>
    </row>
    <row r="160" spans="1:30">
      <c r="A160" t="s">
        <v>120</v>
      </c>
      <c r="B160" t="str">
        <f>Master_Data_Productivity[[#This Row],[Uniq-ID]]&amp;"-"&amp;Master_Data_Productivity[[#This Row],[Period]]</f>
        <v>DC-Document_Controller-009-M1</v>
      </c>
      <c r="C160" t="s">
        <v>121</v>
      </c>
      <c r="D160" t="s">
        <v>11</v>
      </c>
      <c r="E160" t="s">
        <v>13</v>
      </c>
      <c r="F160" t="s">
        <v>122</v>
      </c>
      <c r="G160" t="s">
        <v>15</v>
      </c>
      <c r="H160" t="s">
        <v>16</v>
      </c>
      <c r="I160">
        <v>2.851</v>
      </c>
      <c r="J160">
        <v>1.43</v>
      </c>
      <c r="K160" t="s">
        <v>2871</v>
      </c>
      <c r="L160" t="s">
        <v>2875</v>
      </c>
      <c r="M160" t="s">
        <v>2873</v>
      </c>
      <c r="N160">
        <v>36</v>
      </c>
      <c r="O160">
        <v>56</v>
      </c>
      <c r="P160">
        <v>1.5556000000000001</v>
      </c>
      <c r="Q160" t="s">
        <v>8</v>
      </c>
      <c r="R160" t="s">
        <v>12</v>
      </c>
      <c r="S160" t="s">
        <v>12</v>
      </c>
      <c r="T160" t="s">
        <v>12</v>
      </c>
      <c r="U160" t="s">
        <v>12</v>
      </c>
      <c r="V160" t="s">
        <v>12</v>
      </c>
      <c r="W160" t="s">
        <v>12</v>
      </c>
      <c r="X160" t="s">
        <v>12</v>
      </c>
      <c r="Y160" t="s">
        <v>12</v>
      </c>
      <c r="Z160" t="s">
        <v>12</v>
      </c>
      <c r="AA160" t="s">
        <v>12</v>
      </c>
      <c r="AB160" t="s">
        <v>12</v>
      </c>
      <c r="AC160" t="s">
        <v>12</v>
      </c>
      <c r="AD160" t="s">
        <v>12</v>
      </c>
    </row>
    <row r="161" spans="1:30">
      <c r="A161" t="s">
        <v>120</v>
      </c>
      <c r="B161" t="str">
        <f>Master_Data_Productivity[[#This Row],[Uniq-ID]]&amp;"-"&amp;Master_Data_Productivity[[#This Row],[Period]]</f>
        <v>DC-Document_Controller-009-M1</v>
      </c>
      <c r="C161" t="s">
        <v>121</v>
      </c>
      <c r="D161" t="s">
        <v>11</v>
      </c>
      <c r="E161" t="s">
        <v>13</v>
      </c>
      <c r="F161" t="s">
        <v>122</v>
      </c>
      <c r="G161" t="s">
        <v>15</v>
      </c>
      <c r="H161" t="s">
        <v>16</v>
      </c>
      <c r="I161">
        <v>2.851</v>
      </c>
      <c r="J161">
        <v>1.43</v>
      </c>
      <c r="K161" t="s">
        <v>2871</v>
      </c>
      <c r="L161" t="s">
        <v>2872</v>
      </c>
      <c r="M161" t="s">
        <v>2873</v>
      </c>
      <c r="N161">
        <v>35</v>
      </c>
      <c r="O161">
        <v>44</v>
      </c>
      <c r="P161">
        <v>1.2571000000000001</v>
      </c>
      <c r="Q161" t="s">
        <v>8</v>
      </c>
      <c r="R161" t="s">
        <v>12</v>
      </c>
      <c r="S161" t="s">
        <v>12</v>
      </c>
      <c r="T161" t="s">
        <v>12</v>
      </c>
      <c r="U161" t="s">
        <v>12</v>
      </c>
      <c r="V161" t="s">
        <v>12</v>
      </c>
      <c r="W161" t="s">
        <v>12</v>
      </c>
      <c r="X161" t="s">
        <v>12</v>
      </c>
      <c r="Y161" t="s">
        <v>12</v>
      </c>
      <c r="Z161" t="s">
        <v>12</v>
      </c>
      <c r="AA161" t="s">
        <v>12</v>
      </c>
      <c r="AB161" t="s">
        <v>12</v>
      </c>
      <c r="AC161" t="s">
        <v>12</v>
      </c>
      <c r="AD161" t="s">
        <v>12</v>
      </c>
    </row>
    <row r="162" spans="1:30">
      <c r="A162" t="s">
        <v>120</v>
      </c>
      <c r="B162" t="str">
        <f>Master_Data_Productivity[[#This Row],[Uniq-ID]]&amp;"-"&amp;Master_Data_Productivity[[#This Row],[Period]]</f>
        <v>DC-Document_Controller-009-M1</v>
      </c>
      <c r="C162" t="s">
        <v>121</v>
      </c>
      <c r="D162" t="s">
        <v>11</v>
      </c>
      <c r="E162" t="s">
        <v>13</v>
      </c>
      <c r="F162" t="s">
        <v>122</v>
      </c>
      <c r="G162" t="s">
        <v>15</v>
      </c>
      <c r="H162" t="s">
        <v>16</v>
      </c>
      <c r="I162">
        <v>2.851</v>
      </c>
      <c r="J162">
        <v>1.43</v>
      </c>
      <c r="K162" t="s">
        <v>2879</v>
      </c>
      <c r="L162" t="s">
        <v>2894</v>
      </c>
      <c r="M162" t="s">
        <v>2873</v>
      </c>
      <c r="N162">
        <v>26</v>
      </c>
      <c r="O162">
        <v>1</v>
      </c>
      <c r="P162">
        <v>3.85E-2</v>
      </c>
      <c r="Q162" t="s">
        <v>8</v>
      </c>
      <c r="R162" t="s">
        <v>12</v>
      </c>
      <c r="S162" t="s">
        <v>12</v>
      </c>
      <c r="T162" t="s">
        <v>12</v>
      </c>
      <c r="U162" t="s">
        <v>12</v>
      </c>
      <c r="V162" t="s">
        <v>12</v>
      </c>
      <c r="W162" t="s">
        <v>12</v>
      </c>
      <c r="X162" t="s">
        <v>12</v>
      </c>
      <c r="Y162" t="s">
        <v>12</v>
      </c>
      <c r="Z162" t="s">
        <v>12</v>
      </c>
      <c r="AA162" t="s">
        <v>12</v>
      </c>
      <c r="AB162" t="s">
        <v>12</v>
      </c>
      <c r="AC162" t="s">
        <v>12</v>
      </c>
      <c r="AD162" t="s">
        <v>12</v>
      </c>
    </row>
    <row r="163" spans="1:30">
      <c r="A163" t="s">
        <v>120</v>
      </c>
      <c r="B163" t="str">
        <f>Master_Data_Productivity[[#This Row],[Uniq-ID]]&amp;"-"&amp;Master_Data_Productivity[[#This Row],[Period]]</f>
        <v>DC-Document_Controller-009-M2</v>
      </c>
      <c r="C163" t="s">
        <v>121</v>
      </c>
      <c r="D163" t="s">
        <v>11</v>
      </c>
      <c r="E163" t="s">
        <v>18</v>
      </c>
      <c r="F163" t="s">
        <v>124</v>
      </c>
      <c r="G163" t="s">
        <v>15</v>
      </c>
      <c r="H163" t="s">
        <v>16</v>
      </c>
      <c r="I163">
        <v>3.1549999999999998</v>
      </c>
      <c r="J163">
        <v>1.5</v>
      </c>
      <c r="K163" t="s">
        <v>2871</v>
      </c>
      <c r="L163" t="s">
        <v>2875</v>
      </c>
      <c r="M163" t="s">
        <v>2873</v>
      </c>
      <c r="N163">
        <v>36</v>
      </c>
      <c r="O163">
        <v>57</v>
      </c>
      <c r="P163">
        <v>1.5832999999999999</v>
      </c>
      <c r="Q163" t="s">
        <v>8</v>
      </c>
      <c r="R163" t="s">
        <v>12</v>
      </c>
      <c r="S163" t="s">
        <v>12</v>
      </c>
      <c r="T163" t="s">
        <v>12</v>
      </c>
      <c r="U163" t="s">
        <v>12</v>
      </c>
      <c r="V163" t="s">
        <v>12</v>
      </c>
      <c r="W163" t="s">
        <v>12</v>
      </c>
      <c r="X163" t="s">
        <v>12</v>
      </c>
      <c r="Y163" t="s">
        <v>12</v>
      </c>
      <c r="Z163" t="s">
        <v>12</v>
      </c>
      <c r="AA163" t="s">
        <v>12</v>
      </c>
      <c r="AB163" t="s">
        <v>12</v>
      </c>
      <c r="AC163" t="s">
        <v>12</v>
      </c>
      <c r="AD163" t="s">
        <v>12</v>
      </c>
    </row>
    <row r="164" spans="1:30">
      <c r="A164" t="s">
        <v>120</v>
      </c>
      <c r="B164" t="str">
        <f>Master_Data_Productivity[[#This Row],[Uniq-ID]]&amp;"-"&amp;Master_Data_Productivity[[#This Row],[Period]]</f>
        <v>DC-Document_Controller-009-M2</v>
      </c>
      <c r="C164" t="s">
        <v>121</v>
      </c>
      <c r="D164" t="s">
        <v>11</v>
      </c>
      <c r="E164" t="s">
        <v>18</v>
      </c>
      <c r="F164" t="s">
        <v>124</v>
      </c>
      <c r="G164" t="s">
        <v>15</v>
      </c>
      <c r="H164" t="s">
        <v>16</v>
      </c>
      <c r="I164">
        <v>3.1549999999999998</v>
      </c>
      <c r="J164">
        <v>1.5</v>
      </c>
      <c r="K164" t="s">
        <v>2871</v>
      </c>
      <c r="L164" t="s">
        <v>2872</v>
      </c>
      <c r="M164" t="s">
        <v>2873</v>
      </c>
      <c r="N164">
        <v>35</v>
      </c>
      <c r="O164">
        <v>55</v>
      </c>
      <c r="P164">
        <v>1.5713999999999999</v>
      </c>
      <c r="Q164" t="s">
        <v>8</v>
      </c>
      <c r="R164" t="s">
        <v>12</v>
      </c>
      <c r="S164" t="s">
        <v>12</v>
      </c>
      <c r="T164" t="s">
        <v>12</v>
      </c>
      <c r="U164" t="s">
        <v>12</v>
      </c>
      <c r="V164" t="s">
        <v>12</v>
      </c>
      <c r="W164" t="s">
        <v>12</v>
      </c>
      <c r="X164" t="s">
        <v>12</v>
      </c>
      <c r="Y164" t="s">
        <v>12</v>
      </c>
      <c r="Z164" t="s">
        <v>12</v>
      </c>
      <c r="AA164" t="s">
        <v>12</v>
      </c>
      <c r="AB164" t="s">
        <v>12</v>
      </c>
      <c r="AC164" t="s">
        <v>12</v>
      </c>
      <c r="AD164" t="s">
        <v>12</v>
      </c>
    </row>
    <row r="165" spans="1:30">
      <c r="A165" t="s">
        <v>120</v>
      </c>
      <c r="B165" t="str">
        <f>Master_Data_Productivity[[#This Row],[Uniq-ID]]&amp;"-"&amp;Master_Data_Productivity[[#This Row],[Period]]</f>
        <v>DC-Document_Controller-009-M3</v>
      </c>
      <c r="C165" t="s">
        <v>121</v>
      </c>
      <c r="D165" t="s">
        <v>11</v>
      </c>
      <c r="E165" t="s">
        <v>22</v>
      </c>
      <c r="F165" t="s">
        <v>126</v>
      </c>
      <c r="G165" t="s">
        <v>15</v>
      </c>
      <c r="H165" t="s">
        <v>16</v>
      </c>
      <c r="I165">
        <v>5.7560000000000002</v>
      </c>
      <c r="J165">
        <v>1.5</v>
      </c>
      <c r="K165" t="s">
        <v>2871</v>
      </c>
      <c r="L165" t="s">
        <v>2875</v>
      </c>
      <c r="M165" t="s">
        <v>2873</v>
      </c>
      <c r="N165">
        <v>36</v>
      </c>
      <c r="O165">
        <v>91</v>
      </c>
      <c r="P165">
        <v>2.5278</v>
      </c>
      <c r="Q165" t="s">
        <v>8</v>
      </c>
      <c r="R165" t="s">
        <v>12</v>
      </c>
      <c r="S165" t="s">
        <v>12</v>
      </c>
      <c r="T165" t="s">
        <v>12</v>
      </c>
      <c r="U165" t="s">
        <v>12</v>
      </c>
      <c r="V165" t="s">
        <v>12</v>
      </c>
      <c r="W165" t="s">
        <v>12</v>
      </c>
      <c r="X165" t="s">
        <v>12</v>
      </c>
      <c r="Y165" t="s">
        <v>12</v>
      </c>
      <c r="Z165" t="s">
        <v>12</v>
      </c>
      <c r="AA165" t="s">
        <v>12</v>
      </c>
      <c r="AB165" t="s">
        <v>12</v>
      </c>
      <c r="AC165" t="s">
        <v>12</v>
      </c>
      <c r="AD165" t="s">
        <v>12</v>
      </c>
    </row>
    <row r="166" spans="1:30">
      <c r="A166" t="s">
        <v>120</v>
      </c>
      <c r="B166" t="str">
        <f>Master_Data_Productivity[[#This Row],[Uniq-ID]]&amp;"-"&amp;Master_Data_Productivity[[#This Row],[Period]]</f>
        <v>DC-Document_Controller-009-M3</v>
      </c>
      <c r="C166" t="s">
        <v>121</v>
      </c>
      <c r="D166" t="s">
        <v>11</v>
      </c>
      <c r="E166" t="s">
        <v>22</v>
      </c>
      <c r="F166" t="s">
        <v>126</v>
      </c>
      <c r="G166" t="s">
        <v>15</v>
      </c>
      <c r="H166" t="s">
        <v>16</v>
      </c>
      <c r="I166">
        <v>5.7560000000000002</v>
      </c>
      <c r="J166">
        <v>1.5</v>
      </c>
      <c r="K166" t="s">
        <v>2871</v>
      </c>
      <c r="L166" t="s">
        <v>2872</v>
      </c>
      <c r="M166" t="s">
        <v>2873</v>
      </c>
      <c r="N166">
        <v>35</v>
      </c>
      <c r="O166">
        <v>113</v>
      </c>
      <c r="P166">
        <v>3.2286000000000001</v>
      </c>
      <c r="Q166" t="s">
        <v>8</v>
      </c>
      <c r="R166" t="s">
        <v>12</v>
      </c>
      <c r="S166" t="s">
        <v>12</v>
      </c>
      <c r="T166" t="s">
        <v>12</v>
      </c>
      <c r="U166" t="s">
        <v>12</v>
      </c>
      <c r="V166" t="s">
        <v>12</v>
      </c>
      <c r="W166" t="s">
        <v>12</v>
      </c>
      <c r="X166" t="s">
        <v>12</v>
      </c>
      <c r="Y166" t="s">
        <v>12</v>
      </c>
      <c r="Z166" t="s">
        <v>12</v>
      </c>
      <c r="AA166" t="s">
        <v>12</v>
      </c>
      <c r="AB166" t="s">
        <v>12</v>
      </c>
      <c r="AC166" t="s">
        <v>12</v>
      </c>
      <c r="AD166" t="s">
        <v>12</v>
      </c>
    </row>
    <row r="167" spans="1:30">
      <c r="A167" t="s">
        <v>120</v>
      </c>
      <c r="B167" t="str">
        <f>Master_Data_Productivity[[#This Row],[Uniq-ID]]&amp;"-"&amp;Master_Data_Productivity[[#This Row],[Period]]</f>
        <v>DC-Document_Controller-009-M4</v>
      </c>
      <c r="C167" t="s">
        <v>121</v>
      </c>
      <c r="D167" t="s">
        <v>11</v>
      </c>
      <c r="E167" t="s">
        <v>25</v>
      </c>
      <c r="F167" t="s">
        <v>128</v>
      </c>
      <c r="G167" t="s">
        <v>15</v>
      </c>
      <c r="H167" t="s">
        <v>16</v>
      </c>
      <c r="I167">
        <v>3.4529999999999998</v>
      </c>
      <c r="J167">
        <v>1.5</v>
      </c>
      <c r="K167" t="s">
        <v>2871</v>
      </c>
      <c r="L167" t="s">
        <v>2877</v>
      </c>
      <c r="M167" t="s">
        <v>2873</v>
      </c>
      <c r="N167">
        <v>32</v>
      </c>
      <c r="O167">
        <v>47</v>
      </c>
      <c r="P167">
        <v>1.4688000000000001</v>
      </c>
      <c r="Q167" t="s">
        <v>8</v>
      </c>
      <c r="R167" t="s">
        <v>12</v>
      </c>
      <c r="S167" t="s">
        <v>12</v>
      </c>
      <c r="T167" t="s">
        <v>12</v>
      </c>
      <c r="U167" t="s">
        <v>12</v>
      </c>
      <c r="V167" t="s">
        <v>12</v>
      </c>
      <c r="W167" t="s">
        <v>12</v>
      </c>
      <c r="X167" t="s">
        <v>12</v>
      </c>
      <c r="Y167" t="s">
        <v>12</v>
      </c>
      <c r="Z167" t="s">
        <v>12</v>
      </c>
      <c r="AA167" t="s">
        <v>12</v>
      </c>
      <c r="AB167" t="s">
        <v>12</v>
      </c>
      <c r="AC167" t="s">
        <v>12</v>
      </c>
      <c r="AD167" t="s">
        <v>12</v>
      </c>
    </row>
    <row r="168" spans="1:30">
      <c r="A168" t="s">
        <v>120</v>
      </c>
      <c r="B168" t="str">
        <f>Master_Data_Productivity[[#This Row],[Uniq-ID]]&amp;"-"&amp;Master_Data_Productivity[[#This Row],[Period]]</f>
        <v>DC-Document_Controller-009-M4</v>
      </c>
      <c r="C168" t="s">
        <v>121</v>
      </c>
      <c r="D168" t="s">
        <v>11</v>
      </c>
      <c r="E168" t="s">
        <v>25</v>
      </c>
      <c r="F168" t="s">
        <v>128</v>
      </c>
      <c r="G168" t="s">
        <v>15</v>
      </c>
      <c r="H168" t="s">
        <v>16</v>
      </c>
      <c r="I168">
        <v>3.4529999999999998</v>
      </c>
      <c r="J168">
        <v>1.5</v>
      </c>
      <c r="K168" t="s">
        <v>2871</v>
      </c>
      <c r="L168" t="s">
        <v>2872</v>
      </c>
      <c r="M168" t="s">
        <v>2873</v>
      </c>
      <c r="N168">
        <v>35</v>
      </c>
      <c r="O168">
        <v>50</v>
      </c>
      <c r="P168">
        <v>1.4286000000000001</v>
      </c>
      <c r="Q168" t="s">
        <v>8</v>
      </c>
      <c r="R168" t="s">
        <v>12</v>
      </c>
      <c r="S168" t="s">
        <v>12</v>
      </c>
      <c r="T168" t="s">
        <v>12</v>
      </c>
      <c r="U168" t="s">
        <v>12</v>
      </c>
      <c r="V168" t="s">
        <v>12</v>
      </c>
      <c r="W168" t="s">
        <v>12</v>
      </c>
      <c r="X168" t="s">
        <v>12</v>
      </c>
      <c r="Y168" t="s">
        <v>12</v>
      </c>
      <c r="Z168" t="s">
        <v>12</v>
      </c>
      <c r="AA168" t="s">
        <v>12</v>
      </c>
      <c r="AB168" t="s">
        <v>12</v>
      </c>
      <c r="AC168" t="s">
        <v>12</v>
      </c>
      <c r="AD168" t="s">
        <v>12</v>
      </c>
    </row>
    <row r="169" spans="1:30">
      <c r="A169" t="s">
        <v>120</v>
      </c>
      <c r="B169" t="str">
        <f>Master_Data_Productivity[[#This Row],[Uniq-ID]]&amp;"-"&amp;Master_Data_Productivity[[#This Row],[Period]]</f>
        <v>DC-Document_Controller-009-M4</v>
      </c>
      <c r="C169" t="s">
        <v>121</v>
      </c>
      <c r="D169" t="s">
        <v>11</v>
      </c>
      <c r="E169" t="s">
        <v>25</v>
      </c>
      <c r="F169" t="s">
        <v>128</v>
      </c>
      <c r="G169" t="s">
        <v>15</v>
      </c>
      <c r="H169" t="s">
        <v>16</v>
      </c>
      <c r="I169">
        <v>3.4529999999999998</v>
      </c>
      <c r="J169">
        <v>1.5</v>
      </c>
      <c r="K169" t="s">
        <v>2871</v>
      </c>
      <c r="L169" t="s">
        <v>2875</v>
      </c>
      <c r="M169" t="s">
        <v>2873</v>
      </c>
      <c r="N169">
        <v>36</v>
      </c>
      <c r="O169">
        <v>20</v>
      </c>
      <c r="P169">
        <v>0.55559999999999998</v>
      </c>
      <c r="Q169" t="s">
        <v>8</v>
      </c>
      <c r="R169" t="s">
        <v>12</v>
      </c>
      <c r="S169" t="s">
        <v>12</v>
      </c>
      <c r="T169" t="s">
        <v>12</v>
      </c>
      <c r="U169" t="s">
        <v>12</v>
      </c>
      <c r="V169" t="s">
        <v>12</v>
      </c>
      <c r="W169" t="s">
        <v>12</v>
      </c>
      <c r="X169" t="s">
        <v>12</v>
      </c>
      <c r="Y169" t="s">
        <v>12</v>
      </c>
      <c r="Z169" t="s">
        <v>12</v>
      </c>
      <c r="AA169" t="s">
        <v>12</v>
      </c>
      <c r="AB169" t="s">
        <v>12</v>
      </c>
      <c r="AC169" t="s">
        <v>12</v>
      </c>
      <c r="AD169" t="s">
        <v>12</v>
      </c>
    </row>
    <row r="170" spans="1:30">
      <c r="A170" t="s">
        <v>120</v>
      </c>
      <c r="B170" t="str">
        <f>Master_Data_Productivity[[#This Row],[Uniq-ID]]&amp;"-"&amp;Master_Data_Productivity[[#This Row],[Period]]</f>
        <v>DC-Document_Controller-009-M5</v>
      </c>
      <c r="C170" t="s">
        <v>121</v>
      </c>
      <c r="D170" t="s">
        <v>11</v>
      </c>
      <c r="E170" t="s">
        <v>28</v>
      </c>
      <c r="F170" t="s">
        <v>130</v>
      </c>
      <c r="G170" t="s">
        <v>15</v>
      </c>
      <c r="H170" t="s">
        <v>16</v>
      </c>
      <c r="I170">
        <v>2.33</v>
      </c>
      <c r="J170">
        <v>1.1599999999999999</v>
      </c>
      <c r="K170" t="s">
        <v>2871</v>
      </c>
      <c r="L170" t="s">
        <v>2877</v>
      </c>
      <c r="M170" t="s">
        <v>2873</v>
      </c>
      <c r="N170">
        <v>32</v>
      </c>
      <c r="O170">
        <v>42</v>
      </c>
      <c r="P170">
        <v>1.3125</v>
      </c>
      <c r="Q170" t="s">
        <v>8</v>
      </c>
      <c r="R170" t="s">
        <v>12</v>
      </c>
      <c r="S170" t="s">
        <v>12</v>
      </c>
      <c r="T170" t="s">
        <v>12</v>
      </c>
      <c r="U170" t="s">
        <v>12</v>
      </c>
      <c r="V170" t="s">
        <v>12</v>
      </c>
      <c r="W170" t="s">
        <v>12</v>
      </c>
      <c r="X170" t="s">
        <v>12</v>
      </c>
      <c r="Y170" t="s">
        <v>12</v>
      </c>
      <c r="Z170" t="s">
        <v>12</v>
      </c>
      <c r="AA170" t="s">
        <v>12</v>
      </c>
      <c r="AB170" t="s">
        <v>12</v>
      </c>
      <c r="AC170" t="s">
        <v>12</v>
      </c>
      <c r="AD170" t="s">
        <v>12</v>
      </c>
    </row>
    <row r="171" spans="1:30">
      <c r="A171" t="s">
        <v>120</v>
      </c>
      <c r="B171" t="str">
        <f>Master_Data_Productivity[[#This Row],[Uniq-ID]]&amp;"-"&amp;Master_Data_Productivity[[#This Row],[Period]]</f>
        <v>DC-Document_Controller-009-M5</v>
      </c>
      <c r="C171" t="s">
        <v>121</v>
      </c>
      <c r="D171" t="s">
        <v>11</v>
      </c>
      <c r="E171" t="s">
        <v>28</v>
      </c>
      <c r="F171" t="s">
        <v>130</v>
      </c>
      <c r="G171" t="s">
        <v>15</v>
      </c>
      <c r="H171" t="s">
        <v>16</v>
      </c>
      <c r="I171">
        <v>2.33</v>
      </c>
      <c r="J171">
        <v>1.1599999999999999</v>
      </c>
      <c r="K171" t="s">
        <v>2871</v>
      </c>
      <c r="L171" t="s">
        <v>2872</v>
      </c>
      <c r="M171" t="s">
        <v>2873</v>
      </c>
      <c r="N171">
        <v>35</v>
      </c>
      <c r="O171">
        <v>22</v>
      </c>
      <c r="P171">
        <v>0.62860000000000005</v>
      </c>
      <c r="Q171" t="s">
        <v>8</v>
      </c>
      <c r="R171" t="s">
        <v>12</v>
      </c>
      <c r="S171" t="s">
        <v>12</v>
      </c>
      <c r="T171" t="s">
        <v>12</v>
      </c>
      <c r="U171" t="s">
        <v>12</v>
      </c>
      <c r="V171" t="s">
        <v>12</v>
      </c>
      <c r="W171" t="s">
        <v>12</v>
      </c>
      <c r="X171" t="s">
        <v>12</v>
      </c>
      <c r="Y171" t="s">
        <v>12</v>
      </c>
      <c r="Z171" t="s">
        <v>12</v>
      </c>
      <c r="AA171" t="s">
        <v>12</v>
      </c>
      <c r="AB171" t="s">
        <v>12</v>
      </c>
      <c r="AC171" t="s">
        <v>12</v>
      </c>
      <c r="AD171" t="s">
        <v>12</v>
      </c>
    </row>
    <row r="172" spans="1:30">
      <c r="A172" t="s">
        <v>120</v>
      </c>
      <c r="B172" t="str">
        <f>Master_Data_Productivity[[#This Row],[Uniq-ID]]&amp;"-"&amp;Master_Data_Productivity[[#This Row],[Period]]</f>
        <v>DC-Document_Controller-009-M5</v>
      </c>
      <c r="C172" t="s">
        <v>121</v>
      </c>
      <c r="D172" t="s">
        <v>11</v>
      </c>
      <c r="E172" t="s">
        <v>28</v>
      </c>
      <c r="F172" t="s">
        <v>130</v>
      </c>
      <c r="G172" t="s">
        <v>15</v>
      </c>
      <c r="H172" t="s">
        <v>16</v>
      </c>
      <c r="I172">
        <v>2.33</v>
      </c>
      <c r="J172">
        <v>1.1599999999999999</v>
      </c>
      <c r="K172" t="s">
        <v>2871</v>
      </c>
      <c r="L172" t="s">
        <v>2875</v>
      </c>
      <c r="M172" t="s">
        <v>2873</v>
      </c>
      <c r="N172">
        <v>36</v>
      </c>
      <c r="O172">
        <v>14</v>
      </c>
      <c r="P172">
        <v>0.38890000000000002</v>
      </c>
      <c r="Q172" t="s">
        <v>8</v>
      </c>
      <c r="R172" t="s">
        <v>12</v>
      </c>
      <c r="S172" t="s">
        <v>12</v>
      </c>
      <c r="T172" t="s">
        <v>12</v>
      </c>
      <c r="U172" t="s">
        <v>12</v>
      </c>
      <c r="V172" t="s">
        <v>12</v>
      </c>
      <c r="W172" t="s">
        <v>12</v>
      </c>
      <c r="X172" t="s">
        <v>12</v>
      </c>
      <c r="Y172" t="s">
        <v>12</v>
      </c>
      <c r="Z172" t="s">
        <v>12</v>
      </c>
      <c r="AA172" t="s">
        <v>12</v>
      </c>
      <c r="AB172" t="s">
        <v>12</v>
      </c>
      <c r="AC172" t="s">
        <v>12</v>
      </c>
      <c r="AD172" t="s">
        <v>12</v>
      </c>
    </row>
    <row r="173" spans="1:30">
      <c r="A173" t="s">
        <v>120</v>
      </c>
      <c r="B173" t="str">
        <f>Master_Data_Productivity[[#This Row],[Uniq-ID]]&amp;"-"&amp;Master_Data_Productivity[[#This Row],[Period]]</f>
        <v>DC-Document_Controller-009-M6</v>
      </c>
      <c r="C173" t="s">
        <v>121</v>
      </c>
      <c r="D173" t="s">
        <v>11</v>
      </c>
      <c r="E173" t="s">
        <v>31</v>
      </c>
      <c r="F173" t="s">
        <v>132</v>
      </c>
      <c r="G173" t="s">
        <v>33</v>
      </c>
      <c r="H173" t="s">
        <v>44</v>
      </c>
      <c r="I173">
        <v>2.8000000000000001E-2</v>
      </c>
      <c r="J173">
        <v>0.5</v>
      </c>
      <c r="K173" t="s">
        <v>2871</v>
      </c>
      <c r="L173" t="s">
        <v>2875</v>
      </c>
      <c r="M173" t="s">
        <v>2873</v>
      </c>
      <c r="N173">
        <v>36</v>
      </c>
      <c r="O173">
        <v>1</v>
      </c>
      <c r="P173">
        <v>2.7799999999999998E-2</v>
      </c>
      <c r="Q173" t="s">
        <v>8</v>
      </c>
      <c r="R173" t="s">
        <v>12</v>
      </c>
      <c r="S173" t="s">
        <v>12</v>
      </c>
      <c r="T173" t="s">
        <v>12</v>
      </c>
      <c r="U173" t="s">
        <v>12</v>
      </c>
      <c r="V173" t="s">
        <v>12</v>
      </c>
      <c r="W173" t="s">
        <v>12</v>
      </c>
      <c r="X173" t="s">
        <v>12</v>
      </c>
      <c r="Y173" t="s">
        <v>12</v>
      </c>
      <c r="Z173" t="s">
        <v>12</v>
      </c>
      <c r="AA173" t="s">
        <v>12</v>
      </c>
      <c r="AB173" t="s">
        <v>12</v>
      </c>
      <c r="AC173" t="s">
        <v>12</v>
      </c>
      <c r="AD173" t="s">
        <v>12</v>
      </c>
    </row>
    <row r="174" spans="1:30">
      <c r="A174" t="s">
        <v>81</v>
      </c>
      <c r="B174" t="str">
        <f>Master_Data_Productivity[[#This Row],[Uniq-ID]]&amp;"-"&amp;Master_Data_Productivity[[#This Row],[Period]]</f>
        <v>DC-Document_Controller-048-M1</v>
      </c>
      <c r="C174" t="s">
        <v>82</v>
      </c>
      <c r="D174" t="s">
        <v>11</v>
      </c>
      <c r="E174" t="s">
        <v>13</v>
      </c>
      <c r="F174" t="s">
        <v>37</v>
      </c>
      <c r="G174" t="s">
        <v>15</v>
      </c>
      <c r="H174" t="s">
        <v>16</v>
      </c>
      <c r="I174">
        <v>2.278</v>
      </c>
      <c r="J174">
        <v>1.1399999999999999</v>
      </c>
      <c r="K174" t="s">
        <v>2879</v>
      </c>
      <c r="L174" t="s">
        <v>2894</v>
      </c>
      <c r="M174" t="s">
        <v>2873</v>
      </c>
      <c r="N174">
        <v>26</v>
      </c>
      <c r="O174">
        <v>39</v>
      </c>
      <c r="P174">
        <v>1.5</v>
      </c>
      <c r="Q174" t="s">
        <v>8</v>
      </c>
      <c r="R174" t="s">
        <v>12</v>
      </c>
      <c r="S174" t="s">
        <v>12</v>
      </c>
      <c r="T174" t="s">
        <v>12</v>
      </c>
      <c r="U174" t="s">
        <v>12</v>
      </c>
      <c r="V174" t="s">
        <v>12</v>
      </c>
      <c r="W174" t="s">
        <v>12</v>
      </c>
      <c r="X174" t="s">
        <v>12</v>
      </c>
      <c r="Y174" t="s">
        <v>12</v>
      </c>
      <c r="Z174" t="s">
        <v>12</v>
      </c>
      <c r="AA174" t="s">
        <v>12</v>
      </c>
      <c r="AB174" t="s">
        <v>12</v>
      </c>
      <c r="AC174" t="s">
        <v>12</v>
      </c>
      <c r="AD174" t="s">
        <v>12</v>
      </c>
    </row>
    <row r="175" spans="1:30">
      <c r="A175" t="s">
        <v>81</v>
      </c>
      <c r="B175" t="str">
        <f>Master_Data_Productivity[[#This Row],[Uniq-ID]]&amp;"-"&amp;Master_Data_Productivity[[#This Row],[Period]]</f>
        <v>DC-Document_Controller-048-M1</v>
      </c>
      <c r="C175" t="s">
        <v>82</v>
      </c>
      <c r="D175" t="s">
        <v>11</v>
      </c>
      <c r="E175" t="s">
        <v>13</v>
      </c>
      <c r="F175" t="s">
        <v>37</v>
      </c>
      <c r="G175" t="s">
        <v>15</v>
      </c>
      <c r="H175" t="s">
        <v>16</v>
      </c>
      <c r="I175">
        <v>2.278</v>
      </c>
      <c r="J175">
        <v>1.1399999999999999</v>
      </c>
      <c r="K175" t="s">
        <v>2871</v>
      </c>
      <c r="L175" t="s">
        <v>2875</v>
      </c>
      <c r="M175" t="s">
        <v>2873</v>
      </c>
      <c r="N175">
        <v>36</v>
      </c>
      <c r="O175">
        <v>28</v>
      </c>
      <c r="P175">
        <v>0.77780000000000005</v>
      </c>
      <c r="Q175" t="s">
        <v>8</v>
      </c>
      <c r="R175" t="s">
        <v>12</v>
      </c>
      <c r="S175" t="s">
        <v>12</v>
      </c>
      <c r="T175" t="s">
        <v>12</v>
      </c>
      <c r="U175" t="s">
        <v>12</v>
      </c>
      <c r="V175" t="s">
        <v>12</v>
      </c>
      <c r="W175" t="s">
        <v>12</v>
      </c>
      <c r="X175" t="s">
        <v>12</v>
      </c>
      <c r="Y175" t="s">
        <v>12</v>
      </c>
      <c r="Z175" t="s">
        <v>12</v>
      </c>
      <c r="AA175" t="s">
        <v>12</v>
      </c>
      <c r="AB175" t="s">
        <v>12</v>
      </c>
      <c r="AC175" t="s">
        <v>12</v>
      </c>
      <c r="AD175" t="s">
        <v>12</v>
      </c>
    </row>
    <row r="176" spans="1:30">
      <c r="A176" t="s">
        <v>81</v>
      </c>
      <c r="B176" t="str">
        <f>Master_Data_Productivity[[#This Row],[Uniq-ID]]&amp;"-"&amp;Master_Data_Productivity[[#This Row],[Period]]</f>
        <v>DC-Document_Controller-048-M2</v>
      </c>
      <c r="C176" t="s">
        <v>82</v>
      </c>
      <c r="D176" t="s">
        <v>11</v>
      </c>
      <c r="E176" t="s">
        <v>18</v>
      </c>
      <c r="F176" t="s">
        <v>39</v>
      </c>
      <c r="G176" t="s">
        <v>15</v>
      </c>
      <c r="H176" t="s">
        <v>16</v>
      </c>
      <c r="I176">
        <v>3.2669999999999999</v>
      </c>
      <c r="J176">
        <v>1.5</v>
      </c>
      <c r="K176" t="s">
        <v>2879</v>
      </c>
      <c r="L176" t="s">
        <v>2894</v>
      </c>
      <c r="M176" t="s">
        <v>2873</v>
      </c>
      <c r="N176">
        <v>26</v>
      </c>
      <c r="O176">
        <v>6</v>
      </c>
      <c r="P176">
        <v>0.23080000000000001</v>
      </c>
      <c r="Q176" t="s">
        <v>8</v>
      </c>
      <c r="R176" t="s">
        <v>12</v>
      </c>
      <c r="S176" t="s">
        <v>12</v>
      </c>
      <c r="T176" t="s">
        <v>12</v>
      </c>
      <c r="U176" t="s">
        <v>12</v>
      </c>
      <c r="V176" t="s">
        <v>12</v>
      </c>
      <c r="W176" t="s">
        <v>12</v>
      </c>
      <c r="X176" t="s">
        <v>12</v>
      </c>
      <c r="Y176" t="s">
        <v>12</v>
      </c>
      <c r="Z176" t="s">
        <v>12</v>
      </c>
      <c r="AA176" t="s">
        <v>12</v>
      </c>
      <c r="AB176" t="s">
        <v>12</v>
      </c>
      <c r="AC176" t="s">
        <v>12</v>
      </c>
      <c r="AD176" t="s">
        <v>12</v>
      </c>
    </row>
    <row r="177" spans="1:30">
      <c r="A177" t="s">
        <v>81</v>
      </c>
      <c r="B177" t="str">
        <f>Master_Data_Productivity[[#This Row],[Uniq-ID]]&amp;"-"&amp;Master_Data_Productivity[[#This Row],[Period]]</f>
        <v>DC-Document_Controller-048-M2</v>
      </c>
      <c r="C177" t="s">
        <v>82</v>
      </c>
      <c r="D177" t="s">
        <v>11</v>
      </c>
      <c r="E177" t="s">
        <v>18</v>
      </c>
      <c r="F177" t="s">
        <v>39</v>
      </c>
      <c r="G177" t="s">
        <v>15</v>
      </c>
      <c r="H177" t="s">
        <v>16</v>
      </c>
      <c r="I177">
        <v>3.2669999999999999</v>
      </c>
      <c r="J177">
        <v>1.5</v>
      </c>
      <c r="K177" t="s">
        <v>2871</v>
      </c>
      <c r="L177" t="s">
        <v>2872</v>
      </c>
      <c r="M177" t="s">
        <v>2873</v>
      </c>
      <c r="N177">
        <v>35</v>
      </c>
      <c r="O177">
        <v>2</v>
      </c>
      <c r="P177">
        <v>5.7099999999999998E-2</v>
      </c>
      <c r="Q177" t="s">
        <v>8</v>
      </c>
      <c r="R177" t="s">
        <v>12</v>
      </c>
      <c r="S177" t="s">
        <v>12</v>
      </c>
      <c r="T177" t="s">
        <v>12</v>
      </c>
      <c r="U177" t="s">
        <v>12</v>
      </c>
      <c r="V177" t="s">
        <v>12</v>
      </c>
      <c r="W177" t="s">
        <v>12</v>
      </c>
      <c r="X177" t="s">
        <v>12</v>
      </c>
      <c r="Y177" t="s">
        <v>12</v>
      </c>
      <c r="Z177" t="s">
        <v>12</v>
      </c>
      <c r="AA177" t="s">
        <v>12</v>
      </c>
      <c r="AB177" t="s">
        <v>12</v>
      </c>
      <c r="AC177" t="s">
        <v>12</v>
      </c>
      <c r="AD177" t="s">
        <v>12</v>
      </c>
    </row>
    <row r="178" spans="1:30">
      <c r="A178" t="s">
        <v>81</v>
      </c>
      <c r="B178" t="str">
        <f>Master_Data_Productivity[[#This Row],[Uniq-ID]]&amp;"-"&amp;Master_Data_Productivity[[#This Row],[Period]]</f>
        <v>DC-Document_Controller-048-M2</v>
      </c>
      <c r="C178" t="s">
        <v>82</v>
      </c>
      <c r="D178" t="s">
        <v>11</v>
      </c>
      <c r="E178" t="s">
        <v>18</v>
      </c>
      <c r="F178" t="s">
        <v>39</v>
      </c>
      <c r="G178" t="s">
        <v>15</v>
      </c>
      <c r="H178" t="s">
        <v>16</v>
      </c>
      <c r="I178">
        <v>3.2669999999999999</v>
      </c>
      <c r="J178">
        <v>1.5</v>
      </c>
      <c r="K178" t="s">
        <v>2871</v>
      </c>
      <c r="L178" t="s">
        <v>2875</v>
      </c>
      <c r="M178" t="s">
        <v>2873</v>
      </c>
      <c r="N178">
        <v>36</v>
      </c>
      <c r="O178">
        <v>24</v>
      </c>
      <c r="P178">
        <v>0.66669999999999996</v>
      </c>
      <c r="Q178" t="s">
        <v>8</v>
      </c>
      <c r="R178" t="s">
        <v>12</v>
      </c>
      <c r="S178" t="s">
        <v>12</v>
      </c>
      <c r="T178" t="s">
        <v>12</v>
      </c>
      <c r="U178" t="s">
        <v>12</v>
      </c>
      <c r="V178" t="s">
        <v>12</v>
      </c>
      <c r="W178" t="s">
        <v>12</v>
      </c>
      <c r="X178" t="s">
        <v>12</v>
      </c>
      <c r="Y178" t="s">
        <v>12</v>
      </c>
      <c r="Z178" t="s">
        <v>12</v>
      </c>
      <c r="AA178" t="s">
        <v>12</v>
      </c>
      <c r="AB178" t="s">
        <v>12</v>
      </c>
      <c r="AC178" t="s">
        <v>12</v>
      </c>
      <c r="AD178" t="s">
        <v>12</v>
      </c>
    </row>
    <row r="179" spans="1:30">
      <c r="A179" t="s">
        <v>81</v>
      </c>
      <c r="B179" t="str">
        <f>Master_Data_Productivity[[#This Row],[Uniq-ID]]&amp;"-"&amp;Master_Data_Productivity[[#This Row],[Period]]</f>
        <v>DC-Document_Controller-048-M2</v>
      </c>
      <c r="C179" t="s">
        <v>82</v>
      </c>
      <c r="D179" t="s">
        <v>11</v>
      </c>
      <c r="E179" t="s">
        <v>18</v>
      </c>
      <c r="F179" t="s">
        <v>39</v>
      </c>
      <c r="G179" t="s">
        <v>15</v>
      </c>
      <c r="H179" t="s">
        <v>16</v>
      </c>
      <c r="I179">
        <v>3.2669999999999999</v>
      </c>
      <c r="J179">
        <v>1.5</v>
      </c>
      <c r="K179" t="s">
        <v>2887</v>
      </c>
      <c r="L179" t="s">
        <v>2979</v>
      </c>
      <c r="M179" t="s">
        <v>2873</v>
      </c>
      <c r="N179">
        <v>205</v>
      </c>
      <c r="O179">
        <v>104</v>
      </c>
      <c r="P179">
        <v>0.50729999999999997</v>
      </c>
      <c r="Q179" t="s">
        <v>8</v>
      </c>
      <c r="R179" t="s">
        <v>12</v>
      </c>
      <c r="S179" t="s">
        <v>12</v>
      </c>
      <c r="T179" t="s">
        <v>12</v>
      </c>
      <c r="U179" t="s">
        <v>12</v>
      </c>
      <c r="V179" t="s">
        <v>12</v>
      </c>
      <c r="W179" t="s">
        <v>12</v>
      </c>
      <c r="X179" t="s">
        <v>12</v>
      </c>
      <c r="Y179" t="s">
        <v>12</v>
      </c>
      <c r="Z179" t="s">
        <v>12</v>
      </c>
      <c r="AA179" t="s">
        <v>12</v>
      </c>
      <c r="AB179" t="s">
        <v>12</v>
      </c>
      <c r="AC179" t="s">
        <v>12</v>
      </c>
      <c r="AD179" t="s">
        <v>12</v>
      </c>
    </row>
    <row r="180" spans="1:30">
      <c r="A180" t="s">
        <v>81</v>
      </c>
      <c r="B180" t="str">
        <f>Master_Data_Productivity[[#This Row],[Uniq-ID]]&amp;"-"&amp;Master_Data_Productivity[[#This Row],[Period]]</f>
        <v>DC-Document_Controller-048-M2</v>
      </c>
      <c r="C180" t="s">
        <v>82</v>
      </c>
      <c r="D180" t="s">
        <v>11</v>
      </c>
      <c r="E180" t="s">
        <v>18</v>
      </c>
      <c r="F180" t="s">
        <v>39</v>
      </c>
      <c r="G180" t="s">
        <v>15</v>
      </c>
      <c r="H180" t="s">
        <v>16</v>
      </c>
      <c r="I180">
        <v>3.2669999999999999</v>
      </c>
      <c r="J180">
        <v>1.5</v>
      </c>
      <c r="K180" t="s">
        <v>2887</v>
      </c>
      <c r="L180" t="s">
        <v>2890</v>
      </c>
      <c r="M180" t="s">
        <v>2873</v>
      </c>
      <c r="N180">
        <v>205</v>
      </c>
      <c r="O180">
        <v>133</v>
      </c>
      <c r="P180">
        <v>0.64880000000000004</v>
      </c>
      <c r="Q180" t="s">
        <v>8</v>
      </c>
      <c r="R180" t="s">
        <v>12</v>
      </c>
      <c r="S180" t="s">
        <v>12</v>
      </c>
      <c r="T180" t="s">
        <v>12</v>
      </c>
      <c r="U180" t="s">
        <v>12</v>
      </c>
      <c r="V180" t="s">
        <v>12</v>
      </c>
      <c r="W180" t="s">
        <v>12</v>
      </c>
      <c r="X180" t="s">
        <v>12</v>
      </c>
      <c r="Y180" t="s">
        <v>12</v>
      </c>
      <c r="Z180" t="s">
        <v>12</v>
      </c>
      <c r="AA180" t="s">
        <v>12</v>
      </c>
      <c r="AB180" t="s">
        <v>12</v>
      </c>
      <c r="AC180" t="s">
        <v>12</v>
      </c>
      <c r="AD180" t="s">
        <v>12</v>
      </c>
    </row>
    <row r="181" spans="1:30">
      <c r="A181" t="s">
        <v>81</v>
      </c>
      <c r="B181" t="str">
        <f>Master_Data_Productivity[[#This Row],[Uniq-ID]]&amp;"-"&amp;Master_Data_Productivity[[#This Row],[Period]]</f>
        <v>DC-Document_Controller-048-M2</v>
      </c>
      <c r="C181" t="s">
        <v>82</v>
      </c>
      <c r="D181" t="s">
        <v>11</v>
      </c>
      <c r="E181" t="s">
        <v>18</v>
      </c>
      <c r="F181" t="s">
        <v>39</v>
      </c>
      <c r="G181" t="s">
        <v>15</v>
      </c>
      <c r="H181" t="s">
        <v>16</v>
      </c>
      <c r="I181">
        <v>3.2669999999999999</v>
      </c>
      <c r="J181">
        <v>1.5</v>
      </c>
      <c r="K181" t="s">
        <v>2887</v>
      </c>
      <c r="L181" t="s">
        <v>2977</v>
      </c>
      <c r="M181" t="s">
        <v>2873</v>
      </c>
      <c r="N181">
        <v>205</v>
      </c>
      <c r="O181">
        <v>104</v>
      </c>
      <c r="P181">
        <v>0.50729999999999997</v>
      </c>
      <c r="Q181" t="s">
        <v>8</v>
      </c>
      <c r="R181" t="s">
        <v>12</v>
      </c>
      <c r="S181" t="s">
        <v>12</v>
      </c>
      <c r="T181" t="s">
        <v>12</v>
      </c>
      <c r="U181" t="s">
        <v>12</v>
      </c>
      <c r="V181" t="s">
        <v>12</v>
      </c>
      <c r="W181" t="s">
        <v>12</v>
      </c>
      <c r="X181" t="s">
        <v>12</v>
      </c>
      <c r="Y181" t="s">
        <v>12</v>
      </c>
      <c r="Z181" t="s">
        <v>12</v>
      </c>
      <c r="AA181" t="s">
        <v>12</v>
      </c>
      <c r="AB181" t="s">
        <v>12</v>
      </c>
      <c r="AC181" t="s">
        <v>12</v>
      </c>
      <c r="AD181" t="s">
        <v>12</v>
      </c>
    </row>
    <row r="182" spans="1:30">
      <c r="A182" t="s">
        <v>81</v>
      </c>
      <c r="B182" t="str">
        <f>Master_Data_Productivity[[#This Row],[Uniq-ID]]&amp;"-"&amp;Master_Data_Productivity[[#This Row],[Period]]</f>
        <v>DC-Document_Controller-048-M2</v>
      </c>
      <c r="C182" t="s">
        <v>82</v>
      </c>
      <c r="D182" t="s">
        <v>11</v>
      </c>
      <c r="E182" t="s">
        <v>18</v>
      </c>
      <c r="F182" t="s">
        <v>39</v>
      </c>
      <c r="G182" t="s">
        <v>15</v>
      </c>
      <c r="H182" t="s">
        <v>16</v>
      </c>
      <c r="I182">
        <v>3.2669999999999999</v>
      </c>
      <c r="J182">
        <v>1.5</v>
      </c>
      <c r="K182" t="s">
        <v>2887</v>
      </c>
      <c r="L182" t="s">
        <v>2888</v>
      </c>
      <c r="M182" t="s">
        <v>2873</v>
      </c>
      <c r="N182">
        <v>205</v>
      </c>
      <c r="O182">
        <v>133</v>
      </c>
      <c r="P182">
        <v>0.64880000000000004</v>
      </c>
      <c r="Q182" t="s">
        <v>8</v>
      </c>
      <c r="R182" t="s">
        <v>12</v>
      </c>
      <c r="S182" t="s">
        <v>12</v>
      </c>
      <c r="T182" t="s">
        <v>12</v>
      </c>
      <c r="U182" t="s">
        <v>12</v>
      </c>
      <c r="V182" t="s">
        <v>12</v>
      </c>
      <c r="W182" t="s">
        <v>12</v>
      </c>
      <c r="X182" t="s">
        <v>12</v>
      </c>
      <c r="Y182" t="s">
        <v>12</v>
      </c>
      <c r="Z182" t="s">
        <v>12</v>
      </c>
      <c r="AA182" t="s">
        <v>12</v>
      </c>
      <c r="AB182" t="s">
        <v>12</v>
      </c>
      <c r="AC182" t="s">
        <v>12</v>
      </c>
      <c r="AD182" t="s">
        <v>12</v>
      </c>
    </row>
    <row r="183" spans="1:30">
      <c r="A183" t="s">
        <v>81</v>
      </c>
      <c r="B183" t="str">
        <f>Master_Data_Productivity[[#This Row],[Uniq-ID]]&amp;"-"&amp;Master_Data_Productivity[[#This Row],[Period]]</f>
        <v>DC-Document_Controller-048-M3</v>
      </c>
      <c r="C183" t="s">
        <v>82</v>
      </c>
      <c r="D183" t="s">
        <v>11</v>
      </c>
      <c r="E183" t="s">
        <v>22</v>
      </c>
      <c r="F183" t="s">
        <v>41</v>
      </c>
      <c r="G183" t="s">
        <v>15</v>
      </c>
      <c r="H183" t="s">
        <v>16</v>
      </c>
      <c r="I183">
        <v>4.2880000000000003</v>
      </c>
      <c r="J183">
        <v>1.5</v>
      </c>
      <c r="K183" t="s">
        <v>2871</v>
      </c>
      <c r="L183" t="s">
        <v>2875</v>
      </c>
      <c r="M183" t="s">
        <v>2873</v>
      </c>
      <c r="N183">
        <v>36</v>
      </c>
      <c r="O183">
        <v>27</v>
      </c>
      <c r="P183">
        <v>0.75</v>
      </c>
      <c r="Q183" t="s">
        <v>8</v>
      </c>
      <c r="R183" t="s">
        <v>12</v>
      </c>
      <c r="S183" t="s">
        <v>12</v>
      </c>
      <c r="T183" t="s">
        <v>12</v>
      </c>
      <c r="U183" t="s">
        <v>12</v>
      </c>
      <c r="V183" t="s">
        <v>12</v>
      </c>
      <c r="W183" t="s">
        <v>12</v>
      </c>
      <c r="X183" t="s">
        <v>12</v>
      </c>
      <c r="Y183" t="s">
        <v>12</v>
      </c>
      <c r="Z183" t="s">
        <v>12</v>
      </c>
      <c r="AA183" t="s">
        <v>12</v>
      </c>
      <c r="AB183" t="s">
        <v>12</v>
      </c>
      <c r="AC183" t="s">
        <v>12</v>
      </c>
      <c r="AD183" t="s">
        <v>12</v>
      </c>
    </row>
    <row r="184" spans="1:30">
      <c r="A184" t="s">
        <v>81</v>
      </c>
      <c r="B184" t="str">
        <f>Master_Data_Productivity[[#This Row],[Uniq-ID]]&amp;"-"&amp;Master_Data_Productivity[[#This Row],[Period]]</f>
        <v>DC-Document_Controller-048-M3</v>
      </c>
      <c r="C184" t="s">
        <v>82</v>
      </c>
      <c r="D184" t="s">
        <v>11</v>
      </c>
      <c r="E184" t="s">
        <v>22</v>
      </c>
      <c r="F184" t="s">
        <v>41</v>
      </c>
      <c r="G184" t="s">
        <v>15</v>
      </c>
      <c r="H184" t="s">
        <v>16</v>
      </c>
      <c r="I184">
        <v>4.2880000000000003</v>
      </c>
      <c r="J184">
        <v>1.5</v>
      </c>
      <c r="K184" t="s">
        <v>2871</v>
      </c>
      <c r="L184" t="s">
        <v>2872</v>
      </c>
      <c r="M184" t="s">
        <v>2873</v>
      </c>
      <c r="N184">
        <v>35</v>
      </c>
      <c r="O184">
        <v>54</v>
      </c>
      <c r="P184">
        <v>1.5428999999999999</v>
      </c>
      <c r="Q184" t="s">
        <v>8</v>
      </c>
      <c r="R184" t="s">
        <v>12</v>
      </c>
      <c r="S184" t="s">
        <v>12</v>
      </c>
      <c r="T184" t="s">
        <v>12</v>
      </c>
      <c r="U184" t="s">
        <v>12</v>
      </c>
      <c r="V184" t="s">
        <v>12</v>
      </c>
      <c r="W184" t="s">
        <v>12</v>
      </c>
      <c r="X184" t="s">
        <v>12</v>
      </c>
      <c r="Y184" t="s">
        <v>12</v>
      </c>
      <c r="Z184" t="s">
        <v>12</v>
      </c>
      <c r="AA184" t="s">
        <v>12</v>
      </c>
      <c r="AB184" t="s">
        <v>12</v>
      </c>
      <c r="AC184" t="s">
        <v>12</v>
      </c>
      <c r="AD184" t="s">
        <v>12</v>
      </c>
    </row>
    <row r="185" spans="1:30">
      <c r="A185" t="s">
        <v>81</v>
      </c>
      <c r="B185" t="str">
        <f>Master_Data_Productivity[[#This Row],[Uniq-ID]]&amp;"-"&amp;Master_Data_Productivity[[#This Row],[Period]]</f>
        <v>DC-Document_Controller-048-M3</v>
      </c>
      <c r="C185" t="s">
        <v>82</v>
      </c>
      <c r="D185" t="s">
        <v>11</v>
      </c>
      <c r="E185" t="s">
        <v>22</v>
      </c>
      <c r="F185" t="s">
        <v>41</v>
      </c>
      <c r="G185" t="s">
        <v>15</v>
      </c>
      <c r="H185" t="s">
        <v>16</v>
      </c>
      <c r="I185">
        <v>4.2880000000000003</v>
      </c>
      <c r="J185">
        <v>1.5</v>
      </c>
      <c r="K185" t="s">
        <v>2887</v>
      </c>
      <c r="L185" t="s">
        <v>2888</v>
      </c>
      <c r="M185" t="s">
        <v>2873</v>
      </c>
      <c r="N185">
        <v>205</v>
      </c>
      <c r="O185">
        <v>99</v>
      </c>
      <c r="P185">
        <v>0.4829</v>
      </c>
      <c r="Q185" t="s">
        <v>8</v>
      </c>
      <c r="R185" t="s">
        <v>12</v>
      </c>
      <c r="S185" t="s">
        <v>12</v>
      </c>
      <c r="T185" t="s">
        <v>12</v>
      </c>
      <c r="U185" t="s">
        <v>12</v>
      </c>
      <c r="V185" t="s">
        <v>12</v>
      </c>
      <c r="W185" t="s">
        <v>12</v>
      </c>
      <c r="X185" t="s">
        <v>12</v>
      </c>
      <c r="Y185" t="s">
        <v>12</v>
      </c>
      <c r="Z185" t="s">
        <v>12</v>
      </c>
      <c r="AA185" t="s">
        <v>12</v>
      </c>
      <c r="AB185" t="s">
        <v>12</v>
      </c>
      <c r="AC185" t="s">
        <v>12</v>
      </c>
      <c r="AD185" t="s">
        <v>12</v>
      </c>
    </row>
    <row r="186" spans="1:30">
      <c r="A186" t="s">
        <v>81</v>
      </c>
      <c r="B186" t="str">
        <f>Master_Data_Productivity[[#This Row],[Uniq-ID]]&amp;"-"&amp;Master_Data_Productivity[[#This Row],[Period]]</f>
        <v>DC-Document_Controller-048-M3</v>
      </c>
      <c r="C186" t="s">
        <v>82</v>
      </c>
      <c r="D186" t="s">
        <v>11</v>
      </c>
      <c r="E186" t="s">
        <v>22</v>
      </c>
      <c r="F186" t="s">
        <v>41</v>
      </c>
      <c r="G186" t="s">
        <v>15</v>
      </c>
      <c r="H186" t="s">
        <v>16</v>
      </c>
      <c r="I186">
        <v>4.2880000000000003</v>
      </c>
      <c r="J186">
        <v>1.5</v>
      </c>
      <c r="K186" t="s">
        <v>2887</v>
      </c>
      <c r="L186" t="s">
        <v>2977</v>
      </c>
      <c r="M186" t="s">
        <v>2873</v>
      </c>
      <c r="N186">
        <v>205</v>
      </c>
      <c r="O186">
        <v>105</v>
      </c>
      <c r="P186">
        <v>0.51219999999999999</v>
      </c>
      <c r="Q186" t="s">
        <v>8</v>
      </c>
      <c r="R186" t="s">
        <v>12</v>
      </c>
      <c r="S186" t="s">
        <v>12</v>
      </c>
      <c r="T186" t="s">
        <v>12</v>
      </c>
      <c r="U186" t="s">
        <v>12</v>
      </c>
      <c r="V186" t="s">
        <v>12</v>
      </c>
      <c r="W186" t="s">
        <v>12</v>
      </c>
      <c r="X186" t="s">
        <v>12</v>
      </c>
      <c r="Y186" t="s">
        <v>12</v>
      </c>
      <c r="Z186" t="s">
        <v>12</v>
      </c>
      <c r="AA186" t="s">
        <v>12</v>
      </c>
      <c r="AB186" t="s">
        <v>12</v>
      </c>
      <c r="AC186" t="s">
        <v>12</v>
      </c>
      <c r="AD186" t="s">
        <v>12</v>
      </c>
    </row>
    <row r="187" spans="1:30">
      <c r="A187" t="s">
        <v>81</v>
      </c>
      <c r="B187" t="str">
        <f>Master_Data_Productivity[[#This Row],[Uniq-ID]]&amp;"-"&amp;Master_Data_Productivity[[#This Row],[Period]]</f>
        <v>DC-Document_Controller-048-M3</v>
      </c>
      <c r="C187" t="s">
        <v>82</v>
      </c>
      <c r="D187" t="s">
        <v>11</v>
      </c>
      <c r="E187" t="s">
        <v>22</v>
      </c>
      <c r="F187" t="s">
        <v>41</v>
      </c>
      <c r="G187" t="s">
        <v>15</v>
      </c>
      <c r="H187" t="s">
        <v>16</v>
      </c>
      <c r="I187">
        <v>4.2880000000000003</v>
      </c>
      <c r="J187">
        <v>1.5</v>
      </c>
      <c r="K187" t="s">
        <v>2887</v>
      </c>
      <c r="L187" t="s">
        <v>2890</v>
      </c>
      <c r="M187" t="s">
        <v>2873</v>
      </c>
      <c r="N187">
        <v>205</v>
      </c>
      <c r="O187">
        <v>99</v>
      </c>
      <c r="P187">
        <v>0.4829</v>
      </c>
      <c r="Q187" t="s">
        <v>8</v>
      </c>
      <c r="R187" t="s">
        <v>12</v>
      </c>
      <c r="S187" t="s">
        <v>12</v>
      </c>
      <c r="T187" t="s">
        <v>12</v>
      </c>
      <c r="U187" t="s">
        <v>12</v>
      </c>
      <c r="V187" t="s">
        <v>12</v>
      </c>
      <c r="W187" t="s">
        <v>12</v>
      </c>
      <c r="X187" t="s">
        <v>12</v>
      </c>
      <c r="Y187" t="s">
        <v>12</v>
      </c>
      <c r="Z187" t="s">
        <v>12</v>
      </c>
      <c r="AA187" t="s">
        <v>12</v>
      </c>
      <c r="AB187" t="s">
        <v>12</v>
      </c>
      <c r="AC187" t="s">
        <v>12</v>
      </c>
      <c r="AD187" t="s">
        <v>12</v>
      </c>
    </row>
    <row r="188" spans="1:30">
      <c r="A188" t="s">
        <v>81</v>
      </c>
      <c r="B188" t="str">
        <f>Master_Data_Productivity[[#This Row],[Uniq-ID]]&amp;"-"&amp;Master_Data_Productivity[[#This Row],[Period]]</f>
        <v>DC-Document_Controller-048-M3</v>
      </c>
      <c r="C188" t="s">
        <v>82</v>
      </c>
      <c r="D188" t="s">
        <v>11</v>
      </c>
      <c r="E188" t="s">
        <v>22</v>
      </c>
      <c r="F188" t="s">
        <v>41</v>
      </c>
      <c r="G188" t="s">
        <v>15</v>
      </c>
      <c r="H188" t="s">
        <v>16</v>
      </c>
      <c r="I188">
        <v>4.2880000000000003</v>
      </c>
      <c r="J188">
        <v>1.5</v>
      </c>
      <c r="K188" t="s">
        <v>2887</v>
      </c>
      <c r="L188" t="s">
        <v>2979</v>
      </c>
      <c r="M188" t="s">
        <v>2873</v>
      </c>
      <c r="N188">
        <v>205</v>
      </c>
      <c r="O188">
        <v>106</v>
      </c>
      <c r="P188">
        <v>0.5171</v>
      </c>
      <c r="Q188" t="s">
        <v>8</v>
      </c>
      <c r="R188" t="s">
        <v>12</v>
      </c>
      <c r="S188" t="s">
        <v>12</v>
      </c>
      <c r="T188" t="s">
        <v>12</v>
      </c>
      <c r="U188" t="s">
        <v>12</v>
      </c>
      <c r="V188" t="s">
        <v>12</v>
      </c>
      <c r="W188" t="s">
        <v>12</v>
      </c>
      <c r="X188" t="s">
        <v>12</v>
      </c>
      <c r="Y188" t="s">
        <v>12</v>
      </c>
      <c r="Z188" t="s">
        <v>12</v>
      </c>
      <c r="AA188" t="s">
        <v>12</v>
      </c>
      <c r="AB188" t="s">
        <v>12</v>
      </c>
      <c r="AC188" t="s">
        <v>12</v>
      </c>
      <c r="AD188" t="s">
        <v>12</v>
      </c>
    </row>
    <row r="189" spans="1:30">
      <c r="A189" t="s">
        <v>81</v>
      </c>
      <c r="B189" t="str">
        <f>Master_Data_Productivity[[#This Row],[Uniq-ID]]&amp;"-"&amp;Master_Data_Productivity[[#This Row],[Period]]</f>
        <v>DC-Document_Controller-048-M4</v>
      </c>
      <c r="C189" t="s">
        <v>82</v>
      </c>
      <c r="D189" t="s">
        <v>11</v>
      </c>
      <c r="E189" t="s">
        <v>25</v>
      </c>
      <c r="F189" t="s">
        <v>43</v>
      </c>
      <c r="G189" t="s">
        <v>33</v>
      </c>
      <c r="H189" t="s">
        <v>44</v>
      </c>
      <c r="I189">
        <v>0.59799999999999998</v>
      </c>
      <c r="J189">
        <v>0.6</v>
      </c>
      <c r="K189" t="s">
        <v>2871</v>
      </c>
      <c r="L189" t="s">
        <v>2875</v>
      </c>
      <c r="M189" t="s">
        <v>2873</v>
      </c>
      <c r="N189">
        <v>36</v>
      </c>
      <c r="O189">
        <v>3</v>
      </c>
      <c r="P189">
        <v>8.3299999999999999E-2</v>
      </c>
      <c r="Q189" t="s">
        <v>8</v>
      </c>
      <c r="R189" t="s">
        <v>12</v>
      </c>
      <c r="S189" t="s">
        <v>12</v>
      </c>
      <c r="T189" t="s">
        <v>12</v>
      </c>
      <c r="U189" t="s">
        <v>12</v>
      </c>
      <c r="V189" t="s">
        <v>12</v>
      </c>
      <c r="W189" t="s">
        <v>12</v>
      </c>
      <c r="X189" t="s">
        <v>12</v>
      </c>
      <c r="Y189" t="s">
        <v>12</v>
      </c>
      <c r="Z189" t="s">
        <v>12</v>
      </c>
      <c r="AA189" t="s">
        <v>12</v>
      </c>
      <c r="AB189" t="s">
        <v>12</v>
      </c>
      <c r="AC189" t="s">
        <v>12</v>
      </c>
      <c r="AD189" t="s">
        <v>12</v>
      </c>
    </row>
    <row r="190" spans="1:30">
      <c r="A190" t="s">
        <v>81</v>
      </c>
      <c r="B190" t="str">
        <f>Master_Data_Productivity[[#This Row],[Uniq-ID]]&amp;"-"&amp;Master_Data_Productivity[[#This Row],[Period]]</f>
        <v>DC-Document_Controller-048-M4</v>
      </c>
      <c r="C190" t="s">
        <v>82</v>
      </c>
      <c r="D190" t="s">
        <v>11</v>
      </c>
      <c r="E190" t="s">
        <v>25</v>
      </c>
      <c r="F190" t="s">
        <v>43</v>
      </c>
      <c r="G190" t="s">
        <v>33</v>
      </c>
      <c r="H190" t="s">
        <v>44</v>
      </c>
      <c r="I190">
        <v>0.59799999999999998</v>
      </c>
      <c r="J190">
        <v>0.6</v>
      </c>
      <c r="K190" t="s">
        <v>2871</v>
      </c>
      <c r="L190" t="s">
        <v>2872</v>
      </c>
      <c r="M190" t="s">
        <v>2873</v>
      </c>
      <c r="N190">
        <v>35</v>
      </c>
      <c r="O190">
        <v>18</v>
      </c>
      <c r="P190">
        <v>0.51429999999999998</v>
      </c>
      <c r="Q190" t="s">
        <v>8</v>
      </c>
      <c r="R190" t="s">
        <v>12</v>
      </c>
      <c r="S190" t="s">
        <v>12</v>
      </c>
      <c r="T190" t="s">
        <v>12</v>
      </c>
      <c r="U190" t="s">
        <v>12</v>
      </c>
      <c r="V190" t="s">
        <v>12</v>
      </c>
      <c r="W190" t="s">
        <v>12</v>
      </c>
      <c r="X190" t="s">
        <v>12</v>
      </c>
      <c r="Y190" t="s">
        <v>12</v>
      </c>
      <c r="Z190" t="s">
        <v>12</v>
      </c>
      <c r="AA190" t="s">
        <v>12</v>
      </c>
      <c r="AB190" t="s">
        <v>12</v>
      </c>
      <c r="AC190" t="s">
        <v>12</v>
      </c>
      <c r="AD190" t="s">
        <v>12</v>
      </c>
    </row>
    <row r="191" spans="1:30">
      <c r="A191" t="s">
        <v>87</v>
      </c>
      <c r="B191" t="str">
        <f>Master_Data_Productivity[[#This Row],[Uniq-ID]]&amp;"-"&amp;Master_Data_Productivity[[#This Row],[Period]]</f>
        <v>DC-Document_Controller-046-M1</v>
      </c>
      <c r="C191" t="s">
        <v>88</v>
      </c>
      <c r="D191" t="s">
        <v>76</v>
      </c>
      <c r="E191" t="s">
        <v>13</v>
      </c>
      <c r="F191" t="s">
        <v>37</v>
      </c>
      <c r="G191" t="s">
        <v>15</v>
      </c>
      <c r="H191" t="s">
        <v>16</v>
      </c>
      <c r="I191">
        <v>2.0430000000000001</v>
      </c>
      <c r="J191">
        <v>1.02</v>
      </c>
      <c r="K191" t="s">
        <v>2947</v>
      </c>
      <c r="L191" t="s">
        <v>2948</v>
      </c>
      <c r="M191" t="s">
        <v>2873</v>
      </c>
      <c r="N191">
        <v>110</v>
      </c>
      <c r="O191">
        <v>1</v>
      </c>
      <c r="P191">
        <v>9.1000000000000004E-3</v>
      </c>
      <c r="Q191" t="s">
        <v>8</v>
      </c>
      <c r="R191" t="s">
        <v>12</v>
      </c>
      <c r="S191" t="s">
        <v>12</v>
      </c>
      <c r="T191" t="s">
        <v>12</v>
      </c>
      <c r="U191" t="s">
        <v>12</v>
      </c>
      <c r="V191" t="s">
        <v>12</v>
      </c>
      <c r="W191" t="s">
        <v>12</v>
      </c>
      <c r="X191" t="s">
        <v>12</v>
      </c>
      <c r="Y191" t="s">
        <v>12</v>
      </c>
      <c r="Z191" t="s">
        <v>12</v>
      </c>
      <c r="AA191" t="s">
        <v>12</v>
      </c>
      <c r="AB191" t="s">
        <v>12</v>
      </c>
      <c r="AC191" t="s">
        <v>12</v>
      </c>
      <c r="AD191" t="s">
        <v>12</v>
      </c>
    </row>
    <row r="192" spans="1:30">
      <c r="A192" t="s">
        <v>87</v>
      </c>
      <c r="B192" t="str">
        <f>Master_Data_Productivity[[#This Row],[Uniq-ID]]&amp;"-"&amp;Master_Data_Productivity[[#This Row],[Period]]</f>
        <v>DC-Document_Controller-046-M1</v>
      </c>
      <c r="C192" t="s">
        <v>88</v>
      </c>
      <c r="D192" t="s">
        <v>76</v>
      </c>
      <c r="E192" t="s">
        <v>13</v>
      </c>
      <c r="F192" t="s">
        <v>37</v>
      </c>
      <c r="G192" t="s">
        <v>15</v>
      </c>
      <c r="H192" t="s">
        <v>16</v>
      </c>
      <c r="I192">
        <v>2.0430000000000001</v>
      </c>
      <c r="J192">
        <v>1.02</v>
      </c>
      <c r="K192" t="s">
        <v>2947</v>
      </c>
      <c r="L192" t="s">
        <v>2988</v>
      </c>
      <c r="M192" t="s">
        <v>2873</v>
      </c>
      <c r="N192">
        <v>103</v>
      </c>
      <c r="O192">
        <v>13</v>
      </c>
      <c r="P192">
        <v>0.12620000000000001</v>
      </c>
      <c r="Q192" t="s">
        <v>8</v>
      </c>
      <c r="R192" t="s">
        <v>12</v>
      </c>
      <c r="S192" t="s">
        <v>12</v>
      </c>
      <c r="T192" t="s">
        <v>12</v>
      </c>
      <c r="U192" t="s">
        <v>12</v>
      </c>
      <c r="V192" t="s">
        <v>12</v>
      </c>
      <c r="W192" t="s">
        <v>12</v>
      </c>
      <c r="X192" t="s">
        <v>12</v>
      </c>
      <c r="Y192" t="s">
        <v>12</v>
      </c>
      <c r="Z192" t="s">
        <v>12</v>
      </c>
      <c r="AA192" t="s">
        <v>12</v>
      </c>
      <c r="AB192" t="s">
        <v>12</v>
      </c>
      <c r="AC192" t="s">
        <v>12</v>
      </c>
      <c r="AD192" t="s">
        <v>12</v>
      </c>
    </row>
    <row r="193" spans="1:30">
      <c r="A193" t="s">
        <v>87</v>
      </c>
      <c r="B193" t="str">
        <f>Master_Data_Productivity[[#This Row],[Uniq-ID]]&amp;"-"&amp;Master_Data_Productivity[[#This Row],[Period]]</f>
        <v>DC-Document_Controller-046-M1</v>
      </c>
      <c r="C193" t="s">
        <v>88</v>
      </c>
      <c r="D193" t="s">
        <v>76</v>
      </c>
      <c r="E193" t="s">
        <v>13</v>
      </c>
      <c r="F193" t="s">
        <v>37</v>
      </c>
      <c r="G193" t="s">
        <v>15</v>
      </c>
      <c r="H193" t="s">
        <v>16</v>
      </c>
      <c r="I193">
        <v>2.0430000000000001</v>
      </c>
      <c r="J193">
        <v>1.02</v>
      </c>
      <c r="K193" t="s">
        <v>2871</v>
      </c>
      <c r="L193" t="s">
        <v>2954</v>
      </c>
      <c r="M193" t="s">
        <v>2873</v>
      </c>
      <c r="N193">
        <v>220</v>
      </c>
      <c r="O193">
        <v>343</v>
      </c>
      <c r="P193">
        <v>1.5590999999999999</v>
      </c>
      <c r="Q193" t="s">
        <v>8</v>
      </c>
      <c r="R193" t="s">
        <v>12</v>
      </c>
      <c r="S193" t="s">
        <v>12</v>
      </c>
      <c r="T193" t="s">
        <v>12</v>
      </c>
      <c r="U193" t="s">
        <v>12</v>
      </c>
      <c r="V193" t="s">
        <v>12</v>
      </c>
      <c r="W193" t="s">
        <v>12</v>
      </c>
      <c r="X193" t="s">
        <v>12</v>
      </c>
      <c r="Y193" t="s">
        <v>12</v>
      </c>
      <c r="Z193" t="s">
        <v>12</v>
      </c>
      <c r="AA193" t="s">
        <v>12</v>
      </c>
      <c r="AB193" t="s">
        <v>12</v>
      </c>
      <c r="AC193" t="s">
        <v>12</v>
      </c>
      <c r="AD193" t="s">
        <v>12</v>
      </c>
    </row>
    <row r="194" spans="1:30">
      <c r="A194" t="s">
        <v>87</v>
      </c>
      <c r="B194" t="str">
        <f>Master_Data_Productivity[[#This Row],[Uniq-ID]]&amp;"-"&amp;Master_Data_Productivity[[#This Row],[Period]]</f>
        <v>DC-Document_Controller-046-M1</v>
      </c>
      <c r="C194" t="s">
        <v>88</v>
      </c>
      <c r="D194" t="s">
        <v>76</v>
      </c>
      <c r="E194" t="s">
        <v>13</v>
      </c>
      <c r="F194" t="s">
        <v>37</v>
      </c>
      <c r="G194" t="s">
        <v>15</v>
      </c>
      <c r="H194" t="s">
        <v>16</v>
      </c>
      <c r="I194">
        <v>2.0430000000000001</v>
      </c>
      <c r="J194">
        <v>1.02</v>
      </c>
      <c r="K194" t="s">
        <v>2871</v>
      </c>
      <c r="L194" t="s">
        <v>2956</v>
      </c>
      <c r="M194" t="s">
        <v>2873</v>
      </c>
      <c r="N194">
        <v>298</v>
      </c>
      <c r="O194">
        <v>93</v>
      </c>
      <c r="P194">
        <v>0.31209999999999999</v>
      </c>
      <c r="Q194" t="s">
        <v>8</v>
      </c>
      <c r="R194" t="s">
        <v>12</v>
      </c>
      <c r="S194" t="s">
        <v>12</v>
      </c>
      <c r="T194" t="s">
        <v>12</v>
      </c>
      <c r="U194" t="s">
        <v>12</v>
      </c>
      <c r="V194" t="s">
        <v>12</v>
      </c>
      <c r="W194" t="s">
        <v>12</v>
      </c>
      <c r="X194" t="s">
        <v>12</v>
      </c>
      <c r="Y194" t="s">
        <v>12</v>
      </c>
      <c r="Z194" t="s">
        <v>12</v>
      </c>
      <c r="AA194" t="s">
        <v>12</v>
      </c>
      <c r="AB194" t="s">
        <v>12</v>
      </c>
      <c r="AC194" t="s">
        <v>12</v>
      </c>
      <c r="AD194" t="s">
        <v>12</v>
      </c>
    </row>
    <row r="195" spans="1:30">
      <c r="A195" t="s">
        <v>87</v>
      </c>
      <c r="B195" t="str">
        <f>Master_Data_Productivity[[#This Row],[Uniq-ID]]&amp;"-"&amp;Master_Data_Productivity[[#This Row],[Period]]</f>
        <v>DC-Document_Controller-046-M1</v>
      </c>
      <c r="C195" t="s">
        <v>88</v>
      </c>
      <c r="D195" t="s">
        <v>76</v>
      </c>
      <c r="E195" t="s">
        <v>13</v>
      </c>
      <c r="F195" t="s">
        <v>37</v>
      </c>
      <c r="G195" t="s">
        <v>15</v>
      </c>
      <c r="H195" t="s">
        <v>16</v>
      </c>
      <c r="I195">
        <v>2.0430000000000001</v>
      </c>
      <c r="J195">
        <v>1.02</v>
      </c>
      <c r="K195" t="s">
        <v>2887</v>
      </c>
      <c r="L195" t="s">
        <v>2992</v>
      </c>
      <c r="M195" t="s">
        <v>2873</v>
      </c>
      <c r="N195">
        <v>220</v>
      </c>
      <c r="O195">
        <v>8</v>
      </c>
      <c r="P195">
        <v>3.6400000000000002E-2</v>
      </c>
      <c r="Q195" t="s">
        <v>8</v>
      </c>
      <c r="R195" t="s">
        <v>12</v>
      </c>
      <c r="S195" t="s">
        <v>12</v>
      </c>
      <c r="T195" t="s">
        <v>12</v>
      </c>
      <c r="U195" t="s">
        <v>12</v>
      </c>
      <c r="V195" t="s">
        <v>12</v>
      </c>
      <c r="W195" t="s">
        <v>12</v>
      </c>
      <c r="X195" t="s">
        <v>12</v>
      </c>
      <c r="Y195" t="s">
        <v>12</v>
      </c>
      <c r="Z195" t="s">
        <v>12</v>
      </c>
      <c r="AA195" t="s">
        <v>12</v>
      </c>
      <c r="AB195" t="s">
        <v>12</v>
      </c>
      <c r="AC195" t="s">
        <v>12</v>
      </c>
      <c r="AD195" t="s">
        <v>12</v>
      </c>
    </row>
    <row r="196" spans="1:30">
      <c r="A196" t="s">
        <v>87</v>
      </c>
      <c r="B196" t="str">
        <f>Master_Data_Productivity[[#This Row],[Uniq-ID]]&amp;"-"&amp;Master_Data_Productivity[[#This Row],[Period]]</f>
        <v>DC-Document_Controller-046-M2</v>
      </c>
      <c r="C196" t="s">
        <v>88</v>
      </c>
      <c r="D196" t="s">
        <v>76</v>
      </c>
      <c r="E196" t="s">
        <v>18</v>
      </c>
      <c r="F196" t="s">
        <v>39</v>
      </c>
      <c r="G196" t="s">
        <v>15</v>
      </c>
      <c r="H196" t="s">
        <v>44</v>
      </c>
      <c r="I196">
        <v>0.495</v>
      </c>
      <c r="J196">
        <v>0.5</v>
      </c>
      <c r="K196" t="s">
        <v>2871</v>
      </c>
      <c r="L196" t="s">
        <v>2956</v>
      </c>
      <c r="M196" t="s">
        <v>2873</v>
      </c>
      <c r="N196">
        <v>298</v>
      </c>
      <c r="O196">
        <v>44</v>
      </c>
      <c r="P196">
        <v>0.1477</v>
      </c>
      <c r="Q196" t="s">
        <v>8</v>
      </c>
      <c r="R196" t="s">
        <v>12</v>
      </c>
      <c r="S196" t="s">
        <v>12</v>
      </c>
      <c r="T196" t="s">
        <v>12</v>
      </c>
      <c r="U196" t="s">
        <v>12</v>
      </c>
      <c r="V196" t="s">
        <v>12</v>
      </c>
      <c r="W196" t="s">
        <v>12</v>
      </c>
      <c r="X196" t="s">
        <v>12</v>
      </c>
      <c r="Y196" t="s">
        <v>12</v>
      </c>
      <c r="Z196" t="s">
        <v>12</v>
      </c>
      <c r="AA196" t="s">
        <v>12</v>
      </c>
      <c r="AB196" t="s">
        <v>12</v>
      </c>
      <c r="AC196" t="s">
        <v>12</v>
      </c>
      <c r="AD196" t="s">
        <v>12</v>
      </c>
    </row>
    <row r="197" spans="1:30">
      <c r="A197" t="s">
        <v>87</v>
      </c>
      <c r="B197" t="str">
        <f>Master_Data_Productivity[[#This Row],[Uniq-ID]]&amp;"-"&amp;Master_Data_Productivity[[#This Row],[Period]]</f>
        <v>DC-Document_Controller-046-M2</v>
      </c>
      <c r="C197" t="s">
        <v>88</v>
      </c>
      <c r="D197" t="s">
        <v>76</v>
      </c>
      <c r="E197" t="s">
        <v>18</v>
      </c>
      <c r="F197" t="s">
        <v>39</v>
      </c>
      <c r="G197" t="s">
        <v>15</v>
      </c>
      <c r="H197" t="s">
        <v>44</v>
      </c>
      <c r="I197">
        <v>0.495</v>
      </c>
      <c r="J197">
        <v>0.5</v>
      </c>
      <c r="K197" t="s">
        <v>2871</v>
      </c>
      <c r="L197" t="s">
        <v>2954</v>
      </c>
      <c r="M197" t="s">
        <v>2873</v>
      </c>
      <c r="N197">
        <v>220</v>
      </c>
      <c r="O197">
        <v>8</v>
      </c>
      <c r="P197">
        <v>3.6400000000000002E-2</v>
      </c>
      <c r="Q197" t="s">
        <v>8</v>
      </c>
      <c r="R197" t="s">
        <v>12</v>
      </c>
      <c r="S197" t="s">
        <v>12</v>
      </c>
      <c r="T197" t="s">
        <v>12</v>
      </c>
      <c r="U197" t="s">
        <v>12</v>
      </c>
      <c r="V197" t="s">
        <v>12</v>
      </c>
      <c r="W197" t="s">
        <v>12</v>
      </c>
      <c r="X197" t="s">
        <v>12</v>
      </c>
      <c r="Y197" t="s">
        <v>12</v>
      </c>
      <c r="Z197" t="s">
        <v>12</v>
      </c>
      <c r="AA197" t="s">
        <v>12</v>
      </c>
      <c r="AB197" t="s">
        <v>12</v>
      </c>
      <c r="AC197" t="s">
        <v>12</v>
      </c>
      <c r="AD197" t="s">
        <v>12</v>
      </c>
    </row>
    <row r="198" spans="1:30">
      <c r="A198" t="s">
        <v>87</v>
      </c>
      <c r="B198" t="str">
        <f>Master_Data_Productivity[[#This Row],[Uniq-ID]]&amp;"-"&amp;Master_Data_Productivity[[#This Row],[Period]]</f>
        <v>DC-Document_Controller-046-M2</v>
      </c>
      <c r="C198" t="s">
        <v>88</v>
      </c>
      <c r="D198" t="s">
        <v>76</v>
      </c>
      <c r="E198" t="s">
        <v>18</v>
      </c>
      <c r="F198" t="s">
        <v>39</v>
      </c>
      <c r="G198" t="s">
        <v>15</v>
      </c>
      <c r="H198" t="s">
        <v>44</v>
      </c>
      <c r="I198">
        <v>0.495</v>
      </c>
      <c r="J198">
        <v>0.5</v>
      </c>
      <c r="K198" t="s">
        <v>2947</v>
      </c>
      <c r="L198" t="s">
        <v>2988</v>
      </c>
      <c r="M198" t="s">
        <v>2873</v>
      </c>
      <c r="N198">
        <v>103</v>
      </c>
      <c r="O198">
        <v>32</v>
      </c>
      <c r="P198">
        <v>0.31069999999999998</v>
      </c>
      <c r="Q198" t="s">
        <v>8</v>
      </c>
      <c r="R198" t="s">
        <v>12</v>
      </c>
      <c r="S198" t="s">
        <v>12</v>
      </c>
      <c r="T198" t="s">
        <v>12</v>
      </c>
      <c r="U198" t="s">
        <v>12</v>
      </c>
      <c r="V198" t="s">
        <v>12</v>
      </c>
      <c r="W198" t="s">
        <v>12</v>
      </c>
      <c r="X198" t="s">
        <v>12</v>
      </c>
      <c r="Y198" t="s">
        <v>12</v>
      </c>
      <c r="Z198" t="s">
        <v>12</v>
      </c>
      <c r="AA198" t="s">
        <v>12</v>
      </c>
      <c r="AB198" t="s">
        <v>12</v>
      </c>
      <c r="AC198" t="s">
        <v>12</v>
      </c>
      <c r="AD198" t="s">
        <v>12</v>
      </c>
    </row>
    <row r="199" spans="1:30">
      <c r="A199" t="s">
        <v>87</v>
      </c>
      <c r="B199" t="str">
        <f>Master_Data_Productivity[[#This Row],[Uniq-ID]]&amp;"-"&amp;Master_Data_Productivity[[#This Row],[Period]]</f>
        <v>DC-Document_Controller-046-M3</v>
      </c>
      <c r="C199" t="s">
        <v>88</v>
      </c>
      <c r="D199" t="s">
        <v>76</v>
      </c>
      <c r="E199" t="s">
        <v>22</v>
      </c>
      <c r="F199" t="s">
        <v>41</v>
      </c>
      <c r="G199" t="s">
        <v>15</v>
      </c>
      <c r="H199" t="s">
        <v>20</v>
      </c>
      <c r="I199">
        <v>1.218</v>
      </c>
      <c r="J199">
        <v>1</v>
      </c>
      <c r="K199" t="s">
        <v>2947</v>
      </c>
      <c r="L199" t="s">
        <v>2988</v>
      </c>
      <c r="M199" t="s">
        <v>2873</v>
      </c>
      <c r="N199">
        <v>103</v>
      </c>
      <c r="O199">
        <v>104</v>
      </c>
      <c r="P199">
        <v>1.0097</v>
      </c>
      <c r="Q199" t="s">
        <v>8</v>
      </c>
      <c r="R199" t="s">
        <v>12</v>
      </c>
      <c r="S199" t="s">
        <v>12</v>
      </c>
      <c r="T199" t="s">
        <v>12</v>
      </c>
      <c r="U199" t="s">
        <v>12</v>
      </c>
      <c r="V199" t="s">
        <v>12</v>
      </c>
      <c r="W199" t="s">
        <v>12</v>
      </c>
      <c r="X199" t="s">
        <v>12</v>
      </c>
      <c r="Y199" t="s">
        <v>12</v>
      </c>
      <c r="Z199" t="s">
        <v>12</v>
      </c>
      <c r="AA199" t="s">
        <v>12</v>
      </c>
      <c r="AB199" t="s">
        <v>12</v>
      </c>
      <c r="AC199" t="s">
        <v>12</v>
      </c>
      <c r="AD199" t="s">
        <v>12</v>
      </c>
    </row>
    <row r="200" spans="1:30">
      <c r="A200" t="s">
        <v>87</v>
      </c>
      <c r="B200" t="str">
        <f>Master_Data_Productivity[[#This Row],[Uniq-ID]]&amp;"-"&amp;Master_Data_Productivity[[#This Row],[Period]]</f>
        <v>DC-Document_Controller-046-M3</v>
      </c>
      <c r="C200" t="s">
        <v>88</v>
      </c>
      <c r="D200" t="s">
        <v>76</v>
      </c>
      <c r="E200" t="s">
        <v>22</v>
      </c>
      <c r="F200" t="s">
        <v>41</v>
      </c>
      <c r="G200" t="s">
        <v>15</v>
      </c>
      <c r="H200" t="s">
        <v>20</v>
      </c>
      <c r="I200">
        <v>1.218</v>
      </c>
      <c r="J200">
        <v>1</v>
      </c>
      <c r="K200" t="s">
        <v>2871</v>
      </c>
      <c r="L200" t="s">
        <v>2954</v>
      </c>
      <c r="M200" t="s">
        <v>2873</v>
      </c>
      <c r="N200">
        <v>220</v>
      </c>
      <c r="O200">
        <v>15</v>
      </c>
      <c r="P200">
        <v>6.8199999999999997E-2</v>
      </c>
      <c r="Q200" t="s">
        <v>8</v>
      </c>
      <c r="R200" t="s">
        <v>12</v>
      </c>
      <c r="S200" t="s">
        <v>12</v>
      </c>
      <c r="T200" t="s">
        <v>12</v>
      </c>
      <c r="U200" t="s">
        <v>12</v>
      </c>
      <c r="V200" t="s">
        <v>12</v>
      </c>
      <c r="W200" t="s">
        <v>12</v>
      </c>
      <c r="X200" t="s">
        <v>12</v>
      </c>
      <c r="Y200" t="s">
        <v>12</v>
      </c>
      <c r="Z200" t="s">
        <v>12</v>
      </c>
      <c r="AA200" t="s">
        <v>12</v>
      </c>
      <c r="AB200" t="s">
        <v>12</v>
      </c>
      <c r="AC200" t="s">
        <v>12</v>
      </c>
      <c r="AD200" t="s">
        <v>12</v>
      </c>
    </row>
    <row r="201" spans="1:30">
      <c r="A201" t="s">
        <v>87</v>
      </c>
      <c r="B201" t="str">
        <f>Master_Data_Productivity[[#This Row],[Uniq-ID]]&amp;"-"&amp;Master_Data_Productivity[[#This Row],[Period]]</f>
        <v>DC-Document_Controller-046-M3</v>
      </c>
      <c r="C201" t="s">
        <v>88</v>
      </c>
      <c r="D201" t="s">
        <v>76</v>
      </c>
      <c r="E201" t="s">
        <v>22</v>
      </c>
      <c r="F201" t="s">
        <v>41</v>
      </c>
      <c r="G201" t="s">
        <v>15</v>
      </c>
      <c r="H201" t="s">
        <v>20</v>
      </c>
      <c r="I201">
        <v>1.218</v>
      </c>
      <c r="J201">
        <v>1</v>
      </c>
      <c r="K201" t="s">
        <v>2871</v>
      </c>
      <c r="L201" t="s">
        <v>2956</v>
      </c>
      <c r="M201" t="s">
        <v>2873</v>
      </c>
      <c r="N201">
        <v>298</v>
      </c>
      <c r="O201">
        <v>39</v>
      </c>
      <c r="P201">
        <v>0.13089999999999999</v>
      </c>
      <c r="Q201" t="s">
        <v>8</v>
      </c>
      <c r="R201" t="s">
        <v>12</v>
      </c>
      <c r="S201" t="s">
        <v>12</v>
      </c>
      <c r="T201" t="s">
        <v>12</v>
      </c>
      <c r="U201" t="s">
        <v>12</v>
      </c>
      <c r="V201" t="s">
        <v>12</v>
      </c>
      <c r="W201" t="s">
        <v>12</v>
      </c>
      <c r="X201" t="s">
        <v>12</v>
      </c>
      <c r="Y201" t="s">
        <v>12</v>
      </c>
      <c r="Z201" t="s">
        <v>12</v>
      </c>
      <c r="AA201" t="s">
        <v>12</v>
      </c>
      <c r="AB201" t="s">
        <v>12</v>
      </c>
      <c r="AC201" t="s">
        <v>12</v>
      </c>
      <c r="AD201" t="s">
        <v>12</v>
      </c>
    </row>
    <row r="202" spans="1:30">
      <c r="A202" t="s">
        <v>87</v>
      </c>
      <c r="B202" t="str">
        <f>Master_Data_Productivity[[#This Row],[Uniq-ID]]&amp;"-"&amp;Master_Data_Productivity[[#This Row],[Period]]</f>
        <v>DC-Document_Controller-046-M3</v>
      </c>
      <c r="C202" t="s">
        <v>88</v>
      </c>
      <c r="D202" t="s">
        <v>76</v>
      </c>
      <c r="E202" t="s">
        <v>22</v>
      </c>
      <c r="F202" t="s">
        <v>41</v>
      </c>
      <c r="G202" t="s">
        <v>15</v>
      </c>
      <c r="H202" t="s">
        <v>20</v>
      </c>
      <c r="I202">
        <v>1.218</v>
      </c>
      <c r="J202">
        <v>1</v>
      </c>
      <c r="K202" t="s">
        <v>2887</v>
      </c>
      <c r="L202" t="s">
        <v>2992</v>
      </c>
      <c r="M202" t="s">
        <v>2873</v>
      </c>
      <c r="N202">
        <v>220</v>
      </c>
      <c r="O202">
        <v>2</v>
      </c>
      <c r="P202">
        <v>9.1000000000000004E-3</v>
      </c>
      <c r="Q202" t="s">
        <v>8</v>
      </c>
      <c r="R202" t="s">
        <v>12</v>
      </c>
      <c r="S202" t="s">
        <v>12</v>
      </c>
      <c r="T202" t="s">
        <v>12</v>
      </c>
      <c r="U202" t="s">
        <v>12</v>
      </c>
      <c r="V202" t="s">
        <v>12</v>
      </c>
      <c r="W202" t="s">
        <v>12</v>
      </c>
      <c r="X202" t="s">
        <v>12</v>
      </c>
      <c r="Y202" t="s">
        <v>12</v>
      </c>
      <c r="Z202" t="s">
        <v>12</v>
      </c>
      <c r="AA202" t="s">
        <v>12</v>
      </c>
      <c r="AB202" t="s">
        <v>12</v>
      </c>
      <c r="AC202" t="s">
        <v>12</v>
      </c>
      <c r="AD202" t="s">
        <v>12</v>
      </c>
    </row>
    <row r="203" spans="1:30">
      <c r="A203" t="s">
        <v>87</v>
      </c>
      <c r="B203" t="str">
        <f>Master_Data_Productivity[[#This Row],[Uniq-ID]]&amp;"-"&amp;Master_Data_Productivity[[#This Row],[Period]]</f>
        <v>DC-Document_Controller-046-M4</v>
      </c>
      <c r="C203" t="s">
        <v>88</v>
      </c>
      <c r="D203" t="s">
        <v>76</v>
      </c>
      <c r="E203" t="s">
        <v>25</v>
      </c>
      <c r="F203" t="s">
        <v>43</v>
      </c>
      <c r="G203" t="s">
        <v>33</v>
      </c>
      <c r="H203" t="s">
        <v>44</v>
      </c>
      <c r="I203">
        <v>2.4E-2</v>
      </c>
      <c r="J203">
        <v>0.5</v>
      </c>
      <c r="K203" t="s">
        <v>2871</v>
      </c>
      <c r="L203" t="s">
        <v>2956</v>
      </c>
      <c r="M203" t="s">
        <v>2873</v>
      </c>
      <c r="N203">
        <v>298</v>
      </c>
      <c r="O203">
        <v>3</v>
      </c>
      <c r="P203">
        <v>1.01E-2</v>
      </c>
      <c r="Q203" t="s">
        <v>8</v>
      </c>
      <c r="R203" t="s">
        <v>12</v>
      </c>
      <c r="S203" t="s">
        <v>12</v>
      </c>
      <c r="T203" t="s">
        <v>12</v>
      </c>
      <c r="U203" t="s">
        <v>12</v>
      </c>
      <c r="V203" t="s">
        <v>12</v>
      </c>
      <c r="W203" t="s">
        <v>12</v>
      </c>
      <c r="X203" t="s">
        <v>12</v>
      </c>
      <c r="Y203" t="s">
        <v>12</v>
      </c>
      <c r="Z203" t="s">
        <v>12</v>
      </c>
      <c r="AA203" t="s">
        <v>12</v>
      </c>
      <c r="AB203" t="s">
        <v>12</v>
      </c>
      <c r="AC203" t="s">
        <v>12</v>
      </c>
      <c r="AD203" t="s">
        <v>12</v>
      </c>
    </row>
    <row r="204" spans="1:30">
      <c r="A204" t="s">
        <v>87</v>
      </c>
      <c r="B204" t="str">
        <f>Master_Data_Productivity[[#This Row],[Uniq-ID]]&amp;"-"&amp;Master_Data_Productivity[[#This Row],[Period]]</f>
        <v>DC-Document_Controller-046-M4</v>
      </c>
      <c r="C204" t="s">
        <v>88</v>
      </c>
      <c r="D204" t="s">
        <v>76</v>
      </c>
      <c r="E204" t="s">
        <v>25</v>
      </c>
      <c r="F204" t="s">
        <v>43</v>
      </c>
      <c r="G204" t="s">
        <v>33</v>
      </c>
      <c r="H204" t="s">
        <v>44</v>
      </c>
      <c r="I204">
        <v>2.4E-2</v>
      </c>
      <c r="J204">
        <v>0.5</v>
      </c>
      <c r="K204" t="s">
        <v>2871</v>
      </c>
      <c r="L204" t="s">
        <v>2954</v>
      </c>
      <c r="M204" t="s">
        <v>2873</v>
      </c>
      <c r="N204">
        <v>220</v>
      </c>
      <c r="O204">
        <v>1</v>
      </c>
      <c r="P204">
        <v>4.4999999999999997E-3</v>
      </c>
      <c r="Q204" t="s">
        <v>8</v>
      </c>
      <c r="R204" t="s">
        <v>12</v>
      </c>
      <c r="S204" t="s">
        <v>12</v>
      </c>
      <c r="T204" t="s">
        <v>12</v>
      </c>
      <c r="U204" t="s">
        <v>12</v>
      </c>
      <c r="V204" t="s">
        <v>12</v>
      </c>
      <c r="W204" t="s">
        <v>12</v>
      </c>
      <c r="X204" t="s">
        <v>12</v>
      </c>
      <c r="Y204" t="s">
        <v>12</v>
      </c>
      <c r="Z204" t="s">
        <v>12</v>
      </c>
      <c r="AA204" t="s">
        <v>12</v>
      </c>
      <c r="AB204" t="s">
        <v>12</v>
      </c>
      <c r="AC204" t="s">
        <v>12</v>
      </c>
      <c r="AD204" t="s">
        <v>12</v>
      </c>
    </row>
    <row r="205" spans="1:30">
      <c r="A205" t="s">
        <v>87</v>
      </c>
      <c r="B205" t="str">
        <f>Master_Data_Productivity[[#This Row],[Uniq-ID]]&amp;"-"&amp;Master_Data_Productivity[[#This Row],[Period]]</f>
        <v>DC-Document_Controller-046-M4</v>
      </c>
      <c r="C205" t="s">
        <v>88</v>
      </c>
      <c r="D205" t="s">
        <v>76</v>
      </c>
      <c r="E205" t="s">
        <v>25</v>
      </c>
      <c r="F205" t="s">
        <v>43</v>
      </c>
      <c r="G205" t="s">
        <v>33</v>
      </c>
      <c r="H205" t="s">
        <v>44</v>
      </c>
      <c r="I205">
        <v>2.4E-2</v>
      </c>
      <c r="J205">
        <v>0.5</v>
      </c>
      <c r="K205" t="s">
        <v>2947</v>
      </c>
      <c r="L205" t="s">
        <v>2948</v>
      </c>
      <c r="M205" t="s">
        <v>2873</v>
      </c>
      <c r="N205">
        <v>110</v>
      </c>
      <c r="O205">
        <v>1</v>
      </c>
      <c r="P205">
        <v>9.1000000000000004E-3</v>
      </c>
      <c r="Q205" t="s">
        <v>8</v>
      </c>
      <c r="R205" t="s">
        <v>12</v>
      </c>
      <c r="S205" t="s">
        <v>12</v>
      </c>
      <c r="T205" t="s">
        <v>12</v>
      </c>
      <c r="U205" t="s">
        <v>12</v>
      </c>
      <c r="V205" t="s">
        <v>12</v>
      </c>
      <c r="W205" t="s">
        <v>12</v>
      </c>
      <c r="X205" t="s">
        <v>12</v>
      </c>
      <c r="Y205" t="s">
        <v>12</v>
      </c>
      <c r="Z205" t="s">
        <v>12</v>
      </c>
      <c r="AA205" t="s">
        <v>12</v>
      </c>
      <c r="AB205" t="s">
        <v>12</v>
      </c>
      <c r="AC205" t="s">
        <v>12</v>
      </c>
      <c r="AD205" t="s">
        <v>12</v>
      </c>
    </row>
    <row r="206" spans="1:30">
      <c r="A206" t="s">
        <v>93</v>
      </c>
      <c r="B206" t="str">
        <f>Master_Data_Productivity[[#This Row],[Uniq-ID]]&amp;"-"&amp;Master_Data_Productivity[[#This Row],[Period]]</f>
        <v>DC-Document_Controller-045-M1</v>
      </c>
      <c r="C206" t="s">
        <v>94</v>
      </c>
      <c r="D206" t="s">
        <v>76</v>
      </c>
      <c r="E206" t="s">
        <v>13</v>
      </c>
      <c r="F206" t="s">
        <v>37</v>
      </c>
      <c r="G206" t="s">
        <v>15</v>
      </c>
      <c r="H206" t="s">
        <v>16</v>
      </c>
      <c r="I206">
        <v>2.8340000000000001</v>
      </c>
      <c r="J206">
        <v>1.42</v>
      </c>
      <c r="K206" t="s">
        <v>2947</v>
      </c>
      <c r="L206" t="s">
        <v>2948</v>
      </c>
      <c r="M206" t="s">
        <v>2873</v>
      </c>
      <c r="N206">
        <v>110</v>
      </c>
      <c r="O206">
        <v>4</v>
      </c>
      <c r="P206">
        <v>3.6400000000000002E-2</v>
      </c>
      <c r="Q206" t="s">
        <v>8</v>
      </c>
      <c r="R206" t="s">
        <v>12</v>
      </c>
      <c r="S206" t="s">
        <v>12</v>
      </c>
      <c r="T206" t="s">
        <v>12</v>
      </c>
      <c r="U206" t="s">
        <v>12</v>
      </c>
      <c r="V206" t="s">
        <v>12</v>
      </c>
      <c r="W206" t="s">
        <v>12</v>
      </c>
      <c r="X206" t="s">
        <v>12</v>
      </c>
      <c r="Y206" t="s">
        <v>12</v>
      </c>
      <c r="Z206" t="s">
        <v>12</v>
      </c>
      <c r="AA206" t="s">
        <v>12</v>
      </c>
      <c r="AB206" t="s">
        <v>12</v>
      </c>
      <c r="AC206" t="s">
        <v>12</v>
      </c>
      <c r="AD206" t="s">
        <v>12</v>
      </c>
    </row>
    <row r="207" spans="1:30">
      <c r="A207" t="s">
        <v>93</v>
      </c>
      <c r="B207" t="str">
        <f>Master_Data_Productivity[[#This Row],[Uniq-ID]]&amp;"-"&amp;Master_Data_Productivity[[#This Row],[Period]]</f>
        <v>DC-Document_Controller-045-M1</v>
      </c>
      <c r="C207" t="s">
        <v>94</v>
      </c>
      <c r="D207" t="s">
        <v>76</v>
      </c>
      <c r="E207" t="s">
        <v>13</v>
      </c>
      <c r="F207" t="s">
        <v>37</v>
      </c>
      <c r="G207" t="s">
        <v>15</v>
      </c>
      <c r="H207" t="s">
        <v>16</v>
      </c>
      <c r="I207">
        <v>2.8340000000000001</v>
      </c>
      <c r="J207">
        <v>1.42</v>
      </c>
      <c r="K207" t="s">
        <v>2871</v>
      </c>
      <c r="L207" t="s">
        <v>2950</v>
      </c>
      <c r="M207" t="s">
        <v>2873</v>
      </c>
      <c r="N207">
        <v>88</v>
      </c>
      <c r="O207">
        <v>36</v>
      </c>
      <c r="P207">
        <v>0.40910000000000002</v>
      </c>
      <c r="Q207" t="s">
        <v>8</v>
      </c>
      <c r="R207" t="s">
        <v>12</v>
      </c>
      <c r="S207" t="s">
        <v>12</v>
      </c>
      <c r="T207" t="s">
        <v>12</v>
      </c>
      <c r="U207" t="s">
        <v>12</v>
      </c>
      <c r="V207" t="s">
        <v>12</v>
      </c>
      <c r="W207" t="s">
        <v>12</v>
      </c>
      <c r="X207" t="s">
        <v>12</v>
      </c>
      <c r="Y207" t="s">
        <v>12</v>
      </c>
      <c r="Z207" t="s">
        <v>12</v>
      </c>
      <c r="AA207" t="s">
        <v>12</v>
      </c>
      <c r="AB207" t="s">
        <v>12</v>
      </c>
      <c r="AC207" t="s">
        <v>12</v>
      </c>
      <c r="AD207" t="s">
        <v>12</v>
      </c>
    </row>
    <row r="208" spans="1:30">
      <c r="A208" t="s">
        <v>93</v>
      </c>
      <c r="B208" t="str">
        <f>Master_Data_Productivity[[#This Row],[Uniq-ID]]&amp;"-"&amp;Master_Data_Productivity[[#This Row],[Period]]</f>
        <v>DC-Document_Controller-045-M1</v>
      </c>
      <c r="C208" t="s">
        <v>94</v>
      </c>
      <c r="D208" t="s">
        <v>76</v>
      </c>
      <c r="E208" t="s">
        <v>13</v>
      </c>
      <c r="F208" t="s">
        <v>37</v>
      </c>
      <c r="G208" t="s">
        <v>15</v>
      </c>
      <c r="H208" t="s">
        <v>16</v>
      </c>
      <c r="I208">
        <v>2.8340000000000001</v>
      </c>
      <c r="J208">
        <v>1.42</v>
      </c>
      <c r="K208" t="s">
        <v>2871</v>
      </c>
      <c r="L208" t="s">
        <v>2952</v>
      </c>
      <c r="M208" t="s">
        <v>2873</v>
      </c>
      <c r="N208">
        <v>257</v>
      </c>
      <c r="O208">
        <v>241</v>
      </c>
      <c r="P208">
        <v>0.93769999999999998</v>
      </c>
      <c r="Q208" t="s">
        <v>8</v>
      </c>
      <c r="R208" t="s">
        <v>12</v>
      </c>
      <c r="S208" t="s">
        <v>12</v>
      </c>
      <c r="T208" t="s">
        <v>12</v>
      </c>
      <c r="U208" t="s">
        <v>12</v>
      </c>
      <c r="V208" t="s">
        <v>12</v>
      </c>
      <c r="W208" t="s">
        <v>12</v>
      </c>
      <c r="X208" t="s">
        <v>12</v>
      </c>
      <c r="Y208" t="s">
        <v>12</v>
      </c>
      <c r="Z208" t="s">
        <v>12</v>
      </c>
      <c r="AA208" t="s">
        <v>12</v>
      </c>
      <c r="AB208" t="s">
        <v>12</v>
      </c>
      <c r="AC208" t="s">
        <v>12</v>
      </c>
      <c r="AD208" t="s">
        <v>12</v>
      </c>
    </row>
    <row r="209" spans="1:30">
      <c r="A209" t="s">
        <v>93</v>
      </c>
      <c r="B209" t="str">
        <f>Master_Data_Productivity[[#This Row],[Uniq-ID]]&amp;"-"&amp;Master_Data_Productivity[[#This Row],[Period]]</f>
        <v>DC-Document_Controller-045-M1</v>
      </c>
      <c r="C209" t="s">
        <v>94</v>
      </c>
      <c r="D209" t="s">
        <v>76</v>
      </c>
      <c r="E209" t="s">
        <v>13</v>
      </c>
      <c r="F209" t="s">
        <v>37</v>
      </c>
      <c r="G209" t="s">
        <v>15</v>
      </c>
      <c r="H209" t="s">
        <v>16</v>
      </c>
      <c r="I209">
        <v>2.8340000000000001</v>
      </c>
      <c r="J209">
        <v>1.42</v>
      </c>
      <c r="K209" t="s">
        <v>2871</v>
      </c>
      <c r="L209" t="s">
        <v>2954</v>
      </c>
      <c r="M209" t="s">
        <v>2873</v>
      </c>
      <c r="N209">
        <v>220</v>
      </c>
      <c r="O209">
        <v>81</v>
      </c>
      <c r="P209">
        <v>0.36820000000000003</v>
      </c>
      <c r="Q209" t="s">
        <v>8</v>
      </c>
      <c r="R209" t="s">
        <v>12</v>
      </c>
      <c r="S209" t="s">
        <v>12</v>
      </c>
      <c r="T209" t="s">
        <v>12</v>
      </c>
      <c r="U209" t="s">
        <v>12</v>
      </c>
      <c r="V209" t="s">
        <v>12</v>
      </c>
      <c r="W209" t="s">
        <v>12</v>
      </c>
      <c r="X209" t="s">
        <v>12</v>
      </c>
      <c r="Y209" t="s">
        <v>12</v>
      </c>
      <c r="Z209" t="s">
        <v>12</v>
      </c>
      <c r="AA209" t="s">
        <v>12</v>
      </c>
      <c r="AB209" t="s">
        <v>12</v>
      </c>
      <c r="AC209" t="s">
        <v>12</v>
      </c>
      <c r="AD209" t="s">
        <v>12</v>
      </c>
    </row>
    <row r="210" spans="1:30">
      <c r="A210" t="s">
        <v>93</v>
      </c>
      <c r="B210" t="str">
        <f>Master_Data_Productivity[[#This Row],[Uniq-ID]]&amp;"-"&amp;Master_Data_Productivity[[#This Row],[Period]]</f>
        <v>DC-Document_Controller-045-M1</v>
      </c>
      <c r="C210" t="s">
        <v>94</v>
      </c>
      <c r="D210" t="s">
        <v>76</v>
      </c>
      <c r="E210" t="s">
        <v>13</v>
      </c>
      <c r="F210" t="s">
        <v>37</v>
      </c>
      <c r="G210" t="s">
        <v>15</v>
      </c>
      <c r="H210" t="s">
        <v>16</v>
      </c>
      <c r="I210">
        <v>2.8340000000000001</v>
      </c>
      <c r="J210">
        <v>1.42</v>
      </c>
      <c r="K210" t="s">
        <v>2871</v>
      </c>
      <c r="L210" t="s">
        <v>2956</v>
      </c>
      <c r="M210" t="s">
        <v>2873</v>
      </c>
      <c r="N210">
        <v>298</v>
      </c>
      <c r="O210">
        <v>75</v>
      </c>
      <c r="P210">
        <v>0.25169999999999998</v>
      </c>
      <c r="Q210" t="s">
        <v>8</v>
      </c>
      <c r="R210" t="s">
        <v>12</v>
      </c>
      <c r="S210" t="s">
        <v>12</v>
      </c>
      <c r="T210" t="s">
        <v>12</v>
      </c>
      <c r="U210" t="s">
        <v>12</v>
      </c>
      <c r="V210" t="s">
        <v>12</v>
      </c>
      <c r="W210" t="s">
        <v>12</v>
      </c>
      <c r="X210" t="s">
        <v>12</v>
      </c>
      <c r="Y210" t="s">
        <v>12</v>
      </c>
      <c r="Z210" t="s">
        <v>12</v>
      </c>
      <c r="AA210" t="s">
        <v>12</v>
      </c>
      <c r="AB210" t="s">
        <v>12</v>
      </c>
      <c r="AC210" t="s">
        <v>12</v>
      </c>
      <c r="AD210" t="s">
        <v>12</v>
      </c>
    </row>
    <row r="211" spans="1:30">
      <c r="A211" t="s">
        <v>93</v>
      </c>
      <c r="B211" t="str">
        <f>Master_Data_Productivity[[#This Row],[Uniq-ID]]&amp;"-"&amp;Master_Data_Productivity[[#This Row],[Period]]</f>
        <v>DC-Document_Controller-045-M1</v>
      </c>
      <c r="C211" t="s">
        <v>94</v>
      </c>
      <c r="D211" t="s">
        <v>76</v>
      </c>
      <c r="E211" t="s">
        <v>13</v>
      </c>
      <c r="F211" t="s">
        <v>37</v>
      </c>
      <c r="G211" t="s">
        <v>15</v>
      </c>
      <c r="H211" t="s">
        <v>16</v>
      </c>
      <c r="I211">
        <v>2.8340000000000001</v>
      </c>
      <c r="J211">
        <v>1.42</v>
      </c>
      <c r="K211" t="s">
        <v>2871</v>
      </c>
      <c r="L211" t="s">
        <v>2958</v>
      </c>
      <c r="M211" t="s">
        <v>2873</v>
      </c>
      <c r="N211">
        <v>154</v>
      </c>
      <c r="O211">
        <v>128</v>
      </c>
      <c r="P211">
        <v>0.83120000000000005</v>
      </c>
      <c r="Q211" t="s">
        <v>8</v>
      </c>
      <c r="R211" t="s">
        <v>12</v>
      </c>
      <c r="S211" t="s">
        <v>12</v>
      </c>
      <c r="T211" t="s">
        <v>12</v>
      </c>
      <c r="U211" t="s">
        <v>12</v>
      </c>
      <c r="V211" t="s">
        <v>12</v>
      </c>
      <c r="W211" t="s">
        <v>12</v>
      </c>
      <c r="X211" t="s">
        <v>12</v>
      </c>
      <c r="Y211" t="s">
        <v>12</v>
      </c>
      <c r="Z211" t="s">
        <v>12</v>
      </c>
      <c r="AA211" t="s">
        <v>12</v>
      </c>
      <c r="AB211" t="s">
        <v>12</v>
      </c>
      <c r="AC211" t="s">
        <v>12</v>
      </c>
      <c r="AD211" t="s">
        <v>12</v>
      </c>
    </row>
    <row r="212" spans="1:30">
      <c r="A212" t="s">
        <v>93</v>
      </c>
      <c r="B212" t="str">
        <f>Master_Data_Productivity[[#This Row],[Uniq-ID]]&amp;"-"&amp;Master_Data_Productivity[[#This Row],[Period]]</f>
        <v>DC-Document_Controller-045-M2</v>
      </c>
      <c r="C212" t="s">
        <v>94</v>
      </c>
      <c r="D212" t="s">
        <v>76</v>
      </c>
      <c r="E212" t="s">
        <v>18</v>
      </c>
      <c r="F212" t="s">
        <v>39</v>
      </c>
      <c r="G212" t="s">
        <v>15</v>
      </c>
      <c r="H212" t="s">
        <v>16</v>
      </c>
      <c r="I212">
        <v>3.452</v>
      </c>
      <c r="J212">
        <v>1.5</v>
      </c>
      <c r="K212" t="s">
        <v>2947</v>
      </c>
      <c r="L212" t="s">
        <v>2948</v>
      </c>
      <c r="M212" t="s">
        <v>2873</v>
      </c>
      <c r="N212">
        <v>110</v>
      </c>
      <c r="O212">
        <v>6</v>
      </c>
      <c r="P212">
        <v>5.45E-2</v>
      </c>
      <c r="Q212" t="s">
        <v>8</v>
      </c>
      <c r="R212" t="s">
        <v>12</v>
      </c>
      <c r="S212" t="s">
        <v>12</v>
      </c>
      <c r="T212" t="s">
        <v>12</v>
      </c>
      <c r="U212" t="s">
        <v>12</v>
      </c>
      <c r="V212" t="s">
        <v>12</v>
      </c>
      <c r="W212" t="s">
        <v>12</v>
      </c>
      <c r="X212" t="s">
        <v>12</v>
      </c>
      <c r="Y212" t="s">
        <v>12</v>
      </c>
      <c r="Z212" t="s">
        <v>12</v>
      </c>
      <c r="AA212" t="s">
        <v>12</v>
      </c>
      <c r="AB212" t="s">
        <v>12</v>
      </c>
      <c r="AC212" t="s">
        <v>12</v>
      </c>
      <c r="AD212" t="s">
        <v>12</v>
      </c>
    </row>
    <row r="213" spans="1:30">
      <c r="A213" t="s">
        <v>93</v>
      </c>
      <c r="B213" t="str">
        <f>Master_Data_Productivity[[#This Row],[Uniq-ID]]&amp;"-"&amp;Master_Data_Productivity[[#This Row],[Period]]</f>
        <v>DC-Document_Controller-045-M2</v>
      </c>
      <c r="C213" t="s">
        <v>94</v>
      </c>
      <c r="D213" t="s">
        <v>76</v>
      </c>
      <c r="E213" t="s">
        <v>18</v>
      </c>
      <c r="F213" t="s">
        <v>39</v>
      </c>
      <c r="G213" t="s">
        <v>15</v>
      </c>
      <c r="H213" t="s">
        <v>16</v>
      </c>
      <c r="I213">
        <v>3.452</v>
      </c>
      <c r="J213">
        <v>1.5</v>
      </c>
      <c r="K213" t="s">
        <v>2871</v>
      </c>
      <c r="L213" t="s">
        <v>2950</v>
      </c>
      <c r="M213" t="s">
        <v>2873</v>
      </c>
      <c r="N213">
        <v>88</v>
      </c>
      <c r="O213">
        <v>24</v>
      </c>
      <c r="P213">
        <v>0.2727</v>
      </c>
      <c r="Q213" t="s">
        <v>8</v>
      </c>
      <c r="R213" t="s">
        <v>12</v>
      </c>
      <c r="S213" t="s">
        <v>12</v>
      </c>
      <c r="T213" t="s">
        <v>12</v>
      </c>
      <c r="U213" t="s">
        <v>12</v>
      </c>
      <c r="V213" t="s">
        <v>12</v>
      </c>
      <c r="W213" t="s">
        <v>12</v>
      </c>
      <c r="X213" t="s">
        <v>12</v>
      </c>
      <c r="Y213" t="s">
        <v>12</v>
      </c>
      <c r="Z213" t="s">
        <v>12</v>
      </c>
      <c r="AA213" t="s">
        <v>12</v>
      </c>
      <c r="AB213" t="s">
        <v>12</v>
      </c>
      <c r="AC213" t="s">
        <v>12</v>
      </c>
      <c r="AD213" t="s">
        <v>12</v>
      </c>
    </row>
    <row r="214" spans="1:30">
      <c r="A214" t="s">
        <v>93</v>
      </c>
      <c r="B214" t="str">
        <f>Master_Data_Productivity[[#This Row],[Uniq-ID]]&amp;"-"&amp;Master_Data_Productivity[[#This Row],[Period]]</f>
        <v>DC-Document_Controller-045-M2</v>
      </c>
      <c r="C214" t="s">
        <v>94</v>
      </c>
      <c r="D214" t="s">
        <v>76</v>
      </c>
      <c r="E214" t="s">
        <v>18</v>
      </c>
      <c r="F214" t="s">
        <v>39</v>
      </c>
      <c r="G214" t="s">
        <v>15</v>
      </c>
      <c r="H214" t="s">
        <v>16</v>
      </c>
      <c r="I214">
        <v>3.452</v>
      </c>
      <c r="J214">
        <v>1.5</v>
      </c>
      <c r="K214" t="s">
        <v>2871</v>
      </c>
      <c r="L214" t="s">
        <v>2952</v>
      </c>
      <c r="M214" t="s">
        <v>2873</v>
      </c>
      <c r="N214">
        <v>257</v>
      </c>
      <c r="O214">
        <v>126</v>
      </c>
      <c r="P214">
        <v>0.49030000000000001</v>
      </c>
      <c r="Q214" t="s">
        <v>8</v>
      </c>
      <c r="R214" t="s">
        <v>12</v>
      </c>
      <c r="S214" t="s">
        <v>12</v>
      </c>
      <c r="T214" t="s">
        <v>12</v>
      </c>
      <c r="U214" t="s">
        <v>12</v>
      </c>
      <c r="V214" t="s">
        <v>12</v>
      </c>
      <c r="W214" t="s">
        <v>12</v>
      </c>
      <c r="X214" t="s">
        <v>12</v>
      </c>
      <c r="Y214" t="s">
        <v>12</v>
      </c>
      <c r="Z214" t="s">
        <v>12</v>
      </c>
      <c r="AA214" t="s">
        <v>12</v>
      </c>
      <c r="AB214" t="s">
        <v>12</v>
      </c>
      <c r="AC214" t="s">
        <v>12</v>
      </c>
      <c r="AD214" t="s">
        <v>12</v>
      </c>
    </row>
    <row r="215" spans="1:30">
      <c r="A215" t="s">
        <v>93</v>
      </c>
      <c r="B215" t="str">
        <f>Master_Data_Productivity[[#This Row],[Uniq-ID]]&amp;"-"&amp;Master_Data_Productivity[[#This Row],[Period]]</f>
        <v>DC-Document_Controller-045-M2</v>
      </c>
      <c r="C215" t="s">
        <v>94</v>
      </c>
      <c r="D215" t="s">
        <v>76</v>
      </c>
      <c r="E215" t="s">
        <v>18</v>
      </c>
      <c r="F215" t="s">
        <v>39</v>
      </c>
      <c r="G215" t="s">
        <v>15</v>
      </c>
      <c r="H215" t="s">
        <v>16</v>
      </c>
      <c r="I215">
        <v>3.452</v>
      </c>
      <c r="J215">
        <v>1.5</v>
      </c>
      <c r="K215" t="s">
        <v>2871</v>
      </c>
      <c r="L215" t="s">
        <v>2954</v>
      </c>
      <c r="M215" t="s">
        <v>2873</v>
      </c>
      <c r="N215">
        <v>220</v>
      </c>
      <c r="O215">
        <v>28</v>
      </c>
      <c r="P215">
        <v>0.1273</v>
      </c>
      <c r="Q215" t="s">
        <v>8</v>
      </c>
      <c r="R215" t="s">
        <v>12</v>
      </c>
      <c r="S215" t="s">
        <v>12</v>
      </c>
      <c r="T215" t="s">
        <v>12</v>
      </c>
      <c r="U215" t="s">
        <v>12</v>
      </c>
      <c r="V215" t="s">
        <v>12</v>
      </c>
      <c r="W215" t="s">
        <v>12</v>
      </c>
      <c r="X215" t="s">
        <v>12</v>
      </c>
      <c r="Y215" t="s">
        <v>12</v>
      </c>
      <c r="Z215" t="s">
        <v>12</v>
      </c>
      <c r="AA215" t="s">
        <v>12</v>
      </c>
      <c r="AB215" t="s">
        <v>12</v>
      </c>
      <c r="AC215" t="s">
        <v>12</v>
      </c>
      <c r="AD215" t="s">
        <v>12</v>
      </c>
    </row>
    <row r="216" spans="1:30">
      <c r="A216" t="s">
        <v>93</v>
      </c>
      <c r="B216" t="str">
        <f>Master_Data_Productivity[[#This Row],[Uniq-ID]]&amp;"-"&amp;Master_Data_Productivity[[#This Row],[Period]]</f>
        <v>DC-Document_Controller-045-M2</v>
      </c>
      <c r="C216" t="s">
        <v>94</v>
      </c>
      <c r="D216" t="s">
        <v>76</v>
      </c>
      <c r="E216" t="s">
        <v>18</v>
      </c>
      <c r="F216" t="s">
        <v>39</v>
      </c>
      <c r="G216" t="s">
        <v>15</v>
      </c>
      <c r="H216" t="s">
        <v>16</v>
      </c>
      <c r="I216">
        <v>3.452</v>
      </c>
      <c r="J216">
        <v>1.5</v>
      </c>
      <c r="K216" t="s">
        <v>2871</v>
      </c>
      <c r="L216" t="s">
        <v>2956</v>
      </c>
      <c r="M216" t="s">
        <v>2873</v>
      </c>
      <c r="N216">
        <v>298</v>
      </c>
      <c r="O216">
        <v>219</v>
      </c>
      <c r="P216">
        <v>0.7349</v>
      </c>
      <c r="Q216" t="s">
        <v>8</v>
      </c>
      <c r="R216" t="s">
        <v>12</v>
      </c>
      <c r="S216" t="s">
        <v>12</v>
      </c>
      <c r="T216" t="s">
        <v>12</v>
      </c>
      <c r="U216" t="s">
        <v>12</v>
      </c>
      <c r="V216" t="s">
        <v>12</v>
      </c>
      <c r="W216" t="s">
        <v>12</v>
      </c>
      <c r="X216" t="s">
        <v>12</v>
      </c>
      <c r="Y216" t="s">
        <v>12</v>
      </c>
      <c r="Z216" t="s">
        <v>12</v>
      </c>
      <c r="AA216" t="s">
        <v>12</v>
      </c>
      <c r="AB216" t="s">
        <v>12</v>
      </c>
      <c r="AC216" t="s">
        <v>12</v>
      </c>
      <c r="AD216" t="s">
        <v>12</v>
      </c>
    </row>
    <row r="217" spans="1:30">
      <c r="A217" t="s">
        <v>93</v>
      </c>
      <c r="B217" t="str">
        <f>Master_Data_Productivity[[#This Row],[Uniq-ID]]&amp;"-"&amp;Master_Data_Productivity[[#This Row],[Period]]</f>
        <v>DC-Document_Controller-045-M2</v>
      </c>
      <c r="C217" t="s">
        <v>94</v>
      </c>
      <c r="D217" t="s">
        <v>76</v>
      </c>
      <c r="E217" t="s">
        <v>18</v>
      </c>
      <c r="F217" t="s">
        <v>39</v>
      </c>
      <c r="G217" t="s">
        <v>15</v>
      </c>
      <c r="H217" t="s">
        <v>16</v>
      </c>
      <c r="I217">
        <v>3.452</v>
      </c>
      <c r="J217">
        <v>1.5</v>
      </c>
      <c r="K217" t="s">
        <v>2871</v>
      </c>
      <c r="L217" t="s">
        <v>2958</v>
      </c>
      <c r="M217" t="s">
        <v>2873</v>
      </c>
      <c r="N217">
        <v>154</v>
      </c>
      <c r="O217">
        <v>273</v>
      </c>
      <c r="P217">
        <v>1.7726999999999999</v>
      </c>
      <c r="Q217" t="s">
        <v>8</v>
      </c>
      <c r="R217" t="s">
        <v>12</v>
      </c>
      <c r="S217" t="s">
        <v>12</v>
      </c>
      <c r="T217" t="s">
        <v>12</v>
      </c>
      <c r="U217" t="s">
        <v>12</v>
      </c>
      <c r="V217" t="s">
        <v>12</v>
      </c>
      <c r="W217" t="s">
        <v>12</v>
      </c>
      <c r="X217" t="s">
        <v>12</v>
      </c>
      <c r="Y217" t="s">
        <v>12</v>
      </c>
      <c r="Z217" t="s">
        <v>12</v>
      </c>
      <c r="AA217" t="s">
        <v>12</v>
      </c>
      <c r="AB217" t="s">
        <v>12</v>
      </c>
      <c r="AC217" t="s">
        <v>12</v>
      </c>
      <c r="AD217" t="s">
        <v>12</v>
      </c>
    </row>
    <row r="218" spans="1:30">
      <c r="A218" t="s">
        <v>93</v>
      </c>
      <c r="B218" t="str">
        <f>Master_Data_Productivity[[#This Row],[Uniq-ID]]&amp;"-"&amp;Master_Data_Productivity[[#This Row],[Period]]</f>
        <v>DC-Document_Controller-045-M3</v>
      </c>
      <c r="C218" t="s">
        <v>94</v>
      </c>
      <c r="D218" t="s">
        <v>76</v>
      </c>
      <c r="E218" t="s">
        <v>22</v>
      </c>
      <c r="F218" t="s">
        <v>41</v>
      </c>
      <c r="G218" t="s">
        <v>15</v>
      </c>
      <c r="H218" t="s">
        <v>20</v>
      </c>
      <c r="I218">
        <v>1.5649999999999999</v>
      </c>
      <c r="J218">
        <v>1</v>
      </c>
      <c r="K218" t="s">
        <v>2871</v>
      </c>
      <c r="L218" t="s">
        <v>2958</v>
      </c>
      <c r="M218" t="s">
        <v>2873</v>
      </c>
      <c r="N218">
        <v>154</v>
      </c>
      <c r="O218">
        <v>103</v>
      </c>
      <c r="P218">
        <v>0.66879999999999995</v>
      </c>
      <c r="Q218" t="s">
        <v>8</v>
      </c>
      <c r="R218" t="s">
        <v>12</v>
      </c>
      <c r="S218" t="s">
        <v>12</v>
      </c>
      <c r="T218" t="s">
        <v>12</v>
      </c>
      <c r="U218" t="s">
        <v>12</v>
      </c>
      <c r="V218" t="s">
        <v>12</v>
      </c>
      <c r="W218" t="s">
        <v>12</v>
      </c>
      <c r="X218" t="s">
        <v>12</v>
      </c>
      <c r="Y218" t="s">
        <v>12</v>
      </c>
      <c r="Z218" t="s">
        <v>12</v>
      </c>
      <c r="AA218" t="s">
        <v>12</v>
      </c>
      <c r="AB218" t="s">
        <v>12</v>
      </c>
      <c r="AC218" t="s">
        <v>12</v>
      </c>
      <c r="AD218" t="s">
        <v>12</v>
      </c>
    </row>
    <row r="219" spans="1:30">
      <c r="A219" t="s">
        <v>93</v>
      </c>
      <c r="B219" t="str">
        <f>Master_Data_Productivity[[#This Row],[Uniq-ID]]&amp;"-"&amp;Master_Data_Productivity[[#This Row],[Period]]</f>
        <v>DC-Document_Controller-045-M3</v>
      </c>
      <c r="C219" t="s">
        <v>94</v>
      </c>
      <c r="D219" t="s">
        <v>76</v>
      </c>
      <c r="E219" t="s">
        <v>22</v>
      </c>
      <c r="F219" t="s">
        <v>41</v>
      </c>
      <c r="G219" t="s">
        <v>15</v>
      </c>
      <c r="H219" t="s">
        <v>20</v>
      </c>
      <c r="I219">
        <v>1.5649999999999999</v>
      </c>
      <c r="J219">
        <v>1</v>
      </c>
      <c r="K219" t="s">
        <v>2871</v>
      </c>
      <c r="L219" t="s">
        <v>2950</v>
      </c>
      <c r="M219" t="s">
        <v>2873</v>
      </c>
      <c r="N219">
        <v>88</v>
      </c>
      <c r="O219">
        <v>5</v>
      </c>
      <c r="P219">
        <v>5.6800000000000003E-2</v>
      </c>
      <c r="Q219" t="s">
        <v>8</v>
      </c>
      <c r="R219" t="s">
        <v>12</v>
      </c>
      <c r="S219" t="s">
        <v>12</v>
      </c>
      <c r="T219" t="s">
        <v>12</v>
      </c>
      <c r="U219" t="s">
        <v>12</v>
      </c>
      <c r="V219" t="s">
        <v>12</v>
      </c>
      <c r="W219" t="s">
        <v>12</v>
      </c>
      <c r="X219" t="s">
        <v>12</v>
      </c>
      <c r="Y219" t="s">
        <v>12</v>
      </c>
      <c r="Z219" t="s">
        <v>12</v>
      </c>
      <c r="AA219" t="s">
        <v>12</v>
      </c>
      <c r="AB219" t="s">
        <v>12</v>
      </c>
      <c r="AC219" t="s">
        <v>12</v>
      </c>
      <c r="AD219" t="s">
        <v>12</v>
      </c>
    </row>
    <row r="220" spans="1:30">
      <c r="A220" t="s">
        <v>93</v>
      </c>
      <c r="B220" t="str">
        <f>Master_Data_Productivity[[#This Row],[Uniq-ID]]&amp;"-"&amp;Master_Data_Productivity[[#This Row],[Period]]</f>
        <v>DC-Document_Controller-045-M3</v>
      </c>
      <c r="C220" t="s">
        <v>94</v>
      </c>
      <c r="D220" t="s">
        <v>76</v>
      </c>
      <c r="E220" t="s">
        <v>22</v>
      </c>
      <c r="F220" t="s">
        <v>41</v>
      </c>
      <c r="G220" t="s">
        <v>15</v>
      </c>
      <c r="H220" t="s">
        <v>20</v>
      </c>
      <c r="I220">
        <v>1.5649999999999999</v>
      </c>
      <c r="J220">
        <v>1</v>
      </c>
      <c r="K220" t="s">
        <v>2871</v>
      </c>
      <c r="L220" t="s">
        <v>2952</v>
      </c>
      <c r="M220" t="s">
        <v>2873</v>
      </c>
      <c r="N220">
        <v>257</v>
      </c>
      <c r="O220">
        <v>24</v>
      </c>
      <c r="P220">
        <v>9.3399999999999997E-2</v>
      </c>
      <c r="Q220" t="s">
        <v>8</v>
      </c>
      <c r="R220" t="s">
        <v>12</v>
      </c>
      <c r="S220" t="s">
        <v>12</v>
      </c>
      <c r="T220" t="s">
        <v>12</v>
      </c>
      <c r="U220" t="s">
        <v>12</v>
      </c>
      <c r="V220" t="s">
        <v>12</v>
      </c>
      <c r="W220" t="s">
        <v>12</v>
      </c>
      <c r="X220" t="s">
        <v>12</v>
      </c>
      <c r="Y220" t="s">
        <v>12</v>
      </c>
      <c r="Z220" t="s">
        <v>12</v>
      </c>
      <c r="AA220" t="s">
        <v>12</v>
      </c>
      <c r="AB220" t="s">
        <v>12</v>
      </c>
      <c r="AC220" t="s">
        <v>12</v>
      </c>
      <c r="AD220" t="s">
        <v>12</v>
      </c>
    </row>
    <row r="221" spans="1:30">
      <c r="A221" t="s">
        <v>93</v>
      </c>
      <c r="B221" t="str">
        <f>Master_Data_Productivity[[#This Row],[Uniq-ID]]&amp;"-"&amp;Master_Data_Productivity[[#This Row],[Period]]</f>
        <v>DC-Document_Controller-045-M3</v>
      </c>
      <c r="C221" t="s">
        <v>94</v>
      </c>
      <c r="D221" t="s">
        <v>76</v>
      </c>
      <c r="E221" t="s">
        <v>22</v>
      </c>
      <c r="F221" t="s">
        <v>41</v>
      </c>
      <c r="G221" t="s">
        <v>15</v>
      </c>
      <c r="H221" t="s">
        <v>20</v>
      </c>
      <c r="I221">
        <v>1.5649999999999999</v>
      </c>
      <c r="J221">
        <v>1</v>
      </c>
      <c r="K221" t="s">
        <v>2871</v>
      </c>
      <c r="L221" t="s">
        <v>2954</v>
      </c>
      <c r="M221" t="s">
        <v>2873</v>
      </c>
      <c r="N221">
        <v>220</v>
      </c>
      <c r="O221">
        <v>9</v>
      </c>
      <c r="P221">
        <v>4.0899999999999999E-2</v>
      </c>
      <c r="Q221" t="s">
        <v>8</v>
      </c>
      <c r="R221" t="s">
        <v>12</v>
      </c>
      <c r="S221" t="s">
        <v>12</v>
      </c>
      <c r="T221" t="s">
        <v>12</v>
      </c>
      <c r="U221" t="s">
        <v>12</v>
      </c>
      <c r="V221" t="s">
        <v>12</v>
      </c>
      <c r="W221" t="s">
        <v>12</v>
      </c>
      <c r="X221" t="s">
        <v>12</v>
      </c>
      <c r="Y221" t="s">
        <v>12</v>
      </c>
      <c r="Z221" t="s">
        <v>12</v>
      </c>
      <c r="AA221" t="s">
        <v>12</v>
      </c>
      <c r="AB221" t="s">
        <v>12</v>
      </c>
      <c r="AC221" t="s">
        <v>12</v>
      </c>
      <c r="AD221" t="s">
        <v>12</v>
      </c>
    </row>
    <row r="222" spans="1:30">
      <c r="A222" t="s">
        <v>93</v>
      </c>
      <c r="B222" t="str">
        <f>Master_Data_Productivity[[#This Row],[Uniq-ID]]&amp;"-"&amp;Master_Data_Productivity[[#This Row],[Period]]</f>
        <v>DC-Document_Controller-045-M3</v>
      </c>
      <c r="C222" t="s">
        <v>94</v>
      </c>
      <c r="D222" t="s">
        <v>76</v>
      </c>
      <c r="E222" t="s">
        <v>22</v>
      </c>
      <c r="F222" t="s">
        <v>41</v>
      </c>
      <c r="G222" t="s">
        <v>15</v>
      </c>
      <c r="H222" t="s">
        <v>20</v>
      </c>
      <c r="I222">
        <v>1.5649999999999999</v>
      </c>
      <c r="J222">
        <v>1</v>
      </c>
      <c r="K222" t="s">
        <v>2871</v>
      </c>
      <c r="L222" t="s">
        <v>2956</v>
      </c>
      <c r="M222" t="s">
        <v>2873</v>
      </c>
      <c r="N222">
        <v>298</v>
      </c>
      <c r="O222">
        <v>210</v>
      </c>
      <c r="P222">
        <v>0.70469999999999999</v>
      </c>
      <c r="Q222" t="s">
        <v>8</v>
      </c>
      <c r="R222" t="s">
        <v>12</v>
      </c>
      <c r="S222" t="s">
        <v>12</v>
      </c>
      <c r="T222" t="s">
        <v>12</v>
      </c>
      <c r="U222" t="s">
        <v>12</v>
      </c>
      <c r="V222" t="s">
        <v>12</v>
      </c>
      <c r="W222" t="s">
        <v>12</v>
      </c>
      <c r="X222" t="s">
        <v>12</v>
      </c>
      <c r="Y222" t="s">
        <v>12</v>
      </c>
      <c r="Z222" t="s">
        <v>12</v>
      </c>
      <c r="AA222" t="s">
        <v>12</v>
      </c>
      <c r="AB222" t="s">
        <v>12</v>
      </c>
      <c r="AC222" t="s">
        <v>12</v>
      </c>
      <c r="AD222" t="s">
        <v>12</v>
      </c>
    </row>
    <row r="223" spans="1:30">
      <c r="A223" t="s">
        <v>93</v>
      </c>
      <c r="B223" t="str">
        <f>Master_Data_Productivity[[#This Row],[Uniq-ID]]&amp;"-"&amp;Master_Data_Productivity[[#This Row],[Period]]</f>
        <v>DC-Document_Controller-045-M4</v>
      </c>
      <c r="C223" t="s">
        <v>94</v>
      </c>
      <c r="D223" t="s">
        <v>76</v>
      </c>
      <c r="E223" t="s">
        <v>25</v>
      </c>
      <c r="F223" t="s">
        <v>43</v>
      </c>
      <c r="G223" t="s">
        <v>33</v>
      </c>
      <c r="H223" t="s">
        <v>44</v>
      </c>
      <c r="I223">
        <v>0.28699999999999998</v>
      </c>
      <c r="J223">
        <v>0.5</v>
      </c>
      <c r="K223" t="s">
        <v>2871</v>
      </c>
      <c r="L223" t="s">
        <v>2958</v>
      </c>
      <c r="M223" t="s">
        <v>2873</v>
      </c>
      <c r="N223">
        <v>154</v>
      </c>
      <c r="O223">
        <v>16</v>
      </c>
      <c r="P223">
        <v>0.10390000000000001</v>
      </c>
      <c r="Q223" t="s">
        <v>8</v>
      </c>
      <c r="R223" t="s">
        <v>12</v>
      </c>
      <c r="S223" t="s">
        <v>12</v>
      </c>
      <c r="T223" t="s">
        <v>12</v>
      </c>
      <c r="U223" t="s">
        <v>12</v>
      </c>
      <c r="V223" t="s">
        <v>12</v>
      </c>
      <c r="W223" t="s">
        <v>12</v>
      </c>
      <c r="X223" t="s">
        <v>12</v>
      </c>
      <c r="Y223" t="s">
        <v>12</v>
      </c>
      <c r="Z223" t="s">
        <v>12</v>
      </c>
      <c r="AA223" t="s">
        <v>12</v>
      </c>
      <c r="AB223" t="s">
        <v>12</v>
      </c>
      <c r="AC223" t="s">
        <v>12</v>
      </c>
      <c r="AD223" t="s">
        <v>12</v>
      </c>
    </row>
    <row r="224" spans="1:30">
      <c r="A224" t="s">
        <v>93</v>
      </c>
      <c r="B224" t="str">
        <f>Master_Data_Productivity[[#This Row],[Uniq-ID]]&amp;"-"&amp;Master_Data_Productivity[[#This Row],[Period]]</f>
        <v>DC-Document_Controller-045-M4</v>
      </c>
      <c r="C224" t="s">
        <v>94</v>
      </c>
      <c r="D224" t="s">
        <v>76</v>
      </c>
      <c r="E224" t="s">
        <v>25</v>
      </c>
      <c r="F224" t="s">
        <v>43</v>
      </c>
      <c r="G224" t="s">
        <v>33</v>
      </c>
      <c r="H224" t="s">
        <v>44</v>
      </c>
      <c r="I224">
        <v>0.28699999999999998</v>
      </c>
      <c r="J224">
        <v>0.5</v>
      </c>
      <c r="K224" t="s">
        <v>2871</v>
      </c>
      <c r="L224" t="s">
        <v>2952</v>
      </c>
      <c r="M224" t="s">
        <v>2873</v>
      </c>
      <c r="N224">
        <v>257</v>
      </c>
      <c r="O224">
        <v>23</v>
      </c>
      <c r="P224">
        <v>8.9499999999999996E-2</v>
      </c>
      <c r="Q224" t="s">
        <v>8</v>
      </c>
      <c r="R224" t="s">
        <v>12</v>
      </c>
      <c r="S224" t="s">
        <v>12</v>
      </c>
      <c r="T224" t="s">
        <v>12</v>
      </c>
      <c r="U224" t="s">
        <v>12</v>
      </c>
      <c r="V224" t="s">
        <v>12</v>
      </c>
      <c r="W224" t="s">
        <v>12</v>
      </c>
      <c r="X224" t="s">
        <v>12</v>
      </c>
      <c r="Y224" t="s">
        <v>12</v>
      </c>
      <c r="Z224" t="s">
        <v>12</v>
      </c>
      <c r="AA224" t="s">
        <v>12</v>
      </c>
      <c r="AB224" t="s">
        <v>12</v>
      </c>
      <c r="AC224" t="s">
        <v>12</v>
      </c>
      <c r="AD224" t="s">
        <v>12</v>
      </c>
    </row>
    <row r="225" spans="1:30">
      <c r="A225" t="s">
        <v>93</v>
      </c>
      <c r="B225" t="str">
        <f>Master_Data_Productivity[[#This Row],[Uniq-ID]]&amp;"-"&amp;Master_Data_Productivity[[#This Row],[Period]]</f>
        <v>DC-Document_Controller-045-M4</v>
      </c>
      <c r="C225" t="s">
        <v>94</v>
      </c>
      <c r="D225" t="s">
        <v>76</v>
      </c>
      <c r="E225" t="s">
        <v>25</v>
      </c>
      <c r="F225" t="s">
        <v>43</v>
      </c>
      <c r="G225" t="s">
        <v>33</v>
      </c>
      <c r="H225" t="s">
        <v>44</v>
      </c>
      <c r="I225">
        <v>0.28699999999999998</v>
      </c>
      <c r="J225">
        <v>0.5</v>
      </c>
      <c r="K225" t="s">
        <v>2871</v>
      </c>
      <c r="L225" t="s">
        <v>2956</v>
      </c>
      <c r="M225" t="s">
        <v>2873</v>
      </c>
      <c r="N225">
        <v>298</v>
      </c>
      <c r="O225">
        <v>28</v>
      </c>
      <c r="P225">
        <v>9.4E-2</v>
      </c>
      <c r="Q225" t="s">
        <v>8</v>
      </c>
      <c r="R225" t="s">
        <v>12</v>
      </c>
      <c r="S225" t="s">
        <v>12</v>
      </c>
      <c r="T225" t="s">
        <v>12</v>
      </c>
      <c r="U225" t="s">
        <v>12</v>
      </c>
      <c r="V225" t="s">
        <v>12</v>
      </c>
      <c r="W225" t="s">
        <v>12</v>
      </c>
      <c r="X225" t="s">
        <v>12</v>
      </c>
      <c r="Y225" t="s">
        <v>12</v>
      </c>
      <c r="Z225" t="s">
        <v>12</v>
      </c>
      <c r="AA225" t="s">
        <v>12</v>
      </c>
      <c r="AB225" t="s">
        <v>12</v>
      </c>
      <c r="AC225" t="s">
        <v>12</v>
      </c>
      <c r="AD225" t="s">
        <v>12</v>
      </c>
    </row>
    <row r="226" spans="1:30">
      <c r="A226" t="s">
        <v>170</v>
      </c>
      <c r="B226" t="str">
        <f>Master_Data_Productivity[[#This Row],[Uniq-ID]]&amp;"-"&amp;Master_Data_Productivity[[#This Row],[Period]]</f>
        <v>DC-Document_Controller-012-M1</v>
      </c>
      <c r="C226" t="s">
        <v>171</v>
      </c>
      <c r="D226" t="s">
        <v>11</v>
      </c>
      <c r="E226" t="s">
        <v>13</v>
      </c>
      <c r="F226" t="s">
        <v>122</v>
      </c>
      <c r="G226" t="s">
        <v>15</v>
      </c>
      <c r="H226" t="s">
        <v>16</v>
      </c>
      <c r="I226">
        <v>2.3010000000000002</v>
      </c>
      <c r="J226">
        <v>1.1499999999999999</v>
      </c>
      <c r="K226" t="s">
        <v>2871</v>
      </c>
      <c r="L226" t="s">
        <v>2875</v>
      </c>
      <c r="M226" t="s">
        <v>2873</v>
      </c>
      <c r="N226">
        <v>36</v>
      </c>
      <c r="O226">
        <v>9</v>
      </c>
      <c r="P226">
        <v>0.25</v>
      </c>
      <c r="Q226" t="s">
        <v>8</v>
      </c>
      <c r="R226" t="s">
        <v>12</v>
      </c>
      <c r="S226" t="s">
        <v>12</v>
      </c>
      <c r="T226" t="s">
        <v>12</v>
      </c>
      <c r="U226" t="s">
        <v>12</v>
      </c>
      <c r="V226" t="s">
        <v>12</v>
      </c>
      <c r="W226" t="s">
        <v>12</v>
      </c>
      <c r="X226" t="s">
        <v>12</v>
      </c>
      <c r="Y226" t="s">
        <v>12</v>
      </c>
      <c r="Z226" t="s">
        <v>12</v>
      </c>
      <c r="AA226" t="s">
        <v>12</v>
      </c>
      <c r="AB226" t="s">
        <v>12</v>
      </c>
      <c r="AC226" t="s">
        <v>12</v>
      </c>
      <c r="AD226" t="s">
        <v>12</v>
      </c>
    </row>
    <row r="227" spans="1:30">
      <c r="A227" t="s">
        <v>170</v>
      </c>
      <c r="B227" t="str">
        <f>Master_Data_Productivity[[#This Row],[Uniq-ID]]&amp;"-"&amp;Master_Data_Productivity[[#This Row],[Period]]</f>
        <v>DC-Document_Controller-012-M1</v>
      </c>
      <c r="C227" t="s">
        <v>171</v>
      </c>
      <c r="D227" t="s">
        <v>11</v>
      </c>
      <c r="E227" t="s">
        <v>13</v>
      </c>
      <c r="F227" t="s">
        <v>122</v>
      </c>
      <c r="G227" t="s">
        <v>15</v>
      </c>
      <c r="H227" t="s">
        <v>16</v>
      </c>
      <c r="I227">
        <v>2.3010000000000002</v>
      </c>
      <c r="J227">
        <v>1.1499999999999999</v>
      </c>
      <c r="K227" t="s">
        <v>2871</v>
      </c>
      <c r="L227" t="s">
        <v>2872</v>
      </c>
      <c r="M227" t="s">
        <v>2873</v>
      </c>
      <c r="N227">
        <v>35</v>
      </c>
      <c r="O227">
        <v>16</v>
      </c>
      <c r="P227">
        <v>0.45710000000000001</v>
      </c>
      <c r="Q227" t="s">
        <v>8</v>
      </c>
      <c r="R227" t="s">
        <v>12</v>
      </c>
      <c r="S227" t="s">
        <v>12</v>
      </c>
      <c r="T227" t="s">
        <v>12</v>
      </c>
      <c r="U227" t="s">
        <v>12</v>
      </c>
      <c r="V227" t="s">
        <v>12</v>
      </c>
      <c r="W227" t="s">
        <v>12</v>
      </c>
      <c r="X227" t="s">
        <v>12</v>
      </c>
      <c r="Y227" t="s">
        <v>12</v>
      </c>
      <c r="Z227" t="s">
        <v>12</v>
      </c>
      <c r="AA227" t="s">
        <v>12</v>
      </c>
      <c r="AB227" t="s">
        <v>12</v>
      </c>
      <c r="AC227" t="s">
        <v>12</v>
      </c>
      <c r="AD227" t="s">
        <v>12</v>
      </c>
    </row>
    <row r="228" spans="1:30">
      <c r="A228" t="s">
        <v>170</v>
      </c>
      <c r="B228" t="str">
        <f>Master_Data_Productivity[[#This Row],[Uniq-ID]]&amp;"-"&amp;Master_Data_Productivity[[#This Row],[Period]]</f>
        <v>DC-Document_Controller-012-M1</v>
      </c>
      <c r="C228" t="s">
        <v>171</v>
      </c>
      <c r="D228" t="s">
        <v>11</v>
      </c>
      <c r="E228" t="s">
        <v>13</v>
      </c>
      <c r="F228" t="s">
        <v>122</v>
      </c>
      <c r="G228" t="s">
        <v>15</v>
      </c>
      <c r="H228" t="s">
        <v>16</v>
      </c>
      <c r="I228">
        <v>2.3010000000000002</v>
      </c>
      <c r="J228">
        <v>1.1499999999999999</v>
      </c>
      <c r="K228" t="s">
        <v>2871</v>
      </c>
      <c r="L228" t="s">
        <v>2877</v>
      </c>
      <c r="M228" t="s">
        <v>2873</v>
      </c>
      <c r="N228">
        <v>32</v>
      </c>
      <c r="O228">
        <v>51</v>
      </c>
      <c r="P228">
        <v>1.5938000000000001</v>
      </c>
      <c r="Q228" t="s">
        <v>8</v>
      </c>
      <c r="R228" t="s">
        <v>12</v>
      </c>
      <c r="S228" t="s">
        <v>12</v>
      </c>
      <c r="T228" t="s">
        <v>12</v>
      </c>
      <c r="U228" t="s">
        <v>12</v>
      </c>
      <c r="V228" t="s">
        <v>12</v>
      </c>
      <c r="W228" t="s">
        <v>12</v>
      </c>
      <c r="X228" t="s">
        <v>12</v>
      </c>
      <c r="Y228" t="s">
        <v>12</v>
      </c>
      <c r="Z228" t="s">
        <v>12</v>
      </c>
      <c r="AA228" t="s">
        <v>12</v>
      </c>
      <c r="AB228" t="s">
        <v>12</v>
      </c>
      <c r="AC228" t="s">
        <v>12</v>
      </c>
      <c r="AD228" t="s">
        <v>12</v>
      </c>
    </row>
    <row r="229" spans="1:30">
      <c r="A229" t="s">
        <v>170</v>
      </c>
      <c r="B229" t="str">
        <f>Master_Data_Productivity[[#This Row],[Uniq-ID]]&amp;"-"&amp;Master_Data_Productivity[[#This Row],[Period]]</f>
        <v>DC-Document_Controller-012-M2</v>
      </c>
      <c r="C229" t="s">
        <v>171</v>
      </c>
      <c r="D229" t="s">
        <v>11</v>
      </c>
      <c r="E229" t="s">
        <v>18</v>
      </c>
      <c r="F229" t="s">
        <v>124</v>
      </c>
      <c r="G229" t="s">
        <v>15</v>
      </c>
      <c r="H229" t="s">
        <v>16</v>
      </c>
      <c r="I229">
        <v>2.8740000000000001</v>
      </c>
      <c r="J229">
        <v>1.44</v>
      </c>
      <c r="K229" t="s">
        <v>2871</v>
      </c>
      <c r="L229" t="s">
        <v>2875</v>
      </c>
      <c r="M229" t="s">
        <v>2873</v>
      </c>
      <c r="N229">
        <v>36</v>
      </c>
      <c r="O229">
        <v>54</v>
      </c>
      <c r="P229">
        <v>1.5</v>
      </c>
      <c r="Q229" t="s">
        <v>8</v>
      </c>
      <c r="R229" t="s">
        <v>12</v>
      </c>
      <c r="S229" t="s">
        <v>12</v>
      </c>
      <c r="T229" t="s">
        <v>12</v>
      </c>
      <c r="U229" t="s">
        <v>12</v>
      </c>
      <c r="V229" t="s">
        <v>12</v>
      </c>
      <c r="W229" t="s">
        <v>12</v>
      </c>
      <c r="X229" t="s">
        <v>12</v>
      </c>
      <c r="Y229" t="s">
        <v>12</v>
      </c>
      <c r="Z229" t="s">
        <v>12</v>
      </c>
      <c r="AA229" t="s">
        <v>12</v>
      </c>
      <c r="AB229" t="s">
        <v>12</v>
      </c>
      <c r="AC229" t="s">
        <v>12</v>
      </c>
      <c r="AD229" t="s">
        <v>12</v>
      </c>
    </row>
    <row r="230" spans="1:30">
      <c r="A230" t="s">
        <v>170</v>
      </c>
      <c r="B230" t="str">
        <f>Master_Data_Productivity[[#This Row],[Uniq-ID]]&amp;"-"&amp;Master_Data_Productivity[[#This Row],[Period]]</f>
        <v>DC-Document_Controller-012-M2</v>
      </c>
      <c r="C230" t="s">
        <v>171</v>
      </c>
      <c r="D230" t="s">
        <v>11</v>
      </c>
      <c r="E230" t="s">
        <v>18</v>
      </c>
      <c r="F230" t="s">
        <v>124</v>
      </c>
      <c r="G230" t="s">
        <v>15</v>
      </c>
      <c r="H230" t="s">
        <v>16</v>
      </c>
      <c r="I230">
        <v>2.8740000000000001</v>
      </c>
      <c r="J230">
        <v>1.44</v>
      </c>
      <c r="K230" t="s">
        <v>2871</v>
      </c>
      <c r="L230" t="s">
        <v>2872</v>
      </c>
      <c r="M230" t="s">
        <v>2873</v>
      </c>
      <c r="N230">
        <v>35</v>
      </c>
      <c r="O230">
        <v>47</v>
      </c>
      <c r="P230">
        <v>1.3429</v>
      </c>
      <c r="Q230" t="s">
        <v>8</v>
      </c>
      <c r="R230" t="s">
        <v>12</v>
      </c>
      <c r="S230" t="s">
        <v>12</v>
      </c>
      <c r="T230" t="s">
        <v>12</v>
      </c>
      <c r="U230" t="s">
        <v>12</v>
      </c>
      <c r="V230" t="s">
        <v>12</v>
      </c>
      <c r="W230" t="s">
        <v>12</v>
      </c>
      <c r="X230" t="s">
        <v>12</v>
      </c>
      <c r="Y230" t="s">
        <v>12</v>
      </c>
      <c r="Z230" t="s">
        <v>12</v>
      </c>
      <c r="AA230" t="s">
        <v>12</v>
      </c>
      <c r="AB230" t="s">
        <v>12</v>
      </c>
      <c r="AC230" t="s">
        <v>12</v>
      </c>
      <c r="AD230" t="s">
        <v>12</v>
      </c>
    </row>
    <row r="231" spans="1:30">
      <c r="A231" t="s">
        <v>170</v>
      </c>
      <c r="B231" t="str">
        <f>Master_Data_Productivity[[#This Row],[Uniq-ID]]&amp;"-"&amp;Master_Data_Productivity[[#This Row],[Period]]</f>
        <v>DC-Document_Controller-012-M2</v>
      </c>
      <c r="C231" t="s">
        <v>171</v>
      </c>
      <c r="D231" t="s">
        <v>11</v>
      </c>
      <c r="E231" t="s">
        <v>18</v>
      </c>
      <c r="F231" t="s">
        <v>124</v>
      </c>
      <c r="G231" t="s">
        <v>15</v>
      </c>
      <c r="H231" t="s">
        <v>16</v>
      </c>
      <c r="I231">
        <v>2.8740000000000001</v>
      </c>
      <c r="J231">
        <v>1.44</v>
      </c>
      <c r="K231" t="s">
        <v>2871</v>
      </c>
      <c r="L231" t="s">
        <v>2877</v>
      </c>
      <c r="M231" t="s">
        <v>2873</v>
      </c>
      <c r="N231">
        <v>32</v>
      </c>
      <c r="O231">
        <v>1</v>
      </c>
      <c r="P231">
        <v>3.1300000000000001E-2</v>
      </c>
      <c r="Q231" t="s">
        <v>8</v>
      </c>
      <c r="R231" t="s">
        <v>12</v>
      </c>
      <c r="S231" t="s">
        <v>12</v>
      </c>
      <c r="T231" t="s">
        <v>12</v>
      </c>
      <c r="U231" t="s">
        <v>12</v>
      </c>
      <c r="V231" t="s">
        <v>12</v>
      </c>
      <c r="W231" t="s">
        <v>12</v>
      </c>
      <c r="X231" t="s">
        <v>12</v>
      </c>
      <c r="Y231" t="s">
        <v>12</v>
      </c>
      <c r="Z231" t="s">
        <v>12</v>
      </c>
      <c r="AA231" t="s">
        <v>12</v>
      </c>
      <c r="AB231" t="s">
        <v>12</v>
      </c>
      <c r="AC231" t="s">
        <v>12</v>
      </c>
      <c r="AD231" t="s">
        <v>12</v>
      </c>
    </row>
    <row r="232" spans="1:30">
      <c r="A232" t="s">
        <v>170</v>
      </c>
      <c r="B232" t="str">
        <f>Master_Data_Productivity[[#This Row],[Uniq-ID]]&amp;"-"&amp;Master_Data_Productivity[[#This Row],[Period]]</f>
        <v>DC-Document_Controller-012-M3</v>
      </c>
      <c r="C232" t="s">
        <v>171</v>
      </c>
      <c r="D232" t="s">
        <v>11</v>
      </c>
      <c r="E232" t="s">
        <v>22</v>
      </c>
      <c r="F232" t="s">
        <v>126</v>
      </c>
      <c r="G232" t="s">
        <v>15</v>
      </c>
      <c r="H232" t="s">
        <v>16</v>
      </c>
      <c r="I232">
        <v>4.1580000000000004</v>
      </c>
      <c r="J232">
        <v>1.5</v>
      </c>
      <c r="K232" t="s">
        <v>2871</v>
      </c>
      <c r="L232" t="s">
        <v>2875</v>
      </c>
      <c r="M232" t="s">
        <v>2873</v>
      </c>
      <c r="N232">
        <v>36</v>
      </c>
      <c r="O232">
        <v>13</v>
      </c>
      <c r="P232">
        <v>0.36109999999999998</v>
      </c>
      <c r="Q232" t="s">
        <v>8</v>
      </c>
      <c r="R232" t="s">
        <v>12</v>
      </c>
      <c r="S232" t="s">
        <v>12</v>
      </c>
      <c r="T232" t="s">
        <v>12</v>
      </c>
      <c r="U232" t="s">
        <v>12</v>
      </c>
      <c r="V232" t="s">
        <v>12</v>
      </c>
      <c r="W232" t="s">
        <v>12</v>
      </c>
      <c r="X232" t="s">
        <v>12</v>
      </c>
      <c r="Y232" t="s">
        <v>12</v>
      </c>
      <c r="Z232" t="s">
        <v>12</v>
      </c>
      <c r="AA232" t="s">
        <v>12</v>
      </c>
      <c r="AB232" t="s">
        <v>12</v>
      </c>
      <c r="AC232" t="s">
        <v>12</v>
      </c>
      <c r="AD232" t="s">
        <v>12</v>
      </c>
    </row>
    <row r="233" spans="1:30">
      <c r="A233" t="s">
        <v>170</v>
      </c>
      <c r="B233" t="str">
        <f>Master_Data_Productivity[[#This Row],[Uniq-ID]]&amp;"-"&amp;Master_Data_Productivity[[#This Row],[Period]]</f>
        <v>DC-Document_Controller-012-M3</v>
      </c>
      <c r="C233" t="s">
        <v>171</v>
      </c>
      <c r="D233" t="s">
        <v>11</v>
      </c>
      <c r="E233" t="s">
        <v>22</v>
      </c>
      <c r="F233" t="s">
        <v>126</v>
      </c>
      <c r="G233" t="s">
        <v>15</v>
      </c>
      <c r="H233" t="s">
        <v>16</v>
      </c>
      <c r="I233">
        <v>4.1580000000000004</v>
      </c>
      <c r="J233">
        <v>1.5</v>
      </c>
      <c r="K233" t="s">
        <v>2871</v>
      </c>
      <c r="L233" t="s">
        <v>2872</v>
      </c>
      <c r="M233" t="s">
        <v>2873</v>
      </c>
      <c r="N233">
        <v>35</v>
      </c>
      <c r="O233">
        <v>29</v>
      </c>
      <c r="P233">
        <v>0.8286</v>
      </c>
      <c r="Q233" t="s">
        <v>8</v>
      </c>
      <c r="R233" t="s">
        <v>12</v>
      </c>
      <c r="S233" t="s">
        <v>12</v>
      </c>
      <c r="T233" t="s">
        <v>12</v>
      </c>
      <c r="U233" t="s">
        <v>12</v>
      </c>
      <c r="V233" t="s">
        <v>12</v>
      </c>
      <c r="W233" t="s">
        <v>12</v>
      </c>
      <c r="X233" t="s">
        <v>12</v>
      </c>
      <c r="Y233" t="s">
        <v>12</v>
      </c>
      <c r="Z233" t="s">
        <v>12</v>
      </c>
      <c r="AA233" t="s">
        <v>12</v>
      </c>
      <c r="AB233" t="s">
        <v>12</v>
      </c>
      <c r="AC233" t="s">
        <v>12</v>
      </c>
      <c r="AD233" t="s">
        <v>12</v>
      </c>
    </row>
    <row r="234" spans="1:30">
      <c r="A234" t="s">
        <v>170</v>
      </c>
      <c r="B234" t="str">
        <f>Master_Data_Productivity[[#This Row],[Uniq-ID]]&amp;"-"&amp;Master_Data_Productivity[[#This Row],[Period]]</f>
        <v>DC-Document_Controller-012-M3</v>
      </c>
      <c r="C234" t="s">
        <v>171</v>
      </c>
      <c r="D234" t="s">
        <v>11</v>
      </c>
      <c r="E234" t="s">
        <v>22</v>
      </c>
      <c r="F234" t="s">
        <v>126</v>
      </c>
      <c r="G234" t="s">
        <v>15</v>
      </c>
      <c r="H234" t="s">
        <v>16</v>
      </c>
      <c r="I234">
        <v>4.1580000000000004</v>
      </c>
      <c r="J234">
        <v>1.5</v>
      </c>
      <c r="K234" t="s">
        <v>2871</v>
      </c>
      <c r="L234" t="s">
        <v>2877</v>
      </c>
      <c r="M234" t="s">
        <v>2873</v>
      </c>
      <c r="N234">
        <v>32</v>
      </c>
      <c r="O234">
        <v>79</v>
      </c>
      <c r="P234">
        <v>2.4687999999999999</v>
      </c>
      <c r="Q234" t="s">
        <v>8</v>
      </c>
      <c r="R234" t="s">
        <v>12</v>
      </c>
      <c r="S234" t="s">
        <v>12</v>
      </c>
      <c r="T234" t="s">
        <v>12</v>
      </c>
      <c r="U234" t="s">
        <v>12</v>
      </c>
      <c r="V234" t="s">
        <v>12</v>
      </c>
      <c r="W234" t="s">
        <v>12</v>
      </c>
      <c r="X234" t="s">
        <v>12</v>
      </c>
      <c r="Y234" t="s">
        <v>12</v>
      </c>
      <c r="Z234" t="s">
        <v>12</v>
      </c>
      <c r="AA234" t="s">
        <v>12</v>
      </c>
      <c r="AB234" t="s">
        <v>12</v>
      </c>
      <c r="AC234" t="s">
        <v>12</v>
      </c>
      <c r="AD234" t="s">
        <v>12</v>
      </c>
    </row>
    <row r="235" spans="1:30">
      <c r="A235" t="s">
        <v>170</v>
      </c>
      <c r="B235" t="str">
        <f>Master_Data_Productivity[[#This Row],[Uniq-ID]]&amp;"-"&amp;Master_Data_Productivity[[#This Row],[Period]]</f>
        <v>DC-Document_Controller-012-M3</v>
      </c>
      <c r="C235" t="s">
        <v>171</v>
      </c>
      <c r="D235" t="s">
        <v>11</v>
      </c>
      <c r="E235" t="s">
        <v>22</v>
      </c>
      <c r="F235" t="s">
        <v>126</v>
      </c>
      <c r="G235" t="s">
        <v>15</v>
      </c>
      <c r="H235" t="s">
        <v>16</v>
      </c>
      <c r="I235">
        <v>4.1580000000000004</v>
      </c>
      <c r="J235">
        <v>1.5</v>
      </c>
      <c r="K235" t="s">
        <v>2879</v>
      </c>
      <c r="L235" t="s">
        <v>2894</v>
      </c>
      <c r="M235" t="s">
        <v>2873</v>
      </c>
      <c r="N235">
        <v>26</v>
      </c>
      <c r="O235">
        <v>13</v>
      </c>
      <c r="P235">
        <v>0.5</v>
      </c>
      <c r="Q235" t="s">
        <v>8</v>
      </c>
      <c r="R235" t="s">
        <v>12</v>
      </c>
      <c r="S235" t="s">
        <v>12</v>
      </c>
      <c r="T235" t="s">
        <v>12</v>
      </c>
      <c r="U235" t="s">
        <v>12</v>
      </c>
      <c r="V235" t="s">
        <v>12</v>
      </c>
      <c r="W235" t="s">
        <v>12</v>
      </c>
      <c r="X235" t="s">
        <v>12</v>
      </c>
      <c r="Y235" t="s">
        <v>12</v>
      </c>
      <c r="Z235" t="s">
        <v>12</v>
      </c>
      <c r="AA235" t="s">
        <v>12</v>
      </c>
      <c r="AB235" t="s">
        <v>12</v>
      </c>
      <c r="AC235" t="s">
        <v>12</v>
      </c>
      <c r="AD235" t="s">
        <v>12</v>
      </c>
    </row>
    <row r="236" spans="1:30">
      <c r="A236" t="s">
        <v>170</v>
      </c>
      <c r="B236" t="str">
        <f>Master_Data_Productivity[[#This Row],[Uniq-ID]]&amp;"-"&amp;Master_Data_Productivity[[#This Row],[Period]]</f>
        <v>DC-Document_Controller-012-M4</v>
      </c>
      <c r="C236" t="s">
        <v>171</v>
      </c>
      <c r="D236" t="s">
        <v>11</v>
      </c>
      <c r="E236" t="s">
        <v>25</v>
      </c>
      <c r="F236" t="s">
        <v>128</v>
      </c>
      <c r="G236" t="s">
        <v>15</v>
      </c>
      <c r="H236" t="s">
        <v>16</v>
      </c>
      <c r="I236">
        <v>4.8780000000000001</v>
      </c>
      <c r="J236">
        <v>1.5</v>
      </c>
      <c r="K236" t="s">
        <v>2879</v>
      </c>
      <c r="L236" t="s">
        <v>2880</v>
      </c>
      <c r="M236" t="s">
        <v>2873</v>
      </c>
      <c r="N236">
        <v>13</v>
      </c>
      <c r="O236">
        <v>6</v>
      </c>
      <c r="P236">
        <v>0.46150000000000002</v>
      </c>
      <c r="Q236" t="s">
        <v>8</v>
      </c>
      <c r="R236" t="s">
        <v>12</v>
      </c>
      <c r="S236" t="s">
        <v>12</v>
      </c>
      <c r="T236" t="s">
        <v>12</v>
      </c>
      <c r="U236" t="s">
        <v>12</v>
      </c>
      <c r="V236" t="s">
        <v>12</v>
      </c>
      <c r="W236" t="s">
        <v>12</v>
      </c>
      <c r="X236" t="s">
        <v>12</v>
      </c>
      <c r="Y236" t="s">
        <v>12</v>
      </c>
      <c r="Z236" t="s">
        <v>12</v>
      </c>
      <c r="AA236" t="s">
        <v>12</v>
      </c>
      <c r="AB236" t="s">
        <v>12</v>
      </c>
      <c r="AC236" t="s">
        <v>12</v>
      </c>
      <c r="AD236" t="s">
        <v>12</v>
      </c>
    </row>
    <row r="237" spans="1:30">
      <c r="A237" t="s">
        <v>170</v>
      </c>
      <c r="B237" t="str">
        <f>Master_Data_Productivity[[#This Row],[Uniq-ID]]&amp;"-"&amp;Master_Data_Productivity[[#This Row],[Period]]</f>
        <v>DC-Document_Controller-012-M4</v>
      </c>
      <c r="C237" t="s">
        <v>171</v>
      </c>
      <c r="D237" t="s">
        <v>11</v>
      </c>
      <c r="E237" t="s">
        <v>25</v>
      </c>
      <c r="F237" t="s">
        <v>128</v>
      </c>
      <c r="G237" t="s">
        <v>15</v>
      </c>
      <c r="H237" t="s">
        <v>16</v>
      </c>
      <c r="I237">
        <v>4.8780000000000001</v>
      </c>
      <c r="J237">
        <v>1.5</v>
      </c>
      <c r="K237" t="s">
        <v>2879</v>
      </c>
      <c r="L237" t="s">
        <v>2894</v>
      </c>
      <c r="M237" t="s">
        <v>2873</v>
      </c>
      <c r="N237">
        <v>26</v>
      </c>
      <c r="O237">
        <v>60</v>
      </c>
      <c r="P237">
        <v>2.3077000000000001</v>
      </c>
      <c r="Q237" t="s">
        <v>8</v>
      </c>
      <c r="R237" t="s">
        <v>12</v>
      </c>
      <c r="S237" t="s">
        <v>12</v>
      </c>
      <c r="T237" t="s">
        <v>12</v>
      </c>
      <c r="U237" t="s">
        <v>12</v>
      </c>
      <c r="V237" t="s">
        <v>12</v>
      </c>
      <c r="W237" t="s">
        <v>12</v>
      </c>
      <c r="X237" t="s">
        <v>12</v>
      </c>
      <c r="Y237" t="s">
        <v>12</v>
      </c>
      <c r="Z237" t="s">
        <v>12</v>
      </c>
      <c r="AA237" t="s">
        <v>12</v>
      </c>
      <c r="AB237" t="s">
        <v>12</v>
      </c>
      <c r="AC237" t="s">
        <v>12</v>
      </c>
      <c r="AD237" t="s">
        <v>12</v>
      </c>
    </row>
    <row r="238" spans="1:30">
      <c r="A238" t="s">
        <v>170</v>
      </c>
      <c r="B238" t="str">
        <f>Master_Data_Productivity[[#This Row],[Uniq-ID]]&amp;"-"&amp;Master_Data_Productivity[[#This Row],[Period]]</f>
        <v>DC-Document_Controller-012-M4</v>
      </c>
      <c r="C238" t="s">
        <v>171</v>
      </c>
      <c r="D238" t="s">
        <v>11</v>
      </c>
      <c r="E238" t="s">
        <v>25</v>
      </c>
      <c r="F238" t="s">
        <v>128</v>
      </c>
      <c r="G238" t="s">
        <v>15</v>
      </c>
      <c r="H238" t="s">
        <v>16</v>
      </c>
      <c r="I238">
        <v>4.8780000000000001</v>
      </c>
      <c r="J238">
        <v>1.5</v>
      </c>
      <c r="K238" t="s">
        <v>2871</v>
      </c>
      <c r="L238" t="s">
        <v>2877</v>
      </c>
      <c r="M238" t="s">
        <v>2873</v>
      </c>
      <c r="N238">
        <v>32</v>
      </c>
      <c r="O238">
        <v>17</v>
      </c>
      <c r="P238">
        <v>0.53129999999999999</v>
      </c>
      <c r="Q238" t="s">
        <v>8</v>
      </c>
      <c r="R238" t="s">
        <v>12</v>
      </c>
      <c r="S238" t="s">
        <v>12</v>
      </c>
      <c r="T238" t="s">
        <v>12</v>
      </c>
      <c r="U238" t="s">
        <v>12</v>
      </c>
      <c r="V238" t="s">
        <v>12</v>
      </c>
      <c r="W238" t="s">
        <v>12</v>
      </c>
      <c r="X238" t="s">
        <v>12</v>
      </c>
      <c r="Y238" t="s">
        <v>12</v>
      </c>
      <c r="Z238" t="s">
        <v>12</v>
      </c>
      <c r="AA238" t="s">
        <v>12</v>
      </c>
      <c r="AB238" t="s">
        <v>12</v>
      </c>
      <c r="AC238" t="s">
        <v>12</v>
      </c>
      <c r="AD238" t="s">
        <v>12</v>
      </c>
    </row>
    <row r="239" spans="1:30">
      <c r="A239" t="s">
        <v>170</v>
      </c>
      <c r="B239" t="str">
        <f>Master_Data_Productivity[[#This Row],[Uniq-ID]]&amp;"-"&amp;Master_Data_Productivity[[#This Row],[Period]]</f>
        <v>DC-Document_Controller-012-M4</v>
      </c>
      <c r="C239" t="s">
        <v>171</v>
      </c>
      <c r="D239" t="s">
        <v>11</v>
      </c>
      <c r="E239" t="s">
        <v>25</v>
      </c>
      <c r="F239" t="s">
        <v>128</v>
      </c>
      <c r="G239" t="s">
        <v>15</v>
      </c>
      <c r="H239" t="s">
        <v>16</v>
      </c>
      <c r="I239">
        <v>4.8780000000000001</v>
      </c>
      <c r="J239">
        <v>1.5</v>
      </c>
      <c r="K239" t="s">
        <v>2871</v>
      </c>
      <c r="L239" t="s">
        <v>2872</v>
      </c>
      <c r="M239" t="s">
        <v>2873</v>
      </c>
      <c r="N239">
        <v>35</v>
      </c>
      <c r="O239">
        <v>28</v>
      </c>
      <c r="P239">
        <v>0.8</v>
      </c>
      <c r="Q239" t="s">
        <v>8</v>
      </c>
      <c r="R239" t="s">
        <v>12</v>
      </c>
      <c r="S239" t="s">
        <v>12</v>
      </c>
      <c r="T239" t="s">
        <v>12</v>
      </c>
      <c r="U239" t="s">
        <v>12</v>
      </c>
      <c r="V239" t="s">
        <v>12</v>
      </c>
      <c r="W239" t="s">
        <v>12</v>
      </c>
      <c r="X239" t="s">
        <v>12</v>
      </c>
      <c r="Y239" t="s">
        <v>12</v>
      </c>
      <c r="Z239" t="s">
        <v>12</v>
      </c>
      <c r="AA239" t="s">
        <v>12</v>
      </c>
      <c r="AB239" t="s">
        <v>12</v>
      </c>
      <c r="AC239" t="s">
        <v>12</v>
      </c>
      <c r="AD239" t="s">
        <v>12</v>
      </c>
    </row>
    <row r="240" spans="1:30">
      <c r="A240" t="s">
        <v>170</v>
      </c>
      <c r="B240" t="str">
        <f>Master_Data_Productivity[[#This Row],[Uniq-ID]]&amp;"-"&amp;Master_Data_Productivity[[#This Row],[Period]]</f>
        <v>DC-Document_Controller-012-M4</v>
      </c>
      <c r="C240" t="s">
        <v>171</v>
      </c>
      <c r="D240" t="s">
        <v>11</v>
      </c>
      <c r="E240" t="s">
        <v>25</v>
      </c>
      <c r="F240" t="s">
        <v>128</v>
      </c>
      <c r="G240" t="s">
        <v>15</v>
      </c>
      <c r="H240" t="s">
        <v>16</v>
      </c>
      <c r="I240">
        <v>4.8780000000000001</v>
      </c>
      <c r="J240">
        <v>1.5</v>
      </c>
      <c r="K240" t="s">
        <v>2871</v>
      </c>
      <c r="L240" t="s">
        <v>2875</v>
      </c>
      <c r="M240" t="s">
        <v>2873</v>
      </c>
      <c r="N240">
        <v>36</v>
      </c>
      <c r="O240">
        <v>28</v>
      </c>
      <c r="P240">
        <v>0.77780000000000005</v>
      </c>
      <c r="Q240" t="s">
        <v>8</v>
      </c>
      <c r="R240" t="s">
        <v>12</v>
      </c>
      <c r="S240" t="s">
        <v>12</v>
      </c>
      <c r="T240" t="s">
        <v>12</v>
      </c>
      <c r="U240" t="s">
        <v>12</v>
      </c>
      <c r="V240" t="s">
        <v>12</v>
      </c>
      <c r="W240" t="s">
        <v>12</v>
      </c>
      <c r="X240" t="s">
        <v>12</v>
      </c>
      <c r="Y240" t="s">
        <v>12</v>
      </c>
      <c r="Z240" t="s">
        <v>12</v>
      </c>
      <c r="AA240" t="s">
        <v>12</v>
      </c>
      <c r="AB240" t="s">
        <v>12</v>
      </c>
      <c r="AC240" t="s">
        <v>12</v>
      </c>
      <c r="AD240" t="s">
        <v>12</v>
      </c>
    </row>
    <row r="241" spans="1:30">
      <c r="A241" t="s">
        <v>170</v>
      </c>
      <c r="B241" t="str">
        <f>Master_Data_Productivity[[#This Row],[Uniq-ID]]&amp;"-"&amp;Master_Data_Productivity[[#This Row],[Period]]</f>
        <v>DC-Document_Controller-012-M5</v>
      </c>
      <c r="C241" t="s">
        <v>171</v>
      </c>
      <c r="D241" t="s">
        <v>11</v>
      </c>
      <c r="E241" t="s">
        <v>28</v>
      </c>
      <c r="F241" t="s">
        <v>130</v>
      </c>
      <c r="G241" t="s">
        <v>15</v>
      </c>
      <c r="H241" t="s">
        <v>16</v>
      </c>
      <c r="I241">
        <v>3.1619999999999999</v>
      </c>
      <c r="J241">
        <v>1.5</v>
      </c>
      <c r="K241" t="s">
        <v>2871</v>
      </c>
      <c r="L241" t="s">
        <v>2875</v>
      </c>
      <c r="M241" t="s">
        <v>2873</v>
      </c>
      <c r="N241">
        <v>36</v>
      </c>
      <c r="O241">
        <v>11</v>
      </c>
      <c r="P241">
        <v>0.30559999999999998</v>
      </c>
      <c r="Q241" t="s">
        <v>8</v>
      </c>
      <c r="R241" t="s">
        <v>12</v>
      </c>
      <c r="S241" t="s">
        <v>12</v>
      </c>
      <c r="T241" t="s">
        <v>12</v>
      </c>
      <c r="U241" t="s">
        <v>12</v>
      </c>
      <c r="V241" t="s">
        <v>12</v>
      </c>
      <c r="W241" t="s">
        <v>12</v>
      </c>
      <c r="X241" t="s">
        <v>12</v>
      </c>
      <c r="Y241" t="s">
        <v>12</v>
      </c>
      <c r="Z241" t="s">
        <v>12</v>
      </c>
      <c r="AA241" t="s">
        <v>12</v>
      </c>
      <c r="AB241" t="s">
        <v>12</v>
      </c>
      <c r="AC241" t="s">
        <v>12</v>
      </c>
      <c r="AD241" t="s">
        <v>12</v>
      </c>
    </row>
    <row r="242" spans="1:30">
      <c r="A242" t="s">
        <v>170</v>
      </c>
      <c r="B242" t="str">
        <f>Master_Data_Productivity[[#This Row],[Uniq-ID]]&amp;"-"&amp;Master_Data_Productivity[[#This Row],[Period]]</f>
        <v>DC-Document_Controller-012-M5</v>
      </c>
      <c r="C242" t="s">
        <v>171</v>
      </c>
      <c r="D242" t="s">
        <v>11</v>
      </c>
      <c r="E242" t="s">
        <v>28</v>
      </c>
      <c r="F242" t="s">
        <v>130</v>
      </c>
      <c r="G242" t="s">
        <v>15</v>
      </c>
      <c r="H242" t="s">
        <v>16</v>
      </c>
      <c r="I242">
        <v>3.1619999999999999</v>
      </c>
      <c r="J242">
        <v>1.5</v>
      </c>
      <c r="K242" t="s">
        <v>2871</v>
      </c>
      <c r="L242" t="s">
        <v>2872</v>
      </c>
      <c r="M242" t="s">
        <v>2873</v>
      </c>
      <c r="N242">
        <v>35</v>
      </c>
      <c r="O242">
        <v>23</v>
      </c>
      <c r="P242">
        <v>0.65710000000000002</v>
      </c>
      <c r="Q242" t="s">
        <v>8</v>
      </c>
      <c r="R242" t="s">
        <v>12</v>
      </c>
      <c r="S242" t="s">
        <v>12</v>
      </c>
      <c r="T242" t="s">
        <v>12</v>
      </c>
      <c r="U242" t="s">
        <v>12</v>
      </c>
      <c r="V242" t="s">
        <v>12</v>
      </c>
      <c r="W242" t="s">
        <v>12</v>
      </c>
      <c r="X242" t="s">
        <v>12</v>
      </c>
      <c r="Y242" t="s">
        <v>12</v>
      </c>
      <c r="Z242" t="s">
        <v>12</v>
      </c>
      <c r="AA242" t="s">
        <v>12</v>
      </c>
      <c r="AB242" t="s">
        <v>12</v>
      </c>
      <c r="AC242" t="s">
        <v>12</v>
      </c>
      <c r="AD242" t="s">
        <v>12</v>
      </c>
    </row>
    <row r="243" spans="1:30">
      <c r="A243" t="s">
        <v>170</v>
      </c>
      <c r="B243" t="str">
        <f>Master_Data_Productivity[[#This Row],[Uniq-ID]]&amp;"-"&amp;Master_Data_Productivity[[#This Row],[Period]]</f>
        <v>DC-Document_Controller-012-M5</v>
      </c>
      <c r="C243" t="s">
        <v>171</v>
      </c>
      <c r="D243" t="s">
        <v>11</v>
      </c>
      <c r="E243" t="s">
        <v>28</v>
      </c>
      <c r="F243" t="s">
        <v>130</v>
      </c>
      <c r="G243" t="s">
        <v>15</v>
      </c>
      <c r="H243" t="s">
        <v>16</v>
      </c>
      <c r="I243">
        <v>3.1619999999999999</v>
      </c>
      <c r="J243">
        <v>1.5</v>
      </c>
      <c r="K243" t="s">
        <v>2871</v>
      </c>
      <c r="L243" t="s">
        <v>2877</v>
      </c>
      <c r="M243" t="s">
        <v>2873</v>
      </c>
      <c r="N243">
        <v>32</v>
      </c>
      <c r="O243">
        <v>15</v>
      </c>
      <c r="P243">
        <v>0.46879999999999999</v>
      </c>
      <c r="Q243" t="s">
        <v>8</v>
      </c>
      <c r="R243" t="s">
        <v>12</v>
      </c>
      <c r="S243" t="s">
        <v>12</v>
      </c>
      <c r="T243" t="s">
        <v>12</v>
      </c>
      <c r="U243" t="s">
        <v>12</v>
      </c>
      <c r="V243" t="s">
        <v>12</v>
      </c>
      <c r="W243" t="s">
        <v>12</v>
      </c>
      <c r="X243" t="s">
        <v>12</v>
      </c>
      <c r="Y243" t="s">
        <v>12</v>
      </c>
      <c r="Z243" t="s">
        <v>12</v>
      </c>
      <c r="AA243" t="s">
        <v>12</v>
      </c>
      <c r="AB243" t="s">
        <v>12</v>
      </c>
      <c r="AC243" t="s">
        <v>12</v>
      </c>
      <c r="AD243" t="s">
        <v>12</v>
      </c>
    </row>
    <row r="244" spans="1:30">
      <c r="A244" t="s">
        <v>170</v>
      </c>
      <c r="B244" t="str">
        <f>Master_Data_Productivity[[#This Row],[Uniq-ID]]&amp;"-"&amp;Master_Data_Productivity[[#This Row],[Period]]</f>
        <v>DC-Document_Controller-012-M5</v>
      </c>
      <c r="C244" t="s">
        <v>171</v>
      </c>
      <c r="D244" t="s">
        <v>11</v>
      </c>
      <c r="E244" t="s">
        <v>28</v>
      </c>
      <c r="F244" t="s">
        <v>130</v>
      </c>
      <c r="G244" t="s">
        <v>15</v>
      </c>
      <c r="H244" t="s">
        <v>16</v>
      </c>
      <c r="I244">
        <v>3.1619999999999999</v>
      </c>
      <c r="J244">
        <v>1.5</v>
      </c>
      <c r="K244" t="s">
        <v>2879</v>
      </c>
      <c r="L244" t="s">
        <v>2894</v>
      </c>
      <c r="M244" t="s">
        <v>2873</v>
      </c>
      <c r="N244">
        <v>26</v>
      </c>
      <c r="O244">
        <v>35</v>
      </c>
      <c r="P244">
        <v>1.3462000000000001</v>
      </c>
      <c r="Q244" t="s">
        <v>8</v>
      </c>
      <c r="R244" t="s">
        <v>12</v>
      </c>
      <c r="S244" t="s">
        <v>12</v>
      </c>
      <c r="T244" t="s">
        <v>12</v>
      </c>
      <c r="U244" t="s">
        <v>12</v>
      </c>
      <c r="V244" t="s">
        <v>12</v>
      </c>
      <c r="W244" t="s">
        <v>12</v>
      </c>
      <c r="X244" t="s">
        <v>12</v>
      </c>
      <c r="Y244" t="s">
        <v>12</v>
      </c>
      <c r="Z244" t="s">
        <v>12</v>
      </c>
      <c r="AA244" t="s">
        <v>12</v>
      </c>
      <c r="AB244" t="s">
        <v>12</v>
      </c>
      <c r="AC244" t="s">
        <v>12</v>
      </c>
      <c r="AD244" t="s">
        <v>12</v>
      </c>
    </row>
    <row r="245" spans="1:30">
      <c r="A245" t="s">
        <v>170</v>
      </c>
      <c r="B245" t="str">
        <f>Master_Data_Productivity[[#This Row],[Uniq-ID]]&amp;"-"&amp;Master_Data_Productivity[[#This Row],[Period]]</f>
        <v>DC-Document_Controller-012-M5</v>
      </c>
      <c r="C245" t="s">
        <v>171</v>
      </c>
      <c r="D245" t="s">
        <v>11</v>
      </c>
      <c r="E245" t="s">
        <v>28</v>
      </c>
      <c r="F245" t="s">
        <v>130</v>
      </c>
      <c r="G245" t="s">
        <v>15</v>
      </c>
      <c r="H245" t="s">
        <v>16</v>
      </c>
      <c r="I245">
        <v>3.1619999999999999</v>
      </c>
      <c r="J245">
        <v>1.5</v>
      </c>
      <c r="K245" t="s">
        <v>2879</v>
      </c>
      <c r="L245" t="s">
        <v>2880</v>
      </c>
      <c r="M245" t="s">
        <v>2873</v>
      </c>
      <c r="N245">
        <v>13</v>
      </c>
      <c r="O245">
        <v>5</v>
      </c>
      <c r="P245">
        <v>0.3846</v>
      </c>
      <c r="Q245" t="s">
        <v>8</v>
      </c>
      <c r="R245" t="s">
        <v>12</v>
      </c>
      <c r="S245" t="s">
        <v>12</v>
      </c>
      <c r="T245" t="s">
        <v>12</v>
      </c>
      <c r="U245" t="s">
        <v>12</v>
      </c>
      <c r="V245" t="s">
        <v>12</v>
      </c>
      <c r="W245" t="s">
        <v>12</v>
      </c>
      <c r="X245" t="s">
        <v>12</v>
      </c>
      <c r="Y245" t="s">
        <v>12</v>
      </c>
      <c r="Z245" t="s">
        <v>12</v>
      </c>
      <c r="AA245" t="s">
        <v>12</v>
      </c>
      <c r="AB245" t="s">
        <v>12</v>
      </c>
      <c r="AC245" t="s">
        <v>12</v>
      </c>
      <c r="AD245" t="s">
        <v>12</v>
      </c>
    </row>
    <row r="246" spans="1:30">
      <c r="A246" t="s">
        <v>170</v>
      </c>
      <c r="B246" t="str">
        <f>Master_Data_Productivity[[#This Row],[Uniq-ID]]&amp;"-"&amp;Master_Data_Productivity[[#This Row],[Period]]</f>
        <v>DC-Document_Controller-012-M6</v>
      </c>
      <c r="C246" t="s">
        <v>171</v>
      </c>
      <c r="D246" t="s">
        <v>11</v>
      </c>
      <c r="E246" t="s">
        <v>31</v>
      </c>
      <c r="F246" t="s">
        <v>132</v>
      </c>
      <c r="G246" t="s">
        <v>33</v>
      </c>
      <c r="H246" t="s">
        <v>20</v>
      </c>
      <c r="I246">
        <v>1.1040000000000001</v>
      </c>
      <c r="J246">
        <v>1</v>
      </c>
      <c r="K246" t="s">
        <v>2871</v>
      </c>
      <c r="L246" t="s">
        <v>2875</v>
      </c>
      <c r="M246" t="s">
        <v>2873</v>
      </c>
      <c r="N246">
        <v>36</v>
      </c>
      <c r="O246">
        <v>3</v>
      </c>
      <c r="P246">
        <v>8.3299999999999999E-2</v>
      </c>
      <c r="Q246" t="s">
        <v>8</v>
      </c>
      <c r="R246" t="s">
        <v>12</v>
      </c>
      <c r="S246" t="s">
        <v>12</v>
      </c>
      <c r="T246" t="s">
        <v>12</v>
      </c>
      <c r="U246" t="s">
        <v>12</v>
      </c>
      <c r="V246" t="s">
        <v>12</v>
      </c>
      <c r="W246" t="s">
        <v>12</v>
      </c>
      <c r="X246" t="s">
        <v>12</v>
      </c>
      <c r="Y246" t="s">
        <v>12</v>
      </c>
      <c r="Z246" t="s">
        <v>12</v>
      </c>
      <c r="AA246" t="s">
        <v>12</v>
      </c>
      <c r="AB246" t="s">
        <v>12</v>
      </c>
      <c r="AC246" t="s">
        <v>12</v>
      </c>
      <c r="AD246" t="s">
        <v>12</v>
      </c>
    </row>
    <row r="247" spans="1:30">
      <c r="A247" t="s">
        <v>170</v>
      </c>
      <c r="B247" t="str">
        <f>Master_Data_Productivity[[#This Row],[Uniq-ID]]&amp;"-"&amp;Master_Data_Productivity[[#This Row],[Period]]</f>
        <v>DC-Document_Controller-012-M6</v>
      </c>
      <c r="C247" t="s">
        <v>171</v>
      </c>
      <c r="D247" t="s">
        <v>11</v>
      </c>
      <c r="E247" t="s">
        <v>31</v>
      </c>
      <c r="F247" t="s">
        <v>132</v>
      </c>
      <c r="G247" t="s">
        <v>33</v>
      </c>
      <c r="H247" t="s">
        <v>20</v>
      </c>
      <c r="I247">
        <v>1.1040000000000001</v>
      </c>
      <c r="J247">
        <v>1</v>
      </c>
      <c r="K247" t="s">
        <v>2871</v>
      </c>
      <c r="L247" t="s">
        <v>2877</v>
      </c>
      <c r="M247" t="s">
        <v>2873</v>
      </c>
      <c r="N247">
        <v>32</v>
      </c>
      <c r="O247">
        <v>29</v>
      </c>
      <c r="P247">
        <v>0.90629999999999999</v>
      </c>
      <c r="Q247" t="s">
        <v>8</v>
      </c>
      <c r="R247" t="s">
        <v>12</v>
      </c>
      <c r="S247" t="s">
        <v>12</v>
      </c>
      <c r="T247" t="s">
        <v>12</v>
      </c>
      <c r="U247" t="s">
        <v>12</v>
      </c>
      <c r="V247" t="s">
        <v>12</v>
      </c>
      <c r="W247" t="s">
        <v>12</v>
      </c>
      <c r="X247" t="s">
        <v>12</v>
      </c>
      <c r="Y247" t="s">
        <v>12</v>
      </c>
      <c r="Z247" t="s">
        <v>12</v>
      </c>
      <c r="AA247" t="s">
        <v>12</v>
      </c>
      <c r="AB247" t="s">
        <v>12</v>
      </c>
      <c r="AC247" t="s">
        <v>12</v>
      </c>
      <c r="AD247" t="s">
        <v>12</v>
      </c>
    </row>
    <row r="248" spans="1:30">
      <c r="A248" t="s">
        <v>170</v>
      </c>
      <c r="B248" t="str">
        <f>Master_Data_Productivity[[#This Row],[Uniq-ID]]&amp;"-"&amp;Master_Data_Productivity[[#This Row],[Period]]</f>
        <v>DC-Document_Controller-012-M6</v>
      </c>
      <c r="C248" t="s">
        <v>171</v>
      </c>
      <c r="D248" t="s">
        <v>11</v>
      </c>
      <c r="E248" t="s">
        <v>31</v>
      </c>
      <c r="F248" t="s">
        <v>132</v>
      </c>
      <c r="G248" t="s">
        <v>33</v>
      </c>
      <c r="H248" t="s">
        <v>20</v>
      </c>
      <c r="I248">
        <v>1.1040000000000001</v>
      </c>
      <c r="J248">
        <v>1</v>
      </c>
      <c r="K248" t="s">
        <v>2871</v>
      </c>
      <c r="L248" t="s">
        <v>2872</v>
      </c>
      <c r="M248" t="s">
        <v>2873</v>
      </c>
      <c r="N248">
        <v>35</v>
      </c>
      <c r="O248">
        <v>4</v>
      </c>
      <c r="P248">
        <v>0.1143</v>
      </c>
      <c r="Q248" t="s">
        <v>8</v>
      </c>
      <c r="R248" t="s">
        <v>12</v>
      </c>
      <c r="S248" t="s">
        <v>12</v>
      </c>
      <c r="T248" t="s">
        <v>12</v>
      </c>
      <c r="U248" t="s">
        <v>12</v>
      </c>
      <c r="V248" t="s">
        <v>12</v>
      </c>
      <c r="W248" t="s">
        <v>12</v>
      </c>
      <c r="X248" t="s">
        <v>12</v>
      </c>
      <c r="Y248" t="s">
        <v>12</v>
      </c>
      <c r="Z248" t="s">
        <v>12</v>
      </c>
      <c r="AA248" t="s">
        <v>12</v>
      </c>
      <c r="AB248" t="s">
        <v>12</v>
      </c>
      <c r="AC248" t="s">
        <v>12</v>
      </c>
      <c r="AD248" t="s">
        <v>12</v>
      </c>
    </row>
    <row r="249" spans="1:30">
      <c r="A249" t="s">
        <v>110</v>
      </c>
      <c r="B249" t="str">
        <f>Master_Data_Productivity[[#This Row],[Uniq-ID]]&amp;"-"&amp;Master_Data_Productivity[[#This Row],[Period]]</f>
        <v>DC-Document_Controller-037-M1</v>
      </c>
      <c r="C249" t="s">
        <v>111</v>
      </c>
      <c r="D249" t="s">
        <v>112</v>
      </c>
      <c r="E249" t="s">
        <v>13</v>
      </c>
      <c r="F249" t="s">
        <v>113</v>
      </c>
      <c r="G249" t="s">
        <v>15</v>
      </c>
      <c r="H249" t="s">
        <v>16</v>
      </c>
      <c r="I249">
        <v>7.0620000000000003</v>
      </c>
      <c r="J249">
        <v>1.5</v>
      </c>
      <c r="K249" t="s">
        <v>2879</v>
      </c>
      <c r="L249" t="s">
        <v>2915</v>
      </c>
      <c r="M249" t="s">
        <v>2916</v>
      </c>
      <c r="N249">
        <v>308</v>
      </c>
      <c r="O249">
        <v>77</v>
      </c>
      <c r="P249">
        <v>0.25</v>
      </c>
      <c r="Q249" t="s">
        <v>8</v>
      </c>
      <c r="R249" t="s">
        <v>12</v>
      </c>
      <c r="S249" t="s">
        <v>12</v>
      </c>
      <c r="T249" t="s">
        <v>12</v>
      </c>
      <c r="U249" t="s">
        <v>12</v>
      </c>
      <c r="V249" t="s">
        <v>12</v>
      </c>
      <c r="W249" t="s">
        <v>12</v>
      </c>
      <c r="X249" t="s">
        <v>12</v>
      </c>
      <c r="Y249" t="s">
        <v>12</v>
      </c>
      <c r="Z249" t="s">
        <v>12</v>
      </c>
      <c r="AA249" t="s">
        <v>12</v>
      </c>
      <c r="AB249" t="s">
        <v>12</v>
      </c>
      <c r="AC249" t="s">
        <v>12</v>
      </c>
      <c r="AD249" t="s">
        <v>12</v>
      </c>
    </row>
    <row r="250" spans="1:30">
      <c r="A250" t="s">
        <v>110</v>
      </c>
      <c r="B250" t="str">
        <f>Master_Data_Productivity[[#This Row],[Uniq-ID]]&amp;"-"&amp;Master_Data_Productivity[[#This Row],[Period]]</f>
        <v>DC-Document_Controller-037-M1</v>
      </c>
      <c r="C250" t="s">
        <v>111</v>
      </c>
      <c r="D250" t="s">
        <v>112</v>
      </c>
      <c r="E250" t="s">
        <v>13</v>
      </c>
      <c r="F250" t="s">
        <v>113</v>
      </c>
      <c r="G250" t="s">
        <v>15</v>
      </c>
      <c r="H250" t="s">
        <v>16</v>
      </c>
      <c r="I250">
        <v>7.0620000000000003</v>
      </c>
      <c r="J250">
        <v>1.5</v>
      </c>
      <c r="K250" t="s">
        <v>2879</v>
      </c>
      <c r="L250" t="s">
        <v>2915</v>
      </c>
      <c r="M250" t="s">
        <v>2916</v>
      </c>
      <c r="N250">
        <v>26</v>
      </c>
      <c r="O250">
        <v>77</v>
      </c>
      <c r="P250">
        <v>2.9615</v>
      </c>
      <c r="Q250" t="s">
        <v>8</v>
      </c>
      <c r="R250" t="s">
        <v>12</v>
      </c>
      <c r="S250" t="s">
        <v>12</v>
      </c>
      <c r="T250" t="s">
        <v>12</v>
      </c>
      <c r="U250" t="s">
        <v>12</v>
      </c>
      <c r="V250" t="s">
        <v>12</v>
      </c>
      <c r="W250" t="s">
        <v>12</v>
      </c>
      <c r="X250" t="s">
        <v>12</v>
      </c>
      <c r="Y250" t="s">
        <v>12</v>
      </c>
      <c r="Z250" t="s">
        <v>12</v>
      </c>
      <c r="AA250" t="s">
        <v>12</v>
      </c>
      <c r="AB250" t="s">
        <v>12</v>
      </c>
      <c r="AC250" t="s">
        <v>12</v>
      </c>
      <c r="AD250" t="s">
        <v>12</v>
      </c>
    </row>
    <row r="251" spans="1:30">
      <c r="A251" t="s">
        <v>110</v>
      </c>
      <c r="B251" t="str">
        <f>Master_Data_Productivity[[#This Row],[Uniq-ID]]&amp;"-"&amp;Master_Data_Productivity[[#This Row],[Period]]</f>
        <v>DC-Document_Controller-037-M1</v>
      </c>
      <c r="C251" t="s">
        <v>111</v>
      </c>
      <c r="D251" t="s">
        <v>112</v>
      </c>
      <c r="E251" t="s">
        <v>13</v>
      </c>
      <c r="F251" t="s">
        <v>113</v>
      </c>
      <c r="G251" t="s">
        <v>15</v>
      </c>
      <c r="H251" t="s">
        <v>16</v>
      </c>
      <c r="I251">
        <v>7.0620000000000003</v>
      </c>
      <c r="J251">
        <v>1.5</v>
      </c>
      <c r="K251" t="s">
        <v>2879</v>
      </c>
      <c r="L251" t="s">
        <v>2915</v>
      </c>
      <c r="M251" t="s">
        <v>2916</v>
      </c>
      <c r="N251">
        <v>20</v>
      </c>
      <c r="O251">
        <v>77</v>
      </c>
      <c r="P251">
        <v>3.85</v>
      </c>
      <c r="Q251" t="s">
        <v>8</v>
      </c>
      <c r="R251" t="s">
        <v>12</v>
      </c>
      <c r="S251" t="s">
        <v>12</v>
      </c>
      <c r="T251" t="s">
        <v>12</v>
      </c>
      <c r="U251" t="s">
        <v>12</v>
      </c>
      <c r="V251" t="s">
        <v>12</v>
      </c>
      <c r="W251" t="s">
        <v>12</v>
      </c>
      <c r="X251" t="s">
        <v>12</v>
      </c>
      <c r="Y251" t="s">
        <v>12</v>
      </c>
      <c r="Z251" t="s">
        <v>12</v>
      </c>
      <c r="AA251" t="s">
        <v>12</v>
      </c>
      <c r="AB251" t="s">
        <v>12</v>
      </c>
      <c r="AC251" t="s">
        <v>12</v>
      </c>
      <c r="AD251" t="s">
        <v>12</v>
      </c>
    </row>
    <row r="252" spans="1:30">
      <c r="A252" t="s">
        <v>110</v>
      </c>
      <c r="B252" t="str">
        <f>Master_Data_Productivity[[#This Row],[Uniq-ID]]&amp;"-"&amp;Master_Data_Productivity[[#This Row],[Period]]</f>
        <v>DC-Document_Controller-037-M2</v>
      </c>
      <c r="C252" t="s">
        <v>111</v>
      </c>
      <c r="D252" t="s">
        <v>112</v>
      </c>
      <c r="E252" t="s">
        <v>18</v>
      </c>
      <c r="F252" t="s">
        <v>115</v>
      </c>
      <c r="G252" t="s">
        <v>15</v>
      </c>
      <c r="H252" t="s">
        <v>16</v>
      </c>
      <c r="I252">
        <v>10.363</v>
      </c>
      <c r="J252">
        <v>1.5</v>
      </c>
      <c r="K252" t="s">
        <v>2879</v>
      </c>
      <c r="L252" t="s">
        <v>2915</v>
      </c>
      <c r="M252" t="s">
        <v>2916</v>
      </c>
      <c r="N252">
        <v>308</v>
      </c>
      <c r="O252">
        <v>113</v>
      </c>
      <c r="P252">
        <v>0.3669</v>
      </c>
      <c r="Q252" t="s">
        <v>8</v>
      </c>
      <c r="R252" t="s">
        <v>12</v>
      </c>
      <c r="S252" t="s">
        <v>12</v>
      </c>
      <c r="T252" t="s">
        <v>12</v>
      </c>
      <c r="U252" t="s">
        <v>12</v>
      </c>
      <c r="V252" t="s">
        <v>12</v>
      </c>
      <c r="W252" t="s">
        <v>12</v>
      </c>
      <c r="X252" t="s">
        <v>12</v>
      </c>
      <c r="Y252" t="s">
        <v>12</v>
      </c>
      <c r="Z252" t="s">
        <v>12</v>
      </c>
      <c r="AA252" t="s">
        <v>12</v>
      </c>
      <c r="AB252" t="s">
        <v>12</v>
      </c>
      <c r="AC252" t="s">
        <v>12</v>
      </c>
      <c r="AD252" t="s">
        <v>12</v>
      </c>
    </row>
    <row r="253" spans="1:30">
      <c r="A253" t="s">
        <v>110</v>
      </c>
      <c r="B253" t="str">
        <f>Master_Data_Productivity[[#This Row],[Uniq-ID]]&amp;"-"&amp;Master_Data_Productivity[[#This Row],[Period]]</f>
        <v>DC-Document_Controller-037-M2</v>
      </c>
      <c r="C253" t="s">
        <v>111</v>
      </c>
      <c r="D253" t="s">
        <v>112</v>
      </c>
      <c r="E253" t="s">
        <v>18</v>
      </c>
      <c r="F253" t="s">
        <v>115</v>
      </c>
      <c r="G253" t="s">
        <v>15</v>
      </c>
      <c r="H253" t="s">
        <v>16</v>
      </c>
      <c r="I253">
        <v>10.363</v>
      </c>
      <c r="J253">
        <v>1.5</v>
      </c>
      <c r="K253" t="s">
        <v>2879</v>
      </c>
      <c r="L253" t="s">
        <v>2915</v>
      </c>
      <c r="M253" t="s">
        <v>2916</v>
      </c>
      <c r="N253">
        <v>26</v>
      </c>
      <c r="O253">
        <v>113</v>
      </c>
      <c r="P253">
        <v>4.3461999999999996</v>
      </c>
      <c r="Q253" t="s">
        <v>8</v>
      </c>
      <c r="R253" t="s">
        <v>12</v>
      </c>
      <c r="S253" t="s">
        <v>12</v>
      </c>
      <c r="T253" t="s">
        <v>12</v>
      </c>
      <c r="U253" t="s">
        <v>12</v>
      </c>
      <c r="V253" t="s">
        <v>12</v>
      </c>
      <c r="W253" t="s">
        <v>12</v>
      </c>
      <c r="X253" t="s">
        <v>12</v>
      </c>
      <c r="Y253" t="s">
        <v>12</v>
      </c>
      <c r="Z253" t="s">
        <v>12</v>
      </c>
      <c r="AA253" t="s">
        <v>12</v>
      </c>
      <c r="AB253" t="s">
        <v>12</v>
      </c>
      <c r="AC253" t="s">
        <v>12</v>
      </c>
      <c r="AD253" t="s">
        <v>12</v>
      </c>
    </row>
    <row r="254" spans="1:30">
      <c r="A254" t="s">
        <v>110</v>
      </c>
      <c r="B254" t="str">
        <f>Master_Data_Productivity[[#This Row],[Uniq-ID]]&amp;"-"&amp;Master_Data_Productivity[[#This Row],[Period]]</f>
        <v>DC-Document_Controller-037-M2</v>
      </c>
      <c r="C254" t="s">
        <v>111</v>
      </c>
      <c r="D254" t="s">
        <v>112</v>
      </c>
      <c r="E254" t="s">
        <v>18</v>
      </c>
      <c r="F254" t="s">
        <v>115</v>
      </c>
      <c r="G254" t="s">
        <v>15</v>
      </c>
      <c r="H254" t="s">
        <v>16</v>
      </c>
      <c r="I254">
        <v>10.363</v>
      </c>
      <c r="J254">
        <v>1.5</v>
      </c>
      <c r="K254" t="s">
        <v>2879</v>
      </c>
      <c r="L254" t="s">
        <v>2915</v>
      </c>
      <c r="M254" t="s">
        <v>2916</v>
      </c>
      <c r="N254">
        <v>20</v>
      </c>
      <c r="O254">
        <v>113</v>
      </c>
      <c r="P254">
        <v>5.65</v>
      </c>
      <c r="Q254" t="s">
        <v>8</v>
      </c>
      <c r="R254" t="s">
        <v>12</v>
      </c>
      <c r="S254" t="s">
        <v>12</v>
      </c>
      <c r="T254" t="s">
        <v>12</v>
      </c>
      <c r="U254" t="s">
        <v>12</v>
      </c>
      <c r="V254" t="s">
        <v>12</v>
      </c>
      <c r="W254" t="s">
        <v>12</v>
      </c>
      <c r="X254" t="s">
        <v>12</v>
      </c>
      <c r="Y254" t="s">
        <v>12</v>
      </c>
      <c r="Z254" t="s">
        <v>12</v>
      </c>
      <c r="AA254" t="s">
        <v>12</v>
      </c>
      <c r="AB254" t="s">
        <v>12</v>
      </c>
      <c r="AC254" t="s">
        <v>12</v>
      </c>
      <c r="AD254" t="s">
        <v>12</v>
      </c>
    </row>
    <row r="255" spans="1:30">
      <c r="A255" t="s">
        <v>110</v>
      </c>
      <c r="B255" t="str">
        <f>Master_Data_Productivity[[#This Row],[Uniq-ID]]&amp;"-"&amp;Master_Data_Productivity[[#This Row],[Period]]</f>
        <v>DC-Document_Controller-037-M3</v>
      </c>
      <c r="C255" t="s">
        <v>111</v>
      </c>
      <c r="D255" t="s">
        <v>112</v>
      </c>
      <c r="E255" t="s">
        <v>22</v>
      </c>
      <c r="F255" t="s">
        <v>117</v>
      </c>
      <c r="G255" t="s">
        <v>15</v>
      </c>
      <c r="H255" t="s">
        <v>16</v>
      </c>
      <c r="I255">
        <v>2.2930000000000001</v>
      </c>
      <c r="J255">
        <v>1.1499999999999999</v>
      </c>
      <c r="K255" t="s">
        <v>2879</v>
      </c>
      <c r="L255" t="s">
        <v>2915</v>
      </c>
      <c r="M255" t="s">
        <v>2916</v>
      </c>
      <c r="N255">
        <v>308</v>
      </c>
      <c r="O255">
        <v>25</v>
      </c>
      <c r="P255">
        <v>8.1199999999999994E-2</v>
      </c>
      <c r="Q255" t="s">
        <v>8</v>
      </c>
      <c r="R255" t="s">
        <v>12</v>
      </c>
      <c r="S255" t="s">
        <v>12</v>
      </c>
      <c r="T255" t="s">
        <v>12</v>
      </c>
      <c r="U255" t="s">
        <v>12</v>
      </c>
      <c r="V255" t="s">
        <v>12</v>
      </c>
      <c r="W255" t="s">
        <v>12</v>
      </c>
      <c r="X255" t="s">
        <v>12</v>
      </c>
      <c r="Y255" t="s">
        <v>12</v>
      </c>
      <c r="Z255" t="s">
        <v>12</v>
      </c>
      <c r="AA255" t="s">
        <v>12</v>
      </c>
      <c r="AB255" t="s">
        <v>12</v>
      </c>
      <c r="AC255" t="s">
        <v>12</v>
      </c>
      <c r="AD255" t="s">
        <v>12</v>
      </c>
    </row>
    <row r="256" spans="1:30">
      <c r="A256" t="s">
        <v>110</v>
      </c>
      <c r="B256" t="str">
        <f>Master_Data_Productivity[[#This Row],[Uniq-ID]]&amp;"-"&amp;Master_Data_Productivity[[#This Row],[Period]]</f>
        <v>DC-Document_Controller-037-M3</v>
      </c>
      <c r="C256" t="s">
        <v>111</v>
      </c>
      <c r="D256" t="s">
        <v>112</v>
      </c>
      <c r="E256" t="s">
        <v>22</v>
      </c>
      <c r="F256" t="s">
        <v>117</v>
      </c>
      <c r="G256" t="s">
        <v>15</v>
      </c>
      <c r="H256" t="s">
        <v>16</v>
      </c>
      <c r="I256">
        <v>2.2930000000000001</v>
      </c>
      <c r="J256">
        <v>1.1499999999999999</v>
      </c>
      <c r="K256" t="s">
        <v>2879</v>
      </c>
      <c r="L256" t="s">
        <v>2915</v>
      </c>
      <c r="M256" t="s">
        <v>2916</v>
      </c>
      <c r="N256">
        <v>26</v>
      </c>
      <c r="O256">
        <v>25</v>
      </c>
      <c r="P256">
        <v>0.96150000000000002</v>
      </c>
      <c r="Q256" t="s">
        <v>8</v>
      </c>
      <c r="R256" t="s">
        <v>12</v>
      </c>
      <c r="S256" t="s">
        <v>12</v>
      </c>
      <c r="T256" t="s">
        <v>12</v>
      </c>
      <c r="U256" t="s">
        <v>12</v>
      </c>
      <c r="V256" t="s">
        <v>12</v>
      </c>
      <c r="W256" t="s">
        <v>12</v>
      </c>
      <c r="X256" t="s">
        <v>12</v>
      </c>
      <c r="Y256" t="s">
        <v>12</v>
      </c>
      <c r="Z256" t="s">
        <v>12</v>
      </c>
      <c r="AA256" t="s">
        <v>12</v>
      </c>
      <c r="AB256" t="s">
        <v>12</v>
      </c>
      <c r="AC256" t="s">
        <v>12</v>
      </c>
      <c r="AD256" t="s">
        <v>12</v>
      </c>
    </row>
    <row r="257" spans="1:30">
      <c r="A257" t="s">
        <v>110</v>
      </c>
      <c r="B257" t="str">
        <f>Master_Data_Productivity[[#This Row],[Uniq-ID]]&amp;"-"&amp;Master_Data_Productivity[[#This Row],[Period]]</f>
        <v>DC-Document_Controller-037-M3</v>
      </c>
      <c r="C257" t="s">
        <v>111</v>
      </c>
      <c r="D257" t="s">
        <v>112</v>
      </c>
      <c r="E257" t="s">
        <v>22</v>
      </c>
      <c r="F257" t="s">
        <v>117</v>
      </c>
      <c r="G257" t="s">
        <v>15</v>
      </c>
      <c r="H257" t="s">
        <v>16</v>
      </c>
      <c r="I257">
        <v>2.2930000000000001</v>
      </c>
      <c r="J257">
        <v>1.1499999999999999</v>
      </c>
      <c r="K257" t="s">
        <v>2879</v>
      </c>
      <c r="L257" t="s">
        <v>2915</v>
      </c>
      <c r="M257" t="s">
        <v>2916</v>
      </c>
      <c r="N257">
        <v>20</v>
      </c>
      <c r="O257">
        <v>25</v>
      </c>
      <c r="P257">
        <v>1.25</v>
      </c>
      <c r="Q257" t="s">
        <v>8</v>
      </c>
      <c r="R257" t="s">
        <v>12</v>
      </c>
      <c r="S257" t="s">
        <v>12</v>
      </c>
      <c r="T257" t="s">
        <v>12</v>
      </c>
      <c r="U257" t="s">
        <v>12</v>
      </c>
      <c r="V257" t="s">
        <v>12</v>
      </c>
      <c r="W257" t="s">
        <v>12</v>
      </c>
      <c r="X257" t="s">
        <v>12</v>
      </c>
      <c r="Y257" t="s">
        <v>12</v>
      </c>
      <c r="Z257" t="s">
        <v>12</v>
      </c>
      <c r="AA257" t="s">
        <v>12</v>
      </c>
      <c r="AB257" t="s">
        <v>12</v>
      </c>
      <c r="AC257" t="s">
        <v>12</v>
      </c>
      <c r="AD257" t="s">
        <v>12</v>
      </c>
    </row>
    <row r="258" spans="1:30">
      <c r="A258" t="s">
        <v>110</v>
      </c>
      <c r="B258" t="str">
        <f>Master_Data_Productivity[[#This Row],[Uniq-ID]]&amp;"-"&amp;Master_Data_Productivity[[#This Row],[Period]]</f>
        <v>DC-Document_Controller-037-M4</v>
      </c>
      <c r="C258" t="s">
        <v>111</v>
      </c>
      <c r="D258" t="s">
        <v>112</v>
      </c>
      <c r="E258" t="s">
        <v>25</v>
      </c>
      <c r="F258" t="s">
        <v>119</v>
      </c>
      <c r="G258" t="s">
        <v>33</v>
      </c>
      <c r="H258" t="s">
        <v>44</v>
      </c>
      <c r="I258">
        <v>0</v>
      </c>
      <c r="K258" t="s">
        <v>12</v>
      </c>
      <c r="L258" t="s">
        <v>12</v>
      </c>
      <c r="M258" t="s">
        <v>12</v>
      </c>
      <c r="Q258" t="s">
        <v>8</v>
      </c>
      <c r="R258" t="s">
        <v>12</v>
      </c>
      <c r="S258" t="s">
        <v>12</v>
      </c>
      <c r="T258" t="s">
        <v>12</v>
      </c>
      <c r="U258" t="s">
        <v>12</v>
      </c>
      <c r="V258" t="s">
        <v>12</v>
      </c>
      <c r="W258" t="s">
        <v>12</v>
      </c>
      <c r="X258" t="s">
        <v>12</v>
      </c>
      <c r="Y258" t="s">
        <v>12</v>
      </c>
      <c r="Z258" t="s">
        <v>12</v>
      </c>
      <c r="AA258" t="s">
        <v>12</v>
      </c>
      <c r="AB258" t="s">
        <v>12</v>
      </c>
      <c r="AC258" t="s">
        <v>12</v>
      </c>
      <c r="AD258" t="s">
        <v>12</v>
      </c>
    </row>
    <row r="259" spans="1:30">
      <c r="A259" t="s">
        <v>133</v>
      </c>
      <c r="B259" t="str">
        <f>Master_Data_Productivity[[#This Row],[Uniq-ID]]&amp;"-"&amp;Master_Data_Productivity[[#This Row],[Period]]</f>
        <v>DC-Document_Controller-036-M1</v>
      </c>
      <c r="C259" t="s">
        <v>134</v>
      </c>
      <c r="D259" t="s">
        <v>112</v>
      </c>
      <c r="E259" t="s">
        <v>13</v>
      </c>
      <c r="F259" t="s">
        <v>113</v>
      </c>
      <c r="G259" t="s">
        <v>15</v>
      </c>
      <c r="H259" t="s">
        <v>16</v>
      </c>
      <c r="I259">
        <v>5.2270000000000003</v>
      </c>
      <c r="J259">
        <v>1.5</v>
      </c>
      <c r="K259" t="s">
        <v>2879</v>
      </c>
      <c r="L259" t="s">
        <v>2915</v>
      </c>
      <c r="M259" t="s">
        <v>2916</v>
      </c>
      <c r="N259">
        <v>308</v>
      </c>
      <c r="O259">
        <v>57</v>
      </c>
      <c r="P259">
        <v>0.18509999999999999</v>
      </c>
      <c r="Q259" t="s">
        <v>8</v>
      </c>
      <c r="R259" t="s">
        <v>12</v>
      </c>
      <c r="S259" t="s">
        <v>12</v>
      </c>
      <c r="T259" t="s">
        <v>12</v>
      </c>
      <c r="U259" t="s">
        <v>12</v>
      </c>
      <c r="V259" t="s">
        <v>12</v>
      </c>
      <c r="W259" t="s">
        <v>12</v>
      </c>
      <c r="X259" t="s">
        <v>12</v>
      </c>
      <c r="Y259" t="s">
        <v>12</v>
      </c>
      <c r="Z259" t="s">
        <v>12</v>
      </c>
      <c r="AA259" t="s">
        <v>12</v>
      </c>
      <c r="AB259" t="s">
        <v>12</v>
      </c>
      <c r="AC259" t="s">
        <v>12</v>
      </c>
      <c r="AD259" t="s">
        <v>12</v>
      </c>
    </row>
    <row r="260" spans="1:30">
      <c r="A260" t="s">
        <v>133</v>
      </c>
      <c r="B260" t="str">
        <f>Master_Data_Productivity[[#This Row],[Uniq-ID]]&amp;"-"&amp;Master_Data_Productivity[[#This Row],[Period]]</f>
        <v>DC-Document_Controller-036-M1</v>
      </c>
      <c r="C260" t="s">
        <v>134</v>
      </c>
      <c r="D260" t="s">
        <v>112</v>
      </c>
      <c r="E260" t="s">
        <v>13</v>
      </c>
      <c r="F260" t="s">
        <v>113</v>
      </c>
      <c r="G260" t="s">
        <v>15</v>
      </c>
      <c r="H260" t="s">
        <v>16</v>
      </c>
      <c r="I260">
        <v>5.2270000000000003</v>
      </c>
      <c r="J260">
        <v>1.5</v>
      </c>
      <c r="K260" t="s">
        <v>2879</v>
      </c>
      <c r="L260" t="s">
        <v>2915</v>
      </c>
      <c r="M260" t="s">
        <v>2916</v>
      </c>
      <c r="N260">
        <v>26</v>
      </c>
      <c r="O260">
        <v>57</v>
      </c>
      <c r="P260">
        <v>2.1922999999999999</v>
      </c>
      <c r="Q260" t="s">
        <v>8</v>
      </c>
      <c r="R260" t="s">
        <v>12</v>
      </c>
      <c r="S260" t="s">
        <v>12</v>
      </c>
      <c r="T260" t="s">
        <v>12</v>
      </c>
      <c r="U260" t="s">
        <v>12</v>
      </c>
      <c r="V260" t="s">
        <v>12</v>
      </c>
      <c r="W260" t="s">
        <v>12</v>
      </c>
      <c r="X260" t="s">
        <v>12</v>
      </c>
      <c r="Y260" t="s">
        <v>12</v>
      </c>
      <c r="Z260" t="s">
        <v>12</v>
      </c>
      <c r="AA260" t="s">
        <v>12</v>
      </c>
      <c r="AB260" t="s">
        <v>12</v>
      </c>
      <c r="AC260" t="s">
        <v>12</v>
      </c>
      <c r="AD260" t="s">
        <v>12</v>
      </c>
    </row>
    <row r="261" spans="1:30">
      <c r="A261" t="s">
        <v>133</v>
      </c>
      <c r="B261" t="str">
        <f>Master_Data_Productivity[[#This Row],[Uniq-ID]]&amp;"-"&amp;Master_Data_Productivity[[#This Row],[Period]]</f>
        <v>DC-Document_Controller-036-M1</v>
      </c>
      <c r="C261" t="s">
        <v>134</v>
      </c>
      <c r="D261" t="s">
        <v>112</v>
      </c>
      <c r="E261" t="s">
        <v>13</v>
      </c>
      <c r="F261" t="s">
        <v>113</v>
      </c>
      <c r="G261" t="s">
        <v>15</v>
      </c>
      <c r="H261" t="s">
        <v>16</v>
      </c>
      <c r="I261">
        <v>5.2270000000000003</v>
      </c>
      <c r="J261">
        <v>1.5</v>
      </c>
      <c r="K261" t="s">
        <v>2879</v>
      </c>
      <c r="L261" t="s">
        <v>2915</v>
      </c>
      <c r="M261" t="s">
        <v>2916</v>
      </c>
      <c r="N261">
        <v>20</v>
      </c>
      <c r="O261">
        <v>57</v>
      </c>
      <c r="P261">
        <v>2.85</v>
      </c>
      <c r="Q261" t="s">
        <v>8</v>
      </c>
      <c r="R261" t="s">
        <v>12</v>
      </c>
      <c r="S261" t="s">
        <v>12</v>
      </c>
      <c r="T261" t="s">
        <v>12</v>
      </c>
      <c r="U261" t="s">
        <v>12</v>
      </c>
      <c r="V261" t="s">
        <v>12</v>
      </c>
      <c r="W261" t="s">
        <v>12</v>
      </c>
      <c r="X261" t="s">
        <v>12</v>
      </c>
      <c r="Y261" t="s">
        <v>12</v>
      </c>
      <c r="Z261" t="s">
        <v>12</v>
      </c>
      <c r="AA261" t="s">
        <v>12</v>
      </c>
      <c r="AB261" t="s">
        <v>12</v>
      </c>
      <c r="AC261" t="s">
        <v>12</v>
      </c>
      <c r="AD261" t="s">
        <v>12</v>
      </c>
    </row>
    <row r="262" spans="1:30">
      <c r="A262" t="s">
        <v>133</v>
      </c>
      <c r="B262" t="str">
        <f>Master_Data_Productivity[[#This Row],[Uniq-ID]]&amp;"-"&amp;Master_Data_Productivity[[#This Row],[Period]]</f>
        <v>DC-Document_Controller-036-M2</v>
      </c>
      <c r="C262" t="s">
        <v>134</v>
      </c>
      <c r="D262" t="s">
        <v>112</v>
      </c>
      <c r="E262" t="s">
        <v>18</v>
      </c>
      <c r="F262" t="s">
        <v>115</v>
      </c>
      <c r="G262" t="s">
        <v>15</v>
      </c>
      <c r="H262" t="s">
        <v>16</v>
      </c>
      <c r="I262">
        <v>12.289</v>
      </c>
      <c r="J262">
        <v>1.5</v>
      </c>
      <c r="K262" t="s">
        <v>2879</v>
      </c>
      <c r="L262" t="s">
        <v>2915</v>
      </c>
      <c r="M262" t="s">
        <v>2916</v>
      </c>
      <c r="N262">
        <v>308</v>
      </c>
      <c r="O262">
        <v>134</v>
      </c>
      <c r="P262">
        <v>0.43509999999999999</v>
      </c>
      <c r="Q262" t="s">
        <v>8</v>
      </c>
      <c r="R262" t="s">
        <v>12</v>
      </c>
      <c r="S262" t="s">
        <v>12</v>
      </c>
      <c r="T262" t="s">
        <v>12</v>
      </c>
      <c r="U262" t="s">
        <v>12</v>
      </c>
      <c r="V262" t="s">
        <v>12</v>
      </c>
      <c r="W262" t="s">
        <v>12</v>
      </c>
      <c r="X262" t="s">
        <v>12</v>
      </c>
      <c r="Y262" t="s">
        <v>12</v>
      </c>
      <c r="Z262" t="s">
        <v>12</v>
      </c>
      <c r="AA262" t="s">
        <v>12</v>
      </c>
      <c r="AB262" t="s">
        <v>12</v>
      </c>
      <c r="AC262" t="s">
        <v>12</v>
      </c>
      <c r="AD262" t="s">
        <v>12</v>
      </c>
    </row>
    <row r="263" spans="1:30">
      <c r="A263" t="s">
        <v>133</v>
      </c>
      <c r="B263" t="str">
        <f>Master_Data_Productivity[[#This Row],[Uniq-ID]]&amp;"-"&amp;Master_Data_Productivity[[#This Row],[Period]]</f>
        <v>DC-Document_Controller-036-M2</v>
      </c>
      <c r="C263" t="s">
        <v>134</v>
      </c>
      <c r="D263" t="s">
        <v>112</v>
      </c>
      <c r="E263" t="s">
        <v>18</v>
      </c>
      <c r="F263" t="s">
        <v>115</v>
      </c>
      <c r="G263" t="s">
        <v>15</v>
      </c>
      <c r="H263" t="s">
        <v>16</v>
      </c>
      <c r="I263">
        <v>12.289</v>
      </c>
      <c r="J263">
        <v>1.5</v>
      </c>
      <c r="K263" t="s">
        <v>2879</v>
      </c>
      <c r="L263" t="s">
        <v>2915</v>
      </c>
      <c r="M263" t="s">
        <v>2916</v>
      </c>
      <c r="N263">
        <v>26</v>
      </c>
      <c r="O263">
        <v>134</v>
      </c>
      <c r="P263">
        <v>5.1538000000000004</v>
      </c>
      <c r="Q263" t="s">
        <v>8</v>
      </c>
      <c r="R263" t="s">
        <v>12</v>
      </c>
      <c r="S263" t="s">
        <v>12</v>
      </c>
      <c r="T263" t="s">
        <v>12</v>
      </c>
      <c r="U263" t="s">
        <v>12</v>
      </c>
      <c r="V263" t="s">
        <v>12</v>
      </c>
      <c r="W263" t="s">
        <v>12</v>
      </c>
      <c r="X263" t="s">
        <v>12</v>
      </c>
      <c r="Y263" t="s">
        <v>12</v>
      </c>
      <c r="Z263" t="s">
        <v>12</v>
      </c>
      <c r="AA263" t="s">
        <v>12</v>
      </c>
      <c r="AB263" t="s">
        <v>12</v>
      </c>
      <c r="AC263" t="s">
        <v>12</v>
      </c>
      <c r="AD263" t="s">
        <v>12</v>
      </c>
    </row>
    <row r="264" spans="1:30">
      <c r="A264" t="s">
        <v>133</v>
      </c>
      <c r="B264" t="str">
        <f>Master_Data_Productivity[[#This Row],[Uniq-ID]]&amp;"-"&amp;Master_Data_Productivity[[#This Row],[Period]]</f>
        <v>DC-Document_Controller-036-M2</v>
      </c>
      <c r="C264" t="s">
        <v>134</v>
      </c>
      <c r="D264" t="s">
        <v>112</v>
      </c>
      <c r="E264" t="s">
        <v>18</v>
      </c>
      <c r="F264" t="s">
        <v>115</v>
      </c>
      <c r="G264" t="s">
        <v>15</v>
      </c>
      <c r="H264" t="s">
        <v>16</v>
      </c>
      <c r="I264">
        <v>12.289</v>
      </c>
      <c r="J264">
        <v>1.5</v>
      </c>
      <c r="K264" t="s">
        <v>2879</v>
      </c>
      <c r="L264" t="s">
        <v>2915</v>
      </c>
      <c r="M264" t="s">
        <v>2916</v>
      </c>
      <c r="N264">
        <v>20</v>
      </c>
      <c r="O264">
        <v>134</v>
      </c>
      <c r="P264">
        <v>6.7</v>
      </c>
      <c r="Q264" t="s">
        <v>8</v>
      </c>
      <c r="R264" t="s">
        <v>12</v>
      </c>
      <c r="S264" t="s">
        <v>12</v>
      </c>
      <c r="T264" t="s">
        <v>12</v>
      </c>
      <c r="U264" t="s">
        <v>12</v>
      </c>
      <c r="V264" t="s">
        <v>12</v>
      </c>
      <c r="W264" t="s">
        <v>12</v>
      </c>
      <c r="X264" t="s">
        <v>12</v>
      </c>
      <c r="Y264" t="s">
        <v>12</v>
      </c>
      <c r="Z264" t="s">
        <v>12</v>
      </c>
      <c r="AA264" t="s">
        <v>12</v>
      </c>
      <c r="AB264" t="s">
        <v>12</v>
      </c>
      <c r="AC264" t="s">
        <v>12</v>
      </c>
      <c r="AD264" t="s">
        <v>12</v>
      </c>
    </row>
    <row r="265" spans="1:30">
      <c r="A265" t="s">
        <v>133</v>
      </c>
      <c r="B265" t="str">
        <f>Master_Data_Productivity[[#This Row],[Uniq-ID]]&amp;"-"&amp;Master_Data_Productivity[[#This Row],[Period]]</f>
        <v>DC-Document_Controller-036-M3</v>
      </c>
      <c r="C265" t="s">
        <v>134</v>
      </c>
      <c r="D265" t="s">
        <v>112</v>
      </c>
      <c r="E265" t="s">
        <v>22</v>
      </c>
      <c r="F265" t="s">
        <v>117</v>
      </c>
      <c r="G265" t="s">
        <v>15</v>
      </c>
      <c r="H265" t="s">
        <v>44</v>
      </c>
      <c r="I265">
        <v>9.1999999999999998E-2</v>
      </c>
      <c r="J265">
        <v>0.5</v>
      </c>
      <c r="K265" t="s">
        <v>2879</v>
      </c>
      <c r="L265" t="s">
        <v>2915</v>
      </c>
      <c r="M265" t="s">
        <v>2916</v>
      </c>
      <c r="N265">
        <v>20</v>
      </c>
      <c r="O265">
        <v>1</v>
      </c>
      <c r="P265">
        <v>0.05</v>
      </c>
      <c r="Q265" t="s">
        <v>8</v>
      </c>
      <c r="R265" t="s">
        <v>12</v>
      </c>
      <c r="S265" t="s">
        <v>12</v>
      </c>
      <c r="T265" t="s">
        <v>12</v>
      </c>
      <c r="U265" t="s">
        <v>12</v>
      </c>
      <c r="V265" t="s">
        <v>12</v>
      </c>
      <c r="W265" t="s">
        <v>12</v>
      </c>
      <c r="X265" t="s">
        <v>12</v>
      </c>
      <c r="Y265" t="s">
        <v>12</v>
      </c>
      <c r="Z265" t="s">
        <v>12</v>
      </c>
      <c r="AA265" t="s">
        <v>12</v>
      </c>
      <c r="AB265" t="s">
        <v>12</v>
      </c>
      <c r="AC265" t="s">
        <v>12</v>
      </c>
      <c r="AD265" t="s">
        <v>12</v>
      </c>
    </row>
    <row r="266" spans="1:30">
      <c r="A266" t="s">
        <v>133</v>
      </c>
      <c r="B266" t="str">
        <f>Master_Data_Productivity[[#This Row],[Uniq-ID]]&amp;"-"&amp;Master_Data_Productivity[[#This Row],[Period]]</f>
        <v>DC-Document_Controller-036-M3</v>
      </c>
      <c r="C266" t="s">
        <v>134</v>
      </c>
      <c r="D266" t="s">
        <v>112</v>
      </c>
      <c r="E266" t="s">
        <v>22</v>
      </c>
      <c r="F266" t="s">
        <v>117</v>
      </c>
      <c r="G266" t="s">
        <v>15</v>
      </c>
      <c r="H266" t="s">
        <v>44</v>
      </c>
      <c r="I266">
        <v>9.1999999999999998E-2</v>
      </c>
      <c r="J266">
        <v>0.5</v>
      </c>
      <c r="K266" t="s">
        <v>2879</v>
      </c>
      <c r="L266" t="s">
        <v>2915</v>
      </c>
      <c r="M266" t="s">
        <v>2916</v>
      </c>
      <c r="N266">
        <v>26</v>
      </c>
      <c r="O266">
        <v>1</v>
      </c>
      <c r="P266">
        <v>3.85E-2</v>
      </c>
      <c r="Q266" t="s">
        <v>8</v>
      </c>
      <c r="R266" t="s">
        <v>12</v>
      </c>
      <c r="S266" t="s">
        <v>12</v>
      </c>
      <c r="T266" t="s">
        <v>12</v>
      </c>
      <c r="U266" t="s">
        <v>12</v>
      </c>
      <c r="V266" t="s">
        <v>12</v>
      </c>
      <c r="W266" t="s">
        <v>12</v>
      </c>
      <c r="X266" t="s">
        <v>12</v>
      </c>
      <c r="Y266" t="s">
        <v>12</v>
      </c>
      <c r="Z266" t="s">
        <v>12</v>
      </c>
      <c r="AA266" t="s">
        <v>12</v>
      </c>
      <c r="AB266" t="s">
        <v>12</v>
      </c>
      <c r="AC266" t="s">
        <v>12</v>
      </c>
      <c r="AD266" t="s">
        <v>12</v>
      </c>
    </row>
    <row r="267" spans="1:30">
      <c r="A267" t="s">
        <v>133</v>
      </c>
      <c r="B267" t="str">
        <f>Master_Data_Productivity[[#This Row],[Uniq-ID]]&amp;"-"&amp;Master_Data_Productivity[[#This Row],[Period]]</f>
        <v>DC-Document_Controller-036-M3</v>
      </c>
      <c r="C267" t="s">
        <v>134</v>
      </c>
      <c r="D267" t="s">
        <v>112</v>
      </c>
      <c r="E267" t="s">
        <v>22</v>
      </c>
      <c r="F267" t="s">
        <v>117</v>
      </c>
      <c r="G267" t="s">
        <v>15</v>
      </c>
      <c r="H267" t="s">
        <v>44</v>
      </c>
      <c r="I267">
        <v>9.1999999999999998E-2</v>
      </c>
      <c r="J267">
        <v>0.5</v>
      </c>
      <c r="K267" t="s">
        <v>2879</v>
      </c>
      <c r="L267" t="s">
        <v>2915</v>
      </c>
      <c r="M267" t="s">
        <v>2916</v>
      </c>
      <c r="N267">
        <v>308</v>
      </c>
      <c r="O267">
        <v>1</v>
      </c>
      <c r="P267">
        <v>3.2000000000000002E-3</v>
      </c>
      <c r="Q267" t="s">
        <v>8</v>
      </c>
      <c r="R267" t="s">
        <v>12</v>
      </c>
      <c r="S267" t="s">
        <v>12</v>
      </c>
      <c r="T267" t="s">
        <v>12</v>
      </c>
      <c r="U267" t="s">
        <v>12</v>
      </c>
      <c r="V267" t="s">
        <v>12</v>
      </c>
      <c r="W267" t="s">
        <v>12</v>
      </c>
      <c r="X267" t="s">
        <v>12</v>
      </c>
      <c r="Y267" t="s">
        <v>12</v>
      </c>
      <c r="Z267" t="s">
        <v>12</v>
      </c>
      <c r="AA267" t="s">
        <v>12</v>
      </c>
      <c r="AB267" t="s">
        <v>12</v>
      </c>
      <c r="AC267" t="s">
        <v>12</v>
      </c>
      <c r="AD267" t="s">
        <v>12</v>
      </c>
    </row>
    <row r="268" spans="1:30">
      <c r="A268" t="s">
        <v>133</v>
      </c>
      <c r="B268" t="str">
        <f>Master_Data_Productivity[[#This Row],[Uniq-ID]]&amp;"-"&amp;Master_Data_Productivity[[#This Row],[Period]]</f>
        <v>DC-Document_Controller-036-M4</v>
      </c>
      <c r="C268" t="s">
        <v>134</v>
      </c>
      <c r="D268" t="s">
        <v>112</v>
      </c>
      <c r="E268" t="s">
        <v>25</v>
      </c>
      <c r="F268" t="s">
        <v>119</v>
      </c>
      <c r="G268" t="s">
        <v>33</v>
      </c>
      <c r="H268" t="s">
        <v>44</v>
      </c>
      <c r="I268">
        <v>0</v>
      </c>
      <c r="K268" t="s">
        <v>12</v>
      </c>
      <c r="L268" t="s">
        <v>12</v>
      </c>
      <c r="M268" t="s">
        <v>12</v>
      </c>
      <c r="Q268" t="s">
        <v>8</v>
      </c>
      <c r="R268" t="s">
        <v>12</v>
      </c>
      <c r="S268" t="s">
        <v>12</v>
      </c>
      <c r="T268" t="s">
        <v>12</v>
      </c>
      <c r="U268" t="s">
        <v>12</v>
      </c>
      <c r="V268" t="s">
        <v>12</v>
      </c>
      <c r="W268" t="s">
        <v>12</v>
      </c>
      <c r="X268" t="s">
        <v>12</v>
      </c>
      <c r="Y268" t="s">
        <v>12</v>
      </c>
      <c r="Z268" t="s">
        <v>12</v>
      </c>
      <c r="AA268" t="s">
        <v>12</v>
      </c>
      <c r="AB268" t="s">
        <v>12</v>
      </c>
      <c r="AC268" t="s">
        <v>12</v>
      </c>
      <c r="AD268" t="s">
        <v>12</v>
      </c>
    </row>
    <row r="269" spans="1:30">
      <c r="A269" t="s">
        <v>138</v>
      </c>
      <c r="B269" t="str">
        <f>Master_Data_Productivity[[#This Row],[Uniq-ID]]&amp;"-"&amp;Master_Data_Productivity[[#This Row],[Period]]</f>
        <v>DC-Document_Controller-034-M1</v>
      </c>
      <c r="C269" t="s">
        <v>139</v>
      </c>
      <c r="D269" t="s">
        <v>140</v>
      </c>
      <c r="E269" t="s">
        <v>13</v>
      </c>
      <c r="F269" t="s">
        <v>14</v>
      </c>
      <c r="G269" t="s">
        <v>15</v>
      </c>
      <c r="H269" t="s">
        <v>16</v>
      </c>
      <c r="I269">
        <v>9.52</v>
      </c>
      <c r="J269">
        <v>1.5</v>
      </c>
      <c r="K269" t="s">
        <v>2871</v>
      </c>
      <c r="L269" t="s">
        <v>3050</v>
      </c>
      <c r="M269" t="s">
        <v>2873</v>
      </c>
      <c r="N269">
        <v>14</v>
      </c>
      <c r="O269">
        <v>14</v>
      </c>
      <c r="P269">
        <v>1</v>
      </c>
      <c r="Q269" t="s">
        <v>8</v>
      </c>
      <c r="R269" t="s">
        <v>12</v>
      </c>
      <c r="S269" t="s">
        <v>12</v>
      </c>
      <c r="T269" t="s">
        <v>12</v>
      </c>
      <c r="U269" t="s">
        <v>12</v>
      </c>
      <c r="V269" t="s">
        <v>12</v>
      </c>
      <c r="W269" t="s">
        <v>12</v>
      </c>
      <c r="X269" t="s">
        <v>12</v>
      </c>
      <c r="Y269" t="s">
        <v>12</v>
      </c>
      <c r="Z269" t="s">
        <v>12</v>
      </c>
      <c r="AA269" t="s">
        <v>12</v>
      </c>
      <c r="AB269" t="s">
        <v>12</v>
      </c>
      <c r="AC269" t="s">
        <v>12</v>
      </c>
      <c r="AD269" t="s">
        <v>12</v>
      </c>
    </row>
    <row r="270" spans="1:30">
      <c r="A270" t="s">
        <v>138</v>
      </c>
      <c r="B270" t="str">
        <f>Master_Data_Productivity[[#This Row],[Uniq-ID]]&amp;"-"&amp;Master_Data_Productivity[[#This Row],[Period]]</f>
        <v>DC-Document_Controller-034-M1</v>
      </c>
      <c r="C270" t="s">
        <v>139</v>
      </c>
      <c r="D270" t="s">
        <v>140</v>
      </c>
      <c r="E270" t="s">
        <v>13</v>
      </c>
      <c r="F270" t="s">
        <v>14</v>
      </c>
      <c r="G270" t="s">
        <v>15</v>
      </c>
      <c r="H270" t="s">
        <v>16</v>
      </c>
      <c r="I270">
        <v>9.52</v>
      </c>
      <c r="J270">
        <v>1.5</v>
      </c>
      <c r="K270" t="s">
        <v>2887</v>
      </c>
      <c r="L270" t="s">
        <v>3051</v>
      </c>
      <c r="M270" t="s">
        <v>2873</v>
      </c>
      <c r="N270">
        <v>14</v>
      </c>
      <c r="O270">
        <v>14</v>
      </c>
      <c r="P270">
        <v>1</v>
      </c>
      <c r="Q270" t="s">
        <v>8</v>
      </c>
      <c r="R270" t="s">
        <v>12</v>
      </c>
      <c r="S270" t="s">
        <v>12</v>
      </c>
      <c r="T270" t="s">
        <v>12</v>
      </c>
      <c r="U270" t="s">
        <v>12</v>
      </c>
      <c r="V270" t="s">
        <v>12</v>
      </c>
      <c r="W270" t="s">
        <v>12</v>
      </c>
      <c r="X270" t="s">
        <v>12</v>
      </c>
      <c r="Y270" t="s">
        <v>12</v>
      </c>
      <c r="Z270" t="s">
        <v>12</v>
      </c>
      <c r="AA270" t="s">
        <v>12</v>
      </c>
      <c r="AB270" t="s">
        <v>12</v>
      </c>
      <c r="AC270" t="s">
        <v>12</v>
      </c>
      <c r="AD270" t="s">
        <v>12</v>
      </c>
    </row>
    <row r="271" spans="1:30">
      <c r="A271" t="s">
        <v>138</v>
      </c>
      <c r="B271" t="str">
        <f>Master_Data_Productivity[[#This Row],[Uniq-ID]]&amp;"-"&amp;Master_Data_Productivity[[#This Row],[Period]]</f>
        <v>DC-Document_Controller-034-M1</v>
      </c>
      <c r="C271" t="s">
        <v>139</v>
      </c>
      <c r="D271" t="s">
        <v>140</v>
      </c>
      <c r="E271" t="s">
        <v>13</v>
      </c>
      <c r="F271" t="s">
        <v>14</v>
      </c>
      <c r="G271" t="s">
        <v>15</v>
      </c>
      <c r="H271" t="s">
        <v>16</v>
      </c>
      <c r="I271">
        <v>9.52</v>
      </c>
      <c r="J271">
        <v>1.5</v>
      </c>
      <c r="K271" t="s">
        <v>2887</v>
      </c>
      <c r="L271" t="s">
        <v>3052</v>
      </c>
      <c r="M271" t="s">
        <v>2873</v>
      </c>
      <c r="N271">
        <v>25</v>
      </c>
      <c r="O271">
        <v>188</v>
      </c>
      <c r="P271">
        <v>7.52</v>
      </c>
      <c r="Q271" t="s">
        <v>8</v>
      </c>
      <c r="R271" t="s">
        <v>12</v>
      </c>
      <c r="S271" t="s">
        <v>12</v>
      </c>
      <c r="T271" t="s">
        <v>12</v>
      </c>
      <c r="U271" t="s">
        <v>12</v>
      </c>
      <c r="V271" t="s">
        <v>12</v>
      </c>
      <c r="W271" t="s">
        <v>12</v>
      </c>
      <c r="X271" t="s">
        <v>12</v>
      </c>
      <c r="Y271" t="s">
        <v>12</v>
      </c>
      <c r="Z271" t="s">
        <v>12</v>
      </c>
      <c r="AA271" t="s">
        <v>12</v>
      </c>
      <c r="AB271" t="s">
        <v>12</v>
      </c>
      <c r="AC271" t="s">
        <v>12</v>
      </c>
      <c r="AD271" t="s">
        <v>12</v>
      </c>
    </row>
    <row r="272" spans="1:30">
      <c r="A272" t="s">
        <v>138</v>
      </c>
      <c r="B272" t="str">
        <f>Master_Data_Productivity[[#This Row],[Uniq-ID]]&amp;"-"&amp;Master_Data_Productivity[[#This Row],[Period]]</f>
        <v>DC-Document_Controller-034-M2</v>
      </c>
      <c r="C272" t="s">
        <v>139</v>
      </c>
      <c r="D272" t="s">
        <v>140</v>
      </c>
      <c r="E272" t="s">
        <v>18</v>
      </c>
      <c r="F272" t="s">
        <v>19</v>
      </c>
      <c r="G272" t="s">
        <v>15</v>
      </c>
      <c r="H272" t="s">
        <v>16</v>
      </c>
      <c r="I272">
        <v>9.4860000000000007</v>
      </c>
      <c r="J272">
        <v>1.5</v>
      </c>
      <c r="K272" t="s">
        <v>2871</v>
      </c>
      <c r="L272" t="s">
        <v>3050</v>
      </c>
      <c r="M272" t="s">
        <v>2873</v>
      </c>
      <c r="N272">
        <v>14</v>
      </c>
      <c r="O272">
        <v>20</v>
      </c>
      <c r="P272">
        <v>1.4286000000000001</v>
      </c>
      <c r="Q272" t="s">
        <v>8</v>
      </c>
      <c r="R272" t="s">
        <v>12</v>
      </c>
      <c r="S272" t="s">
        <v>12</v>
      </c>
      <c r="T272" t="s">
        <v>12</v>
      </c>
      <c r="U272" t="s">
        <v>12</v>
      </c>
      <c r="V272" t="s">
        <v>12</v>
      </c>
      <c r="W272" t="s">
        <v>12</v>
      </c>
      <c r="X272" t="s">
        <v>12</v>
      </c>
      <c r="Y272" t="s">
        <v>12</v>
      </c>
      <c r="Z272" t="s">
        <v>12</v>
      </c>
      <c r="AA272" t="s">
        <v>12</v>
      </c>
      <c r="AB272" t="s">
        <v>12</v>
      </c>
      <c r="AC272" t="s">
        <v>12</v>
      </c>
      <c r="AD272" t="s">
        <v>12</v>
      </c>
    </row>
    <row r="273" spans="1:30">
      <c r="A273" t="s">
        <v>138</v>
      </c>
      <c r="B273" t="str">
        <f>Master_Data_Productivity[[#This Row],[Uniq-ID]]&amp;"-"&amp;Master_Data_Productivity[[#This Row],[Period]]</f>
        <v>DC-Document_Controller-034-M2</v>
      </c>
      <c r="C273" t="s">
        <v>139</v>
      </c>
      <c r="D273" t="s">
        <v>140</v>
      </c>
      <c r="E273" t="s">
        <v>18</v>
      </c>
      <c r="F273" t="s">
        <v>19</v>
      </c>
      <c r="G273" t="s">
        <v>15</v>
      </c>
      <c r="H273" t="s">
        <v>16</v>
      </c>
      <c r="I273">
        <v>9.4860000000000007</v>
      </c>
      <c r="J273">
        <v>1.5</v>
      </c>
      <c r="K273" t="s">
        <v>2887</v>
      </c>
      <c r="L273" t="s">
        <v>3051</v>
      </c>
      <c r="M273" t="s">
        <v>2873</v>
      </c>
      <c r="N273">
        <v>14</v>
      </c>
      <c r="O273">
        <v>12</v>
      </c>
      <c r="P273">
        <v>0.85709999999999997</v>
      </c>
      <c r="Q273" t="s">
        <v>8</v>
      </c>
      <c r="R273" t="s">
        <v>12</v>
      </c>
      <c r="S273" t="s">
        <v>12</v>
      </c>
      <c r="T273" t="s">
        <v>12</v>
      </c>
      <c r="U273" t="s">
        <v>12</v>
      </c>
      <c r="V273" t="s">
        <v>12</v>
      </c>
      <c r="W273" t="s">
        <v>12</v>
      </c>
      <c r="X273" t="s">
        <v>12</v>
      </c>
      <c r="Y273" t="s">
        <v>12</v>
      </c>
      <c r="Z273" t="s">
        <v>12</v>
      </c>
      <c r="AA273" t="s">
        <v>12</v>
      </c>
      <c r="AB273" t="s">
        <v>12</v>
      </c>
      <c r="AC273" t="s">
        <v>12</v>
      </c>
      <c r="AD273" t="s">
        <v>12</v>
      </c>
    </row>
    <row r="274" spans="1:30">
      <c r="A274" t="s">
        <v>138</v>
      </c>
      <c r="B274" t="str">
        <f>Master_Data_Productivity[[#This Row],[Uniq-ID]]&amp;"-"&amp;Master_Data_Productivity[[#This Row],[Period]]</f>
        <v>DC-Document_Controller-034-M2</v>
      </c>
      <c r="C274" t="s">
        <v>139</v>
      </c>
      <c r="D274" t="s">
        <v>140</v>
      </c>
      <c r="E274" t="s">
        <v>18</v>
      </c>
      <c r="F274" t="s">
        <v>19</v>
      </c>
      <c r="G274" t="s">
        <v>15</v>
      </c>
      <c r="H274" t="s">
        <v>16</v>
      </c>
      <c r="I274">
        <v>9.4860000000000007</v>
      </c>
      <c r="J274">
        <v>1.5</v>
      </c>
      <c r="K274" t="s">
        <v>2887</v>
      </c>
      <c r="L274" t="s">
        <v>3052</v>
      </c>
      <c r="M274" t="s">
        <v>2873</v>
      </c>
      <c r="N274">
        <v>25</v>
      </c>
      <c r="O274">
        <v>180</v>
      </c>
      <c r="P274">
        <v>7.2</v>
      </c>
      <c r="Q274" t="s">
        <v>8</v>
      </c>
      <c r="R274" t="s">
        <v>12</v>
      </c>
      <c r="S274" t="s">
        <v>12</v>
      </c>
      <c r="T274" t="s">
        <v>12</v>
      </c>
      <c r="U274" t="s">
        <v>12</v>
      </c>
      <c r="V274" t="s">
        <v>12</v>
      </c>
      <c r="W274" t="s">
        <v>12</v>
      </c>
      <c r="X274" t="s">
        <v>12</v>
      </c>
      <c r="Y274" t="s">
        <v>12</v>
      </c>
      <c r="Z274" t="s">
        <v>12</v>
      </c>
      <c r="AA274" t="s">
        <v>12</v>
      </c>
      <c r="AB274" t="s">
        <v>12</v>
      </c>
      <c r="AC274" t="s">
        <v>12</v>
      </c>
      <c r="AD274" t="s">
        <v>12</v>
      </c>
    </row>
    <row r="275" spans="1:30">
      <c r="A275" t="s">
        <v>138</v>
      </c>
      <c r="B275" t="str">
        <f>Master_Data_Productivity[[#This Row],[Uniq-ID]]&amp;"-"&amp;Master_Data_Productivity[[#This Row],[Period]]</f>
        <v>DC-Document_Controller-034-M3</v>
      </c>
      <c r="C275" t="s">
        <v>139</v>
      </c>
      <c r="D275" t="s">
        <v>140</v>
      </c>
      <c r="E275" t="s">
        <v>22</v>
      </c>
      <c r="F275" t="s">
        <v>23</v>
      </c>
      <c r="G275" t="s">
        <v>15</v>
      </c>
      <c r="H275" t="s">
        <v>16</v>
      </c>
      <c r="I275">
        <v>2.82</v>
      </c>
      <c r="J275">
        <v>1.41</v>
      </c>
      <c r="K275" t="s">
        <v>2887</v>
      </c>
      <c r="L275" t="s">
        <v>3052</v>
      </c>
      <c r="M275" t="s">
        <v>2873</v>
      </c>
      <c r="N275">
        <v>25</v>
      </c>
      <c r="O275">
        <v>58</v>
      </c>
      <c r="P275">
        <v>2.3199999999999998</v>
      </c>
      <c r="Q275" t="s">
        <v>8</v>
      </c>
      <c r="R275" t="s">
        <v>12</v>
      </c>
      <c r="S275" t="s">
        <v>12</v>
      </c>
      <c r="T275" t="s">
        <v>12</v>
      </c>
      <c r="U275" t="s">
        <v>12</v>
      </c>
      <c r="V275" t="s">
        <v>12</v>
      </c>
      <c r="W275" t="s">
        <v>12</v>
      </c>
      <c r="X275" t="s">
        <v>12</v>
      </c>
      <c r="Y275" t="s">
        <v>12</v>
      </c>
      <c r="Z275" t="s">
        <v>12</v>
      </c>
      <c r="AA275" t="s">
        <v>12</v>
      </c>
      <c r="AB275" t="s">
        <v>12</v>
      </c>
      <c r="AC275" t="s">
        <v>12</v>
      </c>
      <c r="AD275" t="s">
        <v>12</v>
      </c>
    </row>
    <row r="276" spans="1:30">
      <c r="A276" t="s">
        <v>138</v>
      </c>
      <c r="B276" t="str">
        <f>Master_Data_Productivity[[#This Row],[Uniq-ID]]&amp;"-"&amp;Master_Data_Productivity[[#This Row],[Period]]</f>
        <v>DC-Document_Controller-034-M3</v>
      </c>
      <c r="C276" t="s">
        <v>139</v>
      </c>
      <c r="D276" t="s">
        <v>140</v>
      </c>
      <c r="E276" t="s">
        <v>22</v>
      </c>
      <c r="F276" t="s">
        <v>23</v>
      </c>
      <c r="G276" t="s">
        <v>15</v>
      </c>
      <c r="H276" t="s">
        <v>16</v>
      </c>
      <c r="I276">
        <v>2.82</v>
      </c>
      <c r="J276">
        <v>1.41</v>
      </c>
      <c r="K276" t="s">
        <v>2887</v>
      </c>
      <c r="L276" t="s">
        <v>3051</v>
      </c>
      <c r="M276" t="s">
        <v>2873</v>
      </c>
      <c r="N276">
        <v>14</v>
      </c>
      <c r="O276">
        <v>5</v>
      </c>
      <c r="P276">
        <v>0.35709999999999997</v>
      </c>
      <c r="Q276" t="s">
        <v>8</v>
      </c>
      <c r="R276" t="s">
        <v>12</v>
      </c>
      <c r="S276" t="s">
        <v>12</v>
      </c>
      <c r="T276" t="s">
        <v>12</v>
      </c>
      <c r="U276" t="s">
        <v>12</v>
      </c>
      <c r="V276" t="s">
        <v>12</v>
      </c>
      <c r="W276" t="s">
        <v>12</v>
      </c>
      <c r="X276" t="s">
        <v>12</v>
      </c>
      <c r="Y276" t="s">
        <v>12</v>
      </c>
      <c r="Z276" t="s">
        <v>12</v>
      </c>
      <c r="AA276" t="s">
        <v>12</v>
      </c>
      <c r="AB276" t="s">
        <v>12</v>
      </c>
      <c r="AC276" t="s">
        <v>12</v>
      </c>
      <c r="AD276" t="s">
        <v>12</v>
      </c>
    </row>
    <row r="277" spans="1:30">
      <c r="A277" t="s">
        <v>138</v>
      </c>
      <c r="B277" t="str">
        <f>Master_Data_Productivity[[#This Row],[Uniq-ID]]&amp;"-"&amp;Master_Data_Productivity[[#This Row],[Period]]</f>
        <v>DC-Document_Controller-034-M3</v>
      </c>
      <c r="C277" t="s">
        <v>139</v>
      </c>
      <c r="D277" t="s">
        <v>140</v>
      </c>
      <c r="E277" t="s">
        <v>22</v>
      </c>
      <c r="F277" t="s">
        <v>23</v>
      </c>
      <c r="G277" t="s">
        <v>15</v>
      </c>
      <c r="H277" t="s">
        <v>16</v>
      </c>
      <c r="I277">
        <v>2.82</v>
      </c>
      <c r="J277">
        <v>1.41</v>
      </c>
      <c r="K277" t="s">
        <v>2871</v>
      </c>
      <c r="L277" t="s">
        <v>3050</v>
      </c>
      <c r="M277" t="s">
        <v>2873</v>
      </c>
      <c r="N277">
        <v>14</v>
      </c>
      <c r="O277">
        <v>2</v>
      </c>
      <c r="P277">
        <v>0.1429</v>
      </c>
      <c r="Q277" t="s">
        <v>8</v>
      </c>
      <c r="R277" t="s">
        <v>12</v>
      </c>
      <c r="S277" t="s">
        <v>12</v>
      </c>
      <c r="T277" t="s">
        <v>12</v>
      </c>
      <c r="U277" t="s">
        <v>12</v>
      </c>
      <c r="V277" t="s">
        <v>12</v>
      </c>
      <c r="W277" t="s">
        <v>12</v>
      </c>
      <c r="X277" t="s">
        <v>12</v>
      </c>
      <c r="Y277" t="s">
        <v>12</v>
      </c>
      <c r="Z277" t="s">
        <v>12</v>
      </c>
      <c r="AA277" t="s">
        <v>12</v>
      </c>
      <c r="AB277" t="s">
        <v>12</v>
      </c>
      <c r="AC277" t="s">
        <v>12</v>
      </c>
      <c r="AD277" t="s">
        <v>12</v>
      </c>
    </row>
    <row r="278" spans="1:30">
      <c r="A278" t="s">
        <v>138</v>
      </c>
      <c r="B278" t="str">
        <f>Master_Data_Productivity[[#This Row],[Uniq-ID]]&amp;"-"&amp;Master_Data_Productivity[[#This Row],[Period]]</f>
        <v>DC-Document_Controller-034-M4</v>
      </c>
      <c r="C278" t="s">
        <v>139</v>
      </c>
      <c r="D278" t="s">
        <v>140</v>
      </c>
      <c r="E278" t="s">
        <v>25</v>
      </c>
      <c r="F278" t="s">
        <v>26</v>
      </c>
      <c r="G278" t="s">
        <v>15</v>
      </c>
      <c r="H278" t="s">
        <v>16</v>
      </c>
      <c r="I278">
        <v>2.12</v>
      </c>
      <c r="J278">
        <v>1.06</v>
      </c>
      <c r="K278" t="s">
        <v>2887</v>
      </c>
      <c r="L278" t="s">
        <v>3052</v>
      </c>
      <c r="M278" t="s">
        <v>2873</v>
      </c>
      <c r="N278">
        <v>25</v>
      </c>
      <c r="O278">
        <v>28</v>
      </c>
      <c r="P278">
        <v>1.1200000000000001</v>
      </c>
      <c r="Q278" t="s">
        <v>8</v>
      </c>
      <c r="R278" t="s">
        <v>12</v>
      </c>
      <c r="S278" t="s">
        <v>12</v>
      </c>
      <c r="T278" t="s">
        <v>12</v>
      </c>
      <c r="U278" t="s">
        <v>12</v>
      </c>
      <c r="V278" t="s">
        <v>12</v>
      </c>
      <c r="W278" t="s">
        <v>12</v>
      </c>
      <c r="X278" t="s">
        <v>12</v>
      </c>
      <c r="Y278" t="s">
        <v>12</v>
      </c>
      <c r="Z278" t="s">
        <v>12</v>
      </c>
      <c r="AA278" t="s">
        <v>12</v>
      </c>
      <c r="AB278" t="s">
        <v>12</v>
      </c>
      <c r="AC278" t="s">
        <v>12</v>
      </c>
      <c r="AD278" t="s">
        <v>12</v>
      </c>
    </row>
    <row r="279" spans="1:30">
      <c r="A279" t="s">
        <v>138</v>
      </c>
      <c r="B279" t="str">
        <f>Master_Data_Productivity[[#This Row],[Uniq-ID]]&amp;"-"&amp;Master_Data_Productivity[[#This Row],[Period]]</f>
        <v>DC-Document_Controller-034-M4</v>
      </c>
      <c r="C279" t="s">
        <v>139</v>
      </c>
      <c r="D279" t="s">
        <v>140</v>
      </c>
      <c r="E279" t="s">
        <v>25</v>
      </c>
      <c r="F279" t="s">
        <v>26</v>
      </c>
      <c r="G279" t="s">
        <v>15</v>
      </c>
      <c r="H279" t="s">
        <v>16</v>
      </c>
      <c r="I279">
        <v>2.12</v>
      </c>
      <c r="J279">
        <v>1.06</v>
      </c>
      <c r="K279" t="s">
        <v>2887</v>
      </c>
      <c r="L279" t="s">
        <v>3051</v>
      </c>
      <c r="M279" t="s">
        <v>2873</v>
      </c>
      <c r="N279">
        <v>14</v>
      </c>
      <c r="O279">
        <v>12</v>
      </c>
      <c r="P279">
        <v>0.85709999999999997</v>
      </c>
      <c r="Q279" t="s">
        <v>8</v>
      </c>
      <c r="R279" t="s">
        <v>12</v>
      </c>
      <c r="S279" t="s">
        <v>12</v>
      </c>
      <c r="T279" t="s">
        <v>12</v>
      </c>
      <c r="U279" t="s">
        <v>12</v>
      </c>
      <c r="V279" t="s">
        <v>12</v>
      </c>
      <c r="W279" t="s">
        <v>12</v>
      </c>
      <c r="X279" t="s">
        <v>12</v>
      </c>
      <c r="Y279" t="s">
        <v>12</v>
      </c>
      <c r="Z279" t="s">
        <v>12</v>
      </c>
      <c r="AA279" t="s">
        <v>12</v>
      </c>
      <c r="AB279" t="s">
        <v>12</v>
      </c>
      <c r="AC279" t="s">
        <v>12</v>
      </c>
      <c r="AD279" t="s">
        <v>12</v>
      </c>
    </row>
    <row r="280" spans="1:30">
      <c r="A280" t="s">
        <v>138</v>
      </c>
      <c r="B280" t="str">
        <f>Master_Data_Productivity[[#This Row],[Uniq-ID]]&amp;"-"&amp;Master_Data_Productivity[[#This Row],[Period]]</f>
        <v>DC-Document_Controller-034-M4</v>
      </c>
      <c r="C280" t="s">
        <v>139</v>
      </c>
      <c r="D280" t="s">
        <v>140</v>
      </c>
      <c r="E280" t="s">
        <v>25</v>
      </c>
      <c r="F280" t="s">
        <v>26</v>
      </c>
      <c r="G280" t="s">
        <v>15</v>
      </c>
      <c r="H280" t="s">
        <v>16</v>
      </c>
      <c r="I280">
        <v>2.12</v>
      </c>
      <c r="J280">
        <v>1.06</v>
      </c>
      <c r="K280" t="s">
        <v>2871</v>
      </c>
      <c r="L280" t="s">
        <v>3050</v>
      </c>
      <c r="M280" t="s">
        <v>2873</v>
      </c>
      <c r="N280">
        <v>14</v>
      </c>
      <c r="O280">
        <v>2</v>
      </c>
      <c r="P280">
        <v>0.1429</v>
      </c>
      <c r="Q280" t="s">
        <v>8</v>
      </c>
      <c r="R280" t="s">
        <v>12</v>
      </c>
      <c r="S280" t="s">
        <v>12</v>
      </c>
      <c r="T280" t="s">
        <v>12</v>
      </c>
      <c r="U280" t="s">
        <v>12</v>
      </c>
      <c r="V280" t="s">
        <v>12</v>
      </c>
      <c r="W280" t="s">
        <v>12</v>
      </c>
      <c r="X280" t="s">
        <v>12</v>
      </c>
      <c r="Y280" t="s">
        <v>12</v>
      </c>
      <c r="Z280" t="s">
        <v>12</v>
      </c>
      <c r="AA280" t="s">
        <v>12</v>
      </c>
      <c r="AB280" t="s">
        <v>12</v>
      </c>
      <c r="AC280" t="s">
        <v>12</v>
      </c>
      <c r="AD280" t="s">
        <v>12</v>
      </c>
    </row>
    <row r="281" spans="1:30">
      <c r="A281" t="s">
        <v>138</v>
      </c>
      <c r="B281" t="str">
        <f>Master_Data_Productivity[[#This Row],[Uniq-ID]]&amp;"-"&amp;Master_Data_Productivity[[#This Row],[Period]]</f>
        <v>DC-Document_Controller-034-M5</v>
      </c>
      <c r="C281" t="s">
        <v>139</v>
      </c>
      <c r="D281" t="s">
        <v>140</v>
      </c>
      <c r="E281" t="s">
        <v>28</v>
      </c>
      <c r="F281" t="s">
        <v>29</v>
      </c>
      <c r="G281" t="s">
        <v>15</v>
      </c>
      <c r="H281" t="s">
        <v>44</v>
      </c>
      <c r="I281">
        <v>0</v>
      </c>
      <c r="K281" t="s">
        <v>12</v>
      </c>
      <c r="L281" t="s">
        <v>12</v>
      </c>
      <c r="M281" t="s">
        <v>12</v>
      </c>
      <c r="Q281" t="s">
        <v>8</v>
      </c>
      <c r="R281" t="s">
        <v>12</v>
      </c>
      <c r="S281" t="s">
        <v>12</v>
      </c>
      <c r="T281" t="s">
        <v>12</v>
      </c>
      <c r="U281" t="s">
        <v>12</v>
      </c>
      <c r="V281" t="s">
        <v>12</v>
      </c>
      <c r="W281" t="s">
        <v>12</v>
      </c>
      <c r="X281" t="s">
        <v>12</v>
      </c>
      <c r="Y281" t="s">
        <v>12</v>
      </c>
      <c r="Z281" t="s">
        <v>12</v>
      </c>
      <c r="AA281" t="s">
        <v>12</v>
      </c>
      <c r="AB281" t="s">
        <v>12</v>
      </c>
      <c r="AC281" t="s">
        <v>12</v>
      </c>
      <c r="AD281" t="s">
        <v>12</v>
      </c>
    </row>
    <row r="282" spans="1:30">
      <c r="A282" t="s">
        <v>138</v>
      </c>
      <c r="B282" t="str">
        <f>Master_Data_Productivity[[#This Row],[Uniq-ID]]&amp;"-"&amp;Master_Data_Productivity[[#This Row],[Period]]</f>
        <v>DC-Document_Controller-034-M6</v>
      </c>
      <c r="C282" t="s">
        <v>139</v>
      </c>
      <c r="D282" t="s">
        <v>140</v>
      </c>
      <c r="E282" t="s">
        <v>31</v>
      </c>
      <c r="F282" t="s">
        <v>32</v>
      </c>
      <c r="G282" t="s">
        <v>33</v>
      </c>
      <c r="H282" t="s">
        <v>44</v>
      </c>
      <c r="I282">
        <v>0</v>
      </c>
      <c r="K282" t="s">
        <v>12</v>
      </c>
      <c r="L282" t="s">
        <v>12</v>
      </c>
      <c r="M282" t="s">
        <v>12</v>
      </c>
      <c r="Q282" t="s">
        <v>8</v>
      </c>
      <c r="R282" t="s">
        <v>12</v>
      </c>
      <c r="S282" t="s">
        <v>12</v>
      </c>
      <c r="T282" t="s">
        <v>12</v>
      </c>
      <c r="U282" t="s">
        <v>12</v>
      </c>
      <c r="V282" t="s">
        <v>12</v>
      </c>
      <c r="W282" t="s">
        <v>12</v>
      </c>
      <c r="X282" t="s">
        <v>12</v>
      </c>
      <c r="Y282" t="s">
        <v>12</v>
      </c>
      <c r="Z282" t="s">
        <v>12</v>
      </c>
      <c r="AA282" t="s">
        <v>12</v>
      </c>
      <c r="AB282" t="s">
        <v>12</v>
      </c>
      <c r="AC282" t="s">
        <v>12</v>
      </c>
      <c r="AD282" t="s">
        <v>12</v>
      </c>
    </row>
    <row r="283" spans="1:30">
      <c r="A283" t="s">
        <v>145</v>
      </c>
      <c r="B283" t="str">
        <f>Master_Data_Productivity[[#This Row],[Uniq-ID]]&amp;"-"&amp;Master_Data_Productivity[[#This Row],[Period]]</f>
        <v>DC-Document_Controller-033-M1</v>
      </c>
      <c r="C283" t="s">
        <v>146</v>
      </c>
      <c r="D283" t="s">
        <v>76</v>
      </c>
      <c r="E283" t="s">
        <v>13</v>
      </c>
      <c r="F283" t="s">
        <v>14</v>
      </c>
      <c r="G283" t="s">
        <v>15</v>
      </c>
      <c r="H283" t="s">
        <v>16</v>
      </c>
      <c r="I283">
        <v>2.1139999999999999</v>
      </c>
      <c r="J283">
        <v>1.06</v>
      </c>
      <c r="K283" t="s">
        <v>2947</v>
      </c>
      <c r="L283" t="s">
        <v>2948</v>
      </c>
      <c r="M283" t="s">
        <v>2873</v>
      </c>
      <c r="N283">
        <v>110</v>
      </c>
      <c r="O283">
        <v>17</v>
      </c>
      <c r="P283">
        <v>0.1545</v>
      </c>
      <c r="Q283" t="s">
        <v>8</v>
      </c>
      <c r="R283" t="s">
        <v>12</v>
      </c>
      <c r="S283" t="s">
        <v>12</v>
      </c>
      <c r="T283" t="s">
        <v>12</v>
      </c>
      <c r="U283" t="s">
        <v>12</v>
      </c>
      <c r="V283" t="s">
        <v>12</v>
      </c>
      <c r="W283" t="s">
        <v>12</v>
      </c>
      <c r="X283" t="s">
        <v>12</v>
      </c>
      <c r="Y283" t="s">
        <v>12</v>
      </c>
      <c r="Z283" t="s">
        <v>12</v>
      </c>
      <c r="AA283" t="s">
        <v>12</v>
      </c>
      <c r="AB283" t="s">
        <v>12</v>
      </c>
      <c r="AC283" t="s">
        <v>12</v>
      </c>
      <c r="AD283" t="s">
        <v>12</v>
      </c>
    </row>
    <row r="284" spans="1:30">
      <c r="A284" t="s">
        <v>145</v>
      </c>
      <c r="B284" t="str">
        <f>Master_Data_Productivity[[#This Row],[Uniq-ID]]&amp;"-"&amp;Master_Data_Productivity[[#This Row],[Period]]</f>
        <v>DC-Document_Controller-033-M1</v>
      </c>
      <c r="C284" t="s">
        <v>146</v>
      </c>
      <c r="D284" t="s">
        <v>76</v>
      </c>
      <c r="E284" t="s">
        <v>13</v>
      </c>
      <c r="F284" t="s">
        <v>14</v>
      </c>
      <c r="G284" t="s">
        <v>15</v>
      </c>
      <c r="H284" t="s">
        <v>16</v>
      </c>
      <c r="I284">
        <v>2.1139999999999999</v>
      </c>
      <c r="J284">
        <v>1.06</v>
      </c>
      <c r="K284" t="s">
        <v>2947</v>
      </c>
      <c r="L284" t="s">
        <v>2988</v>
      </c>
      <c r="M284" t="s">
        <v>2873</v>
      </c>
      <c r="N284">
        <v>103</v>
      </c>
      <c r="O284">
        <v>26</v>
      </c>
      <c r="P284">
        <v>0.25240000000000001</v>
      </c>
      <c r="Q284" t="s">
        <v>8</v>
      </c>
      <c r="R284" t="s">
        <v>12</v>
      </c>
      <c r="S284" t="s">
        <v>12</v>
      </c>
      <c r="T284" t="s">
        <v>12</v>
      </c>
      <c r="U284" t="s">
        <v>12</v>
      </c>
      <c r="V284" t="s">
        <v>12</v>
      </c>
      <c r="W284" t="s">
        <v>12</v>
      </c>
      <c r="X284" t="s">
        <v>12</v>
      </c>
      <c r="Y284" t="s">
        <v>12</v>
      </c>
      <c r="Z284" t="s">
        <v>12</v>
      </c>
      <c r="AA284" t="s">
        <v>12</v>
      </c>
      <c r="AB284" t="s">
        <v>12</v>
      </c>
      <c r="AC284" t="s">
        <v>12</v>
      </c>
      <c r="AD284" t="s">
        <v>12</v>
      </c>
    </row>
    <row r="285" spans="1:30">
      <c r="A285" t="s">
        <v>145</v>
      </c>
      <c r="B285" t="str">
        <f>Master_Data_Productivity[[#This Row],[Uniq-ID]]&amp;"-"&amp;Master_Data_Productivity[[#This Row],[Period]]</f>
        <v>DC-Document_Controller-033-M1</v>
      </c>
      <c r="C285" t="s">
        <v>146</v>
      </c>
      <c r="D285" t="s">
        <v>76</v>
      </c>
      <c r="E285" t="s">
        <v>13</v>
      </c>
      <c r="F285" t="s">
        <v>14</v>
      </c>
      <c r="G285" t="s">
        <v>15</v>
      </c>
      <c r="H285" t="s">
        <v>16</v>
      </c>
      <c r="I285">
        <v>2.1139999999999999</v>
      </c>
      <c r="J285">
        <v>1.06</v>
      </c>
      <c r="K285" t="s">
        <v>2871</v>
      </c>
      <c r="L285" t="s">
        <v>3061</v>
      </c>
      <c r="M285" t="s">
        <v>2873</v>
      </c>
      <c r="N285">
        <v>66</v>
      </c>
      <c r="O285">
        <v>9</v>
      </c>
      <c r="P285">
        <v>0.13639999999999999</v>
      </c>
      <c r="Q285" t="s">
        <v>8</v>
      </c>
      <c r="R285" t="s">
        <v>12</v>
      </c>
      <c r="S285" t="s">
        <v>12</v>
      </c>
      <c r="T285" t="s">
        <v>12</v>
      </c>
      <c r="U285" t="s">
        <v>12</v>
      </c>
      <c r="V285" t="s">
        <v>12</v>
      </c>
      <c r="W285" t="s">
        <v>12</v>
      </c>
      <c r="X285" t="s">
        <v>12</v>
      </c>
      <c r="Y285" t="s">
        <v>12</v>
      </c>
      <c r="Z285" t="s">
        <v>12</v>
      </c>
      <c r="AA285" t="s">
        <v>12</v>
      </c>
      <c r="AB285" t="s">
        <v>12</v>
      </c>
      <c r="AC285" t="s">
        <v>12</v>
      </c>
      <c r="AD285" t="s">
        <v>12</v>
      </c>
    </row>
    <row r="286" spans="1:30">
      <c r="A286" t="s">
        <v>145</v>
      </c>
      <c r="B286" t="str">
        <f>Master_Data_Productivity[[#This Row],[Uniq-ID]]&amp;"-"&amp;Master_Data_Productivity[[#This Row],[Period]]</f>
        <v>DC-Document_Controller-033-M1</v>
      </c>
      <c r="C286" t="s">
        <v>146</v>
      </c>
      <c r="D286" t="s">
        <v>76</v>
      </c>
      <c r="E286" t="s">
        <v>13</v>
      </c>
      <c r="F286" t="s">
        <v>14</v>
      </c>
      <c r="G286" t="s">
        <v>15</v>
      </c>
      <c r="H286" t="s">
        <v>16</v>
      </c>
      <c r="I286">
        <v>2.1139999999999999</v>
      </c>
      <c r="J286">
        <v>1.06</v>
      </c>
      <c r="K286" t="s">
        <v>2871</v>
      </c>
      <c r="L286" t="s">
        <v>2950</v>
      </c>
      <c r="M286" t="s">
        <v>2873</v>
      </c>
      <c r="N286">
        <v>88</v>
      </c>
      <c r="O286">
        <v>28</v>
      </c>
      <c r="P286">
        <v>0.31819999999999998</v>
      </c>
      <c r="Q286" t="s">
        <v>8</v>
      </c>
      <c r="R286" t="s">
        <v>12</v>
      </c>
      <c r="S286" t="s">
        <v>12</v>
      </c>
      <c r="T286" t="s">
        <v>12</v>
      </c>
      <c r="U286" t="s">
        <v>12</v>
      </c>
      <c r="V286" t="s">
        <v>12</v>
      </c>
      <c r="W286" t="s">
        <v>12</v>
      </c>
      <c r="X286" t="s">
        <v>12</v>
      </c>
      <c r="Y286" t="s">
        <v>12</v>
      </c>
      <c r="Z286" t="s">
        <v>12</v>
      </c>
      <c r="AA286" t="s">
        <v>12</v>
      </c>
      <c r="AB286" t="s">
        <v>12</v>
      </c>
      <c r="AC286" t="s">
        <v>12</v>
      </c>
      <c r="AD286" t="s">
        <v>12</v>
      </c>
    </row>
    <row r="287" spans="1:30">
      <c r="A287" t="s">
        <v>145</v>
      </c>
      <c r="B287" t="str">
        <f>Master_Data_Productivity[[#This Row],[Uniq-ID]]&amp;"-"&amp;Master_Data_Productivity[[#This Row],[Period]]</f>
        <v>DC-Document_Controller-033-M1</v>
      </c>
      <c r="C287" t="s">
        <v>146</v>
      </c>
      <c r="D287" t="s">
        <v>76</v>
      </c>
      <c r="E287" t="s">
        <v>13</v>
      </c>
      <c r="F287" t="s">
        <v>14</v>
      </c>
      <c r="G287" t="s">
        <v>15</v>
      </c>
      <c r="H287" t="s">
        <v>16</v>
      </c>
      <c r="I287">
        <v>2.1139999999999999</v>
      </c>
      <c r="J287">
        <v>1.06</v>
      </c>
      <c r="K287" t="s">
        <v>2871</v>
      </c>
      <c r="L287" t="s">
        <v>2952</v>
      </c>
      <c r="M287" t="s">
        <v>2873</v>
      </c>
      <c r="N287">
        <v>257</v>
      </c>
      <c r="O287">
        <v>20</v>
      </c>
      <c r="P287">
        <v>7.7799999999999994E-2</v>
      </c>
      <c r="Q287" t="s">
        <v>8</v>
      </c>
      <c r="R287" t="s">
        <v>12</v>
      </c>
      <c r="S287" t="s">
        <v>12</v>
      </c>
      <c r="T287" t="s">
        <v>12</v>
      </c>
      <c r="U287" t="s">
        <v>12</v>
      </c>
      <c r="V287" t="s">
        <v>12</v>
      </c>
      <c r="W287" t="s">
        <v>12</v>
      </c>
      <c r="X287" t="s">
        <v>12</v>
      </c>
      <c r="Y287" t="s">
        <v>12</v>
      </c>
      <c r="Z287" t="s">
        <v>12</v>
      </c>
      <c r="AA287" t="s">
        <v>12</v>
      </c>
      <c r="AB287" t="s">
        <v>12</v>
      </c>
      <c r="AC287" t="s">
        <v>12</v>
      </c>
      <c r="AD287" t="s">
        <v>12</v>
      </c>
    </row>
    <row r="288" spans="1:30">
      <c r="A288" t="s">
        <v>145</v>
      </c>
      <c r="B288" t="str">
        <f>Master_Data_Productivity[[#This Row],[Uniq-ID]]&amp;"-"&amp;Master_Data_Productivity[[#This Row],[Period]]</f>
        <v>DC-Document_Controller-033-M1</v>
      </c>
      <c r="C288" t="s">
        <v>146</v>
      </c>
      <c r="D288" t="s">
        <v>76</v>
      </c>
      <c r="E288" t="s">
        <v>13</v>
      </c>
      <c r="F288" t="s">
        <v>14</v>
      </c>
      <c r="G288" t="s">
        <v>15</v>
      </c>
      <c r="H288" t="s">
        <v>16</v>
      </c>
      <c r="I288">
        <v>2.1139999999999999</v>
      </c>
      <c r="J288">
        <v>1.06</v>
      </c>
      <c r="K288" t="s">
        <v>2871</v>
      </c>
      <c r="L288" t="s">
        <v>2954</v>
      </c>
      <c r="M288" t="s">
        <v>2873</v>
      </c>
      <c r="N288">
        <v>220</v>
      </c>
      <c r="O288">
        <v>182</v>
      </c>
      <c r="P288">
        <v>0.82730000000000004</v>
      </c>
      <c r="Q288" t="s">
        <v>8</v>
      </c>
      <c r="R288" t="s">
        <v>12</v>
      </c>
      <c r="S288" t="s">
        <v>12</v>
      </c>
      <c r="T288" t="s">
        <v>12</v>
      </c>
      <c r="U288" t="s">
        <v>12</v>
      </c>
      <c r="V288" t="s">
        <v>12</v>
      </c>
      <c r="W288" t="s">
        <v>12</v>
      </c>
      <c r="X288" t="s">
        <v>12</v>
      </c>
      <c r="Y288" t="s">
        <v>12</v>
      </c>
      <c r="Z288" t="s">
        <v>12</v>
      </c>
      <c r="AA288" t="s">
        <v>12</v>
      </c>
      <c r="AB288" t="s">
        <v>12</v>
      </c>
      <c r="AC288" t="s">
        <v>12</v>
      </c>
      <c r="AD288" t="s">
        <v>12</v>
      </c>
    </row>
    <row r="289" spans="1:30">
      <c r="A289" t="s">
        <v>145</v>
      </c>
      <c r="B289" t="str">
        <f>Master_Data_Productivity[[#This Row],[Uniq-ID]]&amp;"-"&amp;Master_Data_Productivity[[#This Row],[Period]]</f>
        <v>DC-Document_Controller-033-M1</v>
      </c>
      <c r="C289" t="s">
        <v>146</v>
      </c>
      <c r="D289" t="s">
        <v>76</v>
      </c>
      <c r="E289" t="s">
        <v>13</v>
      </c>
      <c r="F289" t="s">
        <v>14</v>
      </c>
      <c r="G289" t="s">
        <v>15</v>
      </c>
      <c r="H289" t="s">
        <v>16</v>
      </c>
      <c r="I289">
        <v>2.1139999999999999</v>
      </c>
      <c r="J289">
        <v>1.06</v>
      </c>
      <c r="K289" t="s">
        <v>2871</v>
      </c>
      <c r="L289" t="s">
        <v>2956</v>
      </c>
      <c r="M289" t="s">
        <v>2873</v>
      </c>
      <c r="N289">
        <v>298</v>
      </c>
      <c r="O289">
        <v>86</v>
      </c>
      <c r="P289">
        <v>0.28860000000000002</v>
      </c>
      <c r="Q289" t="s">
        <v>8</v>
      </c>
      <c r="R289" t="s">
        <v>12</v>
      </c>
      <c r="S289" t="s">
        <v>12</v>
      </c>
      <c r="T289" t="s">
        <v>12</v>
      </c>
      <c r="U289" t="s">
        <v>12</v>
      </c>
      <c r="V289" t="s">
        <v>12</v>
      </c>
      <c r="W289" t="s">
        <v>12</v>
      </c>
      <c r="X289" t="s">
        <v>12</v>
      </c>
      <c r="Y289" t="s">
        <v>12</v>
      </c>
      <c r="Z289" t="s">
        <v>12</v>
      </c>
      <c r="AA289" t="s">
        <v>12</v>
      </c>
      <c r="AB289" t="s">
        <v>12</v>
      </c>
      <c r="AC289" t="s">
        <v>12</v>
      </c>
      <c r="AD289" t="s">
        <v>12</v>
      </c>
    </row>
    <row r="290" spans="1:30">
      <c r="A290" t="s">
        <v>145</v>
      </c>
      <c r="B290" t="str">
        <f>Master_Data_Productivity[[#This Row],[Uniq-ID]]&amp;"-"&amp;Master_Data_Productivity[[#This Row],[Period]]</f>
        <v>DC-Document_Controller-033-M1</v>
      </c>
      <c r="C290" t="s">
        <v>146</v>
      </c>
      <c r="D290" t="s">
        <v>76</v>
      </c>
      <c r="E290" t="s">
        <v>13</v>
      </c>
      <c r="F290" t="s">
        <v>14</v>
      </c>
      <c r="G290" t="s">
        <v>15</v>
      </c>
      <c r="H290" t="s">
        <v>16</v>
      </c>
      <c r="I290">
        <v>2.1139999999999999</v>
      </c>
      <c r="J290">
        <v>1.06</v>
      </c>
      <c r="K290" t="s">
        <v>2871</v>
      </c>
      <c r="L290" t="s">
        <v>2958</v>
      </c>
      <c r="M290" t="s">
        <v>2873</v>
      </c>
      <c r="N290">
        <v>154</v>
      </c>
      <c r="O290">
        <v>9</v>
      </c>
      <c r="P290">
        <v>5.8400000000000001E-2</v>
      </c>
      <c r="Q290" t="s">
        <v>8</v>
      </c>
      <c r="R290" t="s">
        <v>12</v>
      </c>
      <c r="S290" t="s">
        <v>12</v>
      </c>
      <c r="T290" t="s">
        <v>12</v>
      </c>
      <c r="U290" t="s">
        <v>12</v>
      </c>
      <c r="V290" t="s">
        <v>12</v>
      </c>
      <c r="W290" t="s">
        <v>12</v>
      </c>
      <c r="X290" t="s">
        <v>12</v>
      </c>
      <c r="Y290" t="s">
        <v>12</v>
      </c>
      <c r="Z290" t="s">
        <v>12</v>
      </c>
      <c r="AA290" t="s">
        <v>12</v>
      </c>
      <c r="AB290" t="s">
        <v>12</v>
      </c>
      <c r="AC290" t="s">
        <v>12</v>
      </c>
      <c r="AD290" t="s">
        <v>12</v>
      </c>
    </row>
    <row r="291" spans="1:30">
      <c r="A291" t="s">
        <v>145</v>
      </c>
      <c r="B291" t="str">
        <f>Master_Data_Productivity[[#This Row],[Uniq-ID]]&amp;"-"&amp;Master_Data_Productivity[[#This Row],[Period]]</f>
        <v>DC-Document_Controller-033-M2</v>
      </c>
      <c r="C291" t="s">
        <v>146</v>
      </c>
      <c r="D291" t="s">
        <v>76</v>
      </c>
      <c r="E291" t="s">
        <v>18</v>
      </c>
      <c r="F291" t="s">
        <v>19</v>
      </c>
      <c r="G291" t="s">
        <v>15</v>
      </c>
      <c r="H291" t="s">
        <v>20</v>
      </c>
      <c r="I291">
        <v>1.76</v>
      </c>
      <c r="J291">
        <v>1</v>
      </c>
      <c r="K291" t="s">
        <v>2871</v>
      </c>
      <c r="L291" t="s">
        <v>2956</v>
      </c>
      <c r="M291" t="s">
        <v>2873</v>
      </c>
      <c r="N291">
        <v>298</v>
      </c>
      <c r="O291">
        <v>11</v>
      </c>
      <c r="P291">
        <v>3.6900000000000002E-2</v>
      </c>
      <c r="Q291" t="s">
        <v>8</v>
      </c>
      <c r="R291" t="s">
        <v>12</v>
      </c>
      <c r="S291" t="s">
        <v>12</v>
      </c>
      <c r="T291" t="s">
        <v>12</v>
      </c>
      <c r="U291" t="s">
        <v>12</v>
      </c>
      <c r="V291" t="s">
        <v>12</v>
      </c>
      <c r="W291" t="s">
        <v>12</v>
      </c>
      <c r="X291" t="s">
        <v>12</v>
      </c>
      <c r="Y291" t="s">
        <v>12</v>
      </c>
      <c r="Z291" t="s">
        <v>12</v>
      </c>
      <c r="AA291" t="s">
        <v>12</v>
      </c>
      <c r="AB291" t="s">
        <v>12</v>
      </c>
      <c r="AC291" t="s">
        <v>12</v>
      </c>
      <c r="AD291" t="s">
        <v>12</v>
      </c>
    </row>
    <row r="292" spans="1:30">
      <c r="A292" t="s">
        <v>145</v>
      </c>
      <c r="B292" t="str">
        <f>Master_Data_Productivity[[#This Row],[Uniq-ID]]&amp;"-"&amp;Master_Data_Productivity[[#This Row],[Period]]</f>
        <v>DC-Document_Controller-033-M2</v>
      </c>
      <c r="C292" t="s">
        <v>146</v>
      </c>
      <c r="D292" t="s">
        <v>76</v>
      </c>
      <c r="E292" t="s">
        <v>18</v>
      </c>
      <c r="F292" t="s">
        <v>19</v>
      </c>
      <c r="G292" t="s">
        <v>15</v>
      </c>
      <c r="H292" t="s">
        <v>20</v>
      </c>
      <c r="I292">
        <v>1.76</v>
      </c>
      <c r="J292">
        <v>1</v>
      </c>
      <c r="K292" t="s">
        <v>2871</v>
      </c>
      <c r="L292" t="s">
        <v>2952</v>
      </c>
      <c r="M292" t="s">
        <v>2873</v>
      </c>
      <c r="N292">
        <v>257</v>
      </c>
      <c r="O292">
        <v>31</v>
      </c>
      <c r="P292">
        <v>0.1206</v>
      </c>
      <c r="Q292" t="s">
        <v>8</v>
      </c>
      <c r="R292" t="s">
        <v>12</v>
      </c>
      <c r="S292" t="s">
        <v>12</v>
      </c>
      <c r="T292" t="s">
        <v>12</v>
      </c>
      <c r="U292" t="s">
        <v>12</v>
      </c>
      <c r="V292" t="s">
        <v>12</v>
      </c>
      <c r="W292" t="s">
        <v>12</v>
      </c>
      <c r="X292" t="s">
        <v>12</v>
      </c>
      <c r="Y292" t="s">
        <v>12</v>
      </c>
      <c r="Z292" t="s">
        <v>12</v>
      </c>
      <c r="AA292" t="s">
        <v>12</v>
      </c>
      <c r="AB292" t="s">
        <v>12</v>
      </c>
      <c r="AC292" t="s">
        <v>12</v>
      </c>
      <c r="AD292" t="s">
        <v>12</v>
      </c>
    </row>
    <row r="293" spans="1:30">
      <c r="A293" t="s">
        <v>145</v>
      </c>
      <c r="B293" t="str">
        <f>Master_Data_Productivity[[#This Row],[Uniq-ID]]&amp;"-"&amp;Master_Data_Productivity[[#This Row],[Period]]</f>
        <v>DC-Document_Controller-033-M2</v>
      </c>
      <c r="C293" t="s">
        <v>146</v>
      </c>
      <c r="D293" t="s">
        <v>76</v>
      </c>
      <c r="E293" t="s">
        <v>18</v>
      </c>
      <c r="F293" t="s">
        <v>19</v>
      </c>
      <c r="G293" t="s">
        <v>15</v>
      </c>
      <c r="H293" t="s">
        <v>20</v>
      </c>
      <c r="I293">
        <v>1.76</v>
      </c>
      <c r="J293">
        <v>1</v>
      </c>
      <c r="K293" t="s">
        <v>2871</v>
      </c>
      <c r="L293" t="s">
        <v>2958</v>
      </c>
      <c r="M293" t="s">
        <v>2873</v>
      </c>
      <c r="N293">
        <v>154</v>
      </c>
      <c r="O293">
        <v>7</v>
      </c>
      <c r="P293">
        <v>4.5499999999999999E-2</v>
      </c>
      <c r="Q293" t="s">
        <v>8</v>
      </c>
      <c r="R293" t="s">
        <v>12</v>
      </c>
      <c r="S293" t="s">
        <v>12</v>
      </c>
      <c r="T293" t="s">
        <v>12</v>
      </c>
      <c r="U293" t="s">
        <v>12</v>
      </c>
      <c r="V293" t="s">
        <v>12</v>
      </c>
      <c r="W293" t="s">
        <v>12</v>
      </c>
      <c r="X293" t="s">
        <v>12</v>
      </c>
      <c r="Y293" t="s">
        <v>12</v>
      </c>
      <c r="Z293" t="s">
        <v>12</v>
      </c>
      <c r="AA293" t="s">
        <v>12</v>
      </c>
      <c r="AB293" t="s">
        <v>12</v>
      </c>
      <c r="AC293" t="s">
        <v>12</v>
      </c>
      <c r="AD293" t="s">
        <v>12</v>
      </c>
    </row>
    <row r="294" spans="1:30">
      <c r="A294" t="s">
        <v>145</v>
      </c>
      <c r="B294" t="str">
        <f>Master_Data_Productivity[[#This Row],[Uniq-ID]]&amp;"-"&amp;Master_Data_Productivity[[#This Row],[Period]]</f>
        <v>DC-Document_Controller-033-M2</v>
      </c>
      <c r="C294" t="s">
        <v>146</v>
      </c>
      <c r="D294" t="s">
        <v>76</v>
      </c>
      <c r="E294" t="s">
        <v>18</v>
      </c>
      <c r="F294" t="s">
        <v>19</v>
      </c>
      <c r="G294" t="s">
        <v>15</v>
      </c>
      <c r="H294" t="s">
        <v>20</v>
      </c>
      <c r="I294">
        <v>1.76</v>
      </c>
      <c r="J294">
        <v>1</v>
      </c>
      <c r="K294" t="s">
        <v>2871</v>
      </c>
      <c r="L294" t="s">
        <v>2954</v>
      </c>
      <c r="M294" t="s">
        <v>2873</v>
      </c>
      <c r="N294">
        <v>220</v>
      </c>
      <c r="O294">
        <v>223</v>
      </c>
      <c r="P294">
        <v>1.0136000000000001</v>
      </c>
      <c r="Q294" t="s">
        <v>8</v>
      </c>
      <c r="R294" t="s">
        <v>12</v>
      </c>
      <c r="S294" t="s">
        <v>12</v>
      </c>
      <c r="T294" t="s">
        <v>12</v>
      </c>
      <c r="U294" t="s">
        <v>12</v>
      </c>
      <c r="V294" t="s">
        <v>12</v>
      </c>
      <c r="W294" t="s">
        <v>12</v>
      </c>
      <c r="X294" t="s">
        <v>12</v>
      </c>
      <c r="Y294" t="s">
        <v>12</v>
      </c>
      <c r="Z294" t="s">
        <v>12</v>
      </c>
      <c r="AA294" t="s">
        <v>12</v>
      </c>
      <c r="AB294" t="s">
        <v>12</v>
      </c>
      <c r="AC294" t="s">
        <v>12</v>
      </c>
      <c r="AD294" t="s">
        <v>12</v>
      </c>
    </row>
    <row r="295" spans="1:30">
      <c r="A295" t="s">
        <v>145</v>
      </c>
      <c r="B295" t="str">
        <f>Master_Data_Productivity[[#This Row],[Uniq-ID]]&amp;"-"&amp;Master_Data_Productivity[[#This Row],[Period]]</f>
        <v>DC-Document_Controller-033-M2</v>
      </c>
      <c r="C295" t="s">
        <v>146</v>
      </c>
      <c r="D295" t="s">
        <v>76</v>
      </c>
      <c r="E295" t="s">
        <v>18</v>
      </c>
      <c r="F295" t="s">
        <v>19</v>
      </c>
      <c r="G295" t="s">
        <v>15</v>
      </c>
      <c r="H295" t="s">
        <v>20</v>
      </c>
      <c r="I295">
        <v>1.76</v>
      </c>
      <c r="J295">
        <v>1</v>
      </c>
      <c r="K295" t="s">
        <v>2871</v>
      </c>
      <c r="L295" t="s">
        <v>3061</v>
      </c>
      <c r="M295" t="s">
        <v>2873</v>
      </c>
      <c r="N295">
        <v>66</v>
      </c>
      <c r="O295">
        <v>5</v>
      </c>
      <c r="P295">
        <v>7.5800000000000006E-2</v>
      </c>
      <c r="Q295" t="s">
        <v>8</v>
      </c>
      <c r="R295" t="s">
        <v>12</v>
      </c>
      <c r="S295" t="s">
        <v>12</v>
      </c>
      <c r="T295" t="s">
        <v>12</v>
      </c>
      <c r="U295" t="s">
        <v>12</v>
      </c>
      <c r="V295" t="s">
        <v>12</v>
      </c>
      <c r="W295" t="s">
        <v>12</v>
      </c>
      <c r="X295" t="s">
        <v>12</v>
      </c>
      <c r="Y295" t="s">
        <v>12</v>
      </c>
      <c r="Z295" t="s">
        <v>12</v>
      </c>
      <c r="AA295" t="s">
        <v>12</v>
      </c>
      <c r="AB295" t="s">
        <v>12</v>
      </c>
      <c r="AC295" t="s">
        <v>12</v>
      </c>
      <c r="AD295" t="s">
        <v>12</v>
      </c>
    </row>
    <row r="296" spans="1:30">
      <c r="A296" t="s">
        <v>145</v>
      </c>
      <c r="B296" t="str">
        <f>Master_Data_Productivity[[#This Row],[Uniq-ID]]&amp;"-"&amp;Master_Data_Productivity[[#This Row],[Period]]</f>
        <v>DC-Document_Controller-033-M2</v>
      </c>
      <c r="C296" t="s">
        <v>146</v>
      </c>
      <c r="D296" t="s">
        <v>76</v>
      </c>
      <c r="E296" t="s">
        <v>18</v>
      </c>
      <c r="F296" t="s">
        <v>19</v>
      </c>
      <c r="G296" t="s">
        <v>15</v>
      </c>
      <c r="H296" t="s">
        <v>20</v>
      </c>
      <c r="I296">
        <v>1.76</v>
      </c>
      <c r="J296">
        <v>1</v>
      </c>
      <c r="K296" t="s">
        <v>2871</v>
      </c>
      <c r="L296" t="s">
        <v>2950</v>
      </c>
      <c r="M296" t="s">
        <v>2873</v>
      </c>
      <c r="N296">
        <v>88</v>
      </c>
      <c r="O296">
        <v>28</v>
      </c>
      <c r="P296">
        <v>0.31819999999999998</v>
      </c>
      <c r="Q296" t="s">
        <v>8</v>
      </c>
      <c r="R296" t="s">
        <v>12</v>
      </c>
      <c r="S296" t="s">
        <v>12</v>
      </c>
      <c r="T296" t="s">
        <v>12</v>
      </c>
      <c r="U296" t="s">
        <v>12</v>
      </c>
      <c r="V296" t="s">
        <v>12</v>
      </c>
      <c r="W296" t="s">
        <v>12</v>
      </c>
      <c r="X296" t="s">
        <v>12</v>
      </c>
      <c r="Y296" t="s">
        <v>12</v>
      </c>
      <c r="Z296" t="s">
        <v>12</v>
      </c>
      <c r="AA296" t="s">
        <v>12</v>
      </c>
      <c r="AB296" t="s">
        <v>12</v>
      </c>
      <c r="AC296" t="s">
        <v>12</v>
      </c>
      <c r="AD296" t="s">
        <v>12</v>
      </c>
    </row>
    <row r="297" spans="1:30">
      <c r="A297" t="s">
        <v>145</v>
      </c>
      <c r="B297" t="str">
        <f>Master_Data_Productivity[[#This Row],[Uniq-ID]]&amp;"-"&amp;Master_Data_Productivity[[#This Row],[Period]]</f>
        <v>DC-Document_Controller-033-M2</v>
      </c>
      <c r="C297" t="s">
        <v>146</v>
      </c>
      <c r="D297" t="s">
        <v>76</v>
      </c>
      <c r="E297" t="s">
        <v>18</v>
      </c>
      <c r="F297" t="s">
        <v>19</v>
      </c>
      <c r="G297" t="s">
        <v>15</v>
      </c>
      <c r="H297" t="s">
        <v>20</v>
      </c>
      <c r="I297">
        <v>1.76</v>
      </c>
      <c r="J297">
        <v>1</v>
      </c>
      <c r="K297" t="s">
        <v>2947</v>
      </c>
      <c r="L297" t="s">
        <v>2988</v>
      </c>
      <c r="M297" t="s">
        <v>2873</v>
      </c>
      <c r="N297">
        <v>103</v>
      </c>
      <c r="O297">
        <v>7</v>
      </c>
      <c r="P297">
        <v>6.8000000000000005E-2</v>
      </c>
      <c r="Q297" t="s">
        <v>8</v>
      </c>
      <c r="R297" t="s">
        <v>12</v>
      </c>
      <c r="S297" t="s">
        <v>12</v>
      </c>
      <c r="T297" t="s">
        <v>12</v>
      </c>
      <c r="U297" t="s">
        <v>12</v>
      </c>
      <c r="V297" t="s">
        <v>12</v>
      </c>
      <c r="W297" t="s">
        <v>12</v>
      </c>
      <c r="X297" t="s">
        <v>12</v>
      </c>
      <c r="Y297" t="s">
        <v>12</v>
      </c>
      <c r="Z297" t="s">
        <v>12</v>
      </c>
      <c r="AA297" t="s">
        <v>12</v>
      </c>
      <c r="AB297" t="s">
        <v>12</v>
      </c>
      <c r="AC297" t="s">
        <v>12</v>
      </c>
      <c r="AD297" t="s">
        <v>12</v>
      </c>
    </row>
    <row r="298" spans="1:30">
      <c r="A298" t="s">
        <v>145</v>
      </c>
      <c r="B298" t="str">
        <f>Master_Data_Productivity[[#This Row],[Uniq-ID]]&amp;"-"&amp;Master_Data_Productivity[[#This Row],[Period]]</f>
        <v>DC-Document_Controller-033-M2</v>
      </c>
      <c r="C298" t="s">
        <v>146</v>
      </c>
      <c r="D298" t="s">
        <v>76</v>
      </c>
      <c r="E298" t="s">
        <v>18</v>
      </c>
      <c r="F298" t="s">
        <v>19</v>
      </c>
      <c r="G298" t="s">
        <v>15</v>
      </c>
      <c r="H298" t="s">
        <v>20</v>
      </c>
      <c r="I298">
        <v>1.76</v>
      </c>
      <c r="J298">
        <v>1</v>
      </c>
      <c r="K298" t="s">
        <v>2947</v>
      </c>
      <c r="L298" t="s">
        <v>2948</v>
      </c>
      <c r="M298" t="s">
        <v>2873</v>
      </c>
      <c r="N298">
        <v>110</v>
      </c>
      <c r="O298">
        <v>9</v>
      </c>
      <c r="P298">
        <v>8.1799999999999998E-2</v>
      </c>
      <c r="Q298" t="s">
        <v>8</v>
      </c>
      <c r="R298" t="s">
        <v>12</v>
      </c>
      <c r="S298" t="s">
        <v>12</v>
      </c>
      <c r="T298" t="s">
        <v>12</v>
      </c>
      <c r="U298" t="s">
        <v>12</v>
      </c>
      <c r="V298" t="s">
        <v>12</v>
      </c>
      <c r="W298" t="s">
        <v>12</v>
      </c>
      <c r="X298" t="s">
        <v>12</v>
      </c>
      <c r="Y298" t="s">
        <v>12</v>
      </c>
      <c r="Z298" t="s">
        <v>12</v>
      </c>
      <c r="AA298" t="s">
        <v>12</v>
      </c>
      <c r="AB298" t="s">
        <v>12</v>
      </c>
      <c r="AC298" t="s">
        <v>12</v>
      </c>
      <c r="AD298" t="s">
        <v>12</v>
      </c>
    </row>
    <row r="299" spans="1:30">
      <c r="A299" t="s">
        <v>145</v>
      </c>
      <c r="B299" t="str">
        <f>Master_Data_Productivity[[#This Row],[Uniq-ID]]&amp;"-"&amp;Master_Data_Productivity[[#This Row],[Period]]</f>
        <v>DC-Document_Controller-033-M3</v>
      </c>
      <c r="C299" t="s">
        <v>146</v>
      </c>
      <c r="D299" t="s">
        <v>76</v>
      </c>
      <c r="E299" t="s">
        <v>22</v>
      </c>
      <c r="F299" t="s">
        <v>23</v>
      </c>
      <c r="G299" t="s">
        <v>15</v>
      </c>
      <c r="H299" t="s">
        <v>16</v>
      </c>
      <c r="I299">
        <v>5.8760000000000003</v>
      </c>
      <c r="J299">
        <v>1.5</v>
      </c>
      <c r="K299" t="s">
        <v>2871</v>
      </c>
      <c r="L299" t="s">
        <v>2956</v>
      </c>
      <c r="M299" t="s">
        <v>2873</v>
      </c>
      <c r="N299">
        <v>298</v>
      </c>
      <c r="O299">
        <v>197</v>
      </c>
      <c r="P299">
        <v>0.66110000000000002</v>
      </c>
      <c r="Q299" t="s">
        <v>8</v>
      </c>
      <c r="R299" t="s">
        <v>12</v>
      </c>
      <c r="S299" t="s">
        <v>12</v>
      </c>
      <c r="T299" t="s">
        <v>12</v>
      </c>
      <c r="U299" t="s">
        <v>12</v>
      </c>
      <c r="V299" t="s">
        <v>12</v>
      </c>
      <c r="W299" t="s">
        <v>12</v>
      </c>
      <c r="X299" t="s">
        <v>12</v>
      </c>
      <c r="Y299" t="s">
        <v>12</v>
      </c>
      <c r="Z299" t="s">
        <v>12</v>
      </c>
      <c r="AA299" t="s">
        <v>12</v>
      </c>
      <c r="AB299" t="s">
        <v>12</v>
      </c>
      <c r="AC299" t="s">
        <v>12</v>
      </c>
      <c r="AD299" t="s">
        <v>12</v>
      </c>
    </row>
    <row r="300" spans="1:30">
      <c r="A300" t="s">
        <v>145</v>
      </c>
      <c r="B300" t="str">
        <f>Master_Data_Productivity[[#This Row],[Uniq-ID]]&amp;"-"&amp;Master_Data_Productivity[[#This Row],[Period]]</f>
        <v>DC-Document_Controller-033-M3</v>
      </c>
      <c r="C300" t="s">
        <v>146</v>
      </c>
      <c r="D300" t="s">
        <v>76</v>
      </c>
      <c r="E300" t="s">
        <v>22</v>
      </c>
      <c r="F300" t="s">
        <v>23</v>
      </c>
      <c r="G300" t="s">
        <v>15</v>
      </c>
      <c r="H300" t="s">
        <v>16</v>
      </c>
      <c r="I300">
        <v>5.8760000000000003</v>
      </c>
      <c r="J300">
        <v>1.5</v>
      </c>
      <c r="K300" t="s">
        <v>2871</v>
      </c>
      <c r="L300" t="s">
        <v>2958</v>
      </c>
      <c r="M300" t="s">
        <v>2873</v>
      </c>
      <c r="N300">
        <v>154</v>
      </c>
      <c r="O300">
        <v>27</v>
      </c>
      <c r="P300">
        <v>0.17530000000000001</v>
      </c>
      <c r="Q300" t="s">
        <v>8</v>
      </c>
      <c r="R300" t="s">
        <v>12</v>
      </c>
      <c r="S300" t="s">
        <v>12</v>
      </c>
      <c r="T300" t="s">
        <v>12</v>
      </c>
      <c r="U300" t="s">
        <v>12</v>
      </c>
      <c r="V300" t="s">
        <v>12</v>
      </c>
      <c r="W300" t="s">
        <v>12</v>
      </c>
      <c r="X300" t="s">
        <v>12</v>
      </c>
      <c r="Y300" t="s">
        <v>12</v>
      </c>
      <c r="Z300" t="s">
        <v>12</v>
      </c>
      <c r="AA300" t="s">
        <v>12</v>
      </c>
      <c r="AB300" t="s">
        <v>12</v>
      </c>
      <c r="AC300" t="s">
        <v>12</v>
      </c>
      <c r="AD300" t="s">
        <v>12</v>
      </c>
    </row>
    <row r="301" spans="1:30">
      <c r="A301" t="s">
        <v>145</v>
      </c>
      <c r="B301" t="str">
        <f>Master_Data_Productivity[[#This Row],[Uniq-ID]]&amp;"-"&amp;Master_Data_Productivity[[#This Row],[Period]]</f>
        <v>DC-Document_Controller-033-M3</v>
      </c>
      <c r="C301" t="s">
        <v>146</v>
      </c>
      <c r="D301" t="s">
        <v>76</v>
      </c>
      <c r="E301" t="s">
        <v>22</v>
      </c>
      <c r="F301" t="s">
        <v>23</v>
      </c>
      <c r="G301" t="s">
        <v>15</v>
      </c>
      <c r="H301" t="s">
        <v>16</v>
      </c>
      <c r="I301">
        <v>5.8760000000000003</v>
      </c>
      <c r="J301">
        <v>1.5</v>
      </c>
      <c r="K301" t="s">
        <v>2871</v>
      </c>
      <c r="L301" t="s">
        <v>3061</v>
      </c>
      <c r="M301" t="s">
        <v>2873</v>
      </c>
      <c r="N301">
        <v>66</v>
      </c>
      <c r="O301">
        <v>19</v>
      </c>
      <c r="P301">
        <v>0.28789999999999999</v>
      </c>
      <c r="Q301" t="s">
        <v>8</v>
      </c>
      <c r="R301" t="s">
        <v>12</v>
      </c>
      <c r="S301" t="s">
        <v>12</v>
      </c>
      <c r="T301" t="s">
        <v>12</v>
      </c>
      <c r="U301" t="s">
        <v>12</v>
      </c>
      <c r="V301" t="s">
        <v>12</v>
      </c>
      <c r="W301" t="s">
        <v>12</v>
      </c>
      <c r="X301" t="s">
        <v>12</v>
      </c>
      <c r="Y301" t="s">
        <v>12</v>
      </c>
      <c r="Z301" t="s">
        <v>12</v>
      </c>
      <c r="AA301" t="s">
        <v>12</v>
      </c>
      <c r="AB301" t="s">
        <v>12</v>
      </c>
      <c r="AC301" t="s">
        <v>12</v>
      </c>
      <c r="AD301" t="s">
        <v>12</v>
      </c>
    </row>
    <row r="302" spans="1:30">
      <c r="A302" t="s">
        <v>145</v>
      </c>
      <c r="B302" t="str">
        <f>Master_Data_Productivity[[#This Row],[Uniq-ID]]&amp;"-"&amp;Master_Data_Productivity[[#This Row],[Period]]</f>
        <v>DC-Document_Controller-033-M3</v>
      </c>
      <c r="C302" t="s">
        <v>146</v>
      </c>
      <c r="D302" t="s">
        <v>76</v>
      </c>
      <c r="E302" t="s">
        <v>22</v>
      </c>
      <c r="F302" t="s">
        <v>23</v>
      </c>
      <c r="G302" t="s">
        <v>15</v>
      </c>
      <c r="H302" t="s">
        <v>16</v>
      </c>
      <c r="I302">
        <v>5.8760000000000003</v>
      </c>
      <c r="J302">
        <v>1.5</v>
      </c>
      <c r="K302" t="s">
        <v>2871</v>
      </c>
      <c r="L302" t="s">
        <v>2950</v>
      </c>
      <c r="M302" t="s">
        <v>2873</v>
      </c>
      <c r="N302">
        <v>88</v>
      </c>
      <c r="O302">
        <v>103</v>
      </c>
      <c r="P302">
        <v>1.1705000000000001</v>
      </c>
      <c r="Q302" t="s">
        <v>8</v>
      </c>
      <c r="R302" t="s">
        <v>12</v>
      </c>
      <c r="S302" t="s">
        <v>12</v>
      </c>
      <c r="T302" t="s">
        <v>12</v>
      </c>
      <c r="U302" t="s">
        <v>12</v>
      </c>
      <c r="V302" t="s">
        <v>12</v>
      </c>
      <c r="W302" t="s">
        <v>12</v>
      </c>
      <c r="X302" t="s">
        <v>12</v>
      </c>
      <c r="Y302" t="s">
        <v>12</v>
      </c>
      <c r="Z302" t="s">
        <v>12</v>
      </c>
      <c r="AA302" t="s">
        <v>12</v>
      </c>
      <c r="AB302" t="s">
        <v>12</v>
      </c>
      <c r="AC302" t="s">
        <v>12</v>
      </c>
      <c r="AD302" t="s">
        <v>12</v>
      </c>
    </row>
    <row r="303" spans="1:30">
      <c r="A303" t="s">
        <v>145</v>
      </c>
      <c r="B303" t="str">
        <f>Master_Data_Productivity[[#This Row],[Uniq-ID]]&amp;"-"&amp;Master_Data_Productivity[[#This Row],[Period]]</f>
        <v>DC-Document_Controller-033-M3</v>
      </c>
      <c r="C303" t="s">
        <v>146</v>
      </c>
      <c r="D303" t="s">
        <v>76</v>
      </c>
      <c r="E303" t="s">
        <v>22</v>
      </c>
      <c r="F303" t="s">
        <v>23</v>
      </c>
      <c r="G303" t="s">
        <v>15</v>
      </c>
      <c r="H303" t="s">
        <v>16</v>
      </c>
      <c r="I303">
        <v>5.8760000000000003</v>
      </c>
      <c r="J303">
        <v>1.5</v>
      </c>
      <c r="K303" t="s">
        <v>2871</v>
      </c>
      <c r="L303" t="s">
        <v>2952</v>
      </c>
      <c r="M303" t="s">
        <v>2873</v>
      </c>
      <c r="N303">
        <v>257</v>
      </c>
      <c r="O303">
        <v>86</v>
      </c>
      <c r="P303">
        <v>0.33460000000000001</v>
      </c>
      <c r="Q303" t="s">
        <v>8</v>
      </c>
      <c r="R303" t="s">
        <v>12</v>
      </c>
      <c r="S303" t="s">
        <v>12</v>
      </c>
      <c r="T303" t="s">
        <v>12</v>
      </c>
      <c r="U303" t="s">
        <v>12</v>
      </c>
      <c r="V303" t="s">
        <v>12</v>
      </c>
      <c r="W303" t="s">
        <v>12</v>
      </c>
      <c r="X303" t="s">
        <v>12</v>
      </c>
      <c r="Y303" t="s">
        <v>12</v>
      </c>
      <c r="Z303" t="s">
        <v>12</v>
      </c>
      <c r="AA303" t="s">
        <v>12</v>
      </c>
      <c r="AB303" t="s">
        <v>12</v>
      </c>
      <c r="AC303" t="s">
        <v>12</v>
      </c>
      <c r="AD303" t="s">
        <v>12</v>
      </c>
    </row>
    <row r="304" spans="1:30">
      <c r="A304" t="s">
        <v>145</v>
      </c>
      <c r="B304" t="str">
        <f>Master_Data_Productivity[[#This Row],[Uniq-ID]]&amp;"-"&amp;Master_Data_Productivity[[#This Row],[Period]]</f>
        <v>DC-Document_Controller-033-M3</v>
      </c>
      <c r="C304" t="s">
        <v>146</v>
      </c>
      <c r="D304" t="s">
        <v>76</v>
      </c>
      <c r="E304" t="s">
        <v>22</v>
      </c>
      <c r="F304" t="s">
        <v>23</v>
      </c>
      <c r="G304" t="s">
        <v>15</v>
      </c>
      <c r="H304" t="s">
        <v>16</v>
      </c>
      <c r="I304">
        <v>5.8760000000000003</v>
      </c>
      <c r="J304">
        <v>1.5</v>
      </c>
      <c r="K304" t="s">
        <v>2871</v>
      </c>
      <c r="L304" t="s">
        <v>2954</v>
      </c>
      <c r="M304" t="s">
        <v>2873</v>
      </c>
      <c r="N304">
        <v>220</v>
      </c>
      <c r="O304">
        <v>510</v>
      </c>
      <c r="P304">
        <v>2.3182</v>
      </c>
      <c r="Q304" t="s">
        <v>8</v>
      </c>
      <c r="R304" t="s">
        <v>12</v>
      </c>
      <c r="S304" t="s">
        <v>12</v>
      </c>
      <c r="T304" t="s">
        <v>12</v>
      </c>
      <c r="U304" t="s">
        <v>12</v>
      </c>
      <c r="V304" t="s">
        <v>12</v>
      </c>
      <c r="W304" t="s">
        <v>12</v>
      </c>
      <c r="X304" t="s">
        <v>12</v>
      </c>
      <c r="Y304" t="s">
        <v>12</v>
      </c>
      <c r="Z304" t="s">
        <v>12</v>
      </c>
      <c r="AA304" t="s">
        <v>12</v>
      </c>
      <c r="AB304" t="s">
        <v>12</v>
      </c>
      <c r="AC304" t="s">
        <v>12</v>
      </c>
      <c r="AD304" t="s">
        <v>12</v>
      </c>
    </row>
    <row r="305" spans="1:30">
      <c r="A305" t="s">
        <v>145</v>
      </c>
      <c r="B305" t="str">
        <f>Master_Data_Productivity[[#This Row],[Uniq-ID]]&amp;"-"&amp;Master_Data_Productivity[[#This Row],[Period]]</f>
        <v>DC-Document_Controller-033-M3</v>
      </c>
      <c r="C305" t="s">
        <v>146</v>
      </c>
      <c r="D305" t="s">
        <v>76</v>
      </c>
      <c r="E305" t="s">
        <v>22</v>
      </c>
      <c r="F305" t="s">
        <v>23</v>
      </c>
      <c r="G305" t="s">
        <v>15</v>
      </c>
      <c r="H305" t="s">
        <v>16</v>
      </c>
      <c r="I305">
        <v>5.8760000000000003</v>
      </c>
      <c r="J305">
        <v>1.5</v>
      </c>
      <c r="K305" t="s">
        <v>2947</v>
      </c>
      <c r="L305" t="s">
        <v>2948</v>
      </c>
      <c r="M305" t="s">
        <v>2873</v>
      </c>
      <c r="N305">
        <v>110</v>
      </c>
      <c r="O305">
        <v>6</v>
      </c>
      <c r="P305">
        <v>5.45E-2</v>
      </c>
      <c r="Q305" t="s">
        <v>8</v>
      </c>
      <c r="R305" t="s">
        <v>12</v>
      </c>
      <c r="S305" t="s">
        <v>12</v>
      </c>
      <c r="T305" t="s">
        <v>12</v>
      </c>
      <c r="U305" t="s">
        <v>12</v>
      </c>
      <c r="V305" t="s">
        <v>12</v>
      </c>
      <c r="W305" t="s">
        <v>12</v>
      </c>
      <c r="X305" t="s">
        <v>12</v>
      </c>
      <c r="Y305" t="s">
        <v>12</v>
      </c>
      <c r="Z305" t="s">
        <v>12</v>
      </c>
      <c r="AA305" t="s">
        <v>12</v>
      </c>
      <c r="AB305" t="s">
        <v>12</v>
      </c>
      <c r="AC305" t="s">
        <v>12</v>
      </c>
      <c r="AD305" t="s">
        <v>12</v>
      </c>
    </row>
    <row r="306" spans="1:30">
      <c r="A306" t="s">
        <v>145</v>
      </c>
      <c r="B306" t="str">
        <f>Master_Data_Productivity[[#This Row],[Uniq-ID]]&amp;"-"&amp;Master_Data_Productivity[[#This Row],[Period]]</f>
        <v>DC-Document_Controller-033-M3</v>
      </c>
      <c r="C306" t="s">
        <v>146</v>
      </c>
      <c r="D306" t="s">
        <v>76</v>
      </c>
      <c r="E306" t="s">
        <v>22</v>
      </c>
      <c r="F306" t="s">
        <v>23</v>
      </c>
      <c r="G306" t="s">
        <v>15</v>
      </c>
      <c r="H306" t="s">
        <v>16</v>
      </c>
      <c r="I306">
        <v>5.8760000000000003</v>
      </c>
      <c r="J306">
        <v>1.5</v>
      </c>
      <c r="K306" t="s">
        <v>2947</v>
      </c>
      <c r="L306" t="s">
        <v>2988</v>
      </c>
      <c r="M306" t="s">
        <v>2873</v>
      </c>
      <c r="N306">
        <v>103</v>
      </c>
      <c r="O306">
        <v>90</v>
      </c>
      <c r="P306">
        <v>0.87380000000000002</v>
      </c>
      <c r="Q306" t="s">
        <v>8</v>
      </c>
      <c r="R306" t="s">
        <v>12</v>
      </c>
      <c r="S306" t="s">
        <v>12</v>
      </c>
      <c r="T306" t="s">
        <v>12</v>
      </c>
      <c r="U306" t="s">
        <v>12</v>
      </c>
      <c r="V306" t="s">
        <v>12</v>
      </c>
      <c r="W306" t="s">
        <v>12</v>
      </c>
      <c r="X306" t="s">
        <v>12</v>
      </c>
      <c r="Y306" t="s">
        <v>12</v>
      </c>
      <c r="Z306" t="s">
        <v>12</v>
      </c>
      <c r="AA306" t="s">
        <v>12</v>
      </c>
      <c r="AB306" t="s">
        <v>12</v>
      </c>
      <c r="AC306" t="s">
        <v>12</v>
      </c>
      <c r="AD306" t="s">
        <v>12</v>
      </c>
    </row>
    <row r="307" spans="1:30">
      <c r="A307" t="s">
        <v>145</v>
      </c>
      <c r="B307" t="str">
        <f>Master_Data_Productivity[[#This Row],[Uniq-ID]]&amp;"-"&amp;Master_Data_Productivity[[#This Row],[Period]]</f>
        <v>DC-Document_Controller-033-M4</v>
      </c>
      <c r="C307" t="s">
        <v>146</v>
      </c>
      <c r="D307" t="s">
        <v>76</v>
      </c>
      <c r="E307" t="s">
        <v>25</v>
      </c>
      <c r="F307" t="s">
        <v>26</v>
      </c>
      <c r="G307" t="s">
        <v>15</v>
      </c>
      <c r="H307" t="s">
        <v>16</v>
      </c>
      <c r="I307">
        <v>3.64</v>
      </c>
      <c r="J307">
        <v>1.5</v>
      </c>
      <c r="K307" t="s">
        <v>2871</v>
      </c>
      <c r="L307" t="s">
        <v>2958</v>
      </c>
      <c r="M307" t="s">
        <v>2873</v>
      </c>
      <c r="N307">
        <v>154</v>
      </c>
      <c r="O307">
        <v>76</v>
      </c>
      <c r="P307">
        <v>0.49349999999999999</v>
      </c>
      <c r="Q307" t="s">
        <v>8</v>
      </c>
      <c r="R307" t="s">
        <v>12</v>
      </c>
      <c r="S307" t="s">
        <v>12</v>
      </c>
      <c r="T307" t="s">
        <v>12</v>
      </c>
      <c r="U307" t="s">
        <v>12</v>
      </c>
      <c r="V307" t="s">
        <v>12</v>
      </c>
      <c r="W307" t="s">
        <v>12</v>
      </c>
      <c r="X307" t="s">
        <v>12</v>
      </c>
      <c r="Y307" t="s">
        <v>12</v>
      </c>
      <c r="Z307" t="s">
        <v>12</v>
      </c>
      <c r="AA307" t="s">
        <v>12</v>
      </c>
      <c r="AB307" t="s">
        <v>12</v>
      </c>
      <c r="AC307" t="s">
        <v>12</v>
      </c>
      <c r="AD307" t="s">
        <v>12</v>
      </c>
    </row>
    <row r="308" spans="1:30">
      <c r="A308" t="s">
        <v>145</v>
      </c>
      <c r="B308" t="str">
        <f>Master_Data_Productivity[[#This Row],[Uniq-ID]]&amp;"-"&amp;Master_Data_Productivity[[#This Row],[Period]]</f>
        <v>DC-Document_Controller-033-M4</v>
      </c>
      <c r="C308" t="s">
        <v>146</v>
      </c>
      <c r="D308" t="s">
        <v>76</v>
      </c>
      <c r="E308" t="s">
        <v>25</v>
      </c>
      <c r="F308" t="s">
        <v>26</v>
      </c>
      <c r="G308" t="s">
        <v>15</v>
      </c>
      <c r="H308" t="s">
        <v>16</v>
      </c>
      <c r="I308">
        <v>3.64</v>
      </c>
      <c r="J308">
        <v>1.5</v>
      </c>
      <c r="K308" t="s">
        <v>2871</v>
      </c>
      <c r="L308" t="s">
        <v>2956</v>
      </c>
      <c r="M308" t="s">
        <v>2873</v>
      </c>
      <c r="N308">
        <v>298</v>
      </c>
      <c r="O308">
        <v>124</v>
      </c>
      <c r="P308">
        <v>0.41610000000000003</v>
      </c>
      <c r="Q308" t="s">
        <v>8</v>
      </c>
      <c r="R308" t="s">
        <v>12</v>
      </c>
      <c r="S308" t="s">
        <v>12</v>
      </c>
      <c r="T308" t="s">
        <v>12</v>
      </c>
      <c r="U308" t="s">
        <v>12</v>
      </c>
      <c r="V308" t="s">
        <v>12</v>
      </c>
      <c r="W308" t="s">
        <v>12</v>
      </c>
      <c r="X308" t="s">
        <v>12</v>
      </c>
      <c r="Y308" t="s">
        <v>12</v>
      </c>
      <c r="Z308" t="s">
        <v>12</v>
      </c>
      <c r="AA308" t="s">
        <v>12</v>
      </c>
      <c r="AB308" t="s">
        <v>12</v>
      </c>
      <c r="AC308" t="s">
        <v>12</v>
      </c>
      <c r="AD308" t="s">
        <v>12</v>
      </c>
    </row>
    <row r="309" spans="1:30">
      <c r="A309" t="s">
        <v>145</v>
      </c>
      <c r="B309" t="str">
        <f>Master_Data_Productivity[[#This Row],[Uniq-ID]]&amp;"-"&amp;Master_Data_Productivity[[#This Row],[Period]]</f>
        <v>DC-Document_Controller-033-M4</v>
      </c>
      <c r="C309" t="s">
        <v>146</v>
      </c>
      <c r="D309" t="s">
        <v>76</v>
      </c>
      <c r="E309" t="s">
        <v>25</v>
      </c>
      <c r="F309" t="s">
        <v>26</v>
      </c>
      <c r="G309" t="s">
        <v>15</v>
      </c>
      <c r="H309" t="s">
        <v>16</v>
      </c>
      <c r="I309">
        <v>3.64</v>
      </c>
      <c r="J309">
        <v>1.5</v>
      </c>
      <c r="K309" t="s">
        <v>2871</v>
      </c>
      <c r="L309" t="s">
        <v>2954</v>
      </c>
      <c r="M309" t="s">
        <v>2873</v>
      </c>
      <c r="N309">
        <v>220</v>
      </c>
      <c r="O309">
        <v>478</v>
      </c>
      <c r="P309">
        <v>2.1726999999999999</v>
      </c>
      <c r="Q309" t="s">
        <v>8</v>
      </c>
      <c r="R309" t="s">
        <v>12</v>
      </c>
      <c r="S309" t="s">
        <v>12</v>
      </c>
      <c r="T309" t="s">
        <v>12</v>
      </c>
      <c r="U309" t="s">
        <v>12</v>
      </c>
      <c r="V309" t="s">
        <v>12</v>
      </c>
      <c r="W309" t="s">
        <v>12</v>
      </c>
      <c r="X309" t="s">
        <v>12</v>
      </c>
      <c r="Y309" t="s">
        <v>12</v>
      </c>
      <c r="Z309" t="s">
        <v>12</v>
      </c>
      <c r="AA309" t="s">
        <v>12</v>
      </c>
      <c r="AB309" t="s">
        <v>12</v>
      </c>
      <c r="AC309" t="s">
        <v>12</v>
      </c>
      <c r="AD309" t="s">
        <v>12</v>
      </c>
    </row>
    <row r="310" spans="1:30">
      <c r="A310" t="s">
        <v>145</v>
      </c>
      <c r="B310" t="str">
        <f>Master_Data_Productivity[[#This Row],[Uniq-ID]]&amp;"-"&amp;Master_Data_Productivity[[#This Row],[Period]]</f>
        <v>DC-Document_Controller-033-M4</v>
      </c>
      <c r="C310" t="s">
        <v>146</v>
      </c>
      <c r="D310" t="s">
        <v>76</v>
      </c>
      <c r="E310" t="s">
        <v>25</v>
      </c>
      <c r="F310" t="s">
        <v>26</v>
      </c>
      <c r="G310" t="s">
        <v>15</v>
      </c>
      <c r="H310" t="s">
        <v>16</v>
      </c>
      <c r="I310">
        <v>3.64</v>
      </c>
      <c r="J310">
        <v>1.5</v>
      </c>
      <c r="K310" t="s">
        <v>2871</v>
      </c>
      <c r="L310" t="s">
        <v>2952</v>
      </c>
      <c r="M310" t="s">
        <v>2873</v>
      </c>
      <c r="N310">
        <v>257</v>
      </c>
      <c r="O310">
        <v>43</v>
      </c>
      <c r="P310">
        <v>0.1673</v>
      </c>
      <c r="Q310" t="s">
        <v>8</v>
      </c>
      <c r="R310" t="s">
        <v>12</v>
      </c>
      <c r="S310" t="s">
        <v>12</v>
      </c>
      <c r="T310" t="s">
        <v>12</v>
      </c>
      <c r="U310" t="s">
        <v>12</v>
      </c>
      <c r="V310" t="s">
        <v>12</v>
      </c>
      <c r="W310" t="s">
        <v>12</v>
      </c>
      <c r="X310" t="s">
        <v>12</v>
      </c>
      <c r="Y310" t="s">
        <v>12</v>
      </c>
      <c r="Z310" t="s">
        <v>12</v>
      </c>
      <c r="AA310" t="s">
        <v>12</v>
      </c>
      <c r="AB310" t="s">
        <v>12</v>
      </c>
      <c r="AC310" t="s">
        <v>12</v>
      </c>
      <c r="AD310" t="s">
        <v>12</v>
      </c>
    </row>
    <row r="311" spans="1:30">
      <c r="A311" t="s">
        <v>145</v>
      </c>
      <c r="B311" t="str">
        <f>Master_Data_Productivity[[#This Row],[Uniq-ID]]&amp;"-"&amp;Master_Data_Productivity[[#This Row],[Period]]</f>
        <v>DC-Document_Controller-033-M4</v>
      </c>
      <c r="C311" t="s">
        <v>146</v>
      </c>
      <c r="D311" t="s">
        <v>76</v>
      </c>
      <c r="E311" t="s">
        <v>25</v>
      </c>
      <c r="F311" t="s">
        <v>26</v>
      </c>
      <c r="G311" t="s">
        <v>15</v>
      </c>
      <c r="H311" t="s">
        <v>16</v>
      </c>
      <c r="I311">
        <v>3.64</v>
      </c>
      <c r="J311">
        <v>1.5</v>
      </c>
      <c r="K311" t="s">
        <v>2871</v>
      </c>
      <c r="L311" t="s">
        <v>2950</v>
      </c>
      <c r="M311" t="s">
        <v>2873</v>
      </c>
      <c r="N311">
        <v>88</v>
      </c>
      <c r="O311">
        <v>31</v>
      </c>
      <c r="P311">
        <v>0.3523</v>
      </c>
      <c r="Q311" t="s">
        <v>8</v>
      </c>
      <c r="R311" t="s">
        <v>12</v>
      </c>
      <c r="S311" t="s">
        <v>12</v>
      </c>
      <c r="T311" t="s">
        <v>12</v>
      </c>
      <c r="U311" t="s">
        <v>12</v>
      </c>
      <c r="V311" t="s">
        <v>12</v>
      </c>
      <c r="W311" t="s">
        <v>12</v>
      </c>
      <c r="X311" t="s">
        <v>12</v>
      </c>
      <c r="Y311" t="s">
        <v>12</v>
      </c>
      <c r="Z311" t="s">
        <v>12</v>
      </c>
      <c r="AA311" t="s">
        <v>12</v>
      </c>
      <c r="AB311" t="s">
        <v>12</v>
      </c>
      <c r="AC311" t="s">
        <v>12</v>
      </c>
      <c r="AD311" t="s">
        <v>12</v>
      </c>
    </row>
    <row r="312" spans="1:30">
      <c r="A312" t="s">
        <v>145</v>
      </c>
      <c r="B312" t="str">
        <f>Master_Data_Productivity[[#This Row],[Uniq-ID]]&amp;"-"&amp;Master_Data_Productivity[[#This Row],[Period]]</f>
        <v>DC-Document_Controller-033-M4</v>
      </c>
      <c r="C312" t="s">
        <v>146</v>
      </c>
      <c r="D312" t="s">
        <v>76</v>
      </c>
      <c r="E312" t="s">
        <v>25</v>
      </c>
      <c r="F312" t="s">
        <v>26</v>
      </c>
      <c r="G312" t="s">
        <v>15</v>
      </c>
      <c r="H312" t="s">
        <v>16</v>
      </c>
      <c r="I312">
        <v>3.64</v>
      </c>
      <c r="J312">
        <v>1.5</v>
      </c>
      <c r="K312" t="s">
        <v>2947</v>
      </c>
      <c r="L312" t="s">
        <v>2988</v>
      </c>
      <c r="M312" t="s">
        <v>2873</v>
      </c>
      <c r="N312">
        <v>103</v>
      </c>
      <c r="O312">
        <v>2</v>
      </c>
      <c r="P312">
        <v>1.9400000000000001E-2</v>
      </c>
      <c r="Q312" t="s">
        <v>8</v>
      </c>
      <c r="R312" t="s">
        <v>12</v>
      </c>
      <c r="S312" t="s">
        <v>12</v>
      </c>
      <c r="T312" t="s">
        <v>12</v>
      </c>
      <c r="U312" t="s">
        <v>12</v>
      </c>
      <c r="V312" t="s">
        <v>12</v>
      </c>
      <c r="W312" t="s">
        <v>12</v>
      </c>
      <c r="X312" t="s">
        <v>12</v>
      </c>
      <c r="Y312" t="s">
        <v>12</v>
      </c>
      <c r="Z312" t="s">
        <v>12</v>
      </c>
      <c r="AA312" t="s">
        <v>12</v>
      </c>
      <c r="AB312" t="s">
        <v>12</v>
      </c>
      <c r="AC312" t="s">
        <v>12</v>
      </c>
      <c r="AD312" t="s">
        <v>12</v>
      </c>
    </row>
    <row r="313" spans="1:30">
      <c r="A313" t="s">
        <v>145</v>
      </c>
      <c r="B313" t="str">
        <f>Master_Data_Productivity[[#This Row],[Uniq-ID]]&amp;"-"&amp;Master_Data_Productivity[[#This Row],[Period]]</f>
        <v>DC-Document_Controller-033-M4</v>
      </c>
      <c r="C313" t="s">
        <v>146</v>
      </c>
      <c r="D313" t="s">
        <v>76</v>
      </c>
      <c r="E313" t="s">
        <v>25</v>
      </c>
      <c r="F313" t="s">
        <v>26</v>
      </c>
      <c r="G313" t="s">
        <v>15</v>
      </c>
      <c r="H313" t="s">
        <v>16</v>
      </c>
      <c r="I313">
        <v>3.64</v>
      </c>
      <c r="J313">
        <v>1.5</v>
      </c>
      <c r="K313" t="s">
        <v>2947</v>
      </c>
      <c r="L313" t="s">
        <v>2948</v>
      </c>
      <c r="M313" t="s">
        <v>2873</v>
      </c>
      <c r="N313">
        <v>110</v>
      </c>
      <c r="O313">
        <v>2</v>
      </c>
      <c r="P313">
        <v>1.8200000000000001E-2</v>
      </c>
      <c r="Q313" t="s">
        <v>8</v>
      </c>
      <c r="R313" t="s">
        <v>12</v>
      </c>
      <c r="S313" t="s">
        <v>12</v>
      </c>
      <c r="T313" t="s">
        <v>12</v>
      </c>
      <c r="U313" t="s">
        <v>12</v>
      </c>
      <c r="V313" t="s">
        <v>12</v>
      </c>
      <c r="W313" t="s">
        <v>12</v>
      </c>
      <c r="X313" t="s">
        <v>12</v>
      </c>
      <c r="Y313" t="s">
        <v>12</v>
      </c>
      <c r="Z313" t="s">
        <v>12</v>
      </c>
      <c r="AA313" t="s">
        <v>12</v>
      </c>
      <c r="AB313" t="s">
        <v>12</v>
      </c>
      <c r="AC313" t="s">
        <v>12</v>
      </c>
      <c r="AD313" t="s">
        <v>12</v>
      </c>
    </row>
    <row r="314" spans="1:30">
      <c r="A314" t="s">
        <v>145</v>
      </c>
      <c r="B314" t="str">
        <f>Master_Data_Productivity[[#This Row],[Uniq-ID]]&amp;"-"&amp;Master_Data_Productivity[[#This Row],[Period]]</f>
        <v>DC-Document_Controller-033-M5</v>
      </c>
      <c r="C314" t="s">
        <v>146</v>
      </c>
      <c r="D314" t="s">
        <v>76</v>
      </c>
      <c r="E314" t="s">
        <v>28</v>
      </c>
      <c r="F314" t="s">
        <v>29</v>
      </c>
      <c r="G314" t="s">
        <v>15</v>
      </c>
      <c r="H314" t="s">
        <v>20</v>
      </c>
      <c r="I314">
        <v>1.3320000000000001</v>
      </c>
      <c r="J314">
        <v>1</v>
      </c>
      <c r="K314" t="s">
        <v>2871</v>
      </c>
      <c r="L314" t="s">
        <v>2950</v>
      </c>
      <c r="M314" t="s">
        <v>2873</v>
      </c>
      <c r="N314">
        <v>88</v>
      </c>
      <c r="O314">
        <v>2</v>
      </c>
      <c r="P314">
        <v>2.2700000000000001E-2</v>
      </c>
      <c r="Q314" t="s">
        <v>8</v>
      </c>
      <c r="R314" t="s">
        <v>12</v>
      </c>
      <c r="S314" t="s">
        <v>12</v>
      </c>
      <c r="T314" t="s">
        <v>12</v>
      </c>
      <c r="U314" t="s">
        <v>12</v>
      </c>
      <c r="V314" t="s">
        <v>12</v>
      </c>
      <c r="W314" t="s">
        <v>12</v>
      </c>
      <c r="X314" t="s">
        <v>12</v>
      </c>
      <c r="Y314" t="s">
        <v>12</v>
      </c>
      <c r="Z314" t="s">
        <v>12</v>
      </c>
      <c r="AA314" t="s">
        <v>12</v>
      </c>
      <c r="AB314" t="s">
        <v>12</v>
      </c>
      <c r="AC314" t="s">
        <v>12</v>
      </c>
      <c r="AD314" t="s">
        <v>12</v>
      </c>
    </row>
    <row r="315" spans="1:30">
      <c r="A315" t="s">
        <v>145</v>
      </c>
      <c r="B315" t="str">
        <f>Master_Data_Productivity[[#This Row],[Uniq-ID]]&amp;"-"&amp;Master_Data_Productivity[[#This Row],[Period]]</f>
        <v>DC-Document_Controller-033-M5</v>
      </c>
      <c r="C315" t="s">
        <v>146</v>
      </c>
      <c r="D315" t="s">
        <v>76</v>
      </c>
      <c r="E315" t="s">
        <v>28</v>
      </c>
      <c r="F315" t="s">
        <v>29</v>
      </c>
      <c r="G315" t="s">
        <v>15</v>
      </c>
      <c r="H315" t="s">
        <v>20</v>
      </c>
      <c r="I315">
        <v>1.3320000000000001</v>
      </c>
      <c r="J315">
        <v>1</v>
      </c>
      <c r="K315" t="s">
        <v>2871</v>
      </c>
      <c r="L315" t="s">
        <v>2952</v>
      </c>
      <c r="M315" t="s">
        <v>2873</v>
      </c>
      <c r="N315">
        <v>257</v>
      </c>
      <c r="O315">
        <v>2</v>
      </c>
      <c r="P315">
        <v>7.7999999999999996E-3</v>
      </c>
      <c r="Q315" t="s">
        <v>8</v>
      </c>
      <c r="R315" t="s">
        <v>12</v>
      </c>
      <c r="S315" t="s">
        <v>12</v>
      </c>
      <c r="T315" t="s">
        <v>12</v>
      </c>
      <c r="U315" t="s">
        <v>12</v>
      </c>
      <c r="V315" t="s">
        <v>12</v>
      </c>
      <c r="W315" t="s">
        <v>12</v>
      </c>
      <c r="X315" t="s">
        <v>12</v>
      </c>
      <c r="Y315" t="s">
        <v>12</v>
      </c>
      <c r="Z315" t="s">
        <v>12</v>
      </c>
      <c r="AA315" t="s">
        <v>12</v>
      </c>
      <c r="AB315" t="s">
        <v>12</v>
      </c>
      <c r="AC315" t="s">
        <v>12</v>
      </c>
      <c r="AD315" t="s">
        <v>12</v>
      </c>
    </row>
    <row r="316" spans="1:30">
      <c r="A316" t="s">
        <v>145</v>
      </c>
      <c r="B316" t="str">
        <f>Master_Data_Productivity[[#This Row],[Uniq-ID]]&amp;"-"&amp;Master_Data_Productivity[[#This Row],[Period]]</f>
        <v>DC-Document_Controller-033-M5</v>
      </c>
      <c r="C316" t="s">
        <v>146</v>
      </c>
      <c r="D316" t="s">
        <v>76</v>
      </c>
      <c r="E316" t="s">
        <v>28</v>
      </c>
      <c r="F316" t="s">
        <v>29</v>
      </c>
      <c r="G316" t="s">
        <v>15</v>
      </c>
      <c r="H316" t="s">
        <v>20</v>
      </c>
      <c r="I316">
        <v>1.3320000000000001</v>
      </c>
      <c r="J316">
        <v>1</v>
      </c>
      <c r="K316" t="s">
        <v>2871</v>
      </c>
      <c r="L316" t="s">
        <v>2954</v>
      </c>
      <c r="M316" t="s">
        <v>2873</v>
      </c>
      <c r="N316">
        <v>220</v>
      </c>
      <c r="O316">
        <v>58</v>
      </c>
      <c r="P316">
        <v>0.2636</v>
      </c>
      <c r="Q316" t="s">
        <v>8</v>
      </c>
      <c r="R316" t="s">
        <v>12</v>
      </c>
      <c r="S316" t="s">
        <v>12</v>
      </c>
      <c r="T316" t="s">
        <v>12</v>
      </c>
      <c r="U316" t="s">
        <v>12</v>
      </c>
      <c r="V316" t="s">
        <v>12</v>
      </c>
      <c r="W316" t="s">
        <v>12</v>
      </c>
      <c r="X316" t="s">
        <v>12</v>
      </c>
      <c r="Y316" t="s">
        <v>12</v>
      </c>
      <c r="Z316" t="s">
        <v>12</v>
      </c>
      <c r="AA316" t="s">
        <v>12</v>
      </c>
      <c r="AB316" t="s">
        <v>12</v>
      </c>
      <c r="AC316" t="s">
        <v>12</v>
      </c>
      <c r="AD316" t="s">
        <v>12</v>
      </c>
    </row>
    <row r="317" spans="1:30">
      <c r="A317" t="s">
        <v>145</v>
      </c>
      <c r="B317" t="str">
        <f>Master_Data_Productivity[[#This Row],[Uniq-ID]]&amp;"-"&amp;Master_Data_Productivity[[#This Row],[Period]]</f>
        <v>DC-Document_Controller-033-M5</v>
      </c>
      <c r="C317" t="s">
        <v>146</v>
      </c>
      <c r="D317" t="s">
        <v>76</v>
      </c>
      <c r="E317" t="s">
        <v>28</v>
      </c>
      <c r="F317" t="s">
        <v>29</v>
      </c>
      <c r="G317" t="s">
        <v>15</v>
      </c>
      <c r="H317" t="s">
        <v>20</v>
      </c>
      <c r="I317">
        <v>1.3320000000000001</v>
      </c>
      <c r="J317">
        <v>1</v>
      </c>
      <c r="K317" t="s">
        <v>2871</v>
      </c>
      <c r="L317" t="s">
        <v>2956</v>
      </c>
      <c r="M317" t="s">
        <v>2873</v>
      </c>
      <c r="N317">
        <v>298</v>
      </c>
      <c r="O317">
        <v>229</v>
      </c>
      <c r="P317">
        <v>0.76849999999999996</v>
      </c>
      <c r="Q317" t="s">
        <v>8</v>
      </c>
      <c r="R317" t="s">
        <v>12</v>
      </c>
      <c r="S317" t="s">
        <v>12</v>
      </c>
      <c r="T317" t="s">
        <v>12</v>
      </c>
      <c r="U317" t="s">
        <v>12</v>
      </c>
      <c r="V317" t="s">
        <v>12</v>
      </c>
      <c r="W317" t="s">
        <v>12</v>
      </c>
      <c r="X317" t="s">
        <v>12</v>
      </c>
      <c r="Y317" t="s">
        <v>12</v>
      </c>
      <c r="Z317" t="s">
        <v>12</v>
      </c>
      <c r="AA317" t="s">
        <v>12</v>
      </c>
      <c r="AB317" t="s">
        <v>12</v>
      </c>
      <c r="AC317" t="s">
        <v>12</v>
      </c>
      <c r="AD317" t="s">
        <v>12</v>
      </c>
    </row>
    <row r="318" spans="1:30">
      <c r="A318" t="s">
        <v>145</v>
      </c>
      <c r="B318" t="str">
        <f>Master_Data_Productivity[[#This Row],[Uniq-ID]]&amp;"-"&amp;Master_Data_Productivity[[#This Row],[Period]]</f>
        <v>DC-Document_Controller-033-M5</v>
      </c>
      <c r="C318" t="s">
        <v>146</v>
      </c>
      <c r="D318" t="s">
        <v>76</v>
      </c>
      <c r="E318" t="s">
        <v>28</v>
      </c>
      <c r="F318" t="s">
        <v>29</v>
      </c>
      <c r="G318" t="s">
        <v>15</v>
      </c>
      <c r="H318" t="s">
        <v>20</v>
      </c>
      <c r="I318">
        <v>1.3320000000000001</v>
      </c>
      <c r="J318">
        <v>1</v>
      </c>
      <c r="K318" t="s">
        <v>2871</v>
      </c>
      <c r="L318" t="s">
        <v>2958</v>
      </c>
      <c r="M318" t="s">
        <v>2873</v>
      </c>
      <c r="N318">
        <v>154</v>
      </c>
      <c r="O318">
        <v>30</v>
      </c>
      <c r="P318">
        <v>0.1948</v>
      </c>
      <c r="Q318" t="s">
        <v>8</v>
      </c>
      <c r="R318" t="s">
        <v>12</v>
      </c>
      <c r="S318" t="s">
        <v>12</v>
      </c>
      <c r="T318" t="s">
        <v>12</v>
      </c>
      <c r="U318" t="s">
        <v>12</v>
      </c>
      <c r="V318" t="s">
        <v>12</v>
      </c>
      <c r="W318" t="s">
        <v>12</v>
      </c>
      <c r="X318" t="s">
        <v>12</v>
      </c>
      <c r="Y318" t="s">
        <v>12</v>
      </c>
      <c r="Z318" t="s">
        <v>12</v>
      </c>
      <c r="AA318" t="s">
        <v>12</v>
      </c>
      <c r="AB318" t="s">
        <v>12</v>
      </c>
      <c r="AC318" t="s">
        <v>12</v>
      </c>
      <c r="AD318" t="s">
        <v>12</v>
      </c>
    </row>
    <row r="319" spans="1:30">
      <c r="A319" t="s">
        <v>145</v>
      </c>
      <c r="B319" t="str">
        <f>Master_Data_Productivity[[#This Row],[Uniq-ID]]&amp;"-"&amp;Master_Data_Productivity[[#This Row],[Period]]</f>
        <v>DC-Document_Controller-033-M5</v>
      </c>
      <c r="C319" t="s">
        <v>146</v>
      </c>
      <c r="D319" t="s">
        <v>76</v>
      </c>
      <c r="E319" t="s">
        <v>28</v>
      </c>
      <c r="F319" t="s">
        <v>29</v>
      </c>
      <c r="G319" t="s">
        <v>15</v>
      </c>
      <c r="H319" t="s">
        <v>20</v>
      </c>
      <c r="I319">
        <v>1.3320000000000001</v>
      </c>
      <c r="J319">
        <v>1</v>
      </c>
      <c r="K319" t="s">
        <v>2871</v>
      </c>
      <c r="L319" t="s">
        <v>3061</v>
      </c>
      <c r="M319" t="s">
        <v>2873</v>
      </c>
      <c r="N319">
        <v>66</v>
      </c>
      <c r="O319">
        <v>3</v>
      </c>
      <c r="P319">
        <v>4.5499999999999999E-2</v>
      </c>
      <c r="Q319" t="s">
        <v>8</v>
      </c>
      <c r="R319" t="s">
        <v>12</v>
      </c>
      <c r="S319" t="s">
        <v>12</v>
      </c>
      <c r="T319" t="s">
        <v>12</v>
      </c>
      <c r="U319" t="s">
        <v>12</v>
      </c>
      <c r="V319" t="s">
        <v>12</v>
      </c>
      <c r="W319" t="s">
        <v>12</v>
      </c>
      <c r="X319" t="s">
        <v>12</v>
      </c>
      <c r="Y319" t="s">
        <v>12</v>
      </c>
      <c r="Z319" t="s">
        <v>12</v>
      </c>
      <c r="AA319" t="s">
        <v>12</v>
      </c>
      <c r="AB319" t="s">
        <v>12</v>
      </c>
      <c r="AC319" t="s">
        <v>12</v>
      </c>
      <c r="AD319" t="s">
        <v>12</v>
      </c>
    </row>
    <row r="320" spans="1:30">
      <c r="A320" t="s">
        <v>145</v>
      </c>
      <c r="B320" t="str">
        <f>Master_Data_Productivity[[#This Row],[Uniq-ID]]&amp;"-"&amp;Master_Data_Productivity[[#This Row],[Period]]</f>
        <v>DC-Document_Controller-033-M5</v>
      </c>
      <c r="C320" t="s">
        <v>146</v>
      </c>
      <c r="D320" t="s">
        <v>76</v>
      </c>
      <c r="E320" t="s">
        <v>28</v>
      </c>
      <c r="F320" t="s">
        <v>29</v>
      </c>
      <c r="G320" t="s">
        <v>15</v>
      </c>
      <c r="H320" t="s">
        <v>20</v>
      </c>
      <c r="I320">
        <v>1.3320000000000001</v>
      </c>
      <c r="J320">
        <v>1</v>
      </c>
      <c r="K320" t="s">
        <v>2947</v>
      </c>
      <c r="L320" t="s">
        <v>2988</v>
      </c>
      <c r="M320" t="s">
        <v>2873</v>
      </c>
      <c r="N320">
        <v>103</v>
      </c>
      <c r="O320">
        <v>3</v>
      </c>
      <c r="P320">
        <v>2.9100000000000001E-2</v>
      </c>
      <c r="Q320" t="s">
        <v>8</v>
      </c>
      <c r="R320" t="s">
        <v>12</v>
      </c>
      <c r="S320" t="s">
        <v>12</v>
      </c>
      <c r="T320" t="s">
        <v>12</v>
      </c>
      <c r="U320" t="s">
        <v>12</v>
      </c>
      <c r="V320" t="s">
        <v>12</v>
      </c>
      <c r="W320" t="s">
        <v>12</v>
      </c>
      <c r="X320" t="s">
        <v>12</v>
      </c>
      <c r="Y320" t="s">
        <v>12</v>
      </c>
      <c r="Z320" t="s">
        <v>12</v>
      </c>
      <c r="AA320" t="s">
        <v>12</v>
      </c>
      <c r="AB320" t="s">
        <v>12</v>
      </c>
      <c r="AC320" t="s">
        <v>12</v>
      </c>
      <c r="AD320" t="s">
        <v>12</v>
      </c>
    </row>
    <row r="321" spans="1:30">
      <c r="A321" t="s">
        <v>145</v>
      </c>
      <c r="B321" t="str">
        <f>Master_Data_Productivity[[#This Row],[Uniq-ID]]&amp;"-"&amp;Master_Data_Productivity[[#This Row],[Period]]</f>
        <v>DC-Document_Controller-033-M6</v>
      </c>
      <c r="C321" t="s">
        <v>146</v>
      </c>
      <c r="D321" t="s">
        <v>76</v>
      </c>
      <c r="E321" t="s">
        <v>31</v>
      </c>
      <c r="F321" t="s">
        <v>32</v>
      </c>
      <c r="G321" t="s">
        <v>33</v>
      </c>
      <c r="H321" t="s">
        <v>44</v>
      </c>
      <c r="I321">
        <v>0.40699999999999997</v>
      </c>
      <c r="J321">
        <v>0.5</v>
      </c>
      <c r="K321" t="s">
        <v>2871</v>
      </c>
      <c r="L321" t="s">
        <v>2952</v>
      </c>
      <c r="M321" t="s">
        <v>2873</v>
      </c>
      <c r="N321">
        <v>257</v>
      </c>
      <c r="O321">
        <v>3</v>
      </c>
      <c r="P321">
        <v>1.17E-2</v>
      </c>
      <c r="Q321" t="s">
        <v>8</v>
      </c>
      <c r="R321" t="s">
        <v>12</v>
      </c>
      <c r="S321" t="s">
        <v>12</v>
      </c>
      <c r="T321" t="s">
        <v>12</v>
      </c>
      <c r="U321" t="s">
        <v>12</v>
      </c>
      <c r="V321" t="s">
        <v>12</v>
      </c>
      <c r="W321" t="s">
        <v>12</v>
      </c>
      <c r="X321" t="s">
        <v>12</v>
      </c>
      <c r="Y321" t="s">
        <v>12</v>
      </c>
      <c r="Z321" t="s">
        <v>12</v>
      </c>
      <c r="AA321" t="s">
        <v>12</v>
      </c>
      <c r="AB321" t="s">
        <v>12</v>
      </c>
      <c r="AC321" t="s">
        <v>12</v>
      </c>
      <c r="AD321" t="s">
        <v>12</v>
      </c>
    </row>
    <row r="322" spans="1:30">
      <c r="A322" t="s">
        <v>145</v>
      </c>
      <c r="B322" t="str">
        <f>Master_Data_Productivity[[#This Row],[Uniq-ID]]&amp;"-"&amp;Master_Data_Productivity[[#This Row],[Period]]</f>
        <v>DC-Document_Controller-033-M6</v>
      </c>
      <c r="C322" t="s">
        <v>146</v>
      </c>
      <c r="D322" t="s">
        <v>76</v>
      </c>
      <c r="E322" t="s">
        <v>31</v>
      </c>
      <c r="F322" t="s">
        <v>32</v>
      </c>
      <c r="G322" t="s">
        <v>33</v>
      </c>
      <c r="H322" t="s">
        <v>44</v>
      </c>
      <c r="I322">
        <v>0.40699999999999997</v>
      </c>
      <c r="J322">
        <v>0.5</v>
      </c>
      <c r="K322" t="s">
        <v>2871</v>
      </c>
      <c r="L322" t="s">
        <v>2954</v>
      </c>
      <c r="M322" t="s">
        <v>2873</v>
      </c>
      <c r="N322">
        <v>220</v>
      </c>
      <c r="O322">
        <v>14</v>
      </c>
      <c r="P322">
        <v>6.3600000000000004E-2</v>
      </c>
      <c r="Q322" t="s">
        <v>8</v>
      </c>
      <c r="R322" t="s">
        <v>12</v>
      </c>
      <c r="S322" t="s">
        <v>12</v>
      </c>
      <c r="T322" t="s">
        <v>12</v>
      </c>
      <c r="U322" t="s">
        <v>12</v>
      </c>
      <c r="V322" t="s">
        <v>12</v>
      </c>
      <c r="W322" t="s">
        <v>12</v>
      </c>
      <c r="X322" t="s">
        <v>12</v>
      </c>
      <c r="Y322" t="s">
        <v>12</v>
      </c>
      <c r="Z322" t="s">
        <v>12</v>
      </c>
      <c r="AA322" t="s">
        <v>12</v>
      </c>
      <c r="AB322" t="s">
        <v>12</v>
      </c>
      <c r="AC322" t="s">
        <v>12</v>
      </c>
      <c r="AD322" t="s">
        <v>12</v>
      </c>
    </row>
    <row r="323" spans="1:30">
      <c r="A323" t="s">
        <v>145</v>
      </c>
      <c r="B323" t="str">
        <f>Master_Data_Productivity[[#This Row],[Uniq-ID]]&amp;"-"&amp;Master_Data_Productivity[[#This Row],[Period]]</f>
        <v>DC-Document_Controller-033-M6</v>
      </c>
      <c r="C323" t="s">
        <v>146</v>
      </c>
      <c r="D323" t="s">
        <v>76</v>
      </c>
      <c r="E323" t="s">
        <v>31</v>
      </c>
      <c r="F323" t="s">
        <v>32</v>
      </c>
      <c r="G323" t="s">
        <v>33</v>
      </c>
      <c r="H323" t="s">
        <v>44</v>
      </c>
      <c r="I323">
        <v>0.40699999999999997</v>
      </c>
      <c r="J323">
        <v>0.5</v>
      </c>
      <c r="K323" t="s">
        <v>2871</v>
      </c>
      <c r="L323" t="s">
        <v>2956</v>
      </c>
      <c r="M323" t="s">
        <v>2873</v>
      </c>
      <c r="N323">
        <v>298</v>
      </c>
      <c r="O323">
        <v>91</v>
      </c>
      <c r="P323">
        <v>0.3054</v>
      </c>
      <c r="Q323" t="s">
        <v>8</v>
      </c>
      <c r="R323" t="s">
        <v>12</v>
      </c>
      <c r="S323" t="s">
        <v>12</v>
      </c>
      <c r="T323" t="s">
        <v>12</v>
      </c>
      <c r="U323" t="s">
        <v>12</v>
      </c>
      <c r="V323" t="s">
        <v>12</v>
      </c>
      <c r="W323" t="s">
        <v>12</v>
      </c>
      <c r="X323" t="s">
        <v>12</v>
      </c>
      <c r="Y323" t="s">
        <v>12</v>
      </c>
      <c r="Z323" t="s">
        <v>12</v>
      </c>
      <c r="AA323" t="s">
        <v>12</v>
      </c>
      <c r="AB323" t="s">
        <v>12</v>
      </c>
      <c r="AC323" t="s">
        <v>12</v>
      </c>
      <c r="AD323" t="s">
        <v>12</v>
      </c>
    </row>
    <row r="324" spans="1:30">
      <c r="A324" t="s">
        <v>145</v>
      </c>
      <c r="B324" t="str">
        <f>Master_Data_Productivity[[#This Row],[Uniq-ID]]&amp;"-"&amp;Master_Data_Productivity[[#This Row],[Period]]</f>
        <v>DC-Document_Controller-033-M6</v>
      </c>
      <c r="C324" t="s">
        <v>146</v>
      </c>
      <c r="D324" t="s">
        <v>76</v>
      </c>
      <c r="E324" t="s">
        <v>31</v>
      </c>
      <c r="F324" t="s">
        <v>32</v>
      </c>
      <c r="G324" t="s">
        <v>33</v>
      </c>
      <c r="H324" t="s">
        <v>44</v>
      </c>
      <c r="I324">
        <v>0.40699999999999997</v>
      </c>
      <c r="J324">
        <v>0.5</v>
      </c>
      <c r="K324" t="s">
        <v>2871</v>
      </c>
      <c r="L324" t="s">
        <v>2958</v>
      </c>
      <c r="M324" t="s">
        <v>2873</v>
      </c>
      <c r="N324">
        <v>154</v>
      </c>
      <c r="O324">
        <v>4</v>
      </c>
      <c r="P324">
        <v>2.5999999999999999E-2</v>
      </c>
      <c r="Q324" t="s">
        <v>8</v>
      </c>
      <c r="R324" t="s">
        <v>12</v>
      </c>
      <c r="S324" t="s">
        <v>12</v>
      </c>
      <c r="T324" t="s">
        <v>12</v>
      </c>
      <c r="U324" t="s">
        <v>12</v>
      </c>
      <c r="V324" t="s">
        <v>12</v>
      </c>
      <c r="W324" t="s">
        <v>12</v>
      </c>
      <c r="X324" t="s">
        <v>12</v>
      </c>
      <c r="Y324" t="s">
        <v>12</v>
      </c>
      <c r="Z324" t="s">
        <v>12</v>
      </c>
      <c r="AA324" t="s">
        <v>12</v>
      </c>
      <c r="AB324" t="s">
        <v>12</v>
      </c>
      <c r="AC324" t="s">
        <v>12</v>
      </c>
      <c r="AD324" t="s">
        <v>12</v>
      </c>
    </row>
    <row r="325" spans="1:30">
      <c r="A325" t="s">
        <v>153</v>
      </c>
      <c r="B325" t="str">
        <f>Master_Data_Productivity[[#This Row],[Uniq-ID]]&amp;"-"&amp;Master_Data_Productivity[[#This Row],[Period]]</f>
        <v>DC-Document_Controller-030-M1</v>
      </c>
      <c r="C325" t="s">
        <v>154</v>
      </c>
      <c r="D325" t="s">
        <v>155</v>
      </c>
      <c r="E325" t="s">
        <v>13</v>
      </c>
      <c r="F325" t="s">
        <v>14</v>
      </c>
      <c r="G325" t="s">
        <v>15</v>
      </c>
      <c r="H325" t="s">
        <v>16</v>
      </c>
      <c r="I325">
        <v>3.423</v>
      </c>
      <c r="J325">
        <v>1.5</v>
      </c>
      <c r="K325" t="s">
        <v>3098</v>
      </c>
      <c r="L325" t="s">
        <v>3099</v>
      </c>
      <c r="M325" t="s">
        <v>2873</v>
      </c>
      <c r="N325">
        <v>26</v>
      </c>
      <c r="O325">
        <v>89</v>
      </c>
      <c r="P325">
        <v>3.4230999999999998</v>
      </c>
      <c r="Q325" t="s">
        <v>8</v>
      </c>
      <c r="R325" t="s">
        <v>12</v>
      </c>
      <c r="S325" t="s">
        <v>12</v>
      </c>
      <c r="T325" t="s">
        <v>12</v>
      </c>
      <c r="U325" t="s">
        <v>12</v>
      </c>
      <c r="V325" t="s">
        <v>12</v>
      </c>
      <c r="W325" t="s">
        <v>12</v>
      </c>
      <c r="X325" t="s">
        <v>12</v>
      </c>
      <c r="Y325" t="s">
        <v>12</v>
      </c>
      <c r="Z325" t="s">
        <v>12</v>
      </c>
      <c r="AA325" t="s">
        <v>12</v>
      </c>
      <c r="AB325" t="s">
        <v>12</v>
      </c>
      <c r="AC325" t="s">
        <v>12</v>
      </c>
      <c r="AD325" t="s">
        <v>12</v>
      </c>
    </row>
    <row r="326" spans="1:30">
      <c r="A326" t="s">
        <v>153</v>
      </c>
      <c r="B326" t="str">
        <f>Master_Data_Productivity[[#This Row],[Uniq-ID]]&amp;"-"&amp;Master_Data_Productivity[[#This Row],[Period]]</f>
        <v>DC-Document_Controller-030-M2</v>
      </c>
      <c r="C326" t="s">
        <v>154</v>
      </c>
      <c r="D326" t="s">
        <v>155</v>
      </c>
      <c r="E326" t="s">
        <v>18</v>
      </c>
      <c r="F326" t="s">
        <v>19</v>
      </c>
      <c r="G326" t="s">
        <v>15</v>
      </c>
      <c r="H326" t="s">
        <v>16</v>
      </c>
      <c r="I326">
        <v>2.6539999999999999</v>
      </c>
      <c r="J326">
        <v>1.33</v>
      </c>
      <c r="K326" t="s">
        <v>3098</v>
      </c>
      <c r="L326" t="s">
        <v>3099</v>
      </c>
      <c r="M326" t="s">
        <v>2873</v>
      </c>
      <c r="N326">
        <v>26</v>
      </c>
      <c r="O326">
        <v>69</v>
      </c>
      <c r="P326">
        <v>2.6537999999999999</v>
      </c>
      <c r="Q326" t="s">
        <v>8</v>
      </c>
      <c r="R326" t="s">
        <v>12</v>
      </c>
      <c r="S326" t="s">
        <v>12</v>
      </c>
      <c r="T326" t="s">
        <v>12</v>
      </c>
      <c r="U326" t="s">
        <v>12</v>
      </c>
      <c r="V326" t="s">
        <v>12</v>
      </c>
      <c r="W326" t="s">
        <v>12</v>
      </c>
      <c r="X326" t="s">
        <v>12</v>
      </c>
      <c r="Y326" t="s">
        <v>12</v>
      </c>
      <c r="Z326" t="s">
        <v>12</v>
      </c>
      <c r="AA326" t="s">
        <v>12</v>
      </c>
      <c r="AB326" t="s">
        <v>12</v>
      </c>
      <c r="AC326" t="s">
        <v>12</v>
      </c>
      <c r="AD326" t="s">
        <v>12</v>
      </c>
    </row>
    <row r="327" spans="1:30">
      <c r="A327" t="s">
        <v>153</v>
      </c>
      <c r="B327" t="str">
        <f>Master_Data_Productivity[[#This Row],[Uniq-ID]]&amp;"-"&amp;Master_Data_Productivity[[#This Row],[Period]]</f>
        <v>DC-Document_Controller-030-M3</v>
      </c>
      <c r="C327" t="s">
        <v>154</v>
      </c>
      <c r="D327" t="s">
        <v>155</v>
      </c>
      <c r="E327" t="s">
        <v>22</v>
      </c>
      <c r="F327" t="s">
        <v>23</v>
      </c>
      <c r="G327" t="s">
        <v>15</v>
      </c>
      <c r="H327" t="s">
        <v>16</v>
      </c>
      <c r="I327">
        <v>3.2690000000000001</v>
      </c>
      <c r="J327">
        <v>1.5</v>
      </c>
      <c r="K327" t="s">
        <v>3098</v>
      </c>
      <c r="L327" t="s">
        <v>3099</v>
      </c>
      <c r="M327" t="s">
        <v>2873</v>
      </c>
      <c r="N327">
        <v>26</v>
      </c>
      <c r="O327">
        <v>85</v>
      </c>
      <c r="P327">
        <v>3.2692000000000001</v>
      </c>
      <c r="Q327" t="s">
        <v>8</v>
      </c>
      <c r="R327" t="s">
        <v>12</v>
      </c>
      <c r="S327" t="s">
        <v>12</v>
      </c>
      <c r="T327" t="s">
        <v>12</v>
      </c>
      <c r="U327" t="s">
        <v>12</v>
      </c>
      <c r="V327" t="s">
        <v>12</v>
      </c>
      <c r="W327" t="s">
        <v>12</v>
      </c>
      <c r="X327" t="s">
        <v>12</v>
      </c>
      <c r="Y327" t="s">
        <v>12</v>
      </c>
      <c r="Z327" t="s">
        <v>12</v>
      </c>
      <c r="AA327" t="s">
        <v>12</v>
      </c>
      <c r="AB327" t="s">
        <v>12</v>
      </c>
      <c r="AC327" t="s">
        <v>12</v>
      </c>
      <c r="AD327" t="s">
        <v>12</v>
      </c>
    </row>
    <row r="328" spans="1:30">
      <c r="A328" t="s">
        <v>153</v>
      </c>
      <c r="B328" t="str">
        <f>Master_Data_Productivity[[#This Row],[Uniq-ID]]&amp;"-"&amp;Master_Data_Productivity[[#This Row],[Period]]</f>
        <v>DC-Document_Controller-030-M4</v>
      </c>
      <c r="C328" t="s">
        <v>154</v>
      </c>
      <c r="D328" t="s">
        <v>155</v>
      </c>
      <c r="E328" t="s">
        <v>25</v>
      </c>
      <c r="F328" t="s">
        <v>26</v>
      </c>
      <c r="G328" t="s">
        <v>15</v>
      </c>
      <c r="H328" t="s">
        <v>20</v>
      </c>
      <c r="I328">
        <v>1.423</v>
      </c>
      <c r="J328">
        <v>1</v>
      </c>
      <c r="K328" t="s">
        <v>3098</v>
      </c>
      <c r="L328" t="s">
        <v>3099</v>
      </c>
      <c r="M328" t="s">
        <v>2873</v>
      </c>
      <c r="N328">
        <v>26</v>
      </c>
      <c r="O328">
        <v>37</v>
      </c>
      <c r="P328">
        <v>1.4231</v>
      </c>
      <c r="Q328" t="s">
        <v>8</v>
      </c>
      <c r="R328" t="s">
        <v>12</v>
      </c>
      <c r="S328" t="s">
        <v>12</v>
      </c>
      <c r="T328" t="s">
        <v>12</v>
      </c>
      <c r="U328" t="s">
        <v>12</v>
      </c>
      <c r="V328" t="s">
        <v>12</v>
      </c>
      <c r="W328" t="s">
        <v>12</v>
      </c>
      <c r="X328" t="s">
        <v>12</v>
      </c>
      <c r="Y328" t="s">
        <v>12</v>
      </c>
      <c r="Z328" t="s">
        <v>12</v>
      </c>
      <c r="AA328" t="s">
        <v>12</v>
      </c>
      <c r="AB328" t="s">
        <v>12</v>
      </c>
      <c r="AC328" t="s">
        <v>12</v>
      </c>
      <c r="AD328" t="s">
        <v>12</v>
      </c>
    </row>
    <row r="329" spans="1:30">
      <c r="A329" t="s">
        <v>153</v>
      </c>
      <c r="B329" t="str">
        <f>Master_Data_Productivity[[#This Row],[Uniq-ID]]&amp;"-"&amp;Master_Data_Productivity[[#This Row],[Period]]</f>
        <v>DC-Document_Controller-030-M5</v>
      </c>
      <c r="C329" t="s">
        <v>154</v>
      </c>
      <c r="D329" t="s">
        <v>155</v>
      </c>
      <c r="E329" t="s">
        <v>28</v>
      </c>
      <c r="F329" t="s">
        <v>29</v>
      </c>
      <c r="G329" t="s">
        <v>15</v>
      </c>
      <c r="H329" t="s">
        <v>20</v>
      </c>
      <c r="I329">
        <v>1.385</v>
      </c>
      <c r="J329">
        <v>1</v>
      </c>
      <c r="K329" t="s">
        <v>3098</v>
      </c>
      <c r="L329" t="s">
        <v>3099</v>
      </c>
      <c r="M329" t="s">
        <v>2873</v>
      </c>
      <c r="N329">
        <v>26</v>
      </c>
      <c r="O329">
        <v>36</v>
      </c>
      <c r="P329">
        <v>1.3846000000000001</v>
      </c>
      <c r="Q329" t="s">
        <v>8</v>
      </c>
      <c r="R329" t="s">
        <v>12</v>
      </c>
      <c r="S329" t="s">
        <v>12</v>
      </c>
      <c r="T329" t="s">
        <v>12</v>
      </c>
      <c r="U329" t="s">
        <v>12</v>
      </c>
      <c r="V329" t="s">
        <v>12</v>
      </c>
      <c r="W329" t="s">
        <v>12</v>
      </c>
      <c r="X329" t="s">
        <v>12</v>
      </c>
      <c r="Y329" t="s">
        <v>12</v>
      </c>
      <c r="Z329" t="s">
        <v>12</v>
      </c>
      <c r="AA329" t="s">
        <v>12</v>
      </c>
      <c r="AB329" t="s">
        <v>12</v>
      </c>
      <c r="AC329" t="s">
        <v>12</v>
      </c>
      <c r="AD329" t="s">
        <v>12</v>
      </c>
    </row>
    <row r="330" spans="1:30">
      <c r="A330" t="s">
        <v>153</v>
      </c>
      <c r="B330" t="str">
        <f>Master_Data_Productivity[[#This Row],[Uniq-ID]]&amp;"-"&amp;Master_Data_Productivity[[#This Row],[Period]]</f>
        <v>DC-Document_Controller-030-M6</v>
      </c>
      <c r="C330" t="s">
        <v>154</v>
      </c>
      <c r="D330" t="s">
        <v>155</v>
      </c>
      <c r="E330" t="s">
        <v>31</v>
      </c>
      <c r="F330" t="s">
        <v>32</v>
      </c>
      <c r="G330" t="s">
        <v>33</v>
      </c>
      <c r="H330" t="s">
        <v>44</v>
      </c>
      <c r="I330">
        <v>0.308</v>
      </c>
      <c r="J330">
        <v>0.5</v>
      </c>
      <c r="K330" t="s">
        <v>3098</v>
      </c>
      <c r="L330" t="s">
        <v>3099</v>
      </c>
      <c r="M330" t="s">
        <v>2873</v>
      </c>
      <c r="N330">
        <v>26</v>
      </c>
      <c r="O330">
        <v>8</v>
      </c>
      <c r="P330">
        <v>0.30769999999999997</v>
      </c>
      <c r="Q330" t="s">
        <v>8</v>
      </c>
      <c r="R330" t="s">
        <v>12</v>
      </c>
      <c r="S330" t="s">
        <v>12</v>
      </c>
      <c r="T330" t="s">
        <v>12</v>
      </c>
      <c r="U330" t="s">
        <v>12</v>
      </c>
      <c r="V330" t="s">
        <v>12</v>
      </c>
      <c r="W330" t="s">
        <v>12</v>
      </c>
      <c r="X330" t="s">
        <v>12</v>
      </c>
      <c r="Y330" t="s">
        <v>12</v>
      </c>
      <c r="Z330" t="s">
        <v>12</v>
      </c>
      <c r="AA330" t="s">
        <v>12</v>
      </c>
      <c r="AB330" t="s">
        <v>12</v>
      </c>
      <c r="AC330" t="s">
        <v>12</v>
      </c>
      <c r="AD330" t="s">
        <v>12</v>
      </c>
    </row>
    <row r="331" spans="1:30">
      <c r="A331" t="s">
        <v>198</v>
      </c>
      <c r="B331" t="str">
        <f>Master_Data_Productivity[[#This Row],[Uniq-ID]]&amp;"-"&amp;Master_Data_Productivity[[#This Row],[Period]]</f>
        <v>DC-Document_Controller-018-M1</v>
      </c>
      <c r="C331" t="s">
        <v>199</v>
      </c>
      <c r="D331" t="s">
        <v>48</v>
      </c>
      <c r="E331" t="s">
        <v>13</v>
      </c>
      <c r="F331" t="s">
        <v>200</v>
      </c>
      <c r="G331" t="s">
        <v>15</v>
      </c>
      <c r="H331" t="s">
        <v>16</v>
      </c>
      <c r="I331">
        <v>17.472000000000001</v>
      </c>
      <c r="J331">
        <v>1.5</v>
      </c>
      <c r="K331" t="s">
        <v>2879</v>
      </c>
      <c r="L331" t="s">
        <v>3179</v>
      </c>
      <c r="M331" t="s">
        <v>2873</v>
      </c>
      <c r="N331">
        <v>231</v>
      </c>
      <c r="O331">
        <v>4036</v>
      </c>
      <c r="P331">
        <v>17.471900000000002</v>
      </c>
      <c r="Q331" t="s">
        <v>8</v>
      </c>
      <c r="R331" t="s">
        <v>12</v>
      </c>
      <c r="S331" t="s">
        <v>12</v>
      </c>
      <c r="T331" t="s">
        <v>12</v>
      </c>
      <c r="U331" t="s">
        <v>12</v>
      </c>
      <c r="V331" t="s">
        <v>12</v>
      </c>
      <c r="W331" t="s">
        <v>12</v>
      </c>
      <c r="X331" t="s">
        <v>12</v>
      </c>
      <c r="Y331" t="s">
        <v>12</v>
      </c>
      <c r="Z331" t="s">
        <v>12</v>
      </c>
      <c r="AA331" t="s">
        <v>12</v>
      </c>
      <c r="AB331" t="s">
        <v>12</v>
      </c>
      <c r="AC331" t="s">
        <v>12</v>
      </c>
      <c r="AD331" t="s">
        <v>12</v>
      </c>
    </row>
    <row r="332" spans="1:30">
      <c r="A332" t="s">
        <v>198</v>
      </c>
      <c r="B332" t="str">
        <f>Master_Data_Productivity[[#This Row],[Uniq-ID]]&amp;"-"&amp;Master_Data_Productivity[[#This Row],[Period]]</f>
        <v>DC-Document_Controller-018-M2</v>
      </c>
      <c r="C332" t="s">
        <v>199</v>
      </c>
      <c r="D332" t="s">
        <v>48</v>
      </c>
      <c r="E332" t="s">
        <v>18</v>
      </c>
      <c r="F332" t="s">
        <v>202</v>
      </c>
      <c r="G332" t="s">
        <v>15</v>
      </c>
      <c r="H332" t="s">
        <v>16</v>
      </c>
      <c r="I332">
        <v>90.722999999999999</v>
      </c>
      <c r="J332">
        <v>1.5</v>
      </c>
      <c r="K332" t="s">
        <v>2879</v>
      </c>
      <c r="L332" t="s">
        <v>3179</v>
      </c>
      <c r="M332" t="s">
        <v>2873</v>
      </c>
      <c r="N332">
        <v>231</v>
      </c>
      <c r="O332">
        <v>20957</v>
      </c>
      <c r="P332">
        <v>90.722899999999996</v>
      </c>
      <c r="Q332" t="s">
        <v>8</v>
      </c>
      <c r="R332" t="s">
        <v>12</v>
      </c>
      <c r="S332" t="s">
        <v>12</v>
      </c>
      <c r="T332" t="s">
        <v>12</v>
      </c>
      <c r="U332" t="s">
        <v>12</v>
      </c>
      <c r="V332" t="s">
        <v>12</v>
      </c>
      <c r="W332" t="s">
        <v>12</v>
      </c>
      <c r="X332" t="s">
        <v>12</v>
      </c>
      <c r="Y332" t="s">
        <v>12</v>
      </c>
      <c r="Z332" t="s">
        <v>12</v>
      </c>
      <c r="AA332" t="s">
        <v>12</v>
      </c>
      <c r="AB332" t="s">
        <v>12</v>
      </c>
      <c r="AC332" t="s">
        <v>12</v>
      </c>
      <c r="AD332" t="s">
        <v>12</v>
      </c>
    </row>
    <row r="333" spans="1:30">
      <c r="A333" t="s">
        <v>198</v>
      </c>
      <c r="B333" t="str">
        <f>Master_Data_Productivity[[#This Row],[Uniq-ID]]&amp;"-"&amp;Master_Data_Productivity[[#This Row],[Period]]</f>
        <v>DC-Document_Controller-018-M3</v>
      </c>
      <c r="C333" t="s">
        <v>199</v>
      </c>
      <c r="D333" t="s">
        <v>48</v>
      </c>
      <c r="E333" t="s">
        <v>22</v>
      </c>
      <c r="F333" t="s">
        <v>204</v>
      </c>
      <c r="G333" t="s">
        <v>15</v>
      </c>
      <c r="H333" t="s">
        <v>16</v>
      </c>
      <c r="I333">
        <v>30.48</v>
      </c>
      <c r="J333">
        <v>1.5</v>
      </c>
      <c r="K333" t="s">
        <v>2879</v>
      </c>
      <c r="L333" t="s">
        <v>3014</v>
      </c>
      <c r="M333" t="s">
        <v>2916</v>
      </c>
      <c r="N333">
        <v>31</v>
      </c>
      <c r="O333">
        <v>1</v>
      </c>
      <c r="P333">
        <v>3.2300000000000002E-2</v>
      </c>
      <c r="Q333" t="s">
        <v>8</v>
      </c>
      <c r="R333" t="s">
        <v>12</v>
      </c>
      <c r="S333" t="s">
        <v>12</v>
      </c>
      <c r="T333" t="s">
        <v>12</v>
      </c>
      <c r="U333" t="s">
        <v>12</v>
      </c>
      <c r="V333" t="s">
        <v>12</v>
      </c>
      <c r="W333" t="s">
        <v>12</v>
      </c>
      <c r="X333" t="s">
        <v>12</v>
      </c>
      <c r="Y333" t="s">
        <v>12</v>
      </c>
      <c r="Z333" t="s">
        <v>12</v>
      </c>
      <c r="AA333" t="s">
        <v>12</v>
      </c>
      <c r="AB333" t="s">
        <v>12</v>
      </c>
      <c r="AC333" t="s">
        <v>12</v>
      </c>
      <c r="AD333" t="s">
        <v>12</v>
      </c>
    </row>
    <row r="334" spans="1:30">
      <c r="A334" t="s">
        <v>198</v>
      </c>
      <c r="B334" t="str">
        <f>Master_Data_Productivity[[#This Row],[Uniq-ID]]&amp;"-"&amp;Master_Data_Productivity[[#This Row],[Period]]</f>
        <v>DC-Document_Controller-018-M3</v>
      </c>
      <c r="C334" t="s">
        <v>199</v>
      </c>
      <c r="D334" t="s">
        <v>48</v>
      </c>
      <c r="E334" t="s">
        <v>22</v>
      </c>
      <c r="F334" t="s">
        <v>204</v>
      </c>
      <c r="G334" t="s">
        <v>15</v>
      </c>
      <c r="H334" t="s">
        <v>16</v>
      </c>
      <c r="I334">
        <v>30.48</v>
      </c>
      <c r="J334">
        <v>1.5</v>
      </c>
      <c r="K334" t="s">
        <v>2879</v>
      </c>
      <c r="L334" t="s">
        <v>3183</v>
      </c>
      <c r="M334" t="s">
        <v>2916</v>
      </c>
      <c r="N334">
        <v>924</v>
      </c>
      <c r="O334">
        <v>2</v>
      </c>
      <c r="P334">
        <v>2.2000000000000001E-3</v>
      </c>
      <c r="Q334" t="s">
        <v>8</v>
      </c>
      <c r="R334" t="s">
        <v>12</v>
      </c>
      <c r="S334" t="s">
        <v>12</v>
      </c>
      <c r="T334" t="s">
        <v>12</v>
      </c>
      <c r="U334" t="s">
        <v>12</v>
      </c>
      <c r="V334" t="s">
        <v>12</v>
      </c>
      <c r="W334" t="s">
        <v>12</v>
      </c>
      <c r="X334" t="s">
        <v>12</v>
      </c>
      <c r="Y334" t="s">
        <v>12</v>
      </c>
      <c r="Z334" t="s">
        <v>12</v>
      </c>
      <c r="AA334" t="s">
        <v>12</v>
      </c>
      <c r="AB334" t="s">
        <v>12</v>
      </c>
      <c r="AC334" t="s">
        <v>12</v>
      </c>
      <c r="AD334" t="s">
        <v>12</v>
      </c>
    </row>
    <row r="335" spans="1:30">
      <c r="A335" t="s">
        <v>198</v>
      </c>
      <c r="B335" t="str">
        <f>Master_Data_Productivity[[#This Row],[Uniq-ID]]&amp;"-"&amp;Master_Data_Productivity[[#This Row],[Period]]</f>
        <v>DC-Document_Controller-018-M3</v>
      </c>
      <c r="C335" t="s">
        <v>199</v>
      </c>
      <c r="D335" t="s">
        <v>48</v>
      </c>
      <c r="E335" t="s">
        <v>22</v>
      </c>
      <c r="F335" t="s">
        <v>204</v>
      </c>
      <c r="G335" t="s">
        <v>15</v>
      </c>
      <c r="H335" t="s">
        <v>16</v>
      </c>
      <c r="I335">
        <v>30.48</v>
      </c>
      <c r="J335">
        <v>1.5</v>
      </c>
      <c r="K335" t="s">
        <v>2879</v>
      </c>
      <c r="L335" t="s">
        <v>3179</v>
      </c>
      <c r="M335" t="s">
        <v>2873</v>
      </c>
      <c r="N335">
        <v>231</v>
      </c>
      <c r="O335">
        <v>7033</v>
      </c>
      <c r="P335">
        <v>30.445900000000002</v>
      </c>
      <c r="Q335" t="s">
        <v>8</v>
      </c>
      <c r="R335" t="s">
        <v>12</v>
      </c>
      <c r="S335" t="s">
        <v>12</v>
      </c>
      <c r="T335" t="s">
        <v>12</v>
      </c>
      <c r="U335" t="s">
        <v>12</v>
      </c>
      <c r="V335" t="s">
        <v>12</v>
      </c>
      <c r="W335" t="s">
        <v>12</v>
      </c>
      <c r="X335" t="s">
        <v>12</v>
      </c>
      <c r="Y335" t="s">
        <v>12</v>
      </c>
      <c r="Z335" t="s">
        <v>12</v>
      </c>
      <c r="AA335" t="s">
        <v>12</v>
      </c>
      <c r="AB335" t="s">
        <v>12</v>
      </c>
      <c r="AC335" t="s">
        <v>12</v>
      </c>
      <c r="AD335" t="s">
        <v>12</v>
      </c>
    </row>
    <row r="336" spans="1:30">
      <c r="A336" t="s">
        <v>198</v>
      </c>
      <c r="B336" t="str">
        <f>Master_Data_Productivity[[#This Row],[Uniq-ID]]&amp;"-"&amp;Master_Data_Productivity[[#This Row],[Period]]</f>
        <v>DC-Document_Controller-018-M4</v>
      </c>
      <c r="C336" t="s">
        <v>199</v>
      </c>
      <c r="D336" t="s">
        <v>48</v>
      </c>
      <c r="E336" t="s">
        <v>25</v>
      </c>
      <c r="F336" t="s">
        <v>206</v>
      </c>
      <c r="G336" t="s">
        <v>15</v>
      </c>
      <c r="H336" t="s">
        <v>16</v>
      </c>
      <c r="I336">
        <v>13.484999999999999</v>
      </c>
      <c r="J336">
        <v>1.5</v>
      </c>
      <c r="K336" t="s">
        <v>2879</v>
      </c>
      <c r="L336" t="s">
        <v>3014</v>
      </c>
      <c r="M336" t="s">
        <v>2916</v>
      </c>
      <c r="N336">
        <v>31</v>
      </c>
      <c r="O336">
        <v>91</v>
      </c>
      <c r="P336">
        <v>2.9355000000000002</v>
      </c>
      <c r="Q336" t="s">
        <v>8</v>
      </c>
      <c r="R336" t="s">
        <v>12</v>
      </c>
      <c r="S336" t="s">
        <v>12</v>
      </c>
      <c r="T336" t="s">
        <v>12</v>
      </c>
      <c r="U336" t="s">
        <v>12</v>
      </c>
      <c r="V336" t="s">
        <v>12</v>
      </c>
      <c r="W336" t="s">
        <v>12</v>
      </c>
      <c r="X336" t="s">
        <v>12</v>
      </c>
      <c r="Y336" t="s">
        <v>12</v>
      </c>
      <c r="Z336" t="s">
        <v>12</v>
      </c>
      <c r="AA336" t="s">
        <v>12</v>
      </c>
      <c r="AB336" t="s">
        <v>12</v>
      </c>
      <c r="AC336" t="s">
        <v>12</v>
      </c>
      <c r="AD336" t="s">
        <v>12</v>
      </c>
    </row>
    <row r="337" spans="1:30">
      <c r="A337" t="s">
        <v>198</v>
      </c>
      <c r="B337" t="str">
        <f>Master_Data_Productivity[[#This Row],[Uniq-ID]]&amp;"-"&amp;Master_Data_Productivity[[#This Row],[Period]]</f>
        <v>DC-Document_Controller-018-M4</v>
      </c>
      <c r="C337" t="s">
        <v>199</v>
      </c>
      <c r="D337" t="s">
        <v>48</v>
      </c>
      <c r="E337" t="s">
        <v>25</v>
      </c>
      <c r="F337" t="s">
        <v>206</v>
      </c>
      <c r="G337" t="s">
        <v>15</v>
      </c>
      <c r="H337" t="s">
        <v>16</v>
      </c>
      <c r="I337">
        <v>13.484999999999999</v>
      </c>
      <c r="J337">
        <v>1.5</v>
      </c>
      <c r="K337" t="s">
        <v>2879</v>
      </c>
      <c r="L337" t="s">
        <v>3179</v>
      </c>
      <c r="M337" t="s">
        <v>2873</v>
      </c>
      <c r="N337">
        <v>231</v>
      </c>
      <c r="O337">
        <v>2437</v>
      </c>
      <c r="P337">
        <v>10.549799999999999</v>
      </c>
      <c r="Q337" t="s">
        <v>8</v>
      </c>
      <c r="R337" t="s">
        <v>12</v>
      </c>
      <c r="S337" t="s">
        <v>12</v>
      </c>
      <c r="T337" t="s">
        <v>12</v>
      </c>
      <c r="U337" t="s">
        <v>12</v>
      </c>
      <c r="V337" t="s">
        <v>12</v>
      </c>
      <c r="W337" t="s">
        <v>12</v>
      </c>
      <c r="X337" t="s">
        <v>12</v>
      </c>
      <c r="Y337" t="s">
        <v>12</v>
      </c>
      <c r="Z337" t="s">
        <v>12</v>
      </c>
      <c r="AA337" t="s">
        <v>12</v>
      </c>
      <c r="AB337" t="s">
        <v>12</v>
      </c>
      <c r="AC337" t="s">
        <v>12</v>
      </c>
      <c r="AD337" t="s">
        <v>12</v>
      </c>
    </row>
    <row r="338" spans="1:30">
      <c r="A338" t="s">
        <v>198</v>
      </c>
      <c r="B338" t="str">
        <f>Master_Data_Productivity[[#This Row],[Uniq-ID]]&amp;"-"&amp;Master_Data_Productivity[[#This Row],[Period]]</f>
        <v>DC-Document_Controller-018-M5</v>
      </c>
      <c r="C338" t="s">
        <v>199</v>
      </c>
      <c r="D338" t="s">
        <v>48</v>
      </c>
      <c r="E338" t="s">
        <v>28</v>
      </c>
      <c r="F338" t="s">
        <v>208</v>
      </c>
      <c r="G338" t="s">
        <v>15</v>
      </c>
      <c r="H338" t="s">
        <v>16</v>
      </c>
      <c r="I338">
        <v>14.346</v>
      </c>
      <c r="J338">
        <v>1.5</v>
      </c>
      <c r="K338" t="s">
        <v>2879</v>
      </c>
      <c r="L338" t="s">
        <v>3179</v>
      </c>
      <c r="M338" t="s">
        <v>2873</v>
      </c>
      <c r="N338">
        <v>231</v>
      </c>
      <c r="O338">
        <v>1518</v>
      </c>
      <c r="P338">
        <v>6.5713999999999997</v>
      </c>
      <c r="Q338" t="s">
        <v>8</v>
      </c>
      <c r="R338" t="s">
        <v>12</v>
      </c>
      <c r="S338" t="s">
        <v>12</v>
      </c>
      <c r="T338" t="s">
        <v>12</v>
      </c>
      <c r="U338" t="s">
        <v>12</v>
      </c>
      <c r="V338" t="s">
        <v>12</v>
      </c>
      <c r="W338" t="s">
        <v>12</v>
      </c>
      <c r="X338" t="s">
        <v>12</v>
      </c>
      <c r="Y338" t="s">
        <v>12</v>
      </c>
      <c r="Z338" t="s">
        <v>12</v>
      </c>
      <c r="AA338" t="s">
        <v>12</v>
      </c>
      <c r="AB338" t="s">
        <v>12</v>
      </c>
      <c r="AC338" t="s">
        <v>12</v>
      </c>
      <c r="AD338" t="s">
        <v>12</v>
      </c>
    </row>
    <row r="339" spans="1:30">
      <c r="A339" t="s">
        <v>198</v>
      </c>
      <c r="B339" t="str">
        <f>Master_Data_Productivity[[#This Row],[Uniq-ID]]&amp;"-"&amp;Master_Data_Productivity[[#This Row],[Period]]</f>
        <v>DC-Document_Controller-018-M5</v>
      </c>
      <c r="C339" t="s">
        <v>199</v>
      </c>
      <c r="D339" t="s">
        <v>48</v>
      </c>
      <c r="E339" t="s">
        <v>28</v>
      </c>
      <c r="F339" t="s">
        <v>208</v>
      </c>
      <c r="G339" t="s">
        <v>15</v>
      </c>
      <c r="H339" t="s">
        <v>16</v>
      </c>
      <c r="I339">
        <v>14.346</v>
      </c>
      <c r="J339">
        <v>1.5</v>
      </c>
      <c r="K339" t="s">
        <v>2879</v>
      </c>
      <c r="L339" t="s">
        <v>3014</v>
      </c>
      <c r="M339" t="s">
        <v>2916</v>
      </c>
      <c r="N339">
        <v>31</v>
      </c>
      <c r="O339">
        <v>241</v>
      </c>
      <c r="P339">
        <v>7.7742000000000004</v>
      </c>
      <c r="Q339" t="s">
        <v>8</v>
      </c>
      <c r="R339" t="s">
        <v>12</v>
      </c>
      <c r="S339" t="s">
        <v>12</v>
      </c>
      <c r="T339" t="s">
        <v>12</v>
      </c>
      <c r="U339" t="s">
        <v>12</v>
      </c>
      <c r="V339" t="s">
        <v>12</v>
      </c>
      <c r="W339" t="s">
        <v>12</v>
      </c>
      <c r="X339" t="s">
        <v>12</v>
      </c>
      <c r="Y339" t="s">
        <v>12</v>
      </c>
      <c r="Z339" t="s">
        <v>12</v>
      </c>
      <c r="AA339" t="s">
        <v>12</v>
      </c>
      <c r="AB339" t="s">
        <v>12</v>
      </c>
      <c r="AC339" t="s">
        <v>12</v>
      </c>
      <c r="AD339" t="s">
        <v>12</v>
      </c>
    </row>
    <row r="340" spans="1:30">
      <c r="A340" t="s">
        <v>198</v>
      </c>
      <c r="B340" t="str">
        <f>Master_Data_Productivity[[#This Row],[Uniq-ID]]&amp;"-"&amp;Master_Data_Productivity[[#This Row],[Period]]</f>
        <v>DC-Document_Controller-018-M6</v>
      </c>
      <c r="C340" t="s">
        <v>199</v>
      </c>
      <c r="D340" t="s">
        <v>48</v>
      </c>
      <c r="E340" t="s">
        <v>31</v>
      </c>
      <c r="F340" t="s">
        <v>210</v>
      </c>
      <c r="G340" t="s">
        <v>33</v>
      </c>
      <c r="H340" t="s">
        <v>44</v>
      </c>
      <c r="I340">
        <v>0</v>
      </c>
      <c r="K340" t="s">
        <v>12</v>
      </c>
      <c r="L340" t="s">
        <v>12</v>
      </c>
      <c r="M340" t="s">
        <v>12</v>
      </c>
      <c r="Q340" t="s">
        <v>8</v>
      </c>
      <c r="R340" t="s">
        <v>12</v>
      </c>
      <c r="S340" t="s">
        <v>12</v>
      </c>
      <c r="T340" t="s">
        <v>12</v>
      </c>
      <c r="U340" t="s">
        <v>12</v>
      </c>
      <c r="V340" t="s">
        <v>12</v>
      </c>
      <c r="W340" t="s">
        <v>12</v>
      </c>
      <c r="X340" t="s">
        <v>12</v>
      </c>
      <c r="Y340" t="s">
        <v>12</v>
      </c>
      <c r="Z340" t="s">
        <v>12</v>
      </c>
      <c r="AA340" t="s">
        <v>12</v>
      </c>
      <c r="AB340" t="s">
        <v>12</v>
      </c>
      <c r="AC340" t="s">
        <v>12</v>
      </c>
      <c r="AD340" t="s">
        <v>12</v>
      </c>
    </row>
    <row r="341" spans="1:30">
      <c r="A341" t="s">
        <v>162</v>
      </c>
      <c r="B341" t="str">
        <f>Master_Data_Productivity[[#This Row],[Uniq-ID]]&amp;"-"&amp;Master_Data_Productivity[[#This Row],[Period]]</f>
        <v>DC-Document_Controller-029-M1</v>
      </c>
      <c r="C341" t="s">
        <v>163</v>
      </c>
      <c r="D341" t="s">
        <v>11</v>
      </c>
      <c r="E341" t="s">
        <v>13</v>
      </c>
      <c r="F341" t="s">
        <v>14</v>
      </c>
      <c r="G341" t="s">
        <v>15</v>
      </c>
      <c r="H341" t="s">
        <v>16</v>
      </c>
      <c r="I341">
        <v>17.649999999999999</v>
      </c>
      <c r="J341">
        <v>1.5</v>
      </c>
      <c r="K341" t="s">
        <v>2879</v>
      </c>
      <c r="L341" t="s">
        <v>2894</v>
      </c>
      <c r="M341" t="s">
        <v>2873</v>
      </c>
      <c r="N341">
        <v>26</v>
      </c>
      <c r="O341">
        <v>32</v>
      </c>
      <c r="P341">
        <v>1.2307999999999999</v>
      </c>
      <c r="Q341" t="s">
        <v>8</v>
      </c>
      <c r="R341" t="s">
        <v>12</v>
      </c>
      <c r="S341" t="s">
        <v>12</v>
      </c>
      <c r="T341" t="s">
        <v>12</v>
      </c>
      <c r="U341" t="s">
        <v>12</v>
      </c>
      <c r="V341" t="s">
        <v>12</v>
      </c>
      <c r="W341" t="s">
        <v>12</v>
      </c>
      <c r="X341" t="s">
        <v>12</v>
      </c>
      <c r="Y341" t="s">
        <v>12</v>
      </c>
      <c r="Z341" t="s">
        <v>12</v>
      </c>
      <c r="AA341" t="s">
        <v>12</v>
      </c>
      <c r="AB341" t="s">
        <v>12</v>
      </c>
      <c r="AC341" t="s">
        <v>12</v>
      </c>
      <c r="AD341" t="s">
        <v>12</v>
      </c>
    </row>
    <row r="342" spans="1:30">
      <c r="A342" t="s">
        <v>162</v>
      </c>
      <c r="B342" t="str">
        <f>Master_Data_Productivity[[#This Row],[Uniq-ID]]&amp;"-"&amp;Master_Data_Productivity[[#This Row],[Period]]</f>
        <v>DC-Document_Controller-029-M1</v>
      </c>
      <c r="C342" t="s">
        <v>163</v>
      </c>
      <c r="D342" t="s">
        <v>11</v>
      </c>
      <c r="E342" t="s">
        <v>13</v>
      </c>
      <c r="F342" t="s">
        <v>14</v>
      </c>
      <c r="G342" t="s">
        <v>15</v>
      </c>
      <c r="H342" t="s">
        <v>16</v>
      </c>
      <c r="I342">
        <v>17.649999999999999</v>
      </c>
      <c r="J342">
        <v>1.5</v>
      </c>
      <c r="K342" t="s">
        <v>2871</v>
      </c>
      <c r="L342" t="s">
        <v>2872</v>
      </c>
      <c r="M342" t="s">
        <v>2873</v>
      </c>
      <c r="N342">
        <v>35</v>
      </c>
      <c r="O342">
        <v>52</v>
      </c>
      <c r="P342">
        <v>1.4857</v>
      </c>
      <c r="Q342" t="s">
        <v>8</v>
      </c>
      <c r="R342" t="s">
        <v>12</v>
      </c>
      <c r="S342" t="s">
        <v>12</v>
      </c>
      <c r="T342" t="s">
        <v>12</v>
      </c>
      <c r="U342" t="s">
        <v>12</v>
      </c>
      <c r="V342" t="s">
        <v>12</v>
      </c>
      <c r="W342" t="s">
        <v>12</v>
      </c>
      <c r="X342" t="s">
        <v>12</v>
      </c>
      <c r="Y342" t="s">
        <v>12</v>
      </c>
      <c r="Z342" t="s">
        <v>12</v>
      </c>
      <c r="AA342" t="s">
        <v>12</v>
      </c>
      <c r="AB342" t="s">
        <v>12</v>
      </c>
      <c r="AC342" t="s">
        <v>12</v>
      </c>
      <c r="AD342" t="s">
        <v>12</v>
      </c>
    </row>
    <row r="343" spans="1:30">
      <c r="A343" t="s">
        <v>162</v>
      </c>
      <c r="B343" t="str">
        <f>Master_Data_Productivity[[#This Row],[Uniq-ID]]&amp;"-"&amp;Master_Data_Productivity[[#This Row],[Period]]</f>
        <v>DC-Document_Controller-029-M1</v>
      </c>
      <c r="C343" t="s">
        <v>163</v>
      </c>
      <c r="D343" t="s">
        <v>11</v>
      </c>
      <c r="E343" t="s">
        <v>13</v>
      </c>
      <c r="F343" t="s">
        <v>14</v>
      </c>
      <c r="G343" t="s">
        <v>15</v>
      </c>
      <c r="H343" t="s">
        <v>16</v>
      </c>
      <c r="I343">
        <v>17.649999999999999</v>
      </c>
      <c r="J343">
        <v>1.5</v>
      </c>
      <c r="K343" t="s">
        <v>2871</v>
      </c>
      <c r="L343" t="s">
        <v>2875</v>
      </c>
      <c r="M343" t="s">
        <v>2873</v>
      </c>
      <c r="N343">
        <v>36</v>
      </c>
      <c r="O343">
        <v>293</v>
      </c>
      <c r="P343">
        <v>8.1388999999999996</v>
      </c>
      <c r="Q343" t="s">
        <v>8</v>
      </c>
      <c r="R343" t="s">
        <v>12</v>
      </c>
      <c r="S343" t="s">
        <v>12</v>
      </c>
      <c r="T343" t="s">
        <v>12</v>
      </c>
      <c r="U343" t="s">
        <v>12</v>
      </c>
      <c r="V343" t="s">
        <v>12</v>
      </c>
      <c r="W343" t="s">
        <v>12</v>
      </c>
      <c r="X343" t="s">
        <v>12</v>
      </c>
      <c r="Y343" t="s">
        <v>12</v>
      </c>
      <c r="Z343" t="s">
        <v>12</v>
      </c>
      <c r="AA343" t="s">
        <v>12</v>
      </c>
      <c r="AB343" t="s">
        <v>12</v>
      </c>
      <c r="AC343" t="s">
        <v>12</v>
      </c>
      <c r="AD343" t="s">
        <v>12</v>
      </c>
    </row>
    <row r="344" spans="1:30">
      <c r="A344" t="s">
        <v>162</v>
      </c>
      <c r="B344" t="str">
        <f>Master_Data_Productivity[[#This Row],[Uniq-ID]]&amp;"-"&amp;Master_Data_Productivity[[#This Row],[Period]]</f>
        <v>DC-Document_Controller-029-M1</v>
      </c>
      <c r="C344" t="s">
        <v>163</v>
      </c>
      <c r="D344" t="s">
        <v>11</v>
      </c>
      <c r="E344" t="s">
        <v>13</v>
      </c>
      <c r="F344" t="s">
        <v>14</v>
      </c>
      <c r="G344" t="s">
        <v>15</v>
      </c>
      <c r="H344" t="s">
        <v>16</v>
      </c>
      <c r="I344">
        <v>17.649999999999999</v>
      </c>
      <c r="J344">
        <v>1.5</v>
      </c>
      <c r="K344" t="s">
        <v>2887</v>
      </c>
      <c r="L344" t="s">
        <v>2979</v>
      </c>
      <c r="M344" t="s">
        <v>2873</v>
      </c>
      <c r="N344">
        <v>205</v>
      </c>
      <c r="O344">
        <v>918</v>
      </c>
      <c r="P344">
        <v>4.4779999999999998</v>
      </c>
      <c r="Q344" t="s">
        <v>8</v>
      </c>
      <c r="R344" t="s">
        <v>12</v>
      </c>
      <c r="S344" t="s">
        <v>12</v>
      </c>
      <c r="T344" t="s">
        <v>12</v>
      </c>
      <c r="U344" t="s">
        <v>12</v>
      </c>
      <c r="V344" t="s">
        <v>12</v>
      </c>
      <c r="W344" t="s">
        <v>12</v>
      </c>
      <c r="X344" t="s">
        <v>12</v>
      </c>
      <c r="Y344" t="s">
        <v>12</v>
      </c>
      <c r="Z344" t="s">
        <v>12</v>
      </c>
      <c r="AA344" t="s">
        <v>12</v>
      </c>
      <c r="AB344" t="s">
        <v>12</v>
      </c>
      <c r="AC344" t="s">
        <v>12</v>
      </c>
      <c r="AD344" t="s">
        <v>12</v>
      </c>
    </row>
    <row r="345" spans="1:30">
      <c r="A345" t="s">
        <v>162</v>
      </c>
      <c r="B345" t="str">
        <f>Master_Data_Productivity[[#This Row],[Uniq-ID]]&amp;"-"&amp;Master_Data_Productivity[[#This Row],[Period]]</f>
        <v>DC-Document_Controller-029-M1</v>
      </c>
      <c r="C345" t="s">
        <v>163</v>
      </c>
      <c r="D345" t="s">
        <v>11</v>
      </c>
      <c r="E345" t="s">
        <v>13</v>
      </c>
      <c r="F345" t="s">
        <v>14</v>
      </c>
      <c r="G345" t="s">
        <v>15</v>
      </c>
      <c r="H345" t="s">
        <v>16</v>
      </c>
      <c r="I345">
        <v>17.649999999999999</v>
      </c>
      <c r="J345">
        <v>1.5</v>
      </c>
      <c r="K345" t="s">
        <v>2887</v>
      </c>
      <c r="L345" t="s">
        <v>2890</v>
      </c>
      <c r="M345" t="s">
        <v>2873</v>
      </c>
      <c r="N345">
        <v>205</v>
      </c>
      <c r="O345">
        <v>475</v>
      </c>
      <c r="P345">
        <v>2.3170999999999999</v>
      </c>
      <c r="Q345" t="s">
        <v>8</v>
      </c>
      <c r="R345" t="s">
        <v>12</v>
      </c>
      <c r="S345" t="s">
        <v>12</v>
      </c>
      <c r="T345" t="s">
        <v>12</v>
      </c>
      <c r="U345" t="s">
        <v>12</v>
      </c>
      <c r="V345" t="s">
        <v>12</v>
      </c>
      <c r="W345" t="s">
        <v>12</v>
      </c>
      <c r="X345" t="s">
        <v>12</v>
      </c>
      <c r="Y345" t="s">
        <v>12</v>
      </c>
      <c r="Z345" t="s">
        <v>12</v>
      </c>
      <c r="AA345" t="s">
        <v>12</v>
      </c>
      <c r="AB345" t="s">
        <v>12</v>
      </c>
      <c r="AC345" t="s">
        <v>12</v>
      </c>
      <c r="AD345" t="s">
        <v>12</v>
      </c>
    </row>
    <row r="346" spans="1:30">
      <c r="A346" t="s">
        <v>162</v>
      </c>
      <c r="B346" t="str">
        <f>Master_Data_Productivity[[#This Row],[Uniq-ID]]&amp;"-"&amp;Master_Data_Productivity[[#This Row],[Period]]</f>
        <v>DC-Document_Controller-029-M2</v>
      </c>
      <c r="C346" t="s">
        <v>163</v>
      </c>
      <c r="D346" t="s">
        <v>11</v>
      </c>
      <c r="E346" t="s">
        <v>18</v>
      </c>
      <c r="F346" t="s">
        <v>19</v>
      </c>
      <c r="G346" t="s">
        <v>15</v>
      </c>
      <c r="H346" t="s">
        <v>16</v>
      </c>
      <c r="I346">
        <v>20.817</v>
      </c>
      <c r="J346">
        <v>1.5</v>
      </c>
      <c r="K346" t="s">
        <v>2879</v>
      </c>
      <c r="L346" t="s">
        <v>2894</v>
      </c>
      <c r="M346" t="s">
        <v>2873</v>
      </c>
      <c r="N346">
        <v>26</v>
      </c>
      <c r="O346">
        <v>36</v>
      </c>
      <c r="P346">
        <v>1.3846000000000001</v>
      </c>
      <c r="Q346" t="s">
        <v>8</v>
      </c>
      <c r="R346" t="s">
        <v>12</v>
      </c>
      <c r="S346" t="s">
        <v>12</v>
      </c>
      <c r="T346" t="s">
        <v>12</v>
      </c>
      <c r="U346" t="s">
        <v>12</v>
      </c>
      <c r="V346" t="s">
        <v>12</v>
      </c>
      <c r="W346" t="s">
        <v>12</v>
      </c>
      <c r="X346" t="s">
        <v>12</v>
      </c>
      <c r="Y346" t="s">
        <v>12</v>
      </c>
      <c r="Z346" t="s">
        <v>12</v>
      </c>
      <c r="AA346" t="s">
        <v>12</v>
      </c>
      <c r="AB346" t="s">
        <v>12</v>
      </c>
      <c r="AC346" t="s">
        <v>12</v>
      </c>
      <c r="AD346" t="s">
        <v>12</v>
      </c>
    </row>
    <row r="347" spans="1:30">
      <c r="A347" t="s">
        <v>162</v>
      </c>
      <c r="B347" t="str">
        <f>Master_Data_Productivity[[#This Row],[Uniq-ID]]&amp;"-"&amp;Master_Data_Productivity[[#This Row],[Period]]</f>
        <v>DC-Document_Controller-029-M2</v>
      </c>
      <c r="C347" t="s">
        <v>163</v>
      </c>
      <c r="D347" t="s">
        <v>11</v>
      </c>
      <c r="E347" t="s">
        <v>18</v>
      </c>
      <c r="F347" t="s">
        <v>19</v>
      </c>
      <c r="G347" t="s">
        <v>15</v>
      </c>
      <c r="H347" t="s">
        <v>16</v>
      </c>
      <c r="I347">
        <v>20.817</v>
      </c>
      <c r="J347">
        <v>1.5</v>
      </c>
      <c r="K347" t="s">
        <v>2871</v>
      </c>
      <c r="L347" t="s">
        <v>2872</v>
      </c>
      <c r="M347" t="s">
        <v>2873</v>
      </c>
      <c r="N347">
        <v>35</v>
      </c>
      <c r="O347">
        <v>60</v>
      </c>
      <c r="P347">
        <v>1.7142999999999999</v>
      </c>
      <c r="Q347" t="s">
        <v>8</v>
      </c>
      <c r="R347" t="s">
        <v>12</v>
      </c>
      <c r="S347" t="s">
        <v>12</v>
      </c>
      <c r="T347" t="s">
        <v>12</v>
      </c>
      <c r="U347" t="s">
        <v>12</v>
      </c>
      <c r="V347" t="s">
        <v>12</v>
      </c>
      <c r="W347" t="s">
        <v>12</v>
      </c>
      <c r="X347" t="s">
        <v>12</v>
      </c>
      <c r="Y347" t="s">
        <v>12</v>
      </c>
      <c r="Z347" t="s">
        <v>12</v>
      </c>
      <c r="AA347" t="s">
        <v>12</v>
      </c>
      <c r="AB347" t="s">
        <v>12</v>
      </c>
      <c r="AC347" t="s">
        <v>12</v>
      </c>
      <c r="AD347" t="s">
        <v>12</v>
      </c>
    </row>
    <row r="348" spans="1:30">
      <c r="A348" t="s">
        <v>162</v>
      </c>
      <c r="B348" t="str">
        <f>Master_Data_Productivity[[#This Row],[Uniq-ID]]&amp;"-"&amp;Master_Data_Productivity[[#This Row],[Period]]</f>
        <v>DC-Document_Controller-029-M2</v>
      </c>
      <c r="C348" t="s">
        <v>163</v>
      </c>
      <c r="D348" t="s">
        <v>11</v>
      </c>
      <c r="E348" t="s">
        <v>18</v>
      </c>
      <c r="F348" t="s">
        <v>19</v>
      </c>
      <c r="G348" t="s">
        <v>15</v>
      </c>
      <c r="H348" t="s">
        <v>16</v>
      </c>
      <c r="I348">
        <v>20.817</v>
      </c>
      <c r="J348">
        <v>1.5</v>
      </c>
      <c r="K348" t="s">
        <v>2871</v>
      </c>
      <c r="L348" t="s">
        <v>2875</v>
      </c>
      <c r="M348" t="s">
        <v>2873</v>
      </c>
      <c r="N348">
        <v>36</v>
      </c>
      <c r="O348">
        <v>284</v>
      </c>
      <c r="P348">
        <v>7.8888999999999996</v>
      </c>
      <c r="Q348" t="s">
        <v>8</v>
      </c>
      <c r="R348" t="s">
        <v>12</v>
      </c>
      <c r="S348" t="s">
        <v>12</v>
      </c>
      <c r="T348" t="s">
        <v>12</v>
      </c>
      <c r="U348" t="s">
        <v>12</v>
      </c>
      <c r="V348" t="s">
        <v>12</v>
      </c>
      <c r="W348" t="s">
        <v>12</v>
      </c>
      <c r="X348" t="s">
        <v>12</v>
      </c>
      <c r="Y348" t="s">
        <v>12</v>
      </c>
      <c r="Z348" t="s">
        <v>12</v>
      </c>
      <c r="AA348" t="s">
        <v>12</v>
      </c>
      <c r="AB348" t="s">
        <v>12</v>
      </c>
      <c r="AC348" t="s">
        <v>12</v>
      </c>
      <c r="AD348" t="s">
        <v>12</v>
      </c>
    </row>
    <row r="349" spans="1:30">
      <c r="A349" t="s">
        <v>162</v>
      </c>
      <c r="B349" t="str">
        <f>Master_Data_Productivity[[#This Row],[Uniq-ID]]&amp;"-"&amp;Master_Data_Productivity[[#This Row],[Period]]</f>
        <v>DC-Document_Controller-029-M2</v>
      </c>
      <c r="C349" t="s">
        <v>163</v>
      </c>
      <c r="D349" t="s">
        <v>11</v>
      </c>
      <c r="E349" t="s">
        <v>18</v>
      </c>
      <c r="F349" t="s">
        <v>19</v>
      </c>
      <c r="G349" t="s">
        <v>15</v>
      </c>
      <c r="H349" t="s">
        <v>16</v>
      </c>
      <c r="I349">
        <v>20.817</v>
      </c>
      <c r="J349">
        <v>1.5</v>
      </c>
      <c r="K349" t="s">
        <v>2887</v>
      </c>
      <c r="L349" t="s">
        <v>2979</v>
      </c>
      <c r="M349" t="s">
        <v>2873</v>
      </c>
      <c r="N349">
        <v>205</v>
      </c>
      <c r="O349">
        <v>1298</v>
      </c>
      <c r="P349">
        <v>6.3316999999999997</v>
      </c>
      <c r="Q349" t="s">
        <v>8</v>
      </c>
      <c r="R349" t="s">
        <v>12</v>
      </c>
      <c r="S349" t="s">
        <v>12</v>
      </c>
      <c r="T349" t="s">
        <v>12</v>
      </c>
      <c r="U349" t="s">
        <v>12</v>
      </c>
      <c r="V349" t="s">
        <v>12</v>
      </c>
      <c r="W349" t="s">
        <v>12</v>
      </c>
      <c r="X349" t="s">
        <v>12</v>
      </c>
      <c r="Y349" t="s">
        <v>12</v>
      </c>
      <c r="Z349" t="s">
        <v>12</v>
      </c>
      <c r="AA349" t="s">
        <v>12</v>
      </c>
      <c r="AB349" t="s">
        <v>12</v>
      </c>
      <c r="AC349" t="s">
        <v>12</v>
      </c>
      <c r="AD349" t="s">
        <v>12</v>
      </c>
    </row>
    <row r="350" spans="1:30">
      <c r="A350" t="s">
        <v>162</v>
      </c>
      <c r="B350" t="str">
        <f>Master_Data_Productivity[[#This Row],[Uniq-ID]]&amp;"-"&amp;Master_Data_Productivity[[#This Row],[Period]]</f>
        <v>DC-Document_Controller-029-M2</v>
      </c>
      <c r="C350" t="s">
        <v>163</v>
      </c>
      <c r="D350" t="s">
        <v>11</v>
      </c>
      <c r="E350" t="s">
        <v>18</v>
      </c>
      <c r="F350" t="s">
        <v>19</v>
      </c>
      <c r="G350" t="s">
        <v>15</v>
      </c>
      <c r="H350" t="s">
        <v>16</v>
      </c>
      <c r="I350">
        <v>20.817</v>
      </c>
      <c r="J350">
        <v>1.5</v>
      </c>
      <c r="K350" t="s">
        <v>2887</v>
      </c>
      <c r="L350" t="s">
        <v>2890</v>
      </c>
      <c r="M350" t="s">
        <v>2873</v>
      </c>
      <c r="N350">
        <v>205</v>
      </c>
      <c r="O350">
        <v>717</v>
      </c>
      <c r="P350">
        <v>3.4975999999999998</v>
      </c>
      <c r="Q350" t="s">
        <v>8</v>
      </c>
      <c r="R350" t="s">
        <v>12</v>
      </c>
      <c r="S350" t="s">
        <v>12</v>
      </c>
      <c r="T350" t="s">
        <v>12</v>
      </c>
      <c r="U350" t="s">
        <v>12</v>
      </c>
      <c r="V350" t="s">
        <v>12</v>
      </c>
      <c r="W350" t="s">
        <v>12</v>
      </c>
      <c r="X350" t="s">
        <v>12</v>
      </c>
      <c r="Y350" t="s">
        <v>12</v>
      </c>
      <c r="Z350" t="s">
        <v>12</v>
      </c>
      <c r="AA350" t="s">
        <v>12</v>
      </c>
      <c r="AB350" t="s">
        <v>12</v>
      </c>
      <c r="AC350" t="s">
        <v>12</v>
      </c>
      <c r="AD350" t="s">
        <v>12</v>
      </c>
    </row>
    <row r="351" spans="1:30">
      <c r="A351" t="s">
        <v>162</v>
      </c>
      <c r="B351" t="str">
        <f>Master_Data_Productivity[[#This Row],[Uniq-ID]]&amp;"-"&amp;Master_Data_Productivity[[#This Row],[Period]]</f>
        <v>DC-Document_Controller-029-M3</v>
      </c>
      <c r="C351" t="s">
        <v>163</v>
      </c>
      <c r="D351" t="s">
        <v>11</v>
      </c>
      <c r="E351" t="s">
        <v>22</v>
      </c>
      <c r="F351" t="s">
        <v>23</v>
      </c>
      <c r="G351" t="s">
        <v>15</v>
      </c>
      <c r="H351" t="s">
        <v>16</v>
      </c>
      <c r="I351">
        <v>42.53</v>
      </c>
      <c r="J351">
        <v>1.5</v>
      </c>
      <c r="K351" t="s">
        <v>2887</v>
      </c>
      <c r="L351" t="s">
        <v>2890</v>
      </c>
      <c r="M351" t="s">
        <v>2873</v>
      </c>
      <c r="N351">
        <v>205</v>
      </c>
      <c r="O351">
        <v>4048</v>
      </c>
      <c r="P351">
        <v>19.746300000000002</v>
      </c>
      <c r="Q351" t="s">
        <v>8</v>
      </c>
      <c r="R351" t="s">
        <v>12</v>
      </c>
      <c r="S351" t="s">
        <v>12</v>
      </c>
      <c r="T351" t="s">
        <v>12</v>
      </c>
      <c r="U351" t="s">
        <v>12</v>
      </c>
      <c r="V351" t="s">
        <v>12</v>
      </c>
      <c r="W351" t="s">
        <v>12</v>
      </c>
      <c r="X351" t="s">
        <v>12</v>
      </c>
      <c r="Y351" t="s">
        <v>12</v>
      </c>
      <c r="Z351" t="s">
        <v>12</v>
      </c>
      <c r="AA351" t="s">
        <v>12</v>
      </c>
      <c r="AB351" t="s">
        <v>12</v>
      </c>
      <c r="AC351" t="s">
        <v>12</v>
      </c>
      <c r="AD351" t="s">
        <v>12</v>
      </c>
    </row>
    <row r="352" spans="1:30">
      <c r="A352" t="s">
        <v>162</v>
      </c>
      <c r="B352" t="str">
        <f>Master_Data_Productivity[[#This Row],[Uniq-ID]]&amp;"-"&amp;Master_Data_Productivity[[#This Row],[Period]]</f>
        <v>DC-Document_Controller-029-M3</v>
      </c>
      <c r="C352" t="s">
        <v>163</v>
      </c>
      <c r="D352" t="s">
        <v>11</v>
      </c>
      <c r="E352" t="s">
        <v>22</v>
      </c>
      <c r="F352" t="s">
        <v>23</v>
      </c>
      <c r="G352" t="s">
        <v>15</v>
      </c>
      <c r="H352" t="s">
        <v>16</v>
      </c>
      <c r="I352">
        <v>42.53</v>
      </c>
      <c r="J352">
        <v>1.5</v>
      </c>
      <c r="K352" t="s">
        <v>2887</v>
      </c>
      <c r="L352" t="s">
        <v>2977</v>
      </c>
      <c r="M352" t="s">
        <v>2873</v>
      </c>
      <c r="N352">
        <v>205</v>
      </c>
      <c r="O352">
        <v>393</v>
      </c>
      <c r="P352">
        <v>1.9171</v>
      </c>
      <c r="Q352" t="s">
        <v>8</v>
      </c>
      <c r="R352" t="s">
        <v>12</v>
      </c>
      <c r="S352" t="s">
        <v>12</v>
      </c>
      <c r="T352" t="s">
        <v>12</v>
      </c>
      <c r="U352" t="s">
        <v>12</v>
      </c>
      <c r="V352" t="s">
        <v>12</v>
      </c>
      <c r="W352" t="s">
        <v>12</v>
      </c>
      <c r="X352" t="s">
        <v>12</v>
      </c>
      <c r="Y352" t="s">
        <v>12</v>
      </c>
      <c r="Z352" t="s">
        <v>12</v>
      </c>
      <c r="AA352" t="s">
        <v>12</v>
      </c>
      <c r="AB352" t="s">
        <v>12</v>
      </c>
      <c r="AC352" t="s">
        <v>12</v>
      </c>
      <c r="AD352" t="s">
        <v>12</v>
      </c>
    </row>
    <row r="353" spans="1:30">
      <c r="A353" t="s">
        <v>162</v>
      </c>
      <c r="B353" t="str">
        <f>Master_Data_Productivity[[#This Row],[Uniq-ID]]&amp;"-"&amp;Master_Data_Productivity[[#This Row],[Period]]</f>
        <v>DC-Document_Controller-029-M3</v>
      </c>
      <c r="C353" t="s">
        <v>163</v>
      </c>
      <c r="D353" t="s">
        <v>11</v>
      </c>
      <c r="E353" t="s">
        <v>22</v>
      </c>
      <c r="F353" t="s">
        <v>23</v>
      </c>
      <c r="G353" t="s">
        <v>15</v>
      </c>
      <c r="H353" t="s">
        <v>16</v>
      </c>
      <c r="I353">
        <v>42.53</v>
      </c>
      <c r="J353">
        <v>1.5</v>
      </c>
      <c r="K353" t="s">
        <v>2887</v>
      </c>
      <c r="L353" t="s">
        <v>2979</v>
      </c>
      <c r="M353" t="s">
        <v>2873</v>
      </c>
      <c r="N353">
        <v>205</v>
      </c>
      <c r="O353">
        <v>3974</v>
      </c>
      <c r="P353">
        <v>19.385400000000001</v>
      </c>
      <c r="Q353" t="s">
        <v>8</v>
      </c>
      <c r="R353" t="s">
        <v>12</v>
      </c>
      <c r="S353" t="s">
        <v>12</v>
      </c>
      <c r="T353" t="s">
        <v>12</v>
      </c>
      <c r="U353" t="s">
        <v>12</v>
      </c>
      <c r="V353" t="s">
        <v>12</v>
      </c>
      <c r="W353" t="s">
        <v>12</v>
      </c>
      <c r="X353" t="s">
        <v>12</v>
      </c>
      <c r="Y353" t="s">
        <v>12</v>
      </c>
      <c r="Z353" t="s">
        <v>12</v>
      </c>
      <c r="AA353" t="s">
        <v>12</v>
      </c>
      <c r="AB353" t="s">
        <v>12</v>
      </c>
      <c r="AC353" t="s">
        <v>12</v>
      </c>
      <c r="AD353" t="s">
        <v>12</v>
      </c>
    </row>
    <row r="354" spans="1:30">
      <c r="A354" t="s">
        <v>162</v>
      </c>
      <c r="B354" t="str">
        <f>Master_Data_Productivity[[#This Row],[Uniq-ID]]&amp;"-"&amp;Master_Data_Productivity[[#This Row],[Period]]</f>
        <v>DC-Document_Controller-029-M3</v>
      </c>
      <c r="C354" t="s">
        <v>163</v>
      </c>
      <c r="D354" t="s">
        <v>11</v>
      </c>
      <c r="E354" t="s">
        <v>22</v>
      </c>
      <c r="F354" t="s">
        <v>23</v>
      </c>
      <c r="G354" t="s">
        <v>15</v>
      </c>
      <c r="H354" t="s">
        <v>16</v>
      </c>
      <c r="I354">
        <v>42.53</v>
      </c>
      <c r="J354">
        <v>1.5</v>
      </c>
      <c r="K354" t="s">
        <v>2879</v>
      </c>
      <c r="L354" t="s">
        <v>2894</v>
      </c>
      <c r="M354" t="s">
        <v>2873</v>
      </c>
      <c r="N354">
        <v>26</v>
      </c>
      <c r="O354">
        <v>32</v>
      </c>
      <c r="P354">
        <v>1.2307999999999999</v>
      </c>
      <c r="Q354" t="s">
        <v>8</v>
      </c>
      <c r="R354" t="s">
        <v>12</v>
      </c>
      <c r="S354" t="s">
        <v>12</v>
      </c>
      <c r="T354" t="s">
        <v>12</v>
      </c>
      <c r="U354" t="s">
        <v>12</v>
      </c>
      <c r="V354" t="s">
        <v>12</v>
      </c>
      <c r="W354" t="s">
        <v>12</v>
      </c>
      <c r="X354" t="s">
        <v>12</v>
      </c>
      <c r="Y354" t="s">
        <v>12</v>
      </c>
      <c r="Z354" t="s">
        <v>12</v>
      </c>
      <c r="AA354" t="s">
        <v>12</v>
      </c>
      <c r="AB354" t="s">
        <v>12</v>
      </c>
      <c r="AC354" t="s">
        <v>12</v>
      </c>
      <c r="AD354" t="s">
        <v>12</v>
      </c>
    </row>
    <row r="355" spans="1:30">
      <c r="A355" t="s">
        <v>162</v>
      </c>
      <c r="B355" t="str">
        <f>Master_Data_Productivity[[#This Row],[Uniq-ID]]&amp;"-"&amp;Master_Data_Productivity[[#This Row],[Period]]</f>
        <v>DC-Document_Controller-029-M3</v>
      </c>
      <c r="C355" t="s">
        <v>163</v>
      </c>
      <c r="D355" t="s">
        <v>11</v>
      </c>
      <c r="E355" t="s">
        <v>22</v>
      </c>
      <c r="F355" t="s">
        <v>23</v>
      </c>
      <c r="G355" t="s">
        <v>15</v>
      </c>
      <c r="H355" t="s">
        <v>16</v>
      </c>
      <c r="I355">
        <v>42.53</v>
      </c>
      <c r="J355">
        <v>1.5</v>
      </c>
      <c r="K355" t="s">
        <v>2871</v>
      </c>
      <c r="L355" t="s">
        <v>2875</v>
      </c>
      <c r="M355" t="s">
        <v>2873</v>
      </c>
      <c r="N355">
        <v>36</v>
      </c>
      <c r="O355">
        <v>9</v>
      </c>
      <c r="P355">
        <v>0.25</v>
      </c>
      <c r="Q355" t="s">
        <v>8</v>
      </c>
      <c r="R355" t="s">
        <v>12</v>
      </c>
      <c r="S355" t="s">
        <v>12</v>
      </c>
      <c r="T355" t="s">
        <v>12</v>
      </c>
      <c r="U355" t="s">
        <v>12</v>
      </c>
      <c r="V355" t="s">
        <v>12</v>
      </c>
      <c r="W355" t="s">
        <v>12</v>
      </c>
      <c r="X355" t="s">
        <v>12</v>
      </c>
      <c r="Y355" t="s">
        <v>12</v>
      </c>
      <c r="Z355" t="s">
        <v>12</v>
      </c>
      <c r="AA355" t="s">
        <v>12</v>
      </c>
      <c r="AB355" t="s">
        <v>12</v>
      </c>
      <c r="AC355" t="s">
        <v>12</v>
      </c>
      <c r="AD355" t="s">
        <v>12</v>
      </c>
    </row>
    <row r="356" spans="1:30">
      <c r="A356" t="s">
        <v>162</v>
      </c>
      <c r="B356" t="str">
        <f>Master_Data_Productivity[[#This Row],[Uniq-ID]]&amp;"-"&amp;Master_Data_Productivity[[#This Row],[Period]]</f>
        <v>DC-Document_Controller-029-M4</v>
      </c>
      <c r="C356" t="s">
        <v>163</v>
      </c>
      <c r="D356" t="s">
        <v>11</v>
      </c>
      <c r="E356" t="s">
        <v>25</v>
      </c>
      <c r="F356" t="s">
        <v>26</v>
      </c>
      <c r="G356" t="s">
        <v>15</v>
      </c>
      <c r="H356" t="s">
        <v>16</v>
      </c>
      <c r="I356">
        <v>8.6910000000000007</v>
      </c>
      <c r="J356">
        <v>1.5</v>
      </c>
      <c r="K356" t="s">
        <v>2879</v>
      </c>
      <c r="L356" t="s">
        <v>2894</v>
      </c>
      <c r="M356" t="s">
        <v>2873</v>
      </c>
      <c r="N356">
        <v>26</v>
      </c>
      <c r="O356">
        <v>35</v>
      </c>
      <c r="P356">
        <v>1.3462000000000001</v>
      </c>
      <c r="Q356" t="s">
        <v>8</v>
      </c>
      <c r="R356" t="s">
        <v>12</v>
      </c>
      <c r="S356" t="s">
        <v>12</v>
      </c>
      <c r="T356" t="s">
        <v>12</v>
      </c>
      <c r="U356" t="s">
        <v>12</v>
      </c>
      <c r="V356" t="s">
        <v>12</v>
      </c>
      <c r="W356" t="s">
        <v>12</v>
      </c>
      <c r="X356" t="s">
        <v>12</v>
      </c>
      <c r="Y356" t="s">
        <v>12</v>
      </c>
      <c r="Z356" t="s">
        <v>12</v>
      </c>
      <c r="AA356" t="s">
        <v>12</v>
      </c>
      <c r="AB356" t="s">
        <v>12</v>
      </c>
      <c r="AC356" t="s">
        <v>12</v>
      </c>
      <c r="AD356" t="s">
        <v>12</v>
      </c>
    </row>
    <row r="357" spans="1:30">
      <c r="A357" t="s">
        <v>162</v>
      </c>
      <c r="B357" t="str">
        <f>Master_Data_Productivity[[#This Row],[Uniq-ID]]&amp;"-"&amp;Master_Data_Productivity[[#This Row],[Period]]</f>
        <v>DC-Document_Controller-029-M4</v>
      </c>
      <c r="C357" t="s">
        <v>163</v>
      </c>
      <c r="D357" t="s">
        <v>11</v>
      </c>
      <c r="E357" t="s">
        <v>25</v>
      </c>
      <c r="F357" t="s">
        <v>26</v>
      </c>
      <c r="G357" t="s">
        <v>15</v>
      </c>
      <c r="H357" t="s">
        <v>16</v>
      </c>
      <c r="I357">
        <v>8.6910000000000007</v>
      </c>
      <c r="J357">
        <v>1.5</v>
      </c>
      <c r="K357" t="s">
        <v>2887</v>
      </c>
      <c r="L357" t="s">
        <v>2890</v>
      </c>
      <c r="M357" t="s">
        <v>2873</v>
      </c>
      <c r="N357">
        <v>205</v>
      </c>
      <c r="O357">
        <v>609</v>
      </c>
      <c r="P357">
        <v>2.9706999999999999</v>
      </c>
      <c r="Q357" t="s">
        <v>8</v>
      </c>
      <c r="R357" t="s">
        <v>12</v>
      </c>
      <c r="S357" t="s">
        <v>12</v>
      </c>
      <c r="T357" t="s">
        <v>12</v>
      </c>
      <c r="U357" t="s">
        <v>12</v>
      </c>
      <c r="V357" t="s">
        <v>12</v>
      </c>
      <c r="W357" t="s">
        <v>12</v>
      </c>
      <c r="X357" t="s">
        <v>12</v>
      </c>
      <c r="Y357" t="s">
        <v>12</v>
      </c>
      <c r="Z357" t="s">
        <v>12</v>
      </c>
      <c r="AA357" t="s">
        <v>12</v>
      </c>
      <c r="AB357" t="s">
        <v>12</v>
      </c>
      <c r="AC357" t="s">
        <v>12</v>
      </c>
      <c r="AD357" t="s">
        <v>12</v>
      </c>
    </row>
    <row r="358" spans="1:30">
      <c r="A358" t="s">
        <v>162</v>
      </c>
      <c r="B358" t="str">
        <f>Master_Data_Productivity[[#This Row],[Uniq-ID]]&amp;"-"&amp;Master_Data_Productivity[[#This Row],[Period]]</f>
        <v>DC-Document_Controller-029-M4</v>
      </c>
      <c r="C358" t="s">
        <v>163</v>
      </c>
      <c r="D358" t="s">
        <v>11</v>
      </c>
      <c r="E358" t="s">
        <v>25</v>
      </c>
      <c r="F358" t="s">
        <v>26</v>
      </c>
      <c r="G358" t="s">
        <v>15</v>
      </c>
      <c r="H358" t="s">
        <v>16</v>
      </c>
      <c r="I358">
        <v>8.6910000000000007</v>
      </c>
      <c r="J358">
        <v>1.5</v>
      </c>
      <c r="K358" t="s">
        <v>2887</v>
      </c>
      <c r="L358" t="s">
        <v>2979</v>
      </c>
      <c r="M358" t="s">
        <v>2873</v>
      </c>
      <c r="N358">
        <v>205</v>
      </c>
      <c r="O358">
        <v>851</v>
      </c>
      <c r="P358">
        <v>4.1512000000000002</v>
      </c>
      <c r="Q358" t="s">
        <v>8</v>
      </c>
      <c r="R358" t="s">
        <v>12</v>
      </c>
      <c r="S358" t="s">
        <v>12</v>
      </c>
      <c r="T358" t="s">
        <v>12</v>
      </c>
      <c r="U358" t="s">
        <v>12</v>
      </c>
      <c r="V358" t="s">
        <v>12</v>
      </c>
      <c r="W358" t="s">
        <v>12</v>
      </c>
      <c r="X358" t="s">
        <v>12</v>
      </c>
      <c r="Y358" t="s">
        <v>12</v>
      </c>
      <c r="Z358" t="s">
        <v>12</v>
      </c>
      <c r="AA358" t="s">
        <v>12</v>
      </c>
      <c r="AB358" t="s">
        <v>12</v>
      </c>
      <c r="AC358" t="s">
        <v>12</v>
      </c>
      <c r="AD358" t="s">
        <v>12</v>
      </c>
    </row>
    <row r="359" spans="1:30">
      <c r="A359" t="s">
        <v>162</v>
      </c>
      <c r="B359" t="str">
        <f>Master_Data_Productivity[[#This Row],[Uniq-ID]]&amp;"-"&amp;Master_Data_Productivity[[#This Row],[Period]]</f>
        <v>DC-Document_Controller-029-M4</v>
      </c>
      <c r="C359" t="s">
        <v>163</v>
      </c>
      <c r="D359" t="s">
        <v>11</v>
      </c>
      <c r="E359" t="s">
        <v>25</v>
      </c>
      <c r="F359" t="s">
        <v>26</v>
      </c>
      <c r="G359" t="s">
        <v>15</v>
      </c>
      <c r="H359" t="s">
        <v>16</v>
      </c>
      <c r="I359">
        <v>8.6910000000000007</v>
      </c>
      <c r="J359">
        <v>1.5</v>
      </c>
      <c r="K359" t="s">
        <v>2871</v>
      </c>
      <c r="L359" t="s">
        <v>2875</v>
      </c>
      <c r="M359" t="s">
        <v>2873</v>
      </c>
      <c r="N359">
        <v>36</v>
      </c>
      <c r="O359">
        <v>7</v>
      </c>
      <c r="P359">
        <v>0.19439999999999999</v>
      </c>
      <c r="Q359" t="s">
        <v>8</v>
      </c>
      <c r="R359" t="s">
        <v>12</v>
      </c>
      <c r="S359" t="s">
        <v>12</v>
      </c>
      <c r="T359" t="s">
        <v>12</v>
      </c>
      <c r="U359" t="s">
        <v>12</v>
      </c>
      <c r="V359" t="s">
        <v>12</v>
      </c>
      <c r="W359" t="s">
        <v>12</v>
      </c>
      <c r="X359" t="s">
        <v>12</v>
      </c>
      <c r="Y359" t="s">
        <v>12</v>
      </c>
      <c r="Z359" t="s">
        <v>12</v>
      </c>
      <c r="AA359" t="s">
        <v>12</v>
      </c>
      <c r="AB359" t="s">
        <v>12</v>
      </c>
      <c r="AC359" t="s">
        <v>12</v>
      </c>
      <c r="AD359" t="s">
        <v>12</v>
      </c>
    </row>
    <row r="360" spans="1:30">
      <c r="A360" t="s">
        <v>162</v>
      </c>
      <c r="B360" t="str">
        <f>Master_Data_Productivity[[#This Row],[Uniq-ID]]&amp;"-"&amp;Master_Data_Productivity[[#This Row],[Period]]</f>
        <v>DC-Document_Controller-029-M4</v>
      </c>
      <c r="C360" t="s">
        <v>163</v>
      </c>
      <c r="D360" t="s">
        <v>11</v>
      </c>
      <c r="E360" t="s">
        <v>25</v>
      </c>
      <c r="F360" t="s">
        <v>26</v>
      </c>
      <c r="G360" t="s">
        <v>15</v>
      </c>
      <c r="H360" t="s">
        <v>16</v>
      </c>
      <c r="I360">
        <v>8.6910000000000007</v>
      </c>
      <c r="J360">
        <v>1.5</v>
      </c>
      <c r="K360" t="s">
        <v>2871</v>
      </c>
      <c r="L360" t="s">
        <v>2872</v>
      </c>
      <c r="M360" t="s">
        <v>2873</v>
      </c>
      <c r="N360">
        <v>35</v>
      </c>
      <c r="O360">
        <v>1</v>
      </c>
      <c r="P360">
        <v>2.86E-2</v>
      </c>
      <c r="Q360" t="s">
        <v>8</v>
      </c>
      <c r="R360" t="s">
        <v>12</v>
      </c>
      <c r="S360" t="s">
        <v>12</v>
      </c>
      <c r="T360" t="s">
        <v>12</v>
      </c>
      <c r="U360" t="s">
        <v>12</v>
      </c>
      <c r="V360" t="s">
        <v>12</v>
      </c>
      <c r="W360" t="s">
        <v>12</v>
      </c>
      <c r="X360" t="s">
        <v>12</v>
      </c>
      <c r="Y360" t="s">
        <v>12</v>
      </c>
      <c r="Z360" t="s">
        <v>12</v>
      </c>
      <c r="AA360" t="s">
        <v>12</v>
      </c>
      <c r="AB360" t="s">
        <v>12</v>
      </c>
      <c r="AC360" t="s">
        <v>12</v>
      </c>
      <c r="AD360" t="s">
        <v>12</v>
      </c>
    </row>
    <row r="361" spans="1:30">
      <c r="A361" t="s">
        <v>162</v>
      </c>
      <c r="B361" t="str">
        <f>Master_Data_Productivity[[#This Row],[Uniq-ID]]&amp;"-"&amp;Master_Data_Productivity[[#This Row],[Period]]</f>
        <v>DC-Document_Controller-029-M5</v>
      </c>
      <c r="C361" t="s">
        <v>163</v>
      </c>
      <c r="D361" t="s">
        <v>11</v>
      </c>
      <c r="E361" t="s">
        <v>28</v>
      </c>
      <c r="F361" t="s">
        <v>29</v>
      </c>
      <c r="G361" t="s">
        <v>15</v>
      </c>
      <c r="H361" t="s">
        <v>16</v>
      </c>
      <c r="I361">
        <v>3.8140000000000001</v>
      </c>
      <c r="J361">
        <v>1.5</v>
      </c>
      <c r="K361" t="s">
        <v>2879</v>
      </c>
      <c r="L361" t="s">
        <v>2894</v>
      </c>
      <c r="M361" t="s">
        <v>2873</v>
      </c>
      <c r="N361">
        <v>26</v>
      </c>
      <c r="O361">
        <v>5</v>
      </c>
      <c r="P361">
        <v>0.1923</v>
      </c>
      <c r="Q361" t="s">
        <v>8</v>
      </c>
      <c r="R361" t="s">
        <v>12</v>
      </c>
      <c r="S361" t="s">
        <v>12</v>
      </c>
      <c r="T361" t="s">
        <v>12</v>
      </c>
      <c r="U361" t="s">
        <v>12</v>
      </c>
      <c r="V361" t="s">
        <v>12</v>
      </c>
      <c r="W361" t="s">
        <v>12</v>
      </c>
      <c r="X361" t="s">
        <v>12</v>
      </c>
      <c r="Y361" t="s">
        <v>12</v>
      </c>
      <c r="Z361" t="s">
        <v>12</v>
      </c>
      <c r="AA361" t="s">
        <v>12</v>
      </c>
      <c r="AB361" t="s">
        <v>12</v>
      </c>
      <c r="AC361" t="s">
        <v>12</v>
      </c>
      <c r="AD361" t="s">
        <v>12</v>
      </c>
    </row>
    <row r="362" spans="1:30">
      <c r="A362" t="s">
        <v>162</v>
      </c>
      <c r="B362" t="str">
        <f>Master_Data_Productivity[[#This Row],[Uniq-ID]]&amp;"-"&amp;Master_Data_Productivity[[#This Row],[Period]]</f>
        <v>DC-Document_Controller-029-M5</v>
      </c>
      <c r="C362" t="s">
        <v>163</v>
      </c>
      <c r="D362" t="s">
        <v>11</v>
      </c>
      <c r="E362" t="s">
        <v>28</v>
      </c>
      <c r="F362" t="s">
        <v>29</v>
      </c>
      <c r="G362" t="s">
        <v>15</v>
      </c>
      <c r="H362" t="s">
        <v>16</v>
      </c>
      <c r="I362">
        <v>3.8140000000000001</v>
      </c>
      <c r="J362">
        <v>1.5</v>
      </c>
      <c r="K362" t="s">
        <v>2871</v>
      </c>
      <c r="L362" t="s">
        <v>2875</v>
      </c>
      <c r="M362" t="s">
        <v>2873</v>
      </c>
      <c r="N362">
        <v>36</v>
      </c>
      <c r="O362">
        <v>2</v>
      </c>
      <c r="P362">
        <v>5.5599999999999997E-2</v>
      </c>
      <c r="Q362" t="s">
        <v>8</v>
      </c>
      <c r="R362" t="s">
        <v>12</v>
      </c>
      <c r="S362" t="s">
        <v>12</v>
      </c>
      <c r="T362" t="s">
        <v>12</v>
      </c>
      <c r="U362" t="s">
        <v>12</v>
      </c>
      <c r="V362" t="s">
        <v>12</v>
      </c>
      <c r="W362" t="s">
        <v>12</v>
      </c>
      <c r="X362" t="s">
        <v>12</v>
      </c>
      <c r="Y362" t="s">
        <v>12</v>
      </c>
      <c r="Z362" t="s">
        <v>12</v>
      </c>
      <c r="AA362" t="s">
        <v>12</v>
      </c>
      <c r="AB362" t="s">
        <v>12</v>
      </c>
      <c r="AC362" t="s">
        <v>12</v>
      </c>
      <c r="AD362" t="s">
        <v>12</v>
      </c>
    </row>
    <row r="363" spans="1:30">
      <c r="A363" t="s">
        <v>162</v>
      </c>
      <c r="B363" t="str">
        <f>Master_Data_Productivity[[#This Row],[Uniq-ID]]&amp;"-"&amp;Master_Data_Productivity[[#This Row],[Period]]</f>
        <v>DC-Document_Controller-029-M5</v>
      </c>
      <c r="C363" t="s">
        <v>163</v>
      </c>
      <c r="D363" t="s">
        <v>11</v>
      </c>
      <c r="E363" t="s">
        <v>28</v>
      </c>
      <c r="F363" t="s">
        <v>29</v>
      </c>
      <c r="G363" t="s">
        <v>15</v>
      </c>
      <c r="H363" t="s">
        <v>16</v>
      </c>
      <c r="I363">
        <v>3.8140000000000001</v>
      </c>
      <c r="J363">
        <v>1.5</v>
      </c>
      <c r="K363" t="s">
        <v>2887</v>
      </c>
      <c r="L363" t="s">
        <v>2979</v>
      </c>
      <c r="M363" t="s">
        <v>2873</v>
      </c>
      <c r="N363">
        <v>205</v>
      </c>
      <c r="O363">
        <v>237</v>
      </c>
      <c r="P363">
        <v>1.1560999999999999</v>
      </c>
      <c r="Q363" t="s">
        <v>8</v>
      </c>
      <c r="R363" t="s">
        <v>12</v>
      </c>
      <c r="S363" t="s">
        <v>12</v>
      </c>
      <c r="T363" t="s">
        <v>12</v>
      </c>
      <c r="U363" t="s">
        <v>12</v>
      </c>
      <c r="V363" t="s">
        <v>12</v>
      </c>
      <c r="W363" t="s">
        <v>12</v>
      </c>
      <c r="X363" t="s">
        <v>12</v>
      </c>
      <c r="Y363" t="s">
        <v>12</v>
      </c>
      <c r="Z363" t="s">
        <v>12</v>
      </c>
      <c r="AA363" t="s">
        <v>12</v>
      </c>
      <c r="AB363" t="s">
        <v>12</v>
      </c>
      <c r="AC363" t="s">
        <v>12</v>
      </c>
      <c r="AD363" t="s">
        <v>12</v>
      </c>
    </row>
    <row r="364" spans="1:30">
      <c r="A364" t="s">
        <v>162</v>
      </c>
      <c r="B364" t="str">
        <f>Master_Data_Productivity[[#This Row],[Uniq-ID]]&amp;"-"&amp;Master_Data_Productivity[[#This Row],[Period]]</f>
        <v>DC-Document_Controller-029-M5</v>
      </c>
      <c r="C364" t="s">
        <v>163</v>
      </c>
      <c r="D364" t="s">
        <v>11</v>
      </c>
      <c r="E364" t="s">
        <v>28</v>
      </c>
      <c r="F364" t="s">
        <v>29</v>
      </c>
      <c r="G364" t="s">
        <v>15</v>
      </c>
      <c r="H364" t="s">
        <v>16</v>
      </c>
      <c r="I364">
        <v>3.8140000000000001</v>
      </c>
      <c r="J364">
        <v>1.5</v>
      </c>
      <c r="K364" t="s">
        <v>2887</v>
      </c>
      <c r="L364" t="s">
        <v>2890</v>
      </c>
      <c r="M364" t="s">
        <v>2873</v>
      </c>
      <c r="N364">
        <v>205</v>
      </c>
      <c r="O364">
        <v>254</v>
      </c>
      <c r="P364">
        <v>1.2390000000000001</v>
      </c>
      <c r="Q364" t="s">
        <v>8</v>
      </c>
      <c r="R364" t="s">
        <v>12</v>
      </c>
      <c r="S364" t="s">
        <v>12</v>
      </c>
      <c r="T364" t="s">
        <v>12</v>
      </c>
      <c r="U364" t="s">
        <v>12</v>
      </c>
      <c r="V364" t="s">
        <v>12</v>
      </c>
      <c r="W364" t="s">
        <v>12</v>
      </c>
      <c r="X364" t="s">
        <v>12</v>
      </c>
      <c r="Y364" t="s">
        <v>12</v>
      </c>
      <c r="Z364" t="s">
        <v>12</v>
      </c>
      <c r="AA364" t="s">
        <v>12</v>
      </c>
      <c r="AB364" t="s">
        <v>12</v>
      </c>
      <c r="AC364" t="s">
        <v>12</v>
      </c>
      <c r="AD364" t="s">
        <v>12</v>
      </c>
    </row>
    <row r="365" spans="1:30">
      <c r="A365" t="s">
        <v>162</v>
      </c>
      <c r="B365" t="str">
        <f>Master_Data_Productivity[[#This Row],[Uniq-ID]]&amp;"-"&amp;Master_Data_Productivity[[#This Row],[Period]]</f>
        <v>DC-Document_Controller-029-M5</v>
      </c>
      <c r="C365" t="s">
        <v>163</v>
      </c>
      <c r="D365" t="s">
        <v>11</v>
      </c>
      <c r="E365" t="s">
        <v>28</v>
      </c>
      <c r="F365" t="s">
        <v>29</v>
      </c>
      <c r="G365" t="s">
        <v>15</v>
      </c>
      <c r="H365" t="s">
        <v>16</v>
      </c>
      <c r="I365">
        <v>3.8140000000000001</v>
      </c>
      <c r="J365">
        <v>1.5</v>
      </c>
      <c r="K365" t="s">
        <v>2887</v>
      </c>
      <c r="L365" t="s">
        <v>2888</v>
      </c>
      <c r="M365" t="s">
        <v>2873</v>
      </c>
      <c r="N365">
        <v>205</v>
      </c>
      <c r="O365">
        <v>240</v>
      </c>
      <c r="P365">
        <v>1.1707000000000001</v>
      </c>
      <c r="Q365" t="s">
        <v>8</v>
      </c>
      <c r="R365" t="s">
        <v>12</v>
      </c>
      <c r="S365" t="s">
        <v>12</v>
      </c>
      <c r="T365" t="s">
        <v>12</v>
      </c>
      <c r="U365" t="s">
        <v>12</v>
      </c>
      <c r="V365" t="s">
        <v>12</v>
      </c>
      <c r="W365" t="s">
        <v>12</v>
      </c>
      <c r="X365" t="s">
        <v>12</v>
      </c>
      <c r="Y365" t="s">
        <v>12</v>
      </c>
      <c r="Z365" t="s">
        <v>12</v>
      </c>
      <c r="AA365" t="s">
        <v>12</v>
      </c>
      <c r="AB365" t="s">
        <v>12</v>
      </c>
      <c r="AC365" t="s">
        <v>12</v>
      </c>
      <c r="AD365" t="s">
        <v>12</v>
      </c>
    </row>
    <row r="366" spans="1:30">
      <c r="A366" t="s">
        <v>162</v>
      </c>
      <c r="B366" t="str">
        <f>Master_Data_Productivity[[#This Row],[Uniq-ID]]&amp;"-"&amp;Master_Data_Productivity[[#This Row],[Period]]</f>
        <v>DC-Document_Controller-029-M6</v>
      </c>
      <c r="C366" t="s">
        <v>163</v>
      </c>
      <c r="D366" t="s">
        <v>11</v>
      </c>
      <c r="E366" t="s">
        <v>31</v>
      </c>
      <c r="F366" t="s">
        <v>32</v>
      </c>
      <c r="G366" t="s">
        <v>33</v>
      </c>
      <c r="H366" t="s">
        <v>44</v>
      </c>
      <c r="I366">
        <v>0.36099999999999999</v>
      </c>
      <c r="J366">
        <v>0.5</v>
      </c>
      <c r="K366" t="s">
        <v>2871</v>
      </c>
      <c r="L366" t="s">
        <v>2875</v>
      </c>
      <c r="M366" t="s">
        <v>2873</v>
      </c>
      <c r="N366">
        <v>36</v>
      </c>
      <c r="O366">
        <v>13</v>
      </c>
      <c r="P366">
        <v>0.36109999999999998</v>
      </c>
      <c r="Q366" t="s">
        <v>8</v>
      </c>
      <c r="R366" t="s">
        <v>12</v>
      </c>
      <c r="S366" t="s">
        <v>12</v>
      </c>
      <c r="T366" t="s">
        <v>12</v>
      </c>
      <c r="U366" t="s">
        <v>12</v>
      </c>
      <c r="V366" t="s">
        <v>12</v>
      </c>
      <c r="W366" t="s">
        <v>12</v>
      </c>
      <c r="X366" t="s">
        <v>12</v>
      </c>
      <c r="Y366" t="s">
        <v>12</v>
      </c>
      <c r="Z366" t="s">
        <v>12</v>
      </c>
      <c r="AA366" t="s">
        <v>12</v>
      </c>
      <c r="AB366" t="s">
        <v>12</v>
      </c>
      <c r="AC366" t="s">
        <v>12</v>
      </c>
      <c r="AD366" t="s">
        <v>12</v>
      </c>
    </row>
    <row r="367" spans="1:30">
      <c r="A367" t="s">
        <v>177</v>
      </c>
      <c r="B367" t="str">
        <f>Master_Data_Productivity[[#This Row],[Uniq-ID]]&amp;"-"&amp;Master_Data_Productivity[[#This Row],[Period]]</f>
        <v>DC-Document_Controller-025-M1</v>
      </c>
      <c r="C367" t="s">
        <v>178</v>
      </c>
      <c r="D367" t="s">
        <v>76</v>
      </c>
      <c r="E367" t="s">
        <v>13</v>
      </c>
      <c r="F367" t="s">
        <v>14</v>
      </c>
      <c r="G367" t="s">
        <v>15</v>
      </c>
      <c r="H367" t="s">
        <v>16</v>
      </c>
      <c r="I367">
        <v>2.0609999999999999</v>
      </c>
      <c r="J367">
        <v>1.03</v>
      </c>
      <c r="K367" t="s">
        <v>2947</v>
      </c>
      <c r="L367" t="s">
        <v>2948</v>
      </c>
      <c r="M367" t="s">
        <v>2873</v>
      </c>
      <c r="N367">
        <v>110</v>
      </c>
      <c r="O367">
        <v>5</v>
      </c>
      <c r="P367">
        <v>4.5499999999999999E-2</v>
      </c>
      <c r="Q367" t="s">
        <v>8</v>
      </c>
      <c r="R367" t="s">
        <v>12</v>
      </c>
      <c r="S367" t="s">
        <v>12</v>
      </c>
      <c r="T367" t="s">
        <v>12</v>
      </c>
      <c r="U367" t="s">
        <v>12</v>
      </c>
      <c r="V367" t="s">
        <v>12</v>
      </c>
      <c r="W367" t="s">
        <v>12</v>
      </c>
      <c r="X367" t="s">
        <v>12</v>
      </c>
      <c r="Y367" t="s">
        <v>12</v>
      </c>
      <c r="Z367" t="s">
        <v>12</v>
      </c>
      <c r="AA367" t="s">
        <v>12</v>
      </c>
      <c r="AB367" t="s">
        <v>12</v>
      </c>
      <c r="AC367" t="s">
        <v>12</v>
      </c>
      <c r="AD367" t="s">
        <v>12</v>
      </c>
    </row>
    <row r="368" spans="1:30">
      <c r="A368" t="s">
        <v>177</v>
      </c>
      <c r="B368" t="str">
        <f>Master_Data_Productivity[[#This Row],[Uniq-ID]]&amp;"-"&amp;Master_Data_Productivity[[#This Row],[Period]]</f>
        <v>DC-Document_Controller-025-M1</v>
      </c>
      <c r="C368" t="s">
        <v>178</v>
      </c>
      <c r="D368" t="s">
        <v>76</v>
      </c>
      <c r="E368" t="s">
        <v>13</v>
      </c>
      <c r="F368" t="s">
        <v>14</v>
      </c>
      <c r="G368" t="s">
        <v>15</v>
      </c>
      <c r="H368" t="s">
        <v>16</v>
      </c>
      <c r="I368">
        <v>2.0609999999999999</v>
      </c>
      <c r="J368">
        <v>1.03</v>
      </c>
      <c r="K368" t="s">
        <v>2947</v>
      </c>
      <c r="L368" t="s">
        <v>2988</v>
      </c>
      <c r="M368" t="s">
        <v>2873</v>
      </c>
      <c r="N368">
        <v>103</v>
      </c>
      <c r="O368">
        <v>32</v>
      </c>
      <c r="P368">
        <v>0.31069999999999998</v>
      </c>
      <c r="Q368" t="s">
        <v>8</v>
      </c>
      <c r="R368" t="s">
        <v>12</v>
      </c>
      <c r="S368" t="s">
        <v>12</v>
      </c>
      <c r="T368" t="s">
        <v>12</v>
      </c>
      <c r="U368" t="s">
        <v>12</v>
      </c>
      <c r="V368" t="s">
        <v>12</v>
      </c>
      <c r="W368" t="s">
        <v>12</v>
      </c>
      <c r="X368" t="s">
        <v>12</v>
      </c>
      <c r="Y368" t="s">
        <v>12</v>
      </c>
      <c r="Z368" t="s">
        <v>12</v>
      </c>
      <c r="AA368" t="s">
        <v>12</v>
      </c>
      <c r="AB368" t="s">
        <v>12</v>
      </c>
      <c r="AC368" t="s">
        <v>12</v>
      </c>
      <c r="AD368" t="s">
        <v>12</v>
      </c>
    </row>
    <row r="369" spans="1:30">
      <c r="A369" t="s">
        <v>177</v>
      </c>
      <c r="B369" t="str">
        <f>Master_Data_Productivity[[#This Row],[Uniq-ID]]&amp;"-"&amp;Master_Data_Productivity[[#This Row],[Period]]</f>
        <v>DC-Document_Controller-025-M1</v>
      </c>
      <c r="C369" t="s">
        <v>178</v>
      </c>
      <c r="D369" t="s">
        <v>76</v>
      </c>
      <c r="E369" t="s">
        <v>13</v>
      </c>
      <c r="F369" t="s">
        <v>14</v>
      </c>
      <c r="G369" t="s">
        <v>15</v>
      </c>
      <c r="H369" t="s">
        <v>16</v>
      </c>
      <c r="I369">
        <v>2.0609999999999999</v>
      </c>
      <c r="J369">
        <v>1.03</v>
      </c>
      <c r="K369" t="s">
        <v>2871</v>
      </c>
      <c r="L369" t="s">
        <v>2954</v>
      </c>
      <c r="M369" t="s">
        <v>2873</v>
      </c>
      <c r="N369">
        <v>220</v>
      </c>
      <c r="O369">
        <v>153</v>
      </c>
      <c r="P369">
        <v>0.69550000000000001</v>
      </c>
      <c r="Q369" t="s">
        <v>8</v>
      </c>
      <c r="R369" t="s">
        <v>12</v>
      </c>
      <c r="S369" t="s">
        <v>12</v>
      </c>
      <c r="T369" t="s">
        <v>12</v>
      </c>
      <c r="U369" t="s">
        <v>12</v>
      </c>
      <c r="V369" t="s">
        <v>12</v>
      </c>
      <c r="W369" t="s">
        <v>12</v>
      </c>
      <c r="X369" t="s">
        <v>12</v>
      </c>
      <c r="Y369" t="s">
        <v>12</v>
      </c>
      <c r="Z369" t="s">
        <v>12</v>
      </c>
      <c r="AA369" t="s">
        <v>12</v>
      </c>
      <c r="AB369" t="s">
        <v>12</v>
      </c>
      <c r="AC369" t="s">
        <v>12</v>
      </c>
      <c r="AD369" t="s">
        <v>12</v>
      </c>
    </row>
    <row r="370" spans="1:30">
      <c r="A370" t="s">
        <v>177</v>
      </c>
      <c r="B370" t="str">
        <f>Master_Data_Productivity[[#This Row],[Uniq-ID]]&amp;"-"&amp;Master_Data_Productivity[[#This Row],[Period]]</f>
        <v>DC-Document_Controller-025-M1</v>
      </c>
      <c r="C370" t="s">
        <v>178</v>
      </c>
      <c r="D370" t="s">
        <v>76</v>
      </c>
      <c r="E370" t="s">
        <v>13</v>
      </c>
      <c r="F370" t="s">
        <v>14</v>
      </c>
      <c r="G370" t="s">
        <v>15</v>
      </c>
      <c r="H370" t="s">
        <v>16</v>
      </c>
      <c r="I370">
        <v>2.0609999999999999</v>
      </c>
      <c r="J370">
        <v>1.03</v>
      </c>
      <c r="K370" t="s">
        <v>2871</v>
      </c>
      <c r="L370" t="s">
        <v>2956</v>
      </c>
      <c r="M370" t="s">
        <v>2873</v>
      </c>
      <c r="N370">
        <v>298</v>
      </c>
      <c r="O370">
        <v>221</v>
      </c>
      <c r="P370">
        <v>0.74160000000000004</v>
      </c>
      <c r="Q370" t="s">
        <v>8</v>
      </c>
      <c r="R370" t="s">
        <v>12</v>
      </c>
      <c r="S370" t="s">
        <v>12</v>
      </c>
      <c r="T370" t="s">
        <v>12</v>
      </c>
      <c r="U370" t="s">
        <v>12</v>
      </c>
      <c r="V370" t="s">
        <v>12</v>
      </c>
      <c r="W370" t="s">
        <v>12</v>
      </c>
      <c r="X370" t="s">
        <v>12</v>
      </c>
      <c r="Y370" t="s">
        <v>12</v>
      </c>
      <c r="Z370" t="s">
        <v>12</v>
      </c>
      <c r="AA370" t="s">
        <v>12</v>
      </c>
      <c r="AB370" t="s">
        <v>12</v>
      </c>
      <c r="AC370" t="s">
        <v>12</v>
      </c>
      <c r="AD370" t="s">
        <v>12</v>
      </c>
    </row>
    <row r="371" spans="1:30">
      <c r="A371" t="s">
        <v>177</v>
      </c>
      <c r="B371" t="str">
        <f>Master_Data_Productivity[[#This Row],[Uniq-ID]]&amp;"-"&amp;Master_Data_Productivity[[#This Row],[Period]]</f>
        <v>DC-Document_Controller-025-M1</v>
      </c>
      <c r="C371" t="s">
        <v>178</v>
      </c>
      <c r="D371" t="s">
        <v>76</v>
      </c>
      <c r="E371" t="s">
        <v>13</v>
      </c>
      <c r="F371" t="s">
        <v>14</v>
      </c>
      <c r="G371" t="s">
        <v>15</v>
      </c>
      <c r="H371" t="s">
        <v>16</v>
      </c>
      <c r="I371">
        <v>2.0609999999999999</v>
      </c>
      <c r="J371">
        <v>1.03</v>
      </c>
      <c r="K371" t="s">
        <v>2887</v>
      </c>
      <c r="L371" t="s">
        <v>2992</v>
      </c>
      <c r="M371" t="s">
        <v>2873</v>
      </c>
      <c r="N371">
        <v>220</v>
      </c>
      <c r="O371">
        <v>59</v>
      </c>
      <c r="P371">
        <v>0.26819999999999999</v>
      </c>
      <c r="Q371" t="s">
        <v>8</v>
      </c>
      <c r="R371" t="s">
        <v>12</v>
      </c>
      <c r="S371" t="s">
        <v>12</v>
      </c>
      <c r="T371" t="s">
        <v>12</v>
      </c>
      <c r="U371" t="s">
        <v>12</v>
      </c>
      <c r="V371" t="s">
        <v>12</v>
      </c>
      <c r="W371" t="s">
        <v>12</v>
      </c>
      <c r="X371" t="s">
        <v>12</v>
      </c>
      <c r="Y371" t="s">
        <v>12</v>
      </c>
      <c r="Z371" t="s">
        <v>12</v>
      </c>
      <c r="AA371" t="s">
        <v>12</v>
      </c>
      <c r="AB371" t="s">
        <v>12</v>
      </c>
      <c r="AC371" t="s">
        <v>12</v>
      </c>
      <c r="AD371" t="s">
        <v>12</v>
      </c>
    </row>
    <row r="372" spans="1:30">
      <c r="A372" t="s">
        <v>177</v>
      </c>
      <c r="B372" t="str">
        <f>Master_Data_Productivity[[#This Row],[Uniq-ID]]&amp;"-"&amp;Master_Data_Productivity[[#This Row],[Period]]</f>
        <v>DC-Document_Controller-025-M2</v>
      </c>
      <c r="C372" t="s">
        <v>178</v>
      </c>
      <c r="D372" t="s">
        <v>76</v>
      </c>
      <c r="E372" t="s">
        <v>18</v>
      </c>
      <c r="F372" t="s">
        <v>19</v>
      </c>
      <c r="G372" t="s">
        <v>15</v>
      </c>
      <c r="H372" t="s">
        <v>20</v>
      </c>
      <c r="I372">
        <v>1.1830000000000001</v>
      </c>
      <c r="J372">
        <v>1</v>
      </c>
      <c r="K372" t="s">
        <v>2871</v>
      </c>
      <c r="L372" t="s">
        <v>2954</v>
      </c>
      <c r="M372" t="s">
        <v>2873</v>
      </c>
      <c r="N372">
        <v>220</v>
      </c>
      <c r="O372">
        <v>90</v>
      </c>
      <c r="P372">
        <v>0.40910000000000002</v>
      </c>
      <c r="Q372" t="s">
        <v>8</v>
      </c>
      <c r="R372" t="s">
        <v>12</v>
      </c>
      <c r="S372" t="s">
        <v>12</v>
      </c>
      <c r="T372" t="s">
        <v>12</v>
      </c>
      <c r="U372" t="s">
        <v>12</v>
      </c>
      <c r="V372" t="s">
        <v>12</v>
      </c>
      <c r="W372" t="s">
        <v>12</v>
      </c>
      <c r="X372" t="s">
        <v>12</v>
      </c>
      <c r="Y372" t="s">
        <v>12</v>
      </c>
      <c r="Z372" t="s">
        <v>12</v>
      </c>
      <c r="AA372" t="s">
        <v>12</v>
      </c>
      <c r="AB372" t="s">
        <v>12</v>
      </c>
      <c r="AC372" t="s">
        <v>12</v>
      </c>
      <c r="AD372" t="s">
        <v>12</v>
      </c>
    </row>
    <row r="373" spans="1:30">
      <c r="A373" t="s">
        <v>177</v>
      </c>
      <c r="B373" t="str">
        <f>Master_Data_Productivity[[#This Row],[Uniq-ID]]&amp;"-"&amp;Master_Data_Productivity[[#This Row],[Period]]</f>
        <v>DC-Document_Controller-025-M2</v>
      </c>
      <c r="C373" t="s">
        <v>178</v>
      </c>
      <c r="D373" t="s">
        <v>76</v>
      </c>
      <c r="E373" t="s">
        <v>18</v>
      </c>
      <c r="F373" t="s">
        <v>19</v>
      </c>
      <c r="G373" t="s">
        <v>15</v>
      </c>
      <c r="H373" t="s">
        <v>20</v>
      </c>
      <c r="I373">
        <v>1.1830000000000001</v>
      </c>
      <c r="J373">
        <v>1</v>
      </c>
      <c r="K373" t="s">
        <v>2871</v>
      </c>
      <c r="L373" t="s">
        <v>2956</v>
      </c>
      <c r="M373" t="s">
        <v>2873</v>
      </c>
      <c r="N373">
        <v>298</v>
      </c>
      <c r="O373">
        <v>94</v>
      </c>
      <c r="P373">
        <v>0.31540000000000001</v>
      </c>
      <c r="Q373" t="s">
        <v>8</v>
      </c>
      <c r="R373" t="s">
        <v>12</v>
      </c>
      <c r="S373" t="s">
        <v>12</v>
      </c>
      <c r="T373" t="s">
        <v>12</v>
      </c>
      <c r="U373" t="s">
        <v>12</v>
      </c>
      <c r="V373" t="s">
        <v>12</v>
      </c>
      <c r="W373" t="s">
        <v>12</v>
      </c>
      <c r="X373" t="s">
        <v>12</v>
      </c>
      <c r="Y373" t="s">
        <v>12</v>
      </c>
      <c r="Z373" t="s">
        <v>12</v>
      </c>
      <c r="AA373" t="s">
        <v>12</v>
      </c>
      <c r="AB373" t="s">
        <v>12</v>
      </c>
      <c r="AC373" t="s">
        <v>12</v>
      </c>
      <c r="AD373" t="s">
        <v>12</v>
      </c>
    </row>
    <row r="374" spans="1:30">
      <c r="A374" t="s">
        <v>177</v>
      </c>
      <c r="B374" t="str">
        <f>Master_Data_Productivity[[#This Row],[Uniq-ID]]&amp;"-"&amp;Master_Data_Productivity[[#This Row],[Period]]</f>
        <v>DC-Document_Controller-025-M2</v>
      </c>
      <c r="C374" t="s">
        <v>178</v>
      </c>
      <c r="D374" t="s">
        <v>76</v>
      </c>
      <c r="E374" t="s">
        <v>18</v>
      </c>
      <c r="F374" t="s">
        <v>19</v>
      </c>
      <c r="G374" t="s">
        <v>15</v>
      </c>
      <c r="H374" t="s">
        <v>20</v>
      </c>
      <c r="I374">
        <v>1.1830000000000001</v>
      </c>
      <c r="J374">
        <v>1</v>
      </c>
      <c r="K374" t="s">
        <v>2947</v>
      </c>
      <c r="L374" t="s">
        <v>2988</v>
      </c>
      <c r="M374" t="s">
        <v>2873</v>
      </c>
      <c r="N374">
        <v>103</v>
      </c>
      <c r="O374">
        <v>29</v>
      </c>
      <c r="P374">
        <v>0.28160000000000002</v>
      </c>
      <c r="Q374" t="s">
        <v>8</v>
      </c>
      <c r="R374" t="s">
        <v>12</v>
      </c>
      <c r="S374" t="s">
        <v>12</v>
      </c>
      <c r="T374" t="s">
        <v>12</v>
      </c>
      <c r="U374" t="s">
        <v>12</v>
      </c>
      <c r="V374" t="s">
        <v>12</v>
      </c>
      <c r="W374" t="s">
        <v>12</v>
      </c>
      <c r="X374" t="s">
        <v>12</v>
      </c>
      <c r="Y374" t="s">
        <v>12</v>
      </c>
      <c r="Z374" t="s">
        <v>12</v>
      </c>
      <c r="AA374" t="s">
        <v>12</v>
      </c>
      <c r="AB374" t="s">
        <v>12</v>
      </c>
      <c r="AC374" t="s">
        <v>12</v>
      </c>
      <c r="AD374" t="s">
        <v>12</v>
      </c>
    </row>
    <row r="375" spans="1:30">
      <c r="A375" t="s">
        <v>177</v>
      </c>
      <c r="B375" t="str">
        <f>Master_Data_Productivity[[#This Row],[Uniq-ID]]&amp;"-"&amp;Master_Data_Productivity[[#This Row],[Period]]</f>
        <v>DC-Document_Controller-025-M2</v>
      </c>
      <c r="C375" t="s">
        <v>178</v>
      </c>
      <c r="D375" t="s">
        <v>76</v>
      </c>
      <c r="E375" t="s">
        <v>18</v>
      </c>
      <c r="F375" t="s">
        <v>19</v>
      </c>
      <c r="G375" t="s">
        <v>15</v>
      </c>
      <c r="H375" t="s">
        <v>20</v>
      </c>
      <c r="I375">
        <v>1.1830000000000001</v>
      </c>
      <c r="J375">
        <v>1</v>
      </c>
      <c r="K375" t="s">
        <v>2947</v>
      </c>
      <c r="L375" t="s">
        <v>2948</v>
      </c>
      <c r="M375" t="s">
        <v>2873</v>
      </c>
      <c r="N375">
        <v>110</v>
      </c>
      <c r="O375">
        <v>3</v>
      </c>
      <c r="P375">
        <v>2.7300000000000001E-2</v>
      </c>
      <c r="Q375" t="s">
        <v>8</v>
      </c>
      <c r="R375" t="s">
        <v>12</v>
      </c>
      <c r="S375" t="s">
        <v>12</v>
      </c>
      <c r="T375" t="s">
        <v>12</v>
      </c>
      <c r="U375" t="s">
        <v>12</v>
      </c>
      <c r="V375" t="s">
        <v>12</v>
      </c>
      <c r="W375" t="s">
        <v>12</v>
      </c>
      <c r="X375" t="s">
        <v>12</v>
      </c>
      <c r="Y375" t="s">
        <v>12</v>
      </c>
      <c r="Z375" t="s">
        <v>12</v>
      </c>
      <c r="AA375" t="s">
        <v>12</v>
      </c>
      <c r="AB375" t="s">
        <v>12</v>
      </c>
      <c r="AC375" t="s">
        <v>12</v>
      </c>
      <c r="AD375" t="s">
        <v>12</v>
      </c>
    </row>
    <row r="376" spans="1:30">
      <c r="A376" t="s">
        <v>177</v>
      </c>
      <c r="B376" t="str">
        <f>Master_Data_Productivity[[#This Row],[Uniq-ID]]&amp;"-"&amp;Master_Data_Productivity[[#This Row],[Period]]</f>
        <v>DC-Document_Controller-025-M2</v>
      </c>
      <c r="C376" t="s">
        <v>178</v>
      </c>
      <c r="D376" t="s">
        <v>76</v>
      </c>
      <c r="E376" t="s">
        <v>18</v>
      </c>
      <c r="F376" t="s">
        <v>19</v>
      </c>
      <c r="G376" t="s">
        <v>15</v>
      </c>
      <c r="H376" t="s">
        <v>20</v>
      </c>
      <c r="I376">
        <v>1.1830000000000001</v>
      </c>
      <c r="J376">
        <v>1</v>
      </c>
      <c r="K376" t="s">
        <v>2887</v>
      </c>
      <c r="L376" t="s">
        <v>2992</v>
      </c>
      <c r="M376" t="s">
        <v>2873</v>
      </c>
      <c r="N376">
        <v>220</v>
      </c>
      <c r="O376">
        <v>33</v>
      </c>
      <c r="P376">
        <v>0.15</v>
      </c>
      <c r="Q376" t="s">
        <v>8</v>
      </c>
      <c r="R376" t="s">
        <v>12</v>
      </c>
      <c r="S376" t="s">
        <v>12</v>
      </c>
      <c r="T376" t="s">
        <v>12</v>
      </c>
      <c r="U376" t="s">
        <v>12</v>
      </c>
      <c r="V376" t="s">
        <v>12</v>
      </c>
      <c r="W376" t="s">
        <v>12</v>
      </c>
      <c r="X376" t="s">
        <v>12</v>
      </c>
      <c r="Y376" t="s">
        <v>12</v>
      </c>
      <c r="Z376" t="s">
        <v>12</v>
      </c>
      <c r="AA376" t="s">
        <v>12</v>
      </c>
      <c r="AB376" t="s">
        <v>12</v>
      </c>
      <c r="AC376" t="s">
        <v>12</v>
      </c>
      <c r="AD376" t="s">
        <v>12</v>
      </c>
    </row>
    <row r="377" spans="1:30">
      <c r="A377" t="s">
        <v>177</v>
      </c>
      <c r="B377" t="str">
        <f>Master_Data_Productivity[[#This Row],[Uniq-ID]]&amp;"-"&amp;Master_Data_Productivity[[#This Row],[Period]]</f>
        <v>DC-Document_Controller-025-M3</v>
      </c>
      <c r="C377" t="s">
        <v>178</v>
      </c>
      <c r="D377" t="s">
        <v>76</v>
      </c>
      <c r="E377" t="s">
        <v>22</v>
      </c>
      <c r="F377" t="s">
        <v>23</v>
      </c>
      <c r="G377" t="s">
        <v>15</v>
      </c>
      <c r="H377" t="s">
        <v>20</v>
      </c>
      <c r="I377">
        <v>1.5209999999999999</v>
      </c>
      <c r="J377">
        <v>1</v>
      </c>
      <c r="K377" t="s">
        <v>2947</v>
      </c>
      <c r="L377" t="s">
        <v>2988</v>
      </c>
      <c r="M377" t="s">
        <v>2873</v>
      </c>
      <c r="N377">
        <v>103</v>
      </c>
      <c r="O377">
        <v>23</v>
      </c>
      <c r="P377">
        <v>0.2233</v>
      </c>
      <c r="Q377" t="s">
        <v>8</v>
      </c>
      <c r="R377" t="s">
        <v>12</v>
      </c>
      <c r="S377" t="s">
        <v>12</v>
      </c>
      <c r="T377" t="s">
        <v>12</v>
      </c>
      <c r="U377" t="s">
        <v>12</v>
      </c>
      <c r="V377" t="s">
        <v>12</v>
      </c>
      <c r="W377" t="s">
        <v>12</v>
      </c>
      <c r="X377" t="s">
        <v>12</v>
      </c>
      <c r="Y377" t="s">
        <v>12</v>
      </c>
      <c r="Z377" t="s">
        <v>12</v>
      </c>
      <c r="AA377" t="s">
        <v>12</v>
      </c>
      <c r="AB377" t="s">
        <v>12</v>
      </c>
      <c r="AC377" t="s">
        <v>12</v>
      </c>
      <c r="AD377" t="s">
        <v>12</v>
      </c>
    </row>
    <row r="378" spans="1:30">
      <c r="A378" t="s">
        <v>177</v>
      </c>
      <c r="B378" t="str">
        <f>Master_Data_Productivity[[#This Row],[Uniq-ID]]&amp;"-"&amp;Master_Data_Productivity[[#This Row],[Period]]</f>
        <v>DC-Document_Controller-025-M3</v>
      </c>
      <c r="C378" t="s">
        <v>178</v>
      </c>
      <c r="D378" t="s">
        <v>76</v>
      </c>
      <c r="E378" t="s">
        <v>22</v>
      </c>
      <c r="F378" t="s">
        <v>23</v>
      </c>
      <c r="G378" t="s">
        <v>15</v>
      </c>
      <c r="H378" t="s">
        <v>20</v>
      </c>
      <c r="I378">
        <v>1.5209999999999999</v>
      </c>
      <c r="J378">
        <v>1</v>
      </c>
      <c r="K378" t="s">
        <v>2947</v>
      </c>
      <c r="L378" t="s">
        <v>2948</v>
      </c>
      <c r="M378" t="s">
        <v>2873</v>
      </c>
      <c r="N378">
        <v>110</v>
      </c>
      <c r="O378">
        <v>1</v>
      </c>
      <c r="P378">
        <v>9.1000000000000004E-3</v>
      </c>
      <c r="Q378" t="s">
        <v>8</v>
      </c>
      <c r="R378" t="s">
        <v>12</v>
      </c>
      <c r="S378" t="s">
        <v>12</v>
      </c>
      <c r="T378" t="s">
        <v>12</v>
      </c>
      <c r="U378" t="s">
        <v>12</v>
      </c>
      <c r="V378" t="s">
        <v>12</v>
      </c>
      <c r="W378" t="s">
        <v>12</v>
      </c>
      <c r="X378" t="s">
        <v>12</v>
      </c>
      <c r="Y378" t="s">
        <v>12</v>
      </c>
      <c r="Z378" t="s">
        <v>12</v>
      </c>
      <c r="AA378" t="s">
        <v>12</v>
      </c>
      <c r="AB378" t="s">
        <v>12</v>
      </c>
      <c r="AC378" t="s">
        <v>12</v>
      </c>
      <c r="AD378" t="s">
        <v>12</v>
      </c>
    </row>
    <row r="379" spans="1:30">
      <c r="A379" t="s">
        <v>177</v>
      </c>
      <c r="B379" t="str">
        <f>Master_Data_Productivity[[#This Row],[Uniq-ID]]&amp;"-"&amp;Master_Data_Productivity[[#This Row],[Period]]</f>
        <v>DC-Document_Controller-025-M3</v>
      </c>
      <c r="C379" t="s">
        <v>178</v>
      </c>
      <c r="D379" t="s">
        <v>76</v>
      </c>
      <c r="E379" t="s">
        <v>22</v>
      </c>
      <c r="F379" t="s">
        <v>23</v>
      </c>
      <c r="G379" t="s">
        <v>15</v>
      </c>
      <c r="H379" t="s">
        <v>20</v>
      </c>
      <c r="I379">
        <v>1.5209999999999999</v>
      </c>
      <c r="J379">
        <v>1</v>
      </c>
      <c r="K379" t="s">
        <v>2887</v>
      </c>
      <c r="L379" t="s">
        <v>2992</v>
      </c>
      <c r="M379" t="s">
        <v>2873</v>
      </c>
      <c r="N379">
        <v>220</v>
      </c>
      <c r="O379">
        <v>56</v>
      </c>
      <c r="P379">
        <v>0.2545</v>
      </c>
      <c r="Q379" t="s">
        <v>8</v>
      </c>
      <c r="R379" t="s">
        <v>12</v>
      </c>
      <c r="S379" t="s">
        <v>12</v>
      </c>
      <c r="T379" t="s">
        <v>12</v>
      </c>
      <c r="U379" t="s">
        <v>12</v>
      </c>
      <c r="V379" t="s">
        <v>12</v>
      </c>
      <c r="W379" t="s">
        <v>12</v>
      </c>
      <c r="X379" t="s">
        <v>12</v>
      </c>
      <c r="Y379" t="s">
        <v>12</v>
      </c>
      <c r="Z379" t="s">
        <v>12</v>
      </c>
      <c r="AA379" t="s">
        <v>12</v>
      </c>
      <c r="AB379" t="s">
        <v>12</v>
      </c>
      <c r="AC379" t="s">
        <v>12</v>
      </c>
      <c r="AD379" t="s">
        <v>12</v>
      </c>
    </row>
    <row r="380" spans="1:30">
      <c r="A380" t="s">
        <v>177</v>
      </c>
      <c r="B380" t="str">
        <f>Master_Data_Productivity[[#This Row],[Uniq-ID]]&amp;"-"&amp;Master_Data_Productivity[[#This Row],[Period]]</f>
        <v>DC-Document_Controller-025-M3</v>
      </c>
      <c r="C380" t="s">
        <v>178</v>
      </c>
      <c r="D380" t="s">
        <v>76</v>
      </c>
      <c r="E380" t="s">
        <v>22</v>
      </c>
      <c r="F380" t="s">
        <v>23</v>
      </c>
      <c r="G380" t="s">
        <v>15</v>
      </c>
      <c r="H380" t="s">
        <v>20</v>
      </c>
      <c r="I380">
        <v>1.5209999999999999</v>
      </c>
      <c r="J380">
        <v>1</v>
      </c>
      <c r="K380" t="s">
        <v>2871</v>
      </c>
      <c r="L380" t="s">
        <v>2956</v>
      </c>
      <c r="M380" t="s">
        <v>2873</v>
      </c>
      <c r="N380">
        <v>298</v>
      </c>
      <c r="O380">
        <v>136</v>
      </c>
      <c r="P380">
        <v>0.45639999999999997</v>
      </c>
      <c r="Q380" t="s">
        <v>8</v>
      </c>
      <c r="R380" t="s">
        <v>12</v>
      </c>
      <c r="S380" t="s">
        <v>12</v>
      </c>
      <c r="T380" t="s">
        <v>12</v>
      </c>
      <c r="U380" t="s">
        <v>12</v>
      </c>
      <c r="V380" t="s">
        <v>12</v>
      </c>
      <c r="W380" t="s">
        <v>12</v>
      </c>
      <c r="X380" t="s">
        <v>12</v>
      </c>
      <c r="Y380" t="s">
        <v>12</v>
      </c>
      <c r="Z380" t="s">
        <v>12</v>
      </c>
      <c r="AA380" t="s">
        <v>12</v>
      </c>
      <c r="AB380" t="s">
        <v>12</v>
      </c>
      <c r="AC380" t="s">
        <v>12</v>
      </c>
      <c r="AD380" t="s">
        <v>12</v>
      </c>
    </row>
    <row r="381" spans="1:30">
      <c r="A381" t="s">
        <v>177</v>
      </c>
      <c r="B381" t="str">
        <f>Master_Data_Productivity[[#This Row],[Uniq-ID]]&amp;"-"&amp;Master_Data_Productivity[[#This Row],[Period]]</f>
        <v>DC-Document_Controller-025-M3</v>
      </c>
      <c r="C381" t="s">
        <v>178</v>
      </c>
      <c r="D381" t="s">
        <v>76</v>
      </c>
      <c r="E381" t="s">
        <v>22</v>
      </c>
      <c r="F381" t="s">
        <v>23</v>
      </c>
      <c r="G381" t="s">
        <v>15</v>
      </c>
      <c r="H381" t="s">
        <v>20</v>
      </c>
      <c r="I381">
        <v>1.5209999999999999</v>
      </c>
      <c r="J381">
        <v>1</v>
      </c>
      <c r="K381" t="s">
        <v>2871</v>
      </c>
      <c r="L381" t="s">
        <v>2954</v>
      </c>
      <c r="M381" t="s">
        <v>2873</v>
      </c>
      <c r="N381">
        <v>220</v>
      </c>
      <c r="O381">
        <v>127</v>
      </c>
      <c r="P381">
        <v>0.57730000000000004</v>
      </c>
      <c r="Q381" t="s">
        <v>8</v>
      </c>
      <c r="R381" t="s">
        <v>12</v>
      </c>
      <c r="S381" t="s">
        <v>12</v>
      </c>
      <c r="T381" t="s">
        <v>12</v>
      </c>
      <c r="U381" t="s">
        <v>12</v>
      </c>
      <c r="V381" t="s">
        <v>12</v>
      </c>
      <c r="W381" t="s">
        <v>12</v>
      </c>
      <c r="X381" t="s">
        <v>12</v>
      </c>
      <c r="Y381" t="s">
        <v>12</v>
      </c>
      <c r="Z381" t="s">
        <v>12</v>
      </c>
      <c r="AA381" t="s">
        <v>12</v>
      </c>
      <c r="AB381" t="s">
        <v>12</v>
      </c>
      <c r="AC381" t="s">
        <v>12</v>
      </c>
      <c r="AD381" t="s">
        <v>12</v>
      </c>
    </row>
    <row r="382" spans="1:30">
      <c r="A382" t="s">
        <v>177</v>
      </c>
      <c r="B382" t="str">
        <f>Master_Data_Productivity[[#This Row],[Uniq-ID]]&amp;"-"&amp;Master_Data_Productivity[[#This Row],[Period]]</f>
        <v>DC-Document_Controller-025-M4</v>
      </c>
      <c r="C382" t="s">
        <v>178</v>
      </c>
      <c r="D382" t="s">
        <v>76</v>
      </c>
      <c r="E382" t="s">
        <v>25</v>
      </c>
      <c r="F382" t="s">
        <v>26</v>
      </c>
      <c r="G382" t="s">
        <v>15</v>
      </c>
      <c r="H382" t="s">
        <v>44</v>
      </c>
      <c r="I382">
        <v>0.85499999999999998</v>
      </c>
      <c r="J382">
        <v>0.86</v>
      </c>
      <c r="K382" t="s">
        <v>2887</v>
      </c>
      <c r="L382" t="s">
        <v>3154</v>
      </c>
      <c r="M382" t="s">
        <v>2916</v>
      </c>
      <c r="N382">
        <v>110</v>
      </c>
      <c r="O382">
        <v>1</v>
      </c>
      <c r="P382">
        <v>9.1000000000000004E-3</v>
      </c>
      <c r="Q382" t="s">
        <v>8</v>
      </c>
      <c r="R382" t="s">
        <v>12</v>
      </c>
      <c r="S382" t="s">
        <v>12</v>
      </c>
      <c r="T382" t="s">
        <v>12</v>
      </c>
      <c r="U382" t="s">
        <v>12</v>
      </c>
      <c r="V382" t="s">
        <v>12</v>
      </c>
      <c r="W382" t="s">
        <v>12</v>
      </c>
      <c r="X382" t="s">
        <v>12</v>
      </c>
      <c r="Y382" t="s">
        <v>12</v>
      </c>
      <c r="Z382" t="s">
        <v>12</v>
      </c>
      <c r="AA382" t="s">
        <v>12</v>
      </c>
      <c r="AB382" t="s">
        <v>12</v>
      </c>
      <c r="AC382" t="s">
        <v>12</v>
      </c>
      <c r="AD382" t="s">
        <v>12</v>
      </c>
    </row>
    <row r="383" spans="1:30">
      <c r="A383" t="s">
        <v>177</v>
      </c>
      <c r="B383" t="str">
        <f>Master_Data_Productivity[[#This Row],[Uniq-ID]]&amp;"-"&amp;Master_Data_Productivity[[#This Row],[Period]]</f>
        <v>DC-Document_Controller-025-M4</v>
      </c>
      <c r="C383" t="s">
        <v>178</v>
      </c>
      <c r="D383" t="s">
        <v>76</v>
      </c>
      <c r="E383" t="s">
        <v>25</v>
      </c>
      <c r="F383" t="s">
        <v>26</v>
      </c>
      <c r="G383" t="s">
        <v>15</v>
      </c>
      <c r="H383" t="s">
        <v>44</v>
      </c>
      <c r="I383">
        <v>0.85499999999999998</v>
      </c>
      <c r="J383">
        <v>0.86</v>
      </c>
      <c r="K383" t="s">
        <v>2887</v>
      </c>
      <c r="L383" t="s">
        <v>2992</v>
      </c>
      <c r="M383" t="s">
        <v>2873</v>
      </c>
      <c r="N383">
        <v>220</v>
      </c>
      <c r="O383">
        <v>68</v>
      </c>
      <c r="P383">
        <v>0.30909999999999999</v>
      </c>
      <c r="Q383" t="s">
        <v>8</v>
      </c>
      <c r="R383" t="s">
        <v>12</v>
      </c>
      <c r="S383" t="s">
        <v>12</v>
      </c>
      <c r="T383" t="s">
        <v>12</v>
      </c>
      <c r="U383" t="s">
        <v>12</v>
      </c>
      <c r="V383" t="s">
        <v>12</v>
      </c>
      <c r="W383" t="s">
        <v>12</v>
      </c>
      <c r="X383" t="s">
        <v>12</v>
      </c>
      <c r="Y383" t="s">
        <v>12</v>
      </c>
      <c r="Z383" t="s">
        <v>12</v>
      </c>
      <c r="AA383" t="s">
        <v>12</v>
      </c>
      <c r="AB383" t="s">
        <v>12</v>
      </c>
      <c r="AC383" t="s">
        <v>12</v>
      </c>
      <c r="AD383" t="s">
        <v>12</v>
      </c>
    </row>
    <row r="384" spans="1:30">
      <c r="A384" t="s">
        <v>177</v>
      </c>
      <c r="B384" t="str">
        <f>Master_Data_Productivity[[#This Row],[Uniq-ID]]&amp;"-"&amp;Master_Data_Productivity[[#This Row],[Period]]</f>
        <v>DC-Document_Controller-025-M4</v>
      </c>
      <c r="C384" t="s">
        <v>178</v>
      </c>
      <c r="D384" t="s">
        <v>76</v>
      </c>
      <c r="E384" t="s">
        <v>25</v>
      </c>
      <c r="F384" t="s">
        <v>26</v>
      </c>
      <c r="G384" t="s">
        <v>15</v>
      </c>
      <c r="H384" t="s">
        <v>44</v>
      </c>
      <c r="I384">
        <v>0.85499999999999998</v>
      </c>
      <c r="J384">
        <v>0.86</v>
      </c>
      <c r="K384" t="s">
        <v>2871</v>
      </c>
      <c r="L384" t="s">
        <v>2956</v>
      </c>
      <c r="M384" t="s">
        <v>2873</v>
      </c>
      <c r="N384">
        <v>298</v>
      </c>
      <c r="O384">
        <v>88</v>
      </c>
      <c r="P384">
        <v>0.29530000000000001</v>
      </c>
      <c r="Q384" t="s">
        <v>8</v>
      </c>
      <c r="R384" t="s">
        <v>12</v>
      </c>
      <c r="S384" t="s">
        <v>12</v>
      </c>
      <c r="T384" t="s">
        <v>12</v>
      </c>
      <c r="U384" t="s">
        <v>12</v>
      </c>
      <c r="V384" t="s">
        <v>12</v>
      </c>
      <c r="W384" t="s">
        <v>12</v>
      </c>
      <c r="X384" t="s">
        <v>12</v>
      </c>
      <c r="Y384" t="s">
        <v>12</v>
      </c>
      <c r="Z384" t="s">
        <v>12</v>
      </c>
      <c r="AA384" t="s">
        <v>12</v>
      </c>
      <c r="AB384" t="s">
        <v>12</v>
      </c>
      <c r="AC384" t="s">
        <v>12</v>
      </c>
      <c r="AD384" t="s">
        <v>12</v>
      </c>
    </row>
    <row r="385" spans="1:30">
      <c r="A385" t="s">
        <v>177</v>
      </c>
      <c r="B385" t="str">
        <f>Master_Data_Productivity[[#This Row],[Uniq-ID]]&amp;"-"&amp;Master_Data_Productivity[[#This Row],[Period]]</f>
        <v>DC-Document_Controller-025-M4</v>
      </c>
      <c r="C385" t="s">
        <v>178</v>
      </c>
      <c r="D385" t="s">
        <v>76</v>
      </c>
      <c r="E385" t="s">
        <v>25</v>
      </c>
      <c r="F385" t="s">
        <v>26</v>
      </c>
      <c r="G385" t="s">
        <v>15</v>
      </c>
      <c r="H385" t="s">
        <v>44</v>
      </c>
      <c r="I385">
        <v>0.85499999999999998</v>
      </c>
      <c r="J385">
        <v>0.86</v>
      </c>
      <c r="K385" t="s">
        <v>2871</v>
      </c>
      <c r="L385" t="s">
        <v>2954</v>
      </c>
      <c r="M385" t="s">
        <v>2873</v>
      </c>
      <c r="N385">
        <v>220</v>
      </c>
      <c r="O385">
        <v>51</v>
      </c>
      <c r="P385">
        <v>0.23180000000000001</v>
      </c>
      <c r="Q385" t="s">
        <v>8</v>
      </c>
      <c r="R385" t="s">
        <v>12</v>
      </c>
      <c r="S385" t="s">
        <v>12</v>
      </c>
      <c r="T385" t="s">
        <v>12</v>
      </c>
      <c r="U385" t="s">
        <v>12</v>
      </c>
      <c r="V385" t="s">
        <v>12</v>
      </c>
      <c r="W385" t="s">
        <v>12</v>
      </c>
      <c r="X385" t="s">
        <v>12</v>
      </c>
      <c r="Y385" t="s">
        <v>12</v>
      </c>
      <c r="Z385" t="s">
        <v>12</v>
      </c>
      <c r="AA385" t="s">
        <v>12</v>
      </c>
      <c r="AB385" t="s">
        <v>12</v>
      </c>
      <c r="AC385" t="s">
        <v>12</v>
      </c>
      <c r="AD385" t="s">
        <v>12</v>
      </c>
    </row>
    <row r="386" spans="1:30">
      <c r="A386" t="s">
        <v>177</v>
      </c>
      <c r="B386" t="str">
        <f>Master_Data_Productivity[[#This Row],[Uniq-ID]]&amp;"-"&amp;Master_Data_Productivity[[#This Row],[Period]]</f>
        <v>DC-Document_Controller-025-M4</v>
      </c>
      <c r="C386" t="s">
        <v>178</v>
      </c>
      <c r="D386" t="s">
        <v>76</v>
      </c>
      <c r="E386" t="s">
        <v>25</v>
      </c>
      <c r="F386" t="s">
        <v>26</v>
      </c>
      <c r="G386" t="s">
        <v>15</v>
      </c>
      <c r="H386" t="s">
        <v>44</v>
      </c>
      <c r="I386">
        <v>0.85499999999999998</v>
      </c>
      <c r="J386">
        <v>0.86</v>
      </c>
      <c r="K386" t="s">
        <v>2947</v>
      </c>
      <c r="L386" t="s">
        <v>2988</v>
      </c>
      <c r="M386" t="s">
        <v>2873</v>
      </c>
      <c r="N386">
        <v>103</v>
      </c>
      <c r="O386">
        <v>1</v>
      </c>
      <c r="P386">
        <v>9.7000000000000003E-3</v>
      </c>
      <c r="Q386" t="s">
        <v>8</v>
      </c>
      <c r="R386" t="s">
        <v>12</v>
      </c>
      <c r="S386" t="s">
        <v>12</v>
      </c>
      <c r="T386" t="s">
        <v>12</v>
      </c>
      <c r="U386" t="s">
        <v>12</v>
      </c>
      <c r="V386" t="s">
        <v>12</v>
      </c>
      <c r="W386" t="s">
        <v>12</v>
      </c>
      <c r="X386" t="s">
        <v>12</v>
      </c>
      <c r="Y386" t="s">
        <v>12</v>
      </c>
      <c r="Z386" t="s">
        <v>12</v>
      </c>
      <c r="AA386" t="s">
        <v>12</v>
      </c>
      <c r="AB386" t="s">
        <v>12</v>
      </c>
      <c r="AC386" t="s">
        <v>12</v>
      </c>
      <c r="AD386" t="s">
        <v>12</v>
      </c>
    </row>
    <row r="387" spans="1:30">
      <c r="A387" t="s">
        <v>177</v>
      </c>
      <c r="B387" t="str">
        <f>Master_Data_Productivity[[#This Row],[Uniq-ID]]&amp;"-"&amp;Master_Data_Productivity[[#This Row],[Period]]</f>
        <v>DC-Document_Controller-025-M5</v>
      </c>
      <c r="C387" t="s">
        <v>178</v>
      </c>
      <c r="D387" t="s">
        <v>76</v>
      </c>
      <c r="E387" t="s">
        <v>28</v>
      </c>
      <c r="F387" t="s">
        <v>29</v>
      </c>
      <c r="G387" t="s">
        <v>15</v>
      </c>
      <c r="H387" t="s">
        <v>44</v>
      </c>
      <c r="I387">
        <v>0.40500000000000003</v>
      </c>
      <c r="J387">
        <v>0.5</v>
      </c>
      <c r="K387" t="s">
        <v>2947</v>
      </c>
      <c r="L387" t="s">
        <v>2988</v>
      </c>
      <c r="M387" t="s">
        <v>2873</v>
      </c>
      <c r="N387">
        <v>103</v>
      </c>
      <c r="O387">
        <v>12</v>
      </c>
      <c r="P387">
        <v>0.11650000000000001</v>
      </c>
      <c r="Q387" t="s">
        <v>8</v>
      </c>
      <c r="R387" t="s">
        <v>12</v>
      </c>
      <c r="S387" t="s">
        <v>12</v>
      </c>
      <c r="T387" t="s">
        <v>12</v>
      </c>
      <c r="U387" t="s">
        <v>12</v>
      </c>
      <c r="V387" t="s">
        <v>12</v>
      </c>
      <c r="W387" t="s">
        <v>12</v>
      </c>
      <c r="X387" t="s">
        <v>12</v>
      </c>
      <c r="Y387" t="s">
        <v>12</v>
      </c>
      <c r="Z387" t="s">
        <v>12</v>
      </c>
      <c r="AA387" t="s">
        <v>12</v>
      </c>
      <c r="AB387" t="s">
        <v>12</v>
      </c>
      <c r="AC387" t="s">
        <v>12</v>
      </c>
      <c r="AD387" t="s">
        <v>12</v>
      </c>
    </row>
    <row r="388" spans="1:30">
      <c r="A388" t="s">
        <v>177</v>
      </c>
      <c r="B388" t="str">
        <f>Master_Data_Productivity[[#This Row],[Uniq-ID]]&amp;"-"&amp;Master_Data_Productivity[[#This Row],[Period]]</f>
        <v>DC-Document_Controller-025-M5</v>
      </c>
      <c r="C388" t="s">
        <v>178</v>
      </c>
      <c r="D388" t="s">
        <v>76</v>
      </c>
      <c r="E388" t="s">
        <v>28</v>
      </c>
      <c r="F388" t="s">
        <v>29</v>
      </c>
      <c r="G388" t="s">
        <v>15</v>
      </c>
      <c r="H388" t="s">
        <v>44</v>
      </c>
      <c r="I388">
        <v>0.40500000000000003</v>
      </c>
      <c r="J388">
        <v>0.5</v>
      </c>
      <c r="K388" t="s">
        <v>2871</v>
      </c>
      <c r="L388" t="s">
        <v>2954</v>
      </c>
      <c r="M388" t="s">
        <v>2873</v>
      </c>
      <c r="N388">
        <v>220</v>
      </c>
      <c r="O388">
        <v>39</v>
      </c>
      <c r="P388">
        <v>0.17730000000000001</v>
      </c>
      <c r="Q388" t="s">
        <v>8</v>
      </c>
      <c r="R388" t="s">
        <v>12</v>
      </c>
      <c r="S388" t="s">
        <v>12</v>
      </c>
      <c r="T388" t="s">
        <v>12</v>
      </c>
      <c r="U388" t="s">
        <v>12</v>
      </c>
      <c r="V388" t="s">
        <v>12</v>
      </c>
      <c r="W388" t="s">
        <v>12</v>
      </c>
      <c r="X388" t="s">
        <v>12</v>
      </c>
      <c r="Y388" t="s">
        <v>12</v>
      </c>
      <c r="Z388" t="s">
        <v>12</v>
      </c>
      <c r="AA388" t="s">
        <v>12</v>
      </c>
      <c r="AB388" t="s">
        <v>12</v>
      </c>
      <c r="AC388" t="s">
        <v>12</v>
      </c>
      <c r="AD388" t="s">
        <v>12</v>
      </c>
    </row>
    <row r="389" spans="1:30">
      <c r="A389" t="s">
        <v>177</v>
      </c>
      <c r="B389" t="str">
        <f>Master_Data_Productivity[[#This Row],[Uniq-ID]]&amp;"-"&amp;Master_Data_Productivity[[#This Row],[Period]]</f>
        <v>DC-Document_Controller-025-M5</v>
      </c>
      <c r="C389" t="s">
        <v>178</v>
      </c>
      <c r="D389" t="s">
        <v>76</v>
      </c>
      <c r="E389" t="s">
        <v>28</v>
      </c>
      <c r="F389" t="s">
        <v>29</v>
      </c>
      <c r="G389" t="s">
        <v>15</v>
      </c>
      <c r="H389" t="s">
        <v>44</v>
      </c>
      <c r="I389">
        <v>0.40500000000000003</v>
      </c>
      <c r="J389">
        <v>0.5</v>
      </c>
      <c r="K389" t="s">
        <v>2871</v>
      </c>
      <c r="L389" t="s">
        <v>2956</v>
      </c>
      <c r="M389" t="s">
        <v>2873</v>
      </c>
      <c r="N389">
        <v>298</v>
      </c>
      <c r="O389">
        <v>6</v>
      </c>
      <c r="P389">
        <v>2.01E-2</v>
      </c>
      <c r="Q389" t="s">
        <v>8</v>
      </c>
      <c r="R389" t="s">
        <v>12</v>
      </c>
      <c r="S389" t="s">
        <v>12</v>
      </c>
      <c r="T389" t="s">
        <v>12</v>
      </c>
      <c r="U389" t="s">
        <v>12</v>
      </c>
      <c r="V389" t="s">
        <v>12</v>
      </c>
      <c r="W389" t="s">
        <v>12</v>
      </c>
      <c r="X389" t="s">
        <v>12</v>
      </c>
      <c r="Y389" t="s">
        <v>12</v>
      </c>
      <c r="Z389" t="s">
        <v>12</v>
      </c>
      <c r="AA389" t="s">
        <v>12</v>
      </c>
      <c r="AB389" t="s">
        <v>12</v>
      </c>
      <c r="AC389" t="s">
        <v>12</v>
      </c>
      <c r="AD389" t="s">
        <v>12</v>
      </c>
    </row>
    <row r="390" spans="1:30">
      <c r="A390" t="s">
        <v>177</v>
      </c>
      <c r="B390" t="str">
        <f>Master_Data_Productivity[[#This Row],[Uniq-ID]]&amp;"-"&amp;Master_Data_Productivity[[#This Row],[Period]]</f>
        <v>DC-Document_Controller-025-M5</v>
      </c>
      <c r="C390" t="s">
        <v>178</v>
      </c>
      <c r="D390" t="s">
        <v>76</v>
      </c>
      <c r="E390" t="s">
        <v>28</v>
      </c>
      <c r="F390" t="s">
        <v>29</v>
      </c>
      <c r="G390" t="s">
        <v>15</v>
      </c>
      <c r="H390" t="s">
        <v>44</v>
      </c>
      <c r="I390">
        <v>0.40500000000000003</v>
      </c>
      <c r="J390">
        <v>0.5</v>
      </c>
      <c r="K390" t="s">
        <v>2887</v>
      </c>
      <c r="L390" t="s">
        <v>2992</v>
      </c>
      <c r="M390" t="s">
        <v>2873</v>
      </c>
      <c r="N390">
        <v>220</v>
      </c>
      <c r="O390">
        <v>20</v>
      </c>
      <c r="P390">
        <v>9.0899999999999995E-2</v>
      </c>
      <c r="Q390" t="s">
        <v>8</v>
      </c>
      <c r="R390" t="s">
        <v>12</v>
      </c>
      <c r="S390" t="s">
        <v>12</v>
      </c>
      <c r="T390" t="s">
        <v>12</v>
      </c>
      <c r="U390" t="s">
        <v>12</v>
      </c>
      <c r="V390" t="s">
        <v>12</v>
      </c>
      <c r="W390" t="s">
        <v>12</v>
      </c>
      <c r="X390" t="s">
        <v>12</v>
      </c>
      <c r="Y390" t="s">
        <v>12</v>
      </c>
      <c r="Z390" t="s">
        <v>12</v>
      </c>
      <c r="AA390" t="s">
        <v>12</v>
      </c>
      <c r="AB390" t="s">
        <v>12</v>
      </c>
      <c r="AC390" t="s">
        <v>12</v>
      </c>
      <c r="AD390" t="s">
        <v>12</v>
      </c>
    </row>
    <row r="391" spans="1:30">
      <c r="A391" t="s">
        <v>177</v>
      </c>
      <c r="B391" t="str">
        <f>Master_Data_Productivity[[#This Row],[Uniq-ID]]&amp;"-"&amp;Master_Data_Productivity[[#This Row],[Period]]</f>
        <v>DC-Document_Controller-025-M6</v>
      </c>
      <c r="C391" t="s">
        <v>178</v>
      </c>
      <c r="D391" t="s">
        <v>76</v>
      </c>
      <c r="E391" t="s">
        <v>31</v>
      </c>
      <c r="F391" t="s">
        <v>32</v>
      </c>
      <c r="G391" t="s">
        <v>33</v>
      </c>
      <c r="H391" t="s">
        <v>44</v>
      </c>
      <c r="I391">
        <v>2.1000000000000001E-2</v>
      </c>
      <c r="J391">
        <v>0.5</v>
      </c>
      <c r="K391" t="s">
        <v>2887</v>
      </c>
      <c r="L391" t="s">
        <v>2992</v>
      </c>
      <c r="M391" t="s">
        <v>2873</v>
      </c>
      <c r="N391">
        <v>220</v>
      </c>
      <c r="O391">
        <v>1</v>
      </c>
      <c r="P391">
        <v>4.4999999999999997E-3</v>
      </c>
      <c r="Q391" t="s">
        <v>8</v>
      </c>
      <c r="R391" t="s">
        <v>12</v>
      </c>
      <c r="S391" t="s">
        <v>12</v>
      </c>
      <c r="T391" t="s">
        <v>12</v>
      </c>
      <c r="U391" t="s">
        <v>12</v>
      </c>
      <c r="V391" t="s">
        <v>12</v>
      </c>
      <c r="W391" t="s">
        <v>12</v>
      </c>
      <c r="X391" t="s">
        <v>12</v>
      </c>
      <c r="Y391" t="s">
        <v>12</v>
      </c>
      <c r="Z391" t="s">
        <v>12</v>
      </c>
      <c r="AA391" t="s">
        <v>12</v>
      </c>
      <c r="AB391" t="s">
        <v>12</v>
      </c>
      <c r="AC391" t="s">
        <v>12</v>
      </c>
      <c r="AD391" t="s">
        <v>12</v>
      </c>
    </row>
    <row r="392" spans="1:30">
      <c r="A392" t="s">
        <v>177</v>
      </c>
      <c r="B392" t="str">
        <f>Master_Data_Productivity[[#This Row],[Uniq-ID]]&amp;"-"&amp;Master_Data_Productivity[[#This Row],[Period]]</f>
        <v>DC-Document_Controller-025-M6</v>
      </c>
      <c r="C392" t="s">
        <v>178</v>
      </c>
      <c r="D392" t="s">
        <v>76</v>
      </c>
      <c r="E392" t="s">
        <v>31</v>
      </c>
      <c r="F392" t="s">
        <v>32</v>
      </c>
      <c r="G392" t="s">
        <v>33</v>
      </c>
      <c r="H392" t="s">
        <v>44</v>
      </c>
      <c r="I392">
        <v>2.1000000000000001E-2</v>
      </c>
      <c r="J392">
        <v>0.5</v>
      </c>
      <c r="K392" t="s">
        <v>2871</v>
      </c>
      <c r="L392" t="s">
        <v>2956</v>
      </c>
      <c r="M392" t="s">
        <v>2873</v>
      </c>
      <c r="N392">
        <v>298</v>
      </c>
      <c r="O392">
        <v>2</v>
      </c>
      <c r="P392">
        <v>6.7000000000000002E-3</v>
      </c>
      <c r="Q392" t="s">
        <v>8</v>
      </c>
      <c r="R392" t="s">
        <v>12</v>
      </c>
      <c r="S392" t="s">
        <v>12</v>
      </c>
      <c r="T392" t="s">
        <v>12</v>
      </c>
      <c r="U392" t="s">
        <v>12</v>
      </c>
      <c r="V392" t="s">
        <v>12</v>
      </c>
      <c r="W392" t="s">
        <v>12</v>
      </c>
      <c r="X392" t="s">
        <v>12</v>
      </c>
      <c r="Y392" t="s">
        <v>12</v>
      </c>
      <c r="Z392" t="s">
        <v>12</v>
      </c>
      <c r="AA392" t="s">
        <v>12</v>
      </c>
      <c r="AB392" t="s">
        <v>12</v>
      </c>
      <c r="AC392" t="s">
        <v>12</v>
      </c>
      <c r="AD392" t="s">
        <v>12</v>
      </c>
    </row>
    <row r="393" spans="1:30">
      <c r="A393" t="s">
        <v>177</v>
      </c>
      <c r="B393" t="str">
        <f>Master_Data_Productivity[[#This Row],[Uniq-ID]]&amp;"-"&amp;Master_Data_Productivity[[#This Row],[Period]]</f>
        <v>DC-Document_Controller-025-M6</v>
      </c>
      <c r="C393" t="s">
        <v>178</v>
      </c>
      <c r="D393" t="s">
        <v>76</v>
      </c>
      <c r="E393" t="s">
        <v>31</v>
      </c>
      <c r="F393" t="s">
        <v>32</v>
      </c>
      <c r="G393" t="s">
        <v>33</v>
      </c>
      <c r="H393" t="s">
        <v>44</v>
      </c>
      <c r="I393">
        <v>2.1000000000000001E-2</v>
      </c>
      <c r="J393">
        <v>0.5</v>
      </c>
      <c r="K393" t="s">
        <v>2947</v>
      </c>
      <c r="L393" t="s">
        <v>2988</v>
      </c>
      <c r="M393" t="s">
        <v>2873</v>
      </c>
      <c r="N393">
        <v>103</v>
      </c>
      <c r="O393">
        <v>1</v>
      </c>
      <c r="P393">
        <v>9.7000000000000003E-3</v>
      </c>
      <c r="Q393" t="s">
        <v>8</v>
      </c>
      <c r="R393" t="s">
        <v>12</v>
      </c>
      <c r="S393" t="s">
        <v>12</v>
      </c>
      <c r="T393" t="s">
        <v>12</v>
      </c>
      <c r="U393" t="s">
        <v>12</v>
      </c>
      <c r="V393" t="s">
        <v>12</v>
      </c>
      <c r="W393" t="s">
        <v>12</v>
      </c>
      <c r="X393" t="s">
        <v>12</v>
      </c>
      <c r="Y393" t="s">
        <v>12</v>
      </c>
      <c r="Z393" t="s">
        <v>12</v>
      </c>
      <c r="AA393" t="s">
        <v>12</v>
      </c>
      <c r="AB393" t="s">
        <v>12</v>
      </c>
      <c r="AC393" t="s">
        <v>12</v>
      </c>
      <c r="AD393" t="s">
        <v>12</v>
      </c>
    </row>
    <row r="394" spans="1:30">
      <c r="A394" t="s">
        <v>258</v>
      </c>
      <c r="B394" t="str">
        <f>Master_Data_Productivity[[#This Row],[Uniq-ID]]&amp;"-"&amp;Master_Data_Productivity[[#This Row],[Period]]</f>
        <v>DC-Document_Controller-005-M1</v>
      </c>
      <c r="C394" t="s">
        <v>259</v>
      </c>
      <c r="D394" t="s">
        <v>11</v>
      </c>
      <c r="E394" t="s">
        <v>13</v>
      </c>
      <c r="F394" t="s">
        <v>49</v>
      </c>
      <c r="G394" t="s">
        <v>15</v>
      </c>
      <c r="H394" t="s">
        <v>20</v>
      </c>
      <c r="I394">
        <v>1.5249999999999999</v>
      </c>
      <c r="J394">
        <v>1</v>
      </c>
      <c r="K394" t="s">
        <v>2879</v>
      </c>
      <c r="L394" t="s">
        <v>2894</v>
      </c>
      <c r="M394" t="s">
        <v>2873</v>
      </c>
      <c r="N394">
        <v>26</v>
      </c>
      <c r="O394">
        <v>33</v>
      </c>
      <c r="P394">
        <v>1.2692000000000001</v>
      </c>
      <c r="Q394" t="s">
        <v>8</v>
      </c>
      <c r="R394" t="s">
        <v>12</v>
      </c>
      <c r="S394" t="s">
        <v>12</v>
      </c>
      <c r="T394" t="s">
        <v>12</v>
      </c>
      <c r="U394" t="s">
        <v>12</v>
      </c>
      <c r="V394" t="s">
        <v>12</v>
      </c>
      <c r="W394" t="s">
        <v>12</v>
      </c>
      <c r="X394" t="s">
        <v>12</v>
      </c>
      <c r="Y394" t="s">
        <v>12</v>
      </c>
      <c r="Z394" t="s">
        <v>12</v>
      </c>
      <c r="AA394" t="s">
        <v>12</v>
      </c>
      <c r="AB394" t="s">
        <v>12</v>
      </c>
      <c r="AC394" t="s">
        <v>12</v>
      </c>
      <c r="AD394" t="s">
        <v>12</v>
      </c>
    </row>
    <row r="395" spans="1:30">
      <c r="A395" t="s">
        <v>258</v>
      </c>
      <c r="B395" t="str">
        <f>Master_Data_Productivity[[#This Row],[Uniq-ID]]&amp;"-"&amp;Master_Data_Productivity[[#This Row],[Period]]</f>
        <v>DC-Document_Controller-005-M1</v>
      </c>
      <c r="C395" t="s">
        <v>259</v>
      </c>
      <c r="D395" t="s">
        <v>11</v>
      </c>
      <c r="E395" t="s">
        <v>13</v>
      </c>
      <c r="F395" t="s">
        <v>49</v>
      </c>
      <c r="G395" t="s">
        <v>15</v>
      </c>
      <c r="H395" t="s">
        <v>20</v>
      </c>
      <c r="I395">
        <v>1.5249999999999999</v>
      </c>
      <c r="J395">
        <v>1</v>
      </c>
      <c r="K395" t="s">
        <v>2871</v>
      </c>
      <c r="L395" t="s">
        <v>2875</v>
      </c>
      <c r="M395" t="s">
        <v>2873</v>
      </c>
      <c r="N395">
        <v>36</v>
      </c>
      <c r="O395">
        <v>2</v>
      </c>
      <c r="P395">
        <v>5.5599999999999997E-2</v>
      </c>
      <c r="Q395" t="s">
        <v>8</v>
      </c>
      <c r="R395" t="s">
        <v>12</v>
      </c>
      <c r="S395" t="s">
        <v>12</v>
      </c>
      <c r="T395" t="s">
        <v>12</v>
      </c>
      <c r="U395" t="s">
        <v>12</v>
      </c>
      <c r="V395" t="s">
        <v>12</v>
      </c>
      <c r="W395" t="s">
        <v>12</v>
      </c>
      <c r="X395" t="s">
        <v>12</v>
      </c>
      <c r="Y395" t="s">
        <v>12</v>
      </c>
      <c r="Z395" t="s">
        <v>12</v>
      </c>
      <c r="AA395" t="s">
        <v>12</v>
      </c>
      <c r="AB395" t="s">
        <v>12</v>
      </c>
      <c r="AC395" t="s">
        <v>12</v>
      </c>
      <c r="AD395" t="s">
        <v>12</v>
      </c>
    </row>
    <row r="396" spans="1:30">
      <c r="A396" t="s">
        <v>258</v>
      </c>
      <c r="B396" t="str">
        <f>Master_Data_Productivity[[#This Row],[Uniq-ID]]&amp;"-"&amp;Master_Data_Productivity[[#This Row],[Period]]</f>
        <v>DC-Document_Controller-005-M1</v>
      </c>
      <c r="C396" t="s">
        <v>259</v>
      </c>
      <c r="D396" t="s">
        <v>11</v>
      </c>
      <c r="E396" t="s">
        <v>13</v>
      </c>
      <c r="F396" t="s">
        <v>49</v>
      </c>
      <c r="G396" t="s">
        <v>15</v>
      </c>
      <c r="H396" t="s">
        <v>20</v>
      </c>
      <c r="I396">
        <v>1.5249999999999999</v>
      </c>
      <c r="J396">
        <v>1</v>
      </c>
      <c r="K396" t="s">
        <v>2871</v>
      </c>
      <c r="L396" t="s">
        <v>2872</v>
      </c>
      <c r="M396" t="s">
        <v>2873</v>
      </c>
      <c r="N396">
        <v>35</v>
      </c>
      <c r="O396">
        <v>7</v>
      </c>
      <c r="P396">
        <v>0.2</v>
      </c>
      <c r="Q396" t="s">
        <v>8</v>
      </c>
      <c r="R396" t="s">
        <v>12</v>
      </c>
      <c r="S396" t="s">
        <v>12</v>
      </c>
      <c r="T396" t="s">
        <v>12</v>
      </c>
      <c r="U396" t="s">
        <v>12</v>
      </c>
      <c r="V396" t="s">
        <v>12</v>
      </c>
      <c r="W396" t="s">
        <v>12</v>
      </c>
      <c r="X396" t="s">
        <v>12</v>
      </c>
      <c r="Y396" t="s">
        <v>12</v>
      </c>
      <c r="Z396" t="s">
        <v>12</v>
      </c>
      <c r="AA396" t="s">
        <v>12</v>
      </c>
      <c r="AB396" t="s">
        <v>12</v>
      </c>
      <c r="AC396" t="s">
        <v>12</v>
      </c>
      <c r="AD396" t="s">
        <v>12</v>
      </c>
    </row>
    <row r="397" spans="1:30">
      <c r="A397" t="s">
        <v>258</v>
      </c>
      <c r="B397" t="str">
        <f>Master_Data_Productivity[[#This Row],[Uniq-ID]]&amp;"-"&amp;Master_Data_Productivity[[#This Row],[Period]]</f>
        <v>DC-Document_Controller-005-M2</v>
      </c>
      <c r="C397" t="s">
        <v>259</v>
      </c>
      <c r="D397" t="s">
        <v>11</v>
      </c>
      <c r="E397" t="s">
        <v>18</v>
      </c>
      <c r="F397" t="s">
        <v>51</v>
      </c>
      <c r="G397" t="s">
        <v>15</v>
      </c>
      <c r="H397" t="s">
        <v>16</v>
      </c>
      <c r="I397">
        <v>2.5510000000000002</v>
      </c>
      <c r="J397">
        <v>1.28</v>
      </c>
      <c r="K397" t="s">
        <v>2871</v>
      </c>
      <c r="L397" t="s">
        <v>2875</v>
      </c>
      <c r="M397" t="s">
        <v>2873</v>
      </c>
      <c r="N397">
        <v>36</v>
      </c>
      <c r="O397">
        <v>5</v>
      </c>
      <c r="P397">
        <v>0.1389</v>
      </c>
      <c r="Q397" t="s">
        <v>8</v>
      </c>
      <c r="R397" t="s">
        <v>12</v>
      </c>
      <c r="S397" t="s">
        <v>12</v>
      </c>
      <c r="T397" t="s">
        <v>12</v>
      </c>
      <c r="U397" t="s">
        <v>12</v>
      </c>
      <c r="V397" t="s">
        <v>12</v>
      </c>
      <c r="W397" t="s">
        <v>12</v>
      </c>
      <c r="X397" t="s">
        <v>12</v>
      </c>
      <c r="Y397" t="s">
        <v>12</v>
      </c>
      <c r="Z397" t="s">
        <v>12</v>
      </c>
      <c r="AA397" t="s">
        <v>12</v>
      </c>
      <c r="AB397" t="s">
        <v>12</v>
      </c>
      <c r="AC397" t="s">
        <v>12</v>
      </c>
      <c r="AD397" t="s">
        <v>12</v>
      </c>
    </row>
    <row r="398" spans="1:30">
      <c r="A398" t="s">
        <v>258</v>
      </c>
      <c r="B398" t="str">
        <f>Master_Data_Productivity[[#This Row],[Uniq-ID]]&amp;"-"&amp;Master_Data_Productivity[[#This Row],[Period]]</f>
        <v>DC-Document_Controller-005-M2</v>
      </c>
      <c r="C398" t="s">
        <v>259</v>
      </c>
      <c r="D398" t="s">
        <v>11</v>
      </c>
      <c r="E398" t="s">
        <v>18</v>
      </c>
      <c r="F398" t="s">
        <v>51</v>
      </c>
      <c r="G398" t="s">
        <v>15</v>
      </c>
      <c r="H398" t="s">
        <v>16</v>
      </c>
      <c r="I398">
        <v>2.5510000000000002</v>
      </c>
      <c r="J398">
        <v>1.28</v>
      </c>
      <c r="K398" t="s">
        <v>2871</v>
      </c>
      <c r="L398" t="s">
        <v>2872</v>
      </c>
      <c r="M398" t="s">
        <v>2873</v>
      </c>
      <c r="N398">
        <v>35</v>
      </c>
      <c r="O398">
        <v>5</v>
      </c>
      <c r="P398">
        <v>0.1429</v>
      </c>
      <c r="Q398" t="s">
        <v>8</v>
      </c>
      <c r="R398" t="s">
        <v>12</v>
      </c>
      <c r="S398" t="s">
        <v>12</v>
      </c>
      <c r="T398" t="s">
        <v>12</v>
      </c>
      <c r="U398" t="s">
        <v>12</v>
      </c>
      <c r="V398" t="s">
        <v>12</v>
      </c>
      <c r="W398" t="s">
        <v>12</v>
      </c>
      <c r="X398" t="s">
        <v>12</v>
      </c>
      <c r="Y398" t="s">
        <v>12</v>
      </c>
      <c r="Z398" t="s">
        <v>12</v>
      </c>
      <c r="AA398" t="s">
        <v>12</v>
      </c>
      <c r="AB398" t="s">
        <v>12</v>
      </c>
      <c r="AC398" t="s">
        <v>12</v>
      </c>
      <c r="AD398" t="s">
        <v>12</v>
      </c>
    </row>
    <row r="399" spans="1:30">
      <c r="A399" t="s">
        <v>258</v>
      </c>
      <c r="B399" t="str">
        <f>Master_Data_Productivity[[#This Row],[Uniq-ID]]&amp;"-"&amp;Master_Data_Productivity[[#This Row],[Period]]</f>
        <v>DC-Document_Controller-005-M2</v>
      </c>
      <c r="C399" t="s">
        <v>259</v>
      </c>
      <c r="D399" t="s">
        <v>11</v>
      </c>
      <c r="E399" t="s">
        <v>18</v>
      </c>
      <c r="F399" t="s">
        <v>51</v>
      </c>
      <c r="G399" t="s">
        <v>15</v>
      </c>
      <c r="H399" t="s">
        <v>16</v>
      </c>
      <c r="I399">
        <v>2.5510000000000002</v>
      </c>
      <c r="J399">
        <v>1.28</v>
      </c>
      <c r="K399" t="s">
        <v>2879</v>
      </c>
      <c r="L399" t="s">
        <v>2894</v>
      </c>
      <c r="M399" t="s">
        <v>2873</v>
      </c>
      <c r="N399">
        <v>26</v>
      </c>
      <c r="O399">
        <v>59</v>
      </c>
      <c r="P399">
        <v>2.2692000000000001</v>
      </c>
      <c r="Q399" t="s">
        <v>8</v>
      </c>
      <c r="R399" t="s">
        <v>12</v>
      </c>
      <c r="S399" t="s">
        <v>12</v>
      </c>
      <c r="T399" t="s">
        <v>12</v>
      </c>
      <c r="U399" t="s">
        <v>12</v>
      </c>
      <c r="V399" t="s">
        <v>12</v>
      </c>
      <c r="W399" t="s">
        <v>12</v>
      </c>
      <c r="X399" t="s">
        <v>12</v>
      </c>
      <c r="Y399" t="s">
        <v>12</v>
      </c>
      <c r="Z399" t="s">
        <v>12</v>
      </c>
      <c r="AA399" t="s">
        <v>12</v>
      </c>
      <c r="AB399" t="s">
        <v>12</v>
      </c>
      <c r="AC399" t="s">
        <v>12</v>
      </c>
      <c r="AD399" t="s">
        <v>12</v>
      </c>
    </row>
    <row r="400" spans="1:30">
      <c r="A400" t="s">
        <v>258</v>
      </c>
      <c r="B400" t="str">
        <f>Master_Data_Productivity[[#This Row],[Uniq-ID]]&amp;"-"&amp;Master_Data_Productivity[[#This Row],[Period]]</f>
        <v>DC-Document_Controller-005-M3</v>
      </c>
      <c r="C400" t="s">
        <v>259</v>
      </c>
      <c r="D400" t="s">
        <v>11</v>
      </c>
      <c r="E400" t="s">
        <v>22</v>
      </c>
      <c r="F400" t="s">
        <v>52</v>
      </c>
      <c r="G400" t="s">
        <v>15</v>
      </c>
      <c r="H400" t="s">
        <v>20</v>
      </c>
      <c r="I400">
        <v>1.23</v>
      </c>
      <c r="J400">
        <v>1</v>
      </c>
      <c r="K400" t="s">
        <v>2871</v>
      </c>
      <c r="L400" t="s">
        <v>2875</v>
      </c>
      <c r="M400" t="s">
        <v>2873</v>
      </c>
      <c r="N400">
        <v>36</v>
      </c>
      <c r="O400">
        <v>27</v>
      </c>
      <c r="P400">
        <v>0.75</v>
      </c>
      <c r="Q400" t="s">
        <v>8</v>
      </c>
      <c r="R400" t="s">
        <v>12</v>
      </c>
      <c r="S400" t="s">
        <v>12</v>
      </c>
      <c r="T400" t="s">
        <v>12</v>
      </c>
      <c r="U400" t="s">
        <v>12</v>
      </c>
      <c r="V400" t="s">
        <v>12</v>
      </c>
      <c r="W400" t="s">
        <v>12</v>
      </c>
      <c r="X400" t="s">
        <v>12</v>
      </c>
      <c r="Y400" t="s">
        <v>12</v>
      </c>
      <c r="Z400" t="s">
        <v>12</v>
      </c>
      <c r="AA400" t="s">
        <v>12</v>
      </c>
      <c r="AB400" t="s">
        <v>12</v>
      </c>
      <c r="AC400" t="s">
        <v>12</v>
      </c>
      <c r="AD400" t="s">
        <v>12</v>
      </c>
    </row>
    <row r="401" spans="1:30">
      <c r="A401" t="s">
        <v>258</v>
      </c>
      <c r="B401" t="str">
        <f>Master_Data_Productivity[[#This Row],[Uniq-ID]]&amp;"-"&amp;Master_Data_Productivity[[#This Row],[Period]]</f>
        <v>DC-Document_Controller-005-M3</v>
      </c>
      <c r="C401" t="s">
        <v>259</v>
      </c>
      <c r="D401" t="s">
        <v>11</v>
      </c>
      <c r="E401" t="s">
        <v>22</v>
      </c>
      <c r="F401" t="s">
        <v>52</v>
      </c>
      <c r="G401" t="s">
        <v>15</v>
      </c>
      <c r="H401" t="s">
        <v>20</v>
      </c>
      <c r="I401">
        <v>1.23</v>
      </c>
      <c r="J401">
        <v>1</v>
      </c>
      <c r="K401" t="s">
        <v>2871</v>
      </c>
      <c r="L401" t="s">
        <v>2872</v>
      </c>
      <c r="M401" t="s">
        <v>2873</v>
      </c>
      <c r="N401">
        <v>35</v>
      </c>
      <c r="O401">
        <v>2</v>
      </c>
      <c r="P401">
        <v>5.7099999999999998E-2</v>
      </c>
      <c r="Q401" t="s">
        <v>8</v>
      </c>
      <c r="R401" t="s">
        <v>12</v>
      </c>
      <c r="S401" t="s">
        <v>12</v>
      </c>
      <c r="T401" t="s">
        <v>12</v>
      </c>
      <c r="U401" t="s">
        <v>12</v>
      </c>
      <c r="V401" t="s">
        <v>12</v>
      </c>
      <c r="W401" t="s">
        <v>12</v>
      </c>
      <c r="X401" t="s">
        <v>12</v>
      </c>
      <c r="Y401" t="s">
        <v>12</v>
      </c>
      <c r="Z401" t="s">
        <v>12</v>
      </c>
      <c r="AA401" t="s">
        <v>12</v>
      </c>
      <c r="AB401" t="s">
        <v>12</v>
      </c>
      <c r="AC401" t="s">
        <v>12</v>
      </c>
      <c r="AD401" t="s">
        <v>12</v>
      </c>
    </row>
    <row r="402" spans="1:30">
      <c r="A402" t="s">
        <v>258</v>
      </c>
      <c r="B402" t="str">
        <f>Master_Data_Productivity[[#This Row],[Uniq-ID]]&amp;"-"&amp;Master_Data_Productivity[[#This Row],[Period]]</f>
        <v>DC-Document_Controller-005-M3</v>
      </c>
      <c r="C402" t="s">
        <v>259</v>
      </c>
      <c r="D402" t="s">
        <v>11</v>
      </c>
      <c r="E402" t="s">
        <v>22</v>
      </c>
      <c r="F402" t="s">
        <v>52</v>
      </c>
      <c r="G402" t="s">
        <v>15</v>
      </c>
      <c r="H402" t="s">
        <v>20</v>
      </c>
      <c r="I402">
        <v>1.23</v>
      </c>
      <c r="J402">
        <v>1</v>
      </c>
      <c r="K402" t="s">
        <v>2879</v>
      </c>
      <c r="L402" t="s">
        <v>2894</v>
      </c>
      <c r="M402" t="s">
        <v>2873</v>
      </c>
      <c r="N402">
        <v>26</v>
      </c>
      <c r="O402">
        <v>11</v>
      </c>
      <c r="P402">
        <v>0.42309999999999998</v>
      </c>
      <c r="Q402" t="s">
        <v>8</v>
      </c>
      <c r="R402" t="s">
        <v>12</v>
      </c>
      <c r="S402" t="s">
        <v>12</v>
      </c>
      <c r="T402" t="s">
        <v>12</v>
      </c>
      <c r="U402" t="s">
        <v>12</v>
      </c>
      <c r="V402" t="s">
        <v>12</v>
      </c>
      <c r="W402" t="s">
        <v>12</v>
      </c>
      <c r="X402" t="s">
        <v>12</v>
      </c>
      <c r="Y402" t="s">
        <v>12</v>
      </c>
      <c r="Z402" t="s">
        <v>12</v>
      </c>
      <c r="AA402" t="s">
        <v>12</v>
      </c>
      <c r="AB402" t="s">
        <v>12</v>
      </c>
      <c r="AC402" t="s">
        <v>12</v>
      </c>
      <c r="AD402" t="s">
        <v>12</v>
      </c>
    </row>
    <row r="403" spans="1:30">
      <c r="A403" t="s">
        <v>258</v>
      </c>
      <c r="B403" t="str">
        <f>Master_Data_Productivity[[#This Row],[Uniq-ID]]&amp;"-"&amp;Master_Data_Productivity[[#This Row],[Period]]</f>
        <v>DC-Document_Controller-005-M4</v>
      </c>
      <c r="C403" t="s">
        <v>259</v>
      </c>
      <c r="D403" t="s">
        <v>11</v>
      </c>
      <c r="E403" t="s">
        <v>25</v>
      </c>
      <c r="F403" t="s">
        <v>54</v>
      </c>
      <c r="G403" t="s">
        <v>15</v>
      </c>
      <c r="H403" t="s">
        <v>16</v>
      </c>
      <c r="I403">
        <v>5.1260000000000003</v>
      </c>
      <c r="J403">
        <v>1.5</v>
      </c>
      <c r="K403" t="s">
        <v>2879</v>
      </c>
      <c r="L403" t="s">
        <v>2894</v>
      </c>
      <c r="M403" t="s">
        <v>2873</v>
      </c>
      <c r="N403">
        <v>26</v>
      </c>
      <c r="O403">
        <v>100</v>
      </c>
      <c r="P403">
        <v>3.8462000000000001</v>
      </c>
      <c r="Q403" t="s">
        <v>8</v>
      </c>
      <c r="R403" t="s">
        <v>12</v>
      </c>
      <c r="S403" t="s">
        <v>12</v>
      </c>
      <c r="T403" t="s">
        <v>12</v>
      </c>
      <c r="U403" t="s">
        <v>12</v>
      </c>
      <c r="V403" t="s">
        <v>12</v>
      </c>
      <c r="W403" t="s">
        <v>12</v>
      </c>
      <c r="X403" t="s">
        <v>12</v>
      </c>
      <c r="Y403" t="s">
        <v>12</v>
      </c>
      <c r="Z403" t="s">
        <v>12</v>
      </c>
      <c r="AA403" t="s">
        <v>12</v>
      </c>
      <c r="AB403" t="s">
        <v>12</v>
      </c>
      <c r="AC403" t="s">
        <v>12</v>
      </c>
      <c r="AD403" t="s">
        <v>12</v>
      </c>
    </row>
    <row r="404" spans="1:30">
      <c r="A404" t="s">
        <v>258</v>
      </c>
      <c r="B404" t="str">
        <f>Master_Data_Productivity[[#This Row],[Uniq-ID]]&amp;"-"&amp;Master_Data_Productivity[[#This Row],[Period]]</f>
        <v>DC-Document_Controller-005-M4</v>
      </c>
      <c r="C404" t="s">
        <v>259</v>
      </c>
      <c r="D404" t="s">
        <v>11</v>
      </c>
      <c r="E404" t="s">
        <v>25</v>
      </c>
      <c r="F404" t="s">
        <v>54</v>
      </c>
      <c r="G404" t="s">
        <v>15</v>
      </c>
      <c r="H404" t="s">
        <v>16</v>
      </c>
      <c r="I404">
        <v>5.1260000000000003</v>
      </c>
      <c r="J404">
        <v>1.5</v>
      </c>
      <c r="K404" t="s">
        <v>2871</v>
      </c>
      <c r="L404" t="s">
        <v>2872</v>
      </c>
      <c r="M404" t="s">
        <v>2873</v>
      </c>
      <c r="N404">
        <v>35</v>
      </c>
      <c r="O404">
        <v>2</v>
      </c>
      <c r="P404">
        <v>5.7099999999999998E-2</v>
      </c>
      <c r="Q404" t="s">
        <v>8</v>
      </c>
      <c r="R404" t="s">
        <v>12</v>
      </c>
      <c r="S404" t="s">
        <v>12</v>
      </c>
      <c r="T404" t="s">
        <v>12</v>
      </c>
      <c r="U404" t="s">
        <v>12</v>
      </c>
      <c r="V404" t="s">
        <v>12</v>
      </c>
      <c r="W404" t="s">
        <v>12</v>
      </c>
      <c r="X404" t="s">
        <v>12</v>
      </c>
      <c r="Y404" t="s">
        <v>12</v>
      </c>
      <c r="Z404" t="s">
        <v>12</v>
      </c>
      <c r="AA404" t="s">
        <v>12</v>
      </c>
      <c r="AB404" t="s">
        <v>12</v>
      </c>
      <c r="AC404" t="s">
        <v>12</v>
      </c>
      <c r="AD404" t="s">
        <v>12</v>
      </c>
    </row>
    <row r="405" spans="1:30">
      <c r="A405" t="s">
        <v>258</v>
      </c>
      <c r="B405" t="str">
        <f>Master_Data_Productivity[[#This Row],[Uniq-ID]]&amp;"-"&amp;Master_Data_Productivity[[#This Row],[Period]]</f>
        <v>DC-Document_Controller-005-M4</v>
      </c>
      <c r="C405" t="s">
        <v>259</v>
      </c>
      <c r="D405" t="s">
        <v>11</v>
      </c>
      <c r="E405" t="s">
        <v>25</v>
      </c>
      <c r="F405" t="s">
        <v>54</v>
      </c>
      <c r="G405" t="s">
        <v>15</v>
      </c>
      <c r="H405" t="s">
        <v>16</v>
      </c>
      <c r="I405">
        <v>5.1260000000000003</v>
      </c>
      <c r="J405">
        <v>1.5</v>
      </c>
      <c r="K405" t="s">
        <v>2871</v>
      </c>
      <c r="L405" t="s">
        <v>2875</v>
      </c>
      <c r="M405" t="s">
        <v>2873</v>
      </c>
      <c r="N405">
        <v>36</v>
      </c>
      <c r="O405">
        <v>44</v>
      </c>
      <c r="P405">
        <v>1.2222</v>
      </c>
      <c r="Q405" t="s">
        <v>8</v>
      </c>
      <c r="R405" t="s">
        <v>12</v>
      </c>
      <c r="S405" t="s">
        <v>12</v>
      </c>
      <c r="T405" t="s">
        <v>12</v>
      </c>
      <c r="U405" t="s">
        <v>12</v>
      </c>
      <c r="V405" t="s">
        <v>12</v>
      </c>
      <c r="W405" t="s">
        <v>12</v>
      </c>
      <c r="X405" t="s">
        <v>12</v>
      </c>
      <c r="Y405" t="s">
        <v>12</v>
      </c>
      <c r="Z405" t="s">
        <v>12</v>
      </c>
      <c r="AA405" t="s">
        <v>12</v>
      </c>
      <c r="AB405" t="s">
        <v>12</v>
      </c>
      <c r="AC405" t="s">
        <v>12</v>
      </c>
      <c r="AD405" t="s">
        <v>12</v>
      </c>
    </row>
    <row r="406" spans="1:30">
      <c r="A406" t="s">
        <v>258</v>
      </c>
      <c r="B406" t="str">
        <f>Master_Data_Productivity[[#This Row],[Uniq-ID]]&amp;"-"&amp;Master_Data_Productivity[[#This Row],[Period]]</f>
        <v>DC-Document_Controller-005-M5</v>
      </c>
      <c r="C406" t="s">
        <v>259</v>
      </c>
      <c r="D406" t="s">
        <v>11</v>
      </c>
      <c r="E406" t="s">
        <v>28</v>
      </c>
      <c r="F406" t="s">
        <v>56</v>
      </c>
      <c r="G406" t="s">
        <v>15</v>
      </c>
      <c r="H406" t="s">
        <v>16</v>
      </c>
      <c r="I406">
        <v>2.0150000000000001</v>
      </c>
      <c r="J406">
        <v>1.01</v>
      </c>
      <c r="K406" t="s">
        <v>2879</v>
      </c>
      <c r="L406" t="s">
        <v>2894</v>
      </c>
      <c r="M406" t="s">
        <v>2873</v>
      </c>
      <c r="N406">
        <v>26</v>
      </c>
      <c r="O406">
        <v>10</v>
      </c>
      <c r="P406">
        <v>0.3846</v>
      </c>
      <c r="Q406" t="s">
        <v>8</v>
      </c>
      <c r="R406" t="s">
        <v>12</v>
      </c>
      <c r="S406" t="s">
        <v>12</v>
      </c>
      <c r="T406" t="s">
        <v>12</v>
      </c>
      <c r="U406" t="s">
        <v>12</v>
      </c>
      <c r="V406" t="s">
        <v>12</v>
      </c>
      <c r="W406" t="s">
        <v>12</v>
      </c>
      <c r="X406" t="s">
        <v>12</v>
      </c>
      <c r="Y406" t="s">
        <v>12</v>
      </c>
      <c r="Z406" t="s">
        <v>12</v>
      </c>
      <c r="AA406" t="s">
        <v>12</v>
      </c>
      <c r="AB406" t="s">
        <v>12</v>
      </c>
      <c r="AC406" t="s">
        <v>12</v>
      </c>
      <c r="AD406" t="s">
        <v>12</v>
      </c>
    </row>
    <row r="407" spans="1:30">
      <c r="A407" t="s">
        <v>258</v>
      </c>
      <c r="B407" t="str">
        <f>Master_Data_Productivity[[#This Row],[Uniq-ID]]&amp;"-"&amp;Master_Data_Productivity[[#This Row],[Period]]</f>
        <v>DC-Document_Controller-005-M5</v>
      </c>
      <c r="C407" t="s">
        <v>259</v>
      </c>
      <c r="D407" t="s">
        <v>11</v>
      </c>
      <c r="E407" t="s">
        <v>28</v>
      </c>
      <c r="F407" t="s">
        <v>56</v>
      </c>
      <c r="G407" t="s">
        <v>15</v>
      </c>
      <c r="H407" t="s">
        <v>16</v>
      </c>
      <c r="I407">
        <v>2.0150000000000001</v>
      </c>
      <c r="J407">
        <v>1.01</v>
      </c>
      <c r="K407" t="s">
        <v>2871</v>
      </c>
      <c r="L407" t="s">
        <v>2877</v>
      </c>
      <c r="M407" t="s">
        <v>2873</v>
      </c>
      <c r="N407">
        <v>32</v>
      </c>
      <c r="O407">
        <v>13</v>
      </c>
      <c r="P407">
        <v>0.40629999999999999</v>
      </c>
      <c r="Q407" t="s">
        <v>8</v>
      </c>
      <c r="R407" t="s">
        <v>12</v>
      </c>
      <c r="S407" t="s">
        <v>12</v>
      </c>
      <c r="T407" t="s">
        <v>12</v>
      </c>
      <c r="U407" t="s">
        <v>12</v>
      </c>
      <c r="V407" t="s">
        <v>12</v>
      </c>
      <c r="W407" t="s">
        <v>12</v>
      </c>
      <c r="X407" t="s">
        <v>12</v>
      </c>
      <c r="Y407" t="s">
        <v>12</v>
      </c>
      <c r="Z407" t="s">
        <v>12</v>
      </c>
      <c r="AA407" t="s">
        <v>12</v>
      </c>
      <c r="AB407" t="s">
        <v>12</v>
      </c>
      <c r="AC407" t="s">
        <v>12</v>
      </c>
      <c r="AD407" t="s">
        <v>12</v>
      </c>
    </row>
    <row r="408" spans="1:30">
      <c r="A408" t="s">
        <v>258</v>
      </c>
      <c r="B408" t="str">
        <f>Master_Data_Productivity[[#This Row],[Uniq-ID]]&amp;"-"&amp;Master_Data_Productivity[[#This Row],[Period]]</f>
        <v>DC-Document_Controller-005-M5</v>
      </c>
      <c r="C408" t="s">
        <v>259</v>
      </c>
      <c r="D408" t="s">
        <v>11</v>
      </c>
      <c r="E408" t="s">
        <v>28</v>
      </c>
      <c r="F408" t="s">
        <v>56</v>
      </c>
      <c r="G408" t="s">
        <v>15</v>
      </c>
      <c r="H408" t="s">
        <v>16</v>
      </c>
      <c r="I408">
        <v>2.0150000000000001</v>
      </c>
      <c r="J408">
        <v>1.01</v>
      </c>
      <c r="K408" t="s">
        <v>2871</v>
      </c>
      <c r="L408" t="s">
        <v>2872</v>
      </c>
      <c r="M408" t="s">
        <v>2873</v>
      </c>
      <c r="N408">
        <v>35</v>
      </c>
      <c r="O408">
        <v>2</v>
      </c>
      <c r="P408">
        <v>5.7099999999999998E-2</v>
      </c>
      <c r="Q408" t="s">
        <v>8</v>
      </c>
      <c r="R408" t="s">
        <v>12</v>
      </c>
      <c r="S408" t="s">
        <v>12</v>
      </c>
      <c r="T408" t="s">
        <v>12</v>
      </c>
      <c r="U408" t="s">
        <v>12</v>
      </c>
      <c r="V408" t="s">
        <v>12</v>
      </c>
      <c r="W408" t="s">
        <v>12</v>
      </c>
      <c r="X408" t="s">
        <v>12</v>
      </c>
      <c r="Y408" t="s">
        <v>12</v>
      </c>
      <c r="Z408" t="s">
        <v>12</v>
      </c>
      <c r="AA408" t="s">
        <v>12</v>
      </c>
      <c r="AB408" t="s">
        <v>12</v>
      </c>
      <c r="AC408" t="s">
        <v>12</v>
      </c>
      <c r="AD408" t="s">
        <v>12</v>
      </c>
    </row>
    <row r="409" spans="1:30">
      <c r="A409" t="s">
        <v>258</v>
      </c>
      <c r="B409" t="str">
        <f>Master_Data_Productivity[[#This Row],[Uniq-ID]]&amp;"-"&amp;Master_Data_Productivity[[#This Row],[Period]]</f>
        <v>DC-Document_Controller-005-M5</v>
      </c>
      <c r="C409" t="s">
        <v>259</v>
      </c>
      <c r="D409" t="s">
        <v>11</v>
      </c>
      <c r="E409" t="s">
        <v>28</v>
      </c>
      <c r="F409" t="s">
        <v>56</v>
      </c>
      <c r="G409" t="s">
        <v>15</v>
      </c>
      <c r="H409" t="s">
        <v>16</v>
      </c>
      <c r="I409">
        <v>2.0150000000000001</v>
      </c>
      <c r="J409">
        <v>1.01</v>
      </c>
      <c r="K409" t="s">
        <v>2871</v>
      </c>
      <c r="L409" t="s">
        <v>2875</v>
      </c>
      <c r="M409" t="s">
        <v>2873</v>
      </c>
      <c r="N409">
        <v>36</v>
      </c>
      <c r="O409">
        <v>42</v>
      </c>
      <c r="P409">
        <v>1.1667000000000001</v>
      </c>
      <c r="Q409" t="s">
        <v>8</v>
      </c>
      <c r="R409" t="s">
        <v>12</v>
      </c>
      <c r="S409" t="s">
        <v>12</v>
      </c>
      <c r="T409" t="s">
        <v>12</v>
      </c>
      <c r="U409" t="s">
        <v>12</v>
      </c>
      <c r="V409" t="s">
        <v>12</v>
      </c>
      <c r="W409" t="s">
        <v>12</v>
      </c>
      <c r="X409" t="s">
        <v>12</v>
      </c>
      <c r="Y409" t="s">
        <v>12</v>
      </c>
      <c r="Z409" t="s">
        <v>12</v>
      </c>
      <c r="AA409" t="s">
        <v>12</v>
      </c>
      <c r="AB409" t="s">
        <v>12</v>
      </c>
      <c r="AC409" t="s">
        <v>12</v>
      </c>
      <c r="AD409" t="s">
        <v>12</v>
      </c>
    </row>
    <row r="410" spans="1:30">
      <c r="A410" t="s">
        <v>258</v>
      </c>
      <c r="B410" t="str">
        <f>Master_Data_Productivity[[#This Row],[Uniq-ID]]&amp;"-"&amp;Master_Data_Productivity[[#This Row],[Period]]</f>
        <v>DC-Document_Controller-005-M6</v>
      </c>
      <c r="C410" t="s">
        <v>259</v>
      </c>
      <c r="D410" t="s">
        <v>11</v>
      </c>
      <c r="E410" t="s">
        <v>31</v>
      </c>
      <c r="F410" t="s">
        <v>57</v>
      </c>
      <c r="G410" t="s">
        <v>33</v>
      </c>
      <c r="H410" t="s">
        <v>20</v>
      </c>
      <c r="I410">
        <v>1</v>
      </c>
      <c r="J410">
        <v>1</v>
      </c>
      <c r="K410" t="s">
        <v>2871</v>
      </c>
      <c r="L410" t="s">
        <v>2872</v>
      </c>
      <c r="M410" t="s">
        <v>2873</v>
      </c>
      <c r="N410">
        <v>35</v>
      </c>
      <c r="O410">
        <v>35</v>
      </c>
      <c r="P410">
        <v>1</v>
      </c>
      <c r="Q410" t="s">
        <v>8</v>
      </c>
      <c r="R410" t="s">
        <v>12</v>
      </c>
      <c r="S410" t="s">
        <v>12</v>
      </c>
      <c r="T410" t="s">
        <v>12</v>
      </c>
      <c r="U410" t="s">
        <v>12</v>
      </c>
      <c r="V410" t="s">
        <v>12</v>
      </c>
      <c r="W410" t="s">
        <v>12</v>
      </c>
      <c r="X410" t="s">
        <v>12</v>
      </c>
      <c r="Y410" t="s">
        <v>12</v>
      </c>
      <c r="Z410" t="s">
        <v>12</v>
      </c>
      <c r="AA410" t="s">
        <v>12</v>
      </c>
      <c r="AB410" t="s">
        <v>12</v>
      </c>
      <c r="AC410" t="s">
        <v>12</v>
      </c>
      <c r="AD410" t="s">
        <v>12</v>
      </c>
    </row>
    <row r="411" spans="1:30">
      <c r="A411" t="s">
        <v>240</v>
      </c>
      <c r="B411" t="str">
        <f>Master_Data_Productivity[[#This Row],[Uniq-ID]]&amp;"-"&amp;Master_Data_Productivity[[#This Row],[Period]]</f>
        <v>DC-Document_Controller-003-M1</v>
      </c>
      <c r="C411" t="s">
        <v>241</v>
      </c>
      <c r="D411" t="s">
        <v>11</v>
      </c>
      <c r="E411" t="s">
        <v>13</v>
      </c>
      <c r="F411" t="s">
        <v>49</v>
      </c>
      <c r="G411" t="s">
        <v>15</v>
      </c>
      <c r="H411" t="s">
        <v>20</v>
      </c>
      <c r="I411">
        <v>1.744</v>
      </c>
      <c r="J411">
        <v>1</v>
      </c>
      <c r="K411" t="s">
        <v>2871</v>
      </c>
      <c r="L411" t="s">
        <v>2875</v>
      </c>
      <c r="M411" t="s">
        <v>2873</v>
      </c>
      <c r="N411">
        <v>36</v>
      </c>
      <c r="O411">
        <v>35</v>
      </c>
      <c r="P411">
        <v>0.97219999999999995</v>
      </c>
      <c r="Q411" t="s">
        <v>8</v>
      </c>
      <c r="R411" t="s">
        <v>12</v>
      </c>
      <c r="S411" t="s">
        <v>12</v>
      </c>
      <c r="T411" t="s">
        <v>12</v>
      </c>
      <c r="U411" t="s">
        <v>12</v>
      </c>
      <c r="V411" t="s">
        <v>12</v>
      </c>
      <c r="W411" t="s">
        <v>12</v>
      </c>
      <c r="X411" t="s">
        <v>12</v>
      </c>
      <c r="Y411" t="s">
        <v>12</v>
      </c>
      <c r="Z411" t="s">
        <v>12</v>
      </c>
      <c r="AA411" t="s">
        <v>12</v>
      </c>
      <c r="AB411" t="s">
        <v>12</v>
      </c>
      <c r="AC411" t="s">
        <v>12</v>
      </c>
      <c r="AD411" t="s">
        <v>12</v>
      </c>
    </row>
    <row r="412" spans="1:30">
      <c r="A412" t="s">
        <v>240</v>
      </c>
      <c r="B412" t="str">
        <f>Master_Data_Productivity[[#This Row],[Uniq-ID]]&amp;"-"&amp;Master_Data_Productivity[[#This Row],[Period]]</f>
        <v>DC-Document_Controller-003-M1</v>
      </c>
      <c r="C412" t="s">
        <v>241</v>
      </c>
      <c r="D412" t="s">
        <v>11</v>
      </c>
      <c r="E412" t="s">
        <v>13</v>
      </c>
      <c r="F412" t="s">
        <v>49</v>
      </c>
      <c r="G412" t="s">
        <v>15</v>
      </c>
      <c r="H412" t="s">
        <v>20</v>
      </c>
      <c r="I412">
        <v>1.744</v>
      </c>
      <c r="J412">
        <v>1</v>
      </c>
      <c r="K412" t="s">
        <v>2871</v>
      </c>
      <c r="L412" t="s">
        <v>2872</v>
      </c>
      <c r="M412" t="s">
        <v>2873</v>
      </c>
      <c r="N412">
        <v>35</v>
      </c>
      <c r="O412">
        <v>27</v>
      </c>
      <c r="P412">
        <v>0.77139999999999997</v>
      </c>
      <c r="Q412" t="s">
        <v>8</v>
      </c>
      <c r="R412" t="s">
        <v>12</v>
      </c>
      <c r="S412" t="s">
        <v>12</v>
      </c>
      <c r="T412" t="s">
        <v>12</v>
      </c>
      <c r="U412" t="s">
        <v>12</v>
      </c>
      <c r="V412" t="s">
        <v>12</v>
      </c>
      <c r="W412" t="s">
        <v>12</v>
      </c>
      <c r="X412" t="s">
        <v>12</v>
      </c>
      <c r="Y412" t="s">
        <v>12</v>
      </c>
      <c r="Z412" t="s">
        <v>12</v>
      </c>
      <c r="AA412" t="s">
        <v>12</v>
      </c>
      <c r="AB412" t="s">
        <v>12</v>
      </c>
      <c r="AC412" t="s">
        <v>12</v>
      </c>
      <c r="AD412" t="s">
        <v>12</v>
      </c>
    </row>
    <row r="413" spans="1:30">
      <c r="A413" t="s">
        <v>240</v>
      </c>
      <c r="B413" t="str">
        <f>Master_Data_Productivity[[#This Row],[Uniq-ID]]&amp;"-"&amp;Master_Data_Productivity[[#This Row],[Period]]</f>
        <v>DC-Document_Controller-003-M2</v>
      </c>
      <c r="C413" t="s">
        <v>241</v>
      </c>
      <c r="D413" t="s">
        <v>11</v>
      </c>
      <c r="E413" t="s">
        <v>18</v>
      </c>
      <c r="F413" t="s">
        <v>51</v>
      </c>
      <c r="G413" t="s">
        <v>15</v>
      </c>
      <c r="H413" t="s">
        <v>20</v>
      </c>
      <c r="I413">
        <v>1.8640000000000001</v>
      </c>
      <c r="J413">
        <v>1</v>
      </c>
      <c r="K413" t="s">
        <v>2871</v>
      </c>
      <c r="L413" t="s">
        <v>2872</v>
      </c>
      <c r="M413" t="s">
        <v>2873</v>
      </c>
      <c r="N413">
        <v>35</v>
      </c>
      <c r="O413">
        <v>39</v>
      </c>
      <c r="P413">
        <v>1.1143000000000001</v>
      </c>
      <c r="Q413" t="s">
        <v>8</v>
      </c>
      <c r="R413" t="s">
        <v>12</v>
      </c>
      <c r="S413" t="s">
        <v>12</v>
      </c>
      <c r="T413" t="s">
        <v>12</v>
      </c>
      <c r="U413" t="s">
        <v>12</v>
      </c>
      <c r="V413" t="s">
        <v>12</v>
      </c>
      <c r="W413" t="s">
        <v>12</v>
      </c>
      <c r="X413" t="s">
        <v>12</v>
      </c>
      <c r="Y413" t="s">
        <v>12</v>
      </c>
      <c r="Z413" t="s">
        <v>12</v>
      </c>
      <c r="AA413" t="s">
        <v>12</v>
      </c>
      <c r="AB413" t="s">
        <v>12</v>
      </c>
      <c r="AC413" t="s">
        <v>12</v>
      </c>
      <c r="AD413" t="s">
        <v>12</v>
      </c>
    </row>
    <row r="414" spans="1:30">
      <c r="A414" t="s">
        <v>240</v>
      </c>
      <c r="B414" t="str">
        <f>Master_Data_Productivity[[#This Row],[Uniq-ID]]&amp;"-"&amp;Master_Data_Productivity[[#This Row],[Period]]</f>
        <v>DC-Document_Controller-003-M2</v>
      </c>
      <c r="C414" t="s">
        <v>241</v>
      </c>
      <c r="D414" t="s">
        <v>11</v>
      </c>
      <c r="E414" t="s">
        <v>18</v>
      </c>
      <c r="F414" t="s">
        <v>51</v>
      </c>
      <c r="G414" t="s">
        <v>15</v>
      </c>
      <c r="H414" t="s">
        <v>20</v>
      </c>
      <c r="I414">
        <v>1.8640000000000001</v>
      </c>
      <c r="J414">
        <v>1</v>
      </c>
      <c r="K414" t="s">
        <v>2871</v>
      </c>
      <c r="L414" t="s">
        <v>2875</v>
      </c>
      <c r="M414" t="s">
        <v>2873</v>
      </c>
      <c r="N414">
        <v>36</v>
      </c>
      <c r="O414">
        <v>27</v>
      </c>
      <c r="P414">
        <v>0.75</v>
      </c>
      <c r="Q414" t="s">
        <v>8</v>
      </c>
      <c r="R414" t="s">
        <v>12</v>
      </c>
      <c r="S414" t="s">
        <v>12</v>
      </c>
      <c r="T414" t="s">
        <v>12</v>
      </c>
      <c r="U414" t="s">
        <v>12</v>
      </c>
      <c r="V414" t="s">
        <v>12</v>
      </c>
      <c r="W414" t="s">
        <v>12</v>
      </c>
      <c r="X414" t="s">
        <v>12</v>
      </c>
      <c r="Y414" t="s">
        <v>12</v>
      </c>
      <c r="Z414" t="s">
        <v>12</v>
      </c>
      <c r="AA414" t="s">
        <v>12</v>
      </c>
      <c r="AB414" t="s">
        <v>12</v>
      </c>
      <c r="AC414" t="s">
        <v>12</v>
      </c>
      <c r="AD414" t="s">
        <v>12</v>
      </c>
    </row>
    <row r="415" spans="1:30">
      <c r="A415" t="s">
        <v>240</v>
      </c>
      <c r="B415" t="str">
        <f>Master_Data_Productivity[[#This Row],[Uniq-ID]]&amp;"-"&amp;Master_Data_Productivity[[#This Row],[Period]]</f>
        <v>DC-Document_Controller-003-M3</v>
      </c>
      <c r="C415" t="s">
        <v>241</v>
      </c>
      <c r="D415" t="s">
        <v>11</v>
      </c>
      <c r="E415" t="s">
        <v>22</v>
      </c>
      <c r="F415" t="s">
        <v>52</v>
      </c>
      <c r="G415" t="s">
        <v>15</v>
      </c>
      <c r="H415" t="s">
        <v>16</v>
      </c>
      <c r="I415">
        <v>4.173</v>
      </c>
      <c r="J415">
        <v>1.5</v>
      </c>
      <c r="K415" t="s">
        <v>2871</v>
      </c>
      <c r="L415" t="s">
        <v>2875</v>
      </c>
      <c r="M415" t="s">
        <v>2873</v>
      </c>
      <c r="N415">
        <v>36</v>
      </c>
      <c r="O415">
        <v>71</v>
      </c>
      <c r="P415">
        <v>1.9722</v>
      </c>
      <c r="Q415" t="s">
        <v>8</v>
      </c>
      <c r="R415" t="s">
        <v>12</v>
      </c>
      <c r="S415" t="s">
        <v>12</v>
      </c>
      <c r="T415" t="s">
        <v>12</v>
      </c>
      <c r="U415" t="s">
        <v>12</v>
      </c>
      <c r="V415" t="s">
        <v>12</v>
      </c>
      <c r="W415" t="s">
        <v>12</v>
      </c>
      <c r="X415" t="s">
        <v>12</v>
      </c>
      <c r="Y415" t="s">
        <v>12</v>
      </c>
      <c r="Z415" t="s">
        <v>12</v>
      </c>
      <c r="AA415" t="s">
        <v>12</v>
      </c>
      <c r="AB415" t="s">
        <v>12</v>
      </c>
      <c r="AC415" t="s">
        <v>12</v>
      </c>
      <c r="AD415" t="s">
        <v>12</v>
      </c>
    </row>
    <row r="416" spans="1:30">
      <c r="A416" t="s">
        <v>240</v>
      </c>
      <c r="B416" t="str">
        <f>Master_Data_Productivity[[#This Row],[Uniq-ID]]&amp;"-"&amp;Master_Data_Productivity[[#This Row],[Period]]</f>
        <v>DC-Document_Controller-003-M3</v>
      </c>
      <c r="C416" t="s">
        <v>241</v>
      </c>
      <c r="D416" t="s">
        <v>11</v>
      </c>
      <c r="E416" t="s">
        <v>22</v>
      </c>
      <c r="F416" t="s">
        <v>52</v>
      </c>
      <c r="G416" t="s">
        <v>15</v>
      </c>
      <c r="H416" t="s">
        <v>16</v>
      </c>
      <c r="I416">
        <v>4.173</v>
      </c>
      <c r="J416">
        <v>1.5</v>
      </c>
      <c r="K416" t="s">
        <v>2871</v>
      </c>
      <c r="L416" t="s">
        <v>2872</v>
      </c>
      <c r="M416" t="s">
        <v>2873</v>
      </c>
      <c r="N416">
        <v>35</v>
      </c>
      <c r="O416">
        <v>73</v>
      </c>
      <c r="P416">
        <v>2.0857000000000001</v>
      </c>
      <c r="Q416" t="s">
        <v>8</v>
      </c>
      <c r="R416" t="s">
        <v>12</v>
      </c>
      <c r="S416" t="s">
        <v>12</v>
      </c>
      <c r="T416" t="s">
        <v>12</v>
      </c>
      <c r="U416" t="s">
        <v>12</v>
      </c>
      <c r="V416" t="s">
        <v>12</v>
      </c>
      <c r="W416" t="s">
        <v>12</v>
      </c>
      <c r="X416" t="s">
        <v>12</v>
      </c>
      <c r="Y416" t="s">
        <v>12</v>
      </c>
      <c r="Z416" t="s">
        <v>12</v>
      </c>
      <c r="AA416" t="s">
        <v>12</v>
      </c>
      <c r="AB416" t="s">
        <v>12</v>
      </c>
      <c r="AC416" t="s">
        <v>12</v>
      </c>
      <c r="AD416" t="s">
        <v>12</v>
      </c>
    </row>
    <row r="417" spans="1:30">
      <c r="A417" t="s">
        <v>240</v>
      </c>
      <c r="B417" t="str">
        <f>Master_Data_Productivity[[#This Row],[Uniq-ID]]&amp;"-"&amp;Master_Data_Productivity[[#This Row],[Period]]</f>
        <v>DC-Document_Controller-003-M3</v>
      </c>
      <c r="C417" t="s">
        <v>241</v>
      </c>
      <c r="D417" t="s">
        <v>11</v>
      </c>
      <c r="E417" t="s">
        <v>22</v>
      </c>
      <c r="F417" t="s">
        <v>52</v>
      </c>
      <c r="G417" t="s">
        <v>15</v>
      </c>
      <c r="H417" t="s">
        <v>16</v>
      </c>
      <c r="I417">
        <v>4.173</v>
      </c>
      <c r="J417">
        <v>1.5</v>
      </c>
      <c r="K417" t="s">
        <v>2879</v>
      </c>
      <c r="L417" t="s">
        <v>2894</v>
      </c>
      <c r="M417" t="s">
        <v>2873</v>
      </c>
      <c r="N417">
        <v>26</v>
      </c>
      <c r="O417">
        <v>3</v>
      </c>
      <c r="P417">
        <v>0.1154</v>
      </c>
      <c r="Q417" t="s">
        <v>8</v>
      </c>
      <c r="R417" t="s">
        <v>12</v>
      </c>
      <c r="S417" t="s">
        <v>12</v>
      </c>
      <c r="T417" t="s">
        <v>12</v>
      </c>
      <c r="U417" t="s">
        <v>12</v>
      </c>
      <c r="V417" t="s">
        <v>12</v>
      </c>
      <c r="W417" t="s">
        <v>12</v>
      </c>
      <c r="X417" t="s">
        <v>12</v>
      </c>
      <c r="Y417" t="s">
        <v>12</v>
      </c>
      <c r="Z417" t="s">
        <v>12</v>
      </c>
      <c r="AA417" t="s">
        <v>12</v>
      </c>
      <c r="AB417" t="s">
        <v>12</v>
      </c>
      <c r="AC417" t="s">
        <v>12</v>
      </c>
      <c r="AD417" t="s">
        <v>12</v>
      </c>
    </row>
    <row r="418" spans="1:30">
      <c r="A418" t="s">
        <v>240</v>
      </c>
      <c r="B418" t="str">
        <f>Master_Data_Productivity[[#This Row],[Uniq-ID]]&amp;"-"&amp;Master_Data_Productivity[[#This Row],[Period]]</f>
        <v>DC-Document_Controller-003-M4</v>
      </c>
      <c r="C418" t="s">
        <v>241</v>
      </c>
      <c r="D418" t="s">
        <v>11</v>
      </c>
      <c r="E418" t="s">
        <v>25</v>
      </c>
      <c r="F418" t="s">
        <v>54</v>
      </c>
      <c r="G418" t="s">
        <v>15</v>
      </c>
      <c r="H418" t="s">
        <v>16</v>
      </c>
      <c r="I418">
        <v>4.1710000000000003</v>
      </c>
      <c r="J418">
        <v>1.5</v>
      </c>
      <c r="K418" t="s">
        <v>2879</v>
      </c>
      <c r="L418" t="s">
        <v>2894</v>
      </c>
      <c r="M418" t="s">
        <v>2873</v>
      </c>
      <c r="N418">
        <v>26</v>
      </c>
      <c r="O418">
        <v>50</v>
      </c>
      <c r="P418">
        <v>1.9231</v>
      </c>
      <c r="Q418" t="s">
        <v>8</v>
      </c>
      <c r="R418" t="s">
        <v>12</v>
      </c>
      <c r="S418" t="s">
        <v>12</v>
      </c>
      <c r="T418" t="s">
        <v>12</v>
      </c>
      <c r="U418" t="s">
        <v>12</v>
      </c>
      <c r="V418" t="s">
        <v>12</v>
      </c>
      <c r="W418" t="s">
        <v>12</v>
      </c>
      <c r="X418" t="s">
        <v>12</v>
      </c>
      <c r="Y418" t="s">
        <v>12</v>
      </c>
      <c r="Z418" t="s">
        <v>12</v>
      </c>
      <c r="AA418" t="s">
        <v>12</v>
      </c>
      <c r="AB418" t="s">
        <v>12</v>
      </c>
      <c r="AC418" t="s">
        <v>12</v>
      </c>
      <c r="AD418" t="s">
        <v>12</v>
      </c>
    </row>
    <row r="419" spans="1:30">
      <c r="A419" t="s">
        <v>240</v>
      </c>
      <c r="B419" t="str">
        <f>Master_Data_Productivity[[#This Row],[Uniq-ID]]&amp;"-"&amp;Master_Data_Productivity[[#This Row],[Period]]</f>
        <v>DC-Document_Controller-003-M4</v>
      </c>
      <c r="C419" t="s">
        <v>241</v>
      </c>
      <c r="D419" t="s">
        <v>11</v>
      </c>
      <c r="E419" t="s">
        <v>25</v>
      </c>
      <c r="F419" t="s">
        <v>54</v>
      </c>
      <c r="G419" t="s">
        <v>15</v>
      </c>
      <c r="H419" t="s">
        <v>16</v>
      </c>
      <c r="I419">
        <v>4.1710000000000003</v>
      </c>
      <c r="J419">
        <v>1.5</v>
      </c>
      <c r="K419" t="s">
        <v>2871</v>
      </c>
      <c r="L419" t="s">
        <v>2872</v>
      </c>
      <c r="M419" t="s">
        <v>2873</v>
      </c>
      <c r="N419">
        <v>35</v>
      </c>
      <c r="O419">
        <v>32</v>
      </c>
      <c r="P419">
        <v>0.9143</v>
      </c>
      <c r="Q419" t="s">
        <v>8</v>
      </c>
      <c r="R419" t="s">
        <v>12</v>
      </c>
      <c r="S419" t="s">
        <v>12</v>
      </c>
      <c r="T419" t="s">
        <v>12</v>
      </c>
      <c r="U419" t="s">
        <v>12</v>
      </c>
      <c r="V419" t="s">
        <v>12</v>
      </c>
      <c r="W419" t="s">
        <v>12</v>
      </c>
      <c r="X419" t="s">
        <v>12</v>
      </c>
      <c r="Y419" t="s">
        <v>12</v>
      </c>
      <c r="Z419" t="s">
        <v>12</v>
      </c>
      <c r="AA419" t="s">
        <v>12</v>
      </c>
      <c r="AB419" t="s">
        <v>12</v>
      </c>
      <c r="AC419" t="s">
        <v>12</v>
      </c>
      <c r="AD419" t="s">
        <v>12</v>
      </c>
    </row>
    <row r="420" spans="1:30">
      <c r="A420" t="s">
        <v>240</v>
      </c>
      <c r="B420" t="str">
        <f>Master_Data_Productivity[[#This Row],[Uniq-ID]]&amp;"-"&amp;Master_Data_Productivity[[#This Row],[Period]]</f>
        <v>DC-Document_Controller-003-M4</v>
      </c>
      <c r="C420" t="s">
        <v>241</v>
      </c>
      <c r="D420" t="s">
        <v>11</v>
      </c>
      <c r="E420" t="s">
        <v>25</v>
      </c>
      <c r="F420" t="s">
        <v>54</v>
      </c>
      <c r="G420" t="s">
        <v>15</v>
      </c>
      <c r="H420" t="s">
        <v>16</v>
      </c>
      <c r="I420">
        <v>4.1710000000000003</v>
      </c>
      <c r="J420">
        <v>1.5</v>
      </c>
      <c r="K420" t="s">
        <v>2871</v>
      </c>
      <c r="L420" t="s">
        <v>2875</v>
      </c>
      <c r="M420" t="s">
        <v>2873</v>
      </c>
      <c r="N420">
        <v>36</v>
      </c>
      <c r="O420">
        <v>48</v>
      </c>
      <c r="P420">
        <v>1.3332999999999999</v>
      </c>
      <c r="Q420" t="s">
        <v>8</v>
      </c>
      <c r="R420" t="s">
        <v>12</v>
      </c>
      <c r="S420" t="s">
        <v>12</v>
      </c>
      <c r="T420" t="s">
        <v>12</v>
      </c>
      <c r="U420" t="s">
        <v>12</v>
      </c>
      <c r="V420" t="s">
        <v>12</v>
      </c>
      <c r="W420" t="s">
        <v>12</v>
      </c>
      <c r="X420" t="s">
        <v>12</v>
      </c>
      <c r="Y420" t="s">
        <v>12</v>
      </c>
      <c r="Z420" t="s">
        <v>12</v>
      </c>
      <c r="AA420" t="s">
        <v>12</v>
      </c>
      <c r="AB420" t="s">
        <v>12</v>
      </c>
      <c r="AC420" t="s">
        <v>12</v>
      </c>
      <c r="AD420" t="s">
        <v>12</v>
      </c>
    </row>
    <row r="421" spans="1:30">
      <c r="A421" t="s">
        <v>240</v>
      </c>
      <c r="B421" t="str">
        <f>Master_Data_Productivity[[#This Row],[Uniq-ID]]&amp;"-"&amp;Master_Data_Productivity[[#This Row],[Period]]</f>
        <v>DC-Document_Controller-003-M5</v>
      </c>
      <c r="C421" t="s">
        <v>241</v>
      </c>
      <c r="D421" t="s">
        <v>11</v>
      </c>
      <c r="E421" t="s">
        <v>28</v>
      </c>
      <c r="F421" t="s">
        <v>56</v>
      </c>
      <c r="G421" t="s">
        <v>15</v>
      </c>
      <c r="H421" t="s">
        <v>16</v>
      </c>
      <c r="I421">
        <v>3.6059999999999999</v>
      </c>
      <c r="J421">
        <v>1.5</v>
      </c>
      <c r="K421" t="s">
        <v>2871</v>
      </c>
      <c r="L421" t="s">
        <v>2875</v>
      </c>
      <c r="M421" t="s">
        <v>2873</v>
      </c>
      <c r="N421">
        <v>36</v>
      </c>
      <c r="O421">
        <v>64</v>
      </c>
      <c r="P421">
        <v>1.7778</v>
      </c>
      <c r="Q421" t="s">
        <v>8</v>
      </c>
      <c r="R421" t="s">
        <v>12</v>
      </c>
      <c r="S421" t="s">
        <v>12</v>
      </c>
      <c r="T421" t="s">
        <v>12</v>
      </c>
      <c r="U421" t="s">
        <v>12</v>
      </c>
      <c r="V421" t="s">
        <v>12</v>
      </c>
      <c r="W421" t="s">
        <v>12</v>
      </c>
      <c r="X421" t="s">
        <v>12</v>
      </c>
      <c r="Y421" t="s">
        <v>12</v>
      </c>
      <c r="Z421" t="s">
        <v>12</v>
      </c>
      <c r="AA421" t="s">
        <v>12</v>
      </c>
      <c r="AB421" t="s">
        <v>12</v>
      </c>
      <c r="AC421" t="s">
        <v>12</v>
      </c>
      <c r="AD421" t="s">
        <v>12</v>
      </c>
    </row>
    <row r="422" spans="1:30">
      <c r="A422" t="s">
        <v>240</v>
      </c>
      <c r="B422" t="str">
        <f>Master_Data_Productivity[[#This Row],[Uniq-ID]]&amp;"-"&amp;Master_Data_Productivity[[#This Row],[Period]]</f>
        <v>DC-Document_Controller-003-M5</v>
      </c>
      <c r="C422" t="s">
        <v>241</v>
      </c>
      <c r="D422" t="s">
        <v>11</v>
      </c>
      <c r="E422" t="s">
        <v>28</v>
      </c>
      <c r="F422" t="s">
        <v>56</v>
      </c>
      <c r="G422" t="s">
        <v>15</v>
      </c>
      <c r="H422" t="s">
        <v>16</v>
      </c>
      <c r="I422">
        <v>3.6059999999999999</v>
      </c>
      <c r="J422">
        <v>1.5</v>
      </c>
      <c r="K422" t="s">
        <v>2871</v>
      </c>
      <c r="L422" t="s">
        <v>2872</v>
      </c>
      <c r="M422" t="s">
        <v>2873</v>
      </c>
      <c r="N422">
        <v>35</v>
      </c>
      <c r="O422">
        <v>64</v>
      </c>
      <c r="P422">
        <v>1.8286</v>
      </c>
      <c r="Q422" t="s">
        <v>8</v>
      </c>
      <c r="R422" t="s">
        <v>12</v>
      </c>
      <c r="S422" t="s">
        <v>12</v>
      </c>
      <c r="T422" t="s">
        <v>12</v>
      </c>
      <c r="U422" t="s">
        <v>12</v>
      </c>
      <c r="V422" t="s">
        <v>12</v>
      </c>
      <c r="W422" t="s">
        <v>12</v>
      </c>
      <c r="X422" t="s">
        <v>12</v>
      </c>
      <c r="Y422" t="s">
        <v>12</v>
      </c>
      <c r="Z422" t="s">
        <v>12</v>
      </c>
      <c r="AA422" t="s">
        <v>12</v>
      </c>
      <c r="AB422" t="s">
        <v>12</v>
      </c>
      <c r="AC422" t="s">
        <v>12</v>
      </c>
      <c r="AD422" t="s">
        <v>12</v>
      </c>
    </row>
    <row r="423" spans="1:30">
      <c r="A423" t="s">
        <v>240</v>
      </c>
      <c r="B423" t="str">
        <f>Master_Data_Productivity[[#This Row],[Uniq-ID]]&amp;"-"&amp;Master_Data_Productivity[[#This Row],[Period]]</f>
        <v>DC-Document_Controller-003-M6</v>
      </c>
      <c r="C423" t="s">
        <v>241</v>
      </c>
      <c r="D423" t="s">
        <v>11</v>
      </c>
      <c r="E423" t="s">
        <v>31</v>
      </c>
      <c r="F423" t="s">
        <v>57</v>
      </c>
      <c r="G423" t="s">
        <v>33</v>
      </c>
      <c r="H423" t="s">
        <v>16</v>
      </c>
      <c r="I423">
        <v>2.7320000000000002</v>
      </c>
      <c r="J423">
        <v>1.37</v>
      </c>
      <c r="K423" t="s">
        <v>2871</v>
      </c>
      <c r="L423" t="s">
        <v>2872</v>
      </c>
      <c r="M423" t="s">
        <v>2873</v>
      </c>
      <c r="N423">
        <v>35</v>
      </c>
      <c r="O423">
        <v>47</v>
      </c>
      <c r="P423">
        <v>1.3429</v>
      </c>
      <c r="Q423" t="s">
        <v>8</v>
      </c>
      <c r="R423" t="s">
        <v>12</v>
      </c>
      <c r="S423" t="s">
        <v>12</v>
      </c>
      <c r="T423" t="s">
        <v>12</v>
      </c>
      <c r="U423" t="s">
        <v>12</v>
      </c>
      <c r="V423" t="s">
        <v>12</v>
      </c>
      <c r="W423" t="s">
        <v>12</v>
      </c>
      <c r="X423" t="s">
        <v>12</v>
      </c>
      <c r="Y423" t="s">
        <v>12</v>
      </c>
      <c r="Z423" t="s">
        <v>12</v>
      </c>
      <c r="AA423" t="s">
        <v>12</v>
      </c>
      <c r="AB423" t="s">
        <v>12</v>
      </c>
      <c r="AC423" t="s">
        <v>12</v>
      </c>
      <c r="AD423" t="s">
        <v>12</v>
      </c>
    </row>
    <row r="424" spans="1:30">
      <c r="A424" t="s">
        <v>240</v>
      </c>
      <c r="B424" t="str">
        <f>Master_Data_Productivity[[#This Row],[Uniq-ID]]&amp;"-"&amp;Master_Data_Productivity[[#This Row],[Period]]</f>
        <v>DC-Document_Controller-003-M6</v>
      </c>
      <c r="C424" t="s">
        <v>241</v>
      </c>
      <c r="D424" t="s">
        <v>11</v>
      </c>
      <c r="E424" t="s">
        <v>31</v>
      </c>
      <c r="F424" t="s">
        <v>57</v>
      </c>
      <c r="G424" t="s">
        <v>33</v>
      </c>
      <c r="H424" t="s">
        <v>16</v>
      </c>
      <c r="I424">
        <v>2.7320000000000002</v>
      </c>
      <c r="J424">
        <v>1.37</v>
      </c>
      <c r="K424" t="s">
        <v>2871</v>
      </c>
      <c r="L424" t="s">
        <v>2875</v>
      </c>
      <c r="M424" t="s">
        <v>2873</v>
      </c>
      <c r="N424">
        <v>36</v>
      </c>
      <c r="O424">
        <v>50</v>
      </c>
      <c r="P424">
        <v>1.3889</v>
      </c>
      <c r="Q424" t="s">
        <v>8</v>
      </c>
      <c r="R424" t="s">
        <v>12</v>
      </c>
      <c r="S424" t="s">
        <v>12</v>
      </c>
      <c r="T424" t="s">
        <v>12</v>
      </c>
      <c r="U424" t="s">
        <v>12</v>
      </c>
      <c r="V424" t="s">
        <v>12</v>
      </c>
      <c r="W424" t="s">
        <v>12</v>
      </c>
      <c r="X424" t="s">
        <v>12</v>
      </c>
      <c r="Y424" t="s">
        <v>12</v>
      </c>
      <c r="Z424" t="s">
        <v>12</v>
      </c>
      <c r="AA424" t="s">
        <v>12</v>
      </c>
      <c r="AB424" t="s">
        <v>12</v>
      </c>
      <c r="AC424" t="s">
        <v>12</v>
      </c>
      <c r="AD424" t="s">
        <v>12</v>
      </c>
    </row>
    <row r="425" spans="1:30">
      <c r="A425" t="s">
        <v>232</v>
      </c>
      <c r="B425" t="str">
        <f>Master_Data_Productivity[[#This Row],[Uniq-ID]]&amp;"-"&amp;Master_Data_Productivity[[#This Row],[Period]]</f>
        <v>DC-Document_Controller-011-M1</v>
      </c>
      <c r="C425" t="s">
        <v>233</v>
      </c>
      <c r="D425" t="s">
        <v>48</v>
      </c>
      <c r="E425" t="s">
        <v>13</v>
      </c>
      <c r="F425" t="s">
        <v>122</v>
      </c>
      <c r="G425" t="s">
        <v>15</v>
      </c>
      <c r="H425" t="s">
        <v>20</v>
      </c>
      <c r="I425">
        <v>1.173</v>
      </c>
      <c r="J425">
        <v>1</v>
      </c>
      <c r="K425" t="s">
        <v>2887</v>
      </c>
      <c r="L425" t="s">
        <v>3194</v>
      </c>
      <c r="M425" t="s">
        <v>2873</v>
      </c>
      <c r="N425">
        <v>616</v>
      </c>
      <c r="O425">
        <v>34</v>
      </c>
      <c r="P425">
        <v>5.5199999999999999E-2</v>
      </c>
      <c r="Q425" t="s">
        <v>8</v>
      </c>
      <c r="R425" t="s">
        <v>12</v>
      </c>
      <c r="S425" t="s">
        <v>12</v>
      </c>
      <c r="T425" t="s">
        <v>12</v>
      </c>
      <c r="U425" t="s">
        <v>12</v>
      </c>
      <c r="V425" t="s">
        <v>12</v>
      </c>
      <c r="W425" t="s">
        <v>12</v>
      </c>
      <c r="X425" t="s">
        <v>12</v>
      </c>
      <c r="Y425" t="s">
        <v>12</v>
      </c>
      <c r="Z425" t="s">
        <v>12</v>
      </c>
      <c r="AA425" t="s">
        <v>12</v>
      </c>
      <c r="AB425" t="s">
        <v>12</v>
      </c>
      <c r="AC425" t="s">
        <v>12</v>
      </c>
      <c r="AD425" t="s">
        <v>12</v>
      </c>
    </row>
    <row r="426" spans="1:30">
      <c r="A426" t="s">
        <v>232</v>
      </c>
      <c r="B426" t="str">
        <f>Master_Data_Productivity[[#This Row],[Uniq-ID]]&amp;"-"&amp;Master_Data_Productivity[[#This Row],[Period]]</f>
        <v>DC-Document_Controller-011-M1</v>
      </c>
      <c r="C426" t="s">
        <v>233</v>
      </c>
      <c r="D426" t="s">
        <v>48</v>
      </c>
      <c r="E426" t="s">
        <v>13</v>
      </c>
      <c r="F426" t="s">
        <v>122</v>
      </c>
      <c r="G426" t="s">
        <v>15</v>
      </c>
      <c r="H426" t="s">
        <v>20</v>
      </c>
      <c r="I426">
        <v>1.173</v>
      </c>
      <c r="J426">
        <v>1</v>
      </c>
      <c r="K426" t="s">
        <v>2871</v>
      </c>
      <c r="L426" t="s">
        <v>3192</v>
      </c>
      <c r="M426" t="s">
        <v>2873</v>
      </c>
      <c r="N426">
        <v>154</v>
      </c>
      <c r="O426">
        <v>69</v>
      </c>
      <c r="P426">
        <v>0.4481</v>
      </c>
      <c r="Q426" t="s">
        <v>8</v>
      </c>
      <c r="R426" t="s">
        <v>12</v>
      </c>
      <c r="S426" t="s">
        <v>12</v>
      </c>
      <c r="T426" t="s">
        <v>12</v>
      </c>
      <c r="U426" t="s">
        <v>12</v>
      </c>
      <c r="V426" t="s">
        <v>12</v>
      </c>
      <c r="W426" t="s">
        <v>12</v>
      </c>
      <c r="X426" t="s">
        <v>12</v>
      </c>
      <c r="Y426" t="s">
        <v>12</v>
      </c>
      <c r="Z426" t="s">
        <v>12</v>
      </c>
      <c r="AA426" t="s">
        <v>12</v>
      </c>
      <c r="AB426" t="s">
        <v>12</v>
      </c>
      <c r="AC426" t="s">
        <v>12</v>
      </c>
      <c r="AD426" t="s">
        <v>12</v>
      </c>
    </row>
    <row r="427" spans="1:30">
      <c r="A427" t="s">
        <v>232</v>
      </c>
      <c r="B427" t="str">
        <f>Master_Data_Productivity[[#This Row],[Uniq-ID]]&amp;"-"&amp;Master_Data_Productivity[[#This Row],[Period]]</f>
        <v>DC-Document_Controller-011-M1</v>
      </c>
      <c r="C427" t="s">
        <v>233</v>
      </c>
      <c r="D427" t="s">
        <v>48</v>
      </c>
      <c r="E427" t="s">
        <v>13</v>
      </c>
      <c r="F427" t="s">
        <v>122</v>
      </c>
      <c r="G427" t="s">
        <v>15</v>
      </c>
      <c r="H427" t="s">
        <v>20</v>
      </c>
      <c r="I427">
        <v>1.173</v>
      </c>
      <c r="J427">
        <v>1</v>
      </c>
      <c r="K427" t="s">
        <v>2871</v>
      </c>
      <c r="L427" t="s">
        <v>3190</v>
      </c>
      <c r="M427" t="s">
        <v>2873</v>
      </c>
      <c r="N427">
        <v>168</v>
      </c>
      <c r="O427">
        <v>109</v>
      </c>
      <c r="P427">
        <v>0.64880000000000004</v>
      </c>
      <c r="Q427" t="s">
        <v>8</v>
      </c>
      <c r="R427" t="s">
        <v>12</v>
      </c>
      <c r="S427" t="s">
        <v>12</v>
      </c>
      <c r="T427" t="s">
        <v>12</v>
      </c>
      <c r="U427" t="s">
        <v>12</v>
      </c>
      <c r="V427" t="s">
        <v>12</v>
      </c>
      <c r="W427" t="s">
        <v>12</v>
      </c>
      <c r="X427" t="s">
        <v>12</v>
      </c>
      <c r="Y427" t="s">
        <v>12</v>
      </c>
      <c r="Z427" t="s">
        <v>12</v>
      </c>
      <c r="AA427" t="s">
        <v>12</v>
      </c>
      <c r="AB427" t="s">
        <v>12</v>
      </c>
      <c r="AC427" t="s">
        <v>12</v>
      </c>
      <c r="AD427" t="s">
        <v>12</v>
      </c>
    </row>
    <row r="428" spans="1:30">
      <c r="A428" t="s">
        <v>232</v>
      </c>
      <c r="B428" t="str">
        <f>Master_Data_Productivity[[#This Row],[Uniq-ID]]&amp;"-"&amp;Master_Data_Productivity[[#This Row],[Period]]</f>
        <v>DC-Document_Controller-011-M1</v>
      </c>
      <c r="C428" t="s">
        <v>233</v>
      </c>
      <c r="D428" t="s">
        <v>48</v>
      </c>
      <c r="E428" t="s">
        <v>13</v>
      </c>
      <c r="F428" t="s">
        <v>122</v>
      </c>
      <c r="G428" t="s">
        <v>15</v>
      </c>
      <c r="H428" t="s">
        <v>20</v>
      </c>
      <c r="I428">
        <v>1.173</v>
      </c>
      <c r="J428">
        <v>1</v>
      </c>
      <c r="K428" t="s">
        <v>2871</v>
      </c>
      <c r="L428" t="s">
        <v>3214</v>
      </c>
      <c r="M428" t="s">
        <v>2916</v>
      </c>
      <c r="N428">
        <v>924</v>
      </c>
      <c r="O428">
        <v>17</v>
      </c>
      <c r="P428">
        <v>1.84E-2</v>
      </c>
      <c r="Q428" t="s">
        <v>8</v>
      </c>
      <c r="R428" t="s">
        <v>12</v>
      </c>
      <c r="S428" t="s">
        <v>12</v>
      </c>
      <c r="T428" t="s">
        <v>12</v>
      </c>
      <c r="U428" t="s">
        <v>12</v>
      </c>
      <c r="V428" t="s">
        <v>12</v>
      </c>
      <c r="W428" t="s">
        <v>12</v>
      </c>
      <c r="X428" t="s">
        <v>12</v>
      </c>
      <c r="Y428" t="s">
        <v>12</v>
      </c>
      <c r="Z428" t="s">
        <v>12</v>
      </c>
      <c r="AA428" t="s">
        <v>12</v>
      </c>
      <c r="AB428" t="s">
        <v>12</v>
      </c>
      <c r="AC428" t="s">
        <v>12</v>
      </c>
      <c r="AD428" t="s">
        <v>12</v>
      </c>
    </row>
    <row r="429" spans="1:30">
      <c r="A429" t="s">
        <v>232</v>
      </c>
      <c r="B429" t="str">
        <f>Master_Data_Productivity[[#This Row],[Uniq-ID]]&amp;"-"&amp;Master_Data_Productivity[[#This Row],[Period]]</f>
        <v>DC-Document_Controller-011-M1</v>
      </c>
      <c r="C429" t="s">
        <v>233</v>
      </c>
      <c r="D429" t="s">
        <v>48</v>
      </c>
      <c r="E429" t="s">
        <v>13</v>
      </c>
      <c r="F429" t="s">
        <v>122</v>
      </c>
      <c r="G429" t="s">
        <v>15</v>
      </c>
      <c r="H429" t="s">
        <v>20</v>
      </c>
      <c r="I429">
        <v>1.173</v>
      </c>
      <c r="J429">
        <v>1</v>
      </c>
      <c r="K429" t="s">
        <v>12</v>
      </c>
      <c r="L429" t="s">
        <v>3214</v>
      </c>
      <c r="M429" t="s">
        <v>2916</v>
      </c>
      <c r="N429">
        <v>924</v>
      </c>
      <c r="O429">
        <v>2</v>
      </c>
      <c r="P429">
        <v>2.2000000000000001E-3</v>
      </c>
      <c r="Q429" t="s">
        <v>8</v>
      </c>
      <c r="R429" t="s">
        <v>12</v>
      </c>
      <c r="S429" t="s">
        <v>12</v>
      </c>
      <c r="T429" t="s">
        <v>12</v>
      </c>
      <c r="U429" t="s">
        <v>12</v>
      </c>
      <c r="V429" t="s">
        <v>12</v>
      </c>
      <c r="W429" t="s">
        <v>12</v>
      </c>
      <c r="X429" t="s">
        <v>12</v>
      </c>
      <c r="Y429" t="s">
        <v>12</v>
      </c>
      <c r="Z429" t="s">
        <v>12</v>
      </c>
      <c r="AA429" t="s">
        <v>12</v>
      </c>
      <c r="AB429" t="s">
        <v>12</v>
      </c>
      <c r="AC429" t="s">
        <v>12</v>
      </c>
      <c r="AD429" t="s">
        <v>12</v>
      </c>
    </row>
    <row r="430" spans="1:30">
      <c r="A430" t="s">
        <v>232</v>
      </c>
      <c r="B430" t="str">
        <f>Master_Data_Productivity[[#This Row],[Uniq-ID]]&amp;"-"&amp;Master_Data_Productivity[[#This Row],[Period]]</f>
        <v>DC-Document_Controller-011-M2</v>
      </c>
      <c r="C430" t="s">
        <v>233</v>
      </c>
      <c r="D430" t="s">
        <v>48</v>
      </c>
      <c r="E430" t="s">
        <v>18</v>
      </c>
      <c r="F430" t="s">
        <v>124</v>
      </c>
      <c r="G430" t="s">
        <v>15</v>
      </c>
      <c r="H430" t="s">
        <v>44</v>
      </c>
      <c r="I430">
        <v>0.755</v>
      </c>
      <c r="J430">
        <v>0.75</v>
      </c>
      <c r="K430" t="s">
        <v>2887</v>
      </c>
      <c r="L430" t="s">
        <v>3194</v>
      </c>
      <c r="M430" t="s">
        <v>2873</v>
      </c>
      <c r="N430">
        <v>616</v>
      </c>
      <c r="O430">
        <v>66</v>
      </c>
      <c r="P430">
        <v>0.1071</v>
      </c>
      <c r="Q430" t="s">
        <v>8</v>
      </c>
      <c r="R430" t="s">
        <v>12</v>
      </c>
      <c r="S430" t="s">
        <v>12</v>
      </c>
      <c r="T430" t="s">
        <v>12</v>
      </c>
      <c r="U430" t="s">
        <v>12</v>
      </c>
      <c r="V430" t="s">
        <v>12</v>
      </c>
      <c r="W430" t="s">
        <v>12</v>
      </c>
      <c r="X430" t="s">
        <v>12</v>
      </c>
      <c r="Y430" t="s">
        <v>12</v>
      </c>
      <c r="Z430" t="s">
        <v>12</v>
      </c>
      <c r="AA430" t="s">
        <v>12</v>
      </c>
      <c r="AB430" t="s">
        <v>12</v>
      </c>
      <c r="AC430" t="s">
        <v>12</v>
      </c>
      <c r="AD430" t="s">
        <v>12</v>
      </c>
    </row>
    <row r="431" spans="1:30">
      <c r="A431" t="s">
        <v>232</v>
      </c>
      <c r="B431" t="str">
        <f>Master_Data_Productivity[[#This Row],[Uniq-ID]]&amp;"-"&amp;Master_Data_Productivity[[#This Row],[Period]]</f>
        <v>DC-Document_Controller-011-M2</v>
      </c>
      <c r="C431" t="s">
        <v>233</v>
      </c>
      <c r="D431" t="s">
        <v>48</v>
      </c>
      <c r="E431" t="s">
        <v>18</v>
      </c>
      <c r="F431" t="s">
        <v>124</v>
      </c>
      <c r="G431" t="s">
        <v>15</v>
      </c>
      <c r="H431" t="s">
        <v>44</v>
      </c>
      <c r="I431">
        <v>0.755</v>
      </c>
      <c r="J431">
        <v>0.75</v>
      </c>
      <c r="K431" t="s">
        <v>2871</v>
      </c>
      <c r="L431" t="s">
        <v>3192</v>
      </c>
      <c r="M431" t="s">
        <v>2873</v>
      </c>
      <c r="N431">
        <v>154</v>
      </c>
      <c r="O431">
        <v>48</v>
      </c>
      <c r="P431">
        <v>0.31169999999999998</v>
      </c>
      <c r="Q431" t="s">
        <v>8</v>
      </c>
      <c r="R431" t="s">
        <v>12</v>
      </c>
      <c r="S431" t="s">
        <v>12</v>
      </c>
      <c r="T431" t="s">
        <v>12</v>
      </c>
      <c r="U431" t="s">
        <v>12</v>
      </c>
      <c r="V431" t="s">
        <v>12</v>
      </c>
      <c r="W431" t="s">
        <v>12</v>
      </c>
      <c r="X431" t="s">
        <v>12</v>
      </c>
      <c r="Y431" t="s">
        <v>12</v>
      </c>
      <c r="Z431" t="s">
        <v>12</v>
      </c>
      <c r="AA431" t="s">
        <v>12</v>
      </c>
      <c r="AB431" t="s">
        <v>12</v>
      </c>
      <c r="AC431" t="s">
        <v>12</v>
      </c>
      <c r="AD431" t="s">
        <v>12</v>
      </c>
    </row>
    <row r="432" spans="1:30">
      <c r="A432" t="s">
        <v>232</v>
      </c>
      <c r="B432" t="str">
        <f>Master_Data_Productivity[[#This Row],[Uniq-ID]]&amp;"-"&amp;Master_Data_Productivity[[#This Row],[Period]]</f>
        <v>DC-Document_Controller-011-M2</v>
      </c>
      <c r="C432" t="s">
        <v>233</v>
      </c>
      <c r="D432" t="s">
        <v>48</v>
      </c>
      <c r="E432" t="s">
        <v>18</v>
      </c>
      <c r="F432" t="s">
        <v>124</v>
      </c>
      <c r="G432" t="s">
        <v>15</v>
      </c>
      <c r="H432" t="s">
        <v>44</v>
      </c>
      <c r="I432">
        <v>0.755</v>
      </c>
      <c r="J432">
        <v>0.75</v>
      </c>
      <c r="K432" t="s">
        <v>2871</v>
      </c>
      <c r="L432" t="s">
        <v>3190</v>
      </c>
      <c r="M432" t="s">
        <v>2873</v>
      </c>
      <c r="N432">
        <v>168</v>
      </c>
      <c r="O432">
        <v>55</v>
      </c>
      <c r="P432">
        <v>0.32740000000000002</v>
      </c>
      <c r="Q432" t="s">
        <v>8</v>
      </c>
      <c r="R432" t="s">
        <v>12</v>
      </c>
      <c r="S432" t="s">
        <v>12</v>
      </c>
      <c r="T432" t="s">
        <v>12</v>
      </c>
      <c r="U432" t="s">
        <v>12</v>
      </c>
      <c r="V432" t="s">
        <v>12</v>
      </c>
      <c r="W432" t="s">
        <v>12</v>
      </c>
      <c r="X432" t="s">
        <v>12</v>
      </c>
      <c r="Y432" t="s">
        <v>12</v>
      </c>
      <c r="Z432" t="s">
        <v>12</v>
      </c>
      <c r="AA432" t="s">
        <v>12</v>
      </c>
      <c r="AB432" t="s">
        <v>12</v>
      </c>
      <c r="AC432" t="s">
        <v>12</v>
      </c>
      <c r="AD432" t="s">
        <v>12</v>
      </c>
    </row>
    <row r="433" spans="1:30">
      <c r="A433" t="s">
        <v>232</v>
      </c>
      <c r="B433" t="str">
        <f>Master_Data_Productivity[[#This Row],[Uniq-ID]]&amp;"-"&amp;Master_Data_Productivity[[#This Row],[Period]]</f>
        <v>DC-Document_Controller-011-M2</v>
      </c>
      <c r="C433" t="s">
        <v>233</v>
      </c>
      <c r="D433" t="s">
        <v>48</v>
      </c>
      <c r="E433" t="s">
        <v>18</v>
      </c>
      <c r="F433" t="s">
        <v>124</v>
      </c>
      <c r="G433" t="s">
        <v>15</v>
      </c>
      <c r="H433" t="s">
        <v>44</v>
      </c>
      <c r="I433">
        <v>0.755</v>
      </c>
      <c r="J433">
        <v>0.75</v>
      </c>
      <c r="K433" t="s">
        <v>2871</v>
      </c>
      <c r="L433" t="s">
        <v>3214</v>
      </c>
      <c r="M433" t="s">
        <v>2916</v>
      </c>
      <c r="N433">
        <v>924</v>
      </c>
      <c r="O433">
        <v>8</v>
      </c>
      <c r="P433">
        <v>8.6999999999999994E-3</v>
      </c>
      <c r="Q433" t="s">
        <v>8</v>
      </c>
      <c r="R433" t="s">
        <v>12</v>
      </c>
      <c r="S433" t="s">
        <v>12</v>
      </c>
      <c r="T433" t="s">
        <v>12</v>
      </c>
      <c r="U433" t="s">
        <v>12</v>
      </c>
      <c r="V433" t="s">
        <v>12</v>
      </c>
      <c r="W433" t="s">
        <v>12</v>
      </c>
      <c r="X433" t="s">
        <v>12</v>
      </c>
      <c r="Y433" t="s">
        <v>12</v>
      </c>
      <c r="Z433" t="s">
        <v>12</v>
      </c>
      <c r="AA433" t="s">
        <v>12</v>
      </c>
      <c r="AB433" t="s">
        <v>12</v>
      </c>
      <c r="AC433" t="s">
        <v>12</v>
      </c>
      <c r="AD433" t="s">
        <v>12</v>
      </c>
    </row>
    <row r="434" spans="1:30">
      <c r="A434" t="s">
        <v>232</v>
      </c>
      <c r="B434" t="str">
        <f>Master_Data_Productivity[[#This Row],[Uniq-ID]]&amp;"-"&amp;Master_Data_Productivity[[#This Row],[Period]]</f>
        <v>DC-Document_Controller-011-M3</v>
      </c>
      <c r="C434" t="s">
        <v>233</v>
      </c>
      <c r="D434" t="s">
        <v>48</v>
      </c>
      <c r="E434" t="s">
        <v>22</v>
      </c>
      <c r="F434" t="s">
        <v>126</v>
      </c>
      <c r="G434" t="s">
        <v>15</v>
      </c>
      <c r="H434" t="s">
        <v>20</v>
      </c>
      <c r="I434">
        <v>1.6970000000000001</v>
      </c>
      <c r="J434">
        <v>1</v>
      </c>
      <c r="K434" t="s">
        <v>2887</v>
      </c>
      <c r="L434" t="s">
        <v>3194</v>
      </c>
      <c r="M434" t="s">
        <v>2873</v>
      </c>
      <c r="N434">
        <v>616</v>
      </c>
      <c r="O434">
        <v>58</v>
      </c>
      <c r="P434">
        <v>9.4200000000000006E-2</v>
      </c>
      <c r="Q434" t="s">
        <v>8</v>
      </c>
      <c r="R434" t="s">
        <v>12</v>
      </c>
      <c r="S434" t="s">
        <v>12</v>
      </c>
      <c r="T434" t="s">
        <v>12</v>
      </c>
      <c r="U434" t="s">
        <v>12</v>
      </c>
      <c r="V434" t="s">
        <v>12</v>
      </c>
      <c r="W434" t="s">
        <v>12</v>
      </c>
      <c r="X434" t="s">
        <v>12</v>
      </c>
      <c r="Y434" t="s">
        <v>12</v>
      </c>
      <c r="Z434" t="s">
        <v>12</v>
      </c>
      <c r="AA434" t="s">
        <v>12</v>
      </c>
      <c r="AB434" t="s">
        <v>12</v>
      </c>
      <c r="AC434" t="s">
        <v>12</v>
      </c>
      <c r="AD434" t="s">
        <v>12</v>
      </c>
    </row>
    <row r="435" spans="1:30">
      <c r="A435" t="s">
        <v>232</v>
      </c>
      <c r="B435" t="str">
        <f>Master_Data_Productivity[[#This Row],[Uniq-ID]]&amp;"-"&amp;Master_Data_Productivity[[#This Row],[Period]]</f>
        <v>DC-Document_Controller-011-M3</v>
      </c>
      <c r="C435" t="s">
        <v>233</v>
      </c>
      <c r="D435" t="s">
        <v>48</v>
      </c>
      <c r="E435" t="s">
        <v>22</v>
      </c>
      <c r="F435" t="s">
        <v>126</v>
      </c>
      <c r="G435" t="s">
        <v>15</v>
      </c>
      <c r="H435" t="s">
        <v>20</v>
      </c>
      <c r="I435">
        <v>1.6970000000000001</v>
      </c>
      <c r="J435">
        <v>1</v>
      </c>
      <c r="K435" t="s">
        <v>2871</v>
      </c>
      <c r="L435" t="s">
        <v>3192</v>
      </c>
      <c r="M435" t="s">
        <v>2873</v>
      </c>
      <c r="N435">
        <v>154</v>
      </c>
      <c r="O435">
        <v>69</v>
      </c>
      <c r="P435">
        <v>0.4481</v>
      </c>
      <c r="Q435" t="s">
        <v>8</v>
      </c>
      <c r="R435" t="s">
        <v>12</v>
      </c>
      <c r="S435" t="s">
        <v>12</v>
      </c>
      <c r="T435" t="s">
        <v>12</v>
      </c>
      <c r="U435" t="s">
        <v>12</v>
      </c>
      <c r="V435" t="s">
        <v>12</v>
      </c>
      <c r="W435" t="s">
        <v>12</v>
      </c>
      <c r="X435" t="s">
        <v>12</v>
      </c>
      <c r="Y435" t="s">
        <v>12</v>
      </c>
      <c r="Z435" t="s">
        <v>12</v>
      </c>
      <c r="AA435" t="s">
        <v>12</v>
      </c>
      <c r="AB435" t="s">
        <v>12</v>
      </c>
      <c r="AC435" t="s">
        <v>12</v>
      </c>
      <c r="AD435" t="s">
        <v>12</v>
      </c>
    </row>
    <row r="436" spans="1:30">
      <c r="A436" t="s">
        <v>232</v>
      </c>
      <c r="B436" t="str">
        <f>Master_Data_Productivity[[#This Row],[Uniq-ID]]&amp;"-"&amp;Master_Data_Productivity[[#This Row],[Period]]</f>
        <v>DC-Document_Controller-011-M3</v>
      </c>
      <c r="C436" t="s">
        <v>233</v>
      </c>
      <c r="D436" t="s">
        <v>48</v>
      </c>
      <c r="E436" t="s">
        <v>22</v>
      </c>
      <c r="F436" t="s">
        <v>126</v>
      </c>
      <c r="G436" t="s">
        <v>15</v>
      </c>
      <c r="H436" t="s">
        <v>20</v>
      </c>
      <c r="I436">
        <v>1.6970000000000001</v>
      </c>
      <c r="J436">
        <v>1</v>
      </c>
      <c r="K436" t="s">
        <v>2871</v>
      </c>
      <c r="L436" t="s">
        <v>3190</v>
      </c>
      <c r="M436" t="s">
        <v>2873</v>
      </c>
      <c r="N436">
        <v>168</v>
      </c>
      <c r="O436">
        <v>194</v>
      </c>
      <c r="P436">
        <v>1.1548</v>
      </c>
      <c r="Q436" t="s">
        <v>8</v>
      </c>
      <c r="R436" t="s">
        <v>12</v>
      </c>
      <c r="S436" t="s">
        <v>12</v>
      </c>
      <c r="T436" t="s">
        <v>12</v>
      </c>
      <c r="U436" t="s">
        <v>12</v>
      </c>
      <c r="V436" t="s">
        <v>12</v>
      </c>
      <c r="W436" t="s">
        <v>12</v>
      </c>
      <c r="X436" t="s">
        <v>12</v>
      </c>
      <c r="Y436" t="s">
        <v>12</v>
      </c>
      <c r="Z436" t="s">
        <v>12</v>
      </c>
      <c r="AA436" t="s">
        <v>12</v>
      </c>
      <c r="AB436" t="s">
        <v>12</v>
      </c>
      <c r="AC436" t="s">
        <v>12</v>
      </c>
      <c r="AD436" t="s">
        <v>12</v>
      </c>
    </row>
    <row r="437" spans="1:30">
      <c r="A437" t="s">
        <v>232</v>
      </c>
      <c r="B437" t="str">
        <f>Master_Data_Productivity[[#This Row],[Uniq-ID]]&amp;"-"&amp;Master_Data_Productivity[[#This Row],[Period]]</f>
        <v>DC-Document_Controller-011-M4</v>
      </c>
      <c r="C437" t="s">
        <v>233</v>
      </c>
      <c r="D437" t="s">
        <v>48</v>
      </c>
      <c r="E437" t="s">
        <v>25</v>
      </c>
      <c r="F437" t="s">
        <v>128</v>
      </c>
      <c r="G437" t="s">
        <v>15</v>
      </c>
      <c r="H437" t="s">
        <v>16</v>
      </c>
      <c r="I437">
        <v>2.879</v>
      </c>
      <c r="J437">
        <v>1.44</v>
      </c>
      <c r="K437" t="s">
        <v>2871</v>
      </c>
      <c r="L437" t="s">
        <v>3190</v>
      </c>
      <c r="M437" t="s">
        <v>2873</v>
      </c>
      <c r="N437">
        <v>168</v>
      </c>
      <c r="O437">
        <v>214</v>
      </c>
      <c r="P437">
        <v>1.2738</v>
      </c>
      <c r="Q437" t="s">
        <v>8</v>
      </c>
      <c r="R437" t="s">
        <v>12</v>
      </c>
      <c r="S437" t="s">
        <v>12</v>
      </c>
      <c r="T437" t="s">
        <v>12</v>
      </c>
      <c r="U437" t="s">
        <v>12</v>
      </c>
      <c r="V437" t="s">
        <v>12</v>
      </c>
      <c r="W437" t="s">
        <v>12</v>
      </c>
      <c r="X437" t="s">
        <v>12</v>
      </c>
      <c r="Y437" t="s">
        <v>12</v>
      </c>
      <c r="Z437" t="s">
        <v>12</v>
      </c>
      <c r="AA437" t="s">
        <v>12</v>
      </c>
      <c r="AB437" t="s">
        <v>12</v>
      </c>
      <c r="AC437" t="s">
        <v>12</v>
      </c>
      <c r="AD437" t="s">
        <v>12</v>
      </c>
    </row>
    <row r="438" spans="1:30">
      <c r="A438" t="s">
        <v>232</v>
      </c>
      <c r="B438" t="str">
        <f>Master_Data_Productivity[[#This Row],[Uniq-ID]]&amp;"-"&amp;Master_Data_Productivity[[#This Row],[Period]]</f>
        <v>DC-Document_Controller-011-M4</v>
      </c>
      <c r="C438" t="s">
        <v>233</v>
      </c>
      <c r="D438" t="s">
        <v>48</v>
      </c>
      <c r="E438" t="s">
        <v>25</v>
      </c>
      <c r="F438" t="s">
        <v>128</v>
      </c>
      <c r="G438" t="s">
        <v>15</v>
      </c>
      <c r="H438" t="s">
        <v>16</v>
      </c>
      <c r="I438">
        <v>2.879</v>
      </c>
      <c r="J438">
        <v>1.44</v>
      </c>
      <c r="K438" t="s">
        <v>2871</v>
      </c>
      <c r="L438" t="s">
        <v>3192</v>
      </c>
      <c r="M438" t="s">
        <v>2873</v>
      </c>
      <c r="N438">
        <v>154</v>
      </c>
      <c r="O438">
        <v>206</v>
      </c>
      <c r="P438">
        <v>1.3376999999999999</v>
      </c>
      <c r="Q438" t="s">
        <v>8</v>
      </c>
      <c r="R438" t="s">
        <v>12</v>
      </c>
      <c r="S438" t="s">
        <v>12</v>
      </c>
      <c r="T438" t="s">
        <v>12</v>
      </c>
      <c r="U438" t="s">
        <v>12</v>
      </c>
      <c r="V438" t="s">
        <v>12</v>
      </c>
      <c r="W438" t="s">
        <v>12</v>
      </c>
      <c r="X438" t="s">
        <v>12</v>
      </c>
      <c r="Y438" t="s">
        <v>12</v>
      </c>
      <c r="Z438" t="s">
        <v>12</v>
      </c>
      <c r="AA438" t="s">
        <v>12</v>
      </c>
      <c r="AB438" t="s">
        <v>12</v>
      </c>
      <c r="AC438" t="s">
        <v>12</v>
      </c>
      <c r="AD438" t="s">
        <v>12</v>
      </c>
    </row>
    <row r="439" spans="1:30">
      <c r="A439" t="s">
        <v>232</v>
      </c>
      <c r="B439" t="str">
        <f>Master_Data_Productivity[[#This Row],[Uniq-ID]]&amp;"-"&amp;Master_Data_Productivity[[#This Row],[Period]]</f>
        <v>DC-Document_Controller-011-M4</v>
      </c>
      <c r="C439" t="s">
        <v>233</v>
      </c>
      <c r="D439" t="s">
        <v>48</v>
      </c>
      <c r="E439" t="s">
        <v>25</v>
      </c>
      <c r="F439" t="s">
        <v>128</v>
      </c>
      <c r="G439" t="s">
        <v>15</v>
      </c>
      <c r="H439" t="s">
        <v>16</v>
      </c>
      <c r="I439">
        <v>2.879</v>
      </c>
      <c r="J439">
        <v>1.44</v>
      </c>
      <c r="K439" t="s">
        <v>2887</v>
      </c>
      <c r="L439" t="s">
        <v>3199</v>
      </c>
      <c r="M439" t="s">
        <v>2873</v>
      </c>
      <c r="N439">
        <v>462</v>
      </c>
      <c r="O439">
        <v>14</v>
      </c>
      <c r="P439">
        <v>3.0300000000000001E-2</v>
      </c>
      <c r="Q439" t="s">
        <v>8</v>
      </c>
      <c r="R439" t="s">
        <v>12</v>
      </c>
      <c r="S439" t="s">
        <v>12</v>
      </c>
      <c r="T439" t="s">
        <v>12</v>
      </c>
      <c r="U439" t="s">
        <v>12</v>
      </c>
      <c r="V439" t="s">
        <v>12</v>
      </c>
      <c r="W439" t="s">
        <v>12</v>
      </c>
      <c r="X439" t="s">
        <v>12</v>
      </c>
      <c r="Y439" t="s">
        <v>12</v>
      </c>
      <c r="Z439" t="s">
        <v>12</v>
      </c>
      <c r="AA439" t="s">
        <v>12</v>
      </c>
      <c r="AB439" t="s">
        <v>12</v>
      </c>
      <c r="AC439" t="s">
        <v>12</v>
      </c>
      <c r="AD439" t="s">
        <v>12</v>
      </c>
    </row>
    <row r="440" spans="1:30">
      <c r="A440" t="s">
        <v>232</v>
      </c>
      <c r="B440" t="str">
        <f>Master_Data_Productivity[[#This Row],[Uniq-ID]]&amp;"-"&amp;Master_Data_Productivity[[#This Row],[Period]]</f>
        <v>DC-Document_Controller-011-M4</v>
      </c>
      <c r="C440" t="s">
        <v>233</v>
      </c>
      <c r="D440" t="s">
        <v>48</v>
      </c>
      <c r="E440" t="s">
        <v>25</v>
      </c>
      <c r="F440" t="s">
        <v>128</v>
      </c>
      <c r="G440" t="s">
        <v>15</v>
      </c>
      <c r="H440" t="s">
        <v>16</v>
      </c>
      <c r="I440">
        <v>2.879</v>
      </c>
      <c r="J440">
        <v>1.44</v>
      </c>
      <c r="K440" t="s">
        <v>2887</v>
      </c>
      <c r="L440" t="s">
        <v>3194</v>
      </c>
      <c r="M440" t="s">
        <v>2873</v>
      </c>
      <c r="N440">
        <v>616</v>
      </c>
      <c r="O440">
        <v>146</v>
      </c>
      <c r="P440">
        <v>0.23699999999999999</v>
      </c>
      <c r="Q440" t="s">
        <v>8</v>
      </c>
      <c r="R440" t="s">
        <v>12</v>
      </c>
      <c r="S440" t="s">
        <v>12</v>
      </c>
      <c r="T440" t="s">
        <v>12</v>
      </c>
      <c r="U440" t="s">
        <v>12</v>
      </c>
      <c r="V440" t="s">
        <v>12</v>
      </c>
      <c r="W440" t="s">
        <v>12</v>
      </c>
      <c r="X440" t="s">
        <v>12</v>
      </c>
      <c r="Y440" t="s">
        <v>12</v>
      </c>
      <c r="Z440" t="s">
        <v>12</v>
      </c>
      <c r="AA440" t="s">
        <v>12</v>
      </c>
      <c r="AB440" t="s">
        <v>12</v>
      </c>
      <c r="AC440" t="s">
        <v>12</v>
      </c>
      <c r="AD440" t="s">
        <v>12</v>
      </c>
    </row>
    <row r="441" spans="1:30">
      <c r="A441" t="s">
        <v>232</v>
      </c>
      <c r="B441" t="str">
        <f>Master_Data_Productivity[[#This Row],[Uniq-ID]]&amp;"-"&amp;Master_Data_Productivity[[#This Row],[Period]]</f>
        <v>DC-Document_Controller-011-M5</v>
      </c>
      <c r="C441" t="s">
        <v>233</v>
      </c>
      <c r="D441" t="s">
        <v>48</v>
      </c>
      <c r="E441" t="s">
        <v>28</v>
      </c>
      <c r="F441" t="s">
        <v>130</v>
      </c>
      <c r="G441" t="s">
        <v>15</v>
      </c>
      <c r="H441" t="s">
        <v>16</v>
      </c>
      <c r="I441">
        <v>2.1</v>
      </c>
      <c r="J441">
        <v>1.05</v>
      </c>
      <c r="K441" t="s">
        <v>2887</v>
      </c>
      <c r="L441" t="s">
        <v>3194</v>
      </c>
      <c r="M441" t="s">
        <v>2873</v>
      </c>
      <c r="N441">
        <v>616</v>
      </c>
      <c r="O441">
        <v>11</v>
      </c>
      <c r="P441">
        <v>1.7899999999999999E-2</v>
      </c>
      <c r="Q441" t="s">
        <v>8</v>
      </c>
      <c r="R441" t="s">
        <v>12</v>
      </c>
      <c r="S441" t="s">
        <v>12</v>
      </c>
      <c r="T441" t="s">
        <v>12</v>
      </c>
      <c r="U441" t="s">
        <v>12</v>
      </c>
      <c r="V441" t="s">
        <v>12</v>
      </c>
      <c r="W441" t="s">
        <v>12</v>
      </c>
      <c r="X441" t="s">
        <v>12</v>
      </c>
      <c r="Y441" t="s">
        <v>12</v>
      </c>
      <c r="Z441" t="s">
        <v>12</v>
      </c>
      <c r="AA441" t="s">
        <v>12</v>
      </c>
      <c r="AB441" t="s">
        <v>12</v>
      </c>
      <c r="AC441" t="s">
        <v>12</v>
      </c>
      <c r="AD441" t="s">
        <v>12</v>
      </c>
    </row>
    <row r="442" spans="1:30">
      <c r="A442" t="s">
        <v>232</v>
      </c>
      <c r="B442" t="str">
        <f>Master_Data_Productivity[[#This Row],[Uniq-ID]]&amp;"-"&amp;Master_Data_Productivity[[#This Row],[Period]]</f>
        <v>DC-Document_Controller-011-M5</v>
      </c>
      <c r="C442" t="s">
        <v>233</v>
      </c>
      <c r="D442" t="s">
        <v>48</v>
      </c>
      <c r="E442" t="s">
        <v>28</v>
      </c>
      <c r="F442" t="s">
        <v>130</v>
      </c>
      <c r="G442" t="s">
        <v>15</v>
      </c>
      <c r="H442" t="s">
        <v>16</v>
      </c>
      <c r="I442">
        <v>2.1</v>
      </c>
      <c r="J442">
        <v>1.05</v>
      </c>
      <c r="K442" t="s">
        <v>2871</v>
      </c>
      <c r="L442" t="s">
        <v>3190</v>
      </c>
      <c r="M442" t="s">
        <v>2873</v>
      </c>
      <c r="N442">
        <v>168</v>
      </c>
      <c r="O442">
        <v>184</v>
      </c>
      <c r="P442">
        <v>1.0952</v>
      </c>
      <c r="Q442" t="s">
        <v>8</v>
      </c>
      <c r="R442" t="s">
        <v>12</v>
      </c>
      <c r="S442" t="s">
        <v>12</v>
      </c>
      <c r="T442" t="s">
        <v>12</v>
      </c>
      <c r="U442" t="s">
        <v>12</v>
      </c>
      <c r="V442" t="s">
        <v>12</v>
      </c>
      <c r="W442" t="s">
        <v>12</v>
      </c>
      <c r="X442" t="s">
        <v>12</v>
      </c>
      <c r="Y442" t="s">
        <v>12</v>
      </c>
      <c r="Z442" t="s">
        <v>12</v>
      </c>
      <c r="AA442" t="s">
        <v>12</v>
      </c>
      <c r="AB442" t="s">
        <v>12</v>
      </c>
      <c r="AC442" t="s">
        <v>12</v>
      </c>
      <c r="AD442" t="s">
        <v>12</v>
      </c>
    </row>
    <row r="443" spans="1:30">
      <c r="A443" t="s">
        <v>232</v>
      </c>
      <c r="B443" t="str">
        <f>Master_Data_Productivity[[#This Row],[Uniq-ID]]&amp;"-"&amp;Master_Data_Productivity[[#This Row],[Period]]</f>
        <v>DC-Document_Controller-011-M5</v>
      </c>
      <c r="C443" t="s">
        <v>233</v>
      </c>
      <c r="D443" t="s">
        <v>48</v>
      </c>
      <c r="E443" t="s">
        <v>28</v>
      </c>
      <c r="F443" t="s">
        <v>130</v>
      </c>
      <c r="G443" t="s">
        <v>15</v>
      </c>
      <c r="H443" t="s">
        <v>16</v>
      </c>
      <c r="I443">
        <v>2.1</v>
      </c>
      <c r="J443">
        <v>1.05</v>
      </c>
      <c r="K443" t="s">
        <v>2871</v>
      </c>
      <c r="L443" t="s">
        <v>3192</v>
      </c>
      <c r="M443" t="s">
        <v>2873</v>
      </c>
      <c r="N443">
        <v>154</v>
      </c>
      <c r="O443">
        <v>152</v>
      </c>
      <c r="P443">
        <v>0.98699999999999999</v>
      </c>
      <c r="Q443" t="s">
        <v>8</v>
      </c>
      <c r="R443" t="s">
        <v>12</v>
      </c>
      <c r="S443" t="s">
        <v>12</v>
      </c>
      <c r="T443" t="s">
        <v>12</v>
      </c>
      <c r="U443" t="s">
        <v>12</v>
      </c>
      <c r="V443" t="s">
        <v>12</v>
      </c>
      <c r="W443" t="s">
        <v>12</v>
      </c>
      <c r="X443" t="s">
        <v>12</v>
      </c>
      <c r="Y443" t="s">
        <v>12</v>
      </c>
      <c r="Z443" t="s">
        <v>12</v>
      </c>
      <c r="AA443" t="s">
        <v>12</v>
      </c>
      <c r="AB443" t="s">
        <v>12</v>
      </c>
      <c r="AC443" t="s">
        <v>12</v>
      </c>
      <c r="AD443" t="s">
        <v>12</v>
      </c>
    </row>
    <row r="444" spans="1:30">
      <c r="A444" t="s">
        <v>232</v>
      </c>
      <c r="B444" t="str">
        <f>Master_Data_Productivity[[#This Row],[Uniq-ID]]&amp;"-"&amp;Master_Data_Productivity[[#This Row],[Period]]</f>
        <v>DC-Document_Controller-011-M6</v>
      </c>
      <c r="C444" t="s">
        <v>233</v>
      </c>
      <c r="D444" t="s">
        <v>48</v>
      </c>
      <c r="E444" t="s">
        <v>31</v>
      </c>
      <c r="F444" t="s">
        <v>132</v>
      </c>
      <c r="G444" t="s">
        <v>33</v>
      </c>
      <c r="H444" t="s">
        <v>44</v>
      </c>
      <c r="I444">
        <v>0.42</v>
      </c>
      <c r="J444">
        <v>0.5</v>
      </c>
      <c r="K444" t="s">
        <v>2871</v>
      </c>
      <c r="L444" t="s">
        <v>3192</v>
      </c>
      <c r="M444" t="s">
        <v>2873</v>
      </c>
      <c r="N444">
        <v>154</v>
      </c>
      <c r="O444">
        <v>18</v>
      </c>
      <c r="P444">
        <v>0.1169</v>
      </c>
      <c r="Q444" t="s">
        <v>8</v>
      </c>
      <c r="R444" t="s">
        <v>12</v>
      </c>
      <c r="S444" t="s">
        <v>12</v>
      </c>
      <c r="T444" t="s">
        <v>12</v>
      </c>
      <c r="U444" t="s">
        <v>12</v>
      </c>
      <c r="V444" t="s">
        <v>12</v>
      </c>
      <c r="W444" t="s">
        <v>12</v>
      </c>
      <c r="X444" t="s">
        <v>12</v>
      </c>
      <c r="Y444" t="s">
        <v>12</v>
      </c>
      <c r="Z444" t="s">
        <v>12</v>
      </c>
      <c r="AA444" t="s">
        <v>12</v>
      </c>
      <c r="AB444" t="s">
        <v>12</v>
      </c>
      <c r="AC444" t="s">
        <v>12</v>
      </c>
      <c r="AD444" t="s">
        <v>12</v>
      </c>
    </row>
    <row r="445" spans="1:30">
      <c r="A445" t="s">
        <v>232</v>
      </c>
      <c r="B445" t="str">
        <f>Master_Data_Productivity[[#This Row],[Uniq-ID]]&amp;"-"&amp;Master_Data_Productivity[[#This Row],[Period]]</f>
        <v>DC-Document_Controller-011-M6</v>
      </c>
      <c r="C445" t="s">
        <v>233</v>
      </c>
      <c r="D445" t="s">
        <v>48</v>
      </c>
      <c r="E445" t="s">
        <v>31</v>
      </c>
      <c r="F445" t="s">
        <v>132</v>
      </c>
      <c r="G445" t="s">
        <v>33</v>
      </c>
      <c r="H445" t="s">
        <v>44</v>
      </c>
      <c r="I445">
        <v>0.42</v>
      </c>
      <c r="J445">
        <v>0.5</v>
      </c>
      <c r="K445" t="s">
        <v>2871</v>
      </c>
      <c r="L445" t="s">
        <v>3190</v>
      </c>
      <c r="M445" t="s">
        <v>2873</v>
      </c>
      <c r="N445">
        <v>168</v>
      </c>
      <c r="O445">
        <v>51</v>
      </c>
      <c r="P445">
        <v>0.30359999999999998</v>
      </c>
      <c r="Q445" t="s">
        <v>8</v>
      </c>
      <c r="R445" t="s">
        <v>12</v>
      </c>
      <c r="S445" t="s">
        <v>12</v>
      </c>
      <c r="T445" t="s">
        <v>12</v>
      </c>
      <c r="U445" t="s">
        <v>12</v>
      </c>
      <c r="V445" t="s">
        <v>12</v>
      </c>
      <c r="W445" t="s">
        <v>12</v>
      </c>
      <c r="X445" t="s">
        <v>12</v>
      </c>
      <c r="Y445" t="s">
        <v>12</v>
      </c>
      <c r="Z445" t="s">
        <v>12</v>
      </c>
      <c r="AA445" t="s">
        <v>12</v>
      </c>
      <c r="AB445" t="s">
        <v>12</v>
      </c>
      <c r="AC445" t="s">
        <v>12</v>
      </c>
      <c r="AD445" t="s">
        <v>12</v>
      </c>
    </row>
    <row r="446" spans="1:30">
      <c r="A446" t="s">
        <v>248</v>
      </c>
      <c r="B446" t="str">
        <f>Master_Data_Productivity[[#This Row],[Uniq-ID]]&amp;"-"&amp;Master_Data_Productivity[[#This Row],[Period]]</f>
        <v>DC-Document_Controller-056-M1</v>
      </c>
      <c r="C446" t="s">
        <v>249</v>
      </c>
      <c r="D446" t="s">
        <v>250</v>
      </c>
      <c r="E446" t="s">
        <v>13</v>
      </c>
      <c r="F446" t="s">
        <v>251</v>
      </c>
      <c r="G446" t="s">
        <v>15</v>
      </c>
      <c r="H446" t="s">
        <v>20</v>
      </c>
      <c r="I446">
        <v>1</v>
      </c>
      <c r="J446">
        <v>1</v>
      </c>
      <c r="K446" t="s">
        <v>2887</v>
      </c>
      <c r="L446" t="s">
        <v>3244</v>
      </c>
      <c r="M446" t="s">
        <v>2873</v>
      </c>
      <c r="N446">
        <v>50</v>
      </c>
      <c r="O446">
        <v>50</v>
      </c>
      <c r="P446">
        <v>1</v>
      </c>
      <c r="Q446" t="s">
        <v>8</v>
      </c>
      <c r="R446" t="s">
        <v>12</v>
      </c>
      <c r="S446" t="s">
        <v>12</v>
      </c>
      <c r="T446" t="s">
        <v>12</v>
      </c>
      <c r="U446" t="s">
        <v>12</v>
      </c>
      <c r="V446" t="s">
        <v>12</v>
      </c>
      <c r="W446" t="s">
        <v>12</v>
      </c>
      <c r="X446" t="s">
        <v>12</v>
      </c>
      <c r="Y446" t="s">
        <v>12</v>
      </c>
      <c r="Z446" t="s">
        <v>12</v>
      </c>
      <c r="AA446" t="s">
        <v>12</v>
      </c>
      <c r="AB446" t="s">
        <v>12</v>
      </c>
      <c r="AC446" t="s">
        <v>12</v>
      </c>
      <c r="AD446" t="s">
        <v>12</v>
      </c>
    </row>
    <row r="447" spans="1:30">
      <c r="A447" t="s">
        <v>248</v>
      </c>
      <c r="B447" t="str">
        <f>Master_Data_Productivity[[#This Row],[Uniq-ID]]&amp;"-"&amp;Master_Data_Productivity[[#This Row],[Period]]</f>
        <v>DC-Document_Controller-056-M2</v>
      </c>
      <c r="C447" t="s">
        <v>249</v>
      </c>
      <c r="D447" t="s">
        <v>250</v>
      </c>
      <c r="E447" t="s">
        <v>18</v>
      </c>
      <c r="F447" t="s">
        <v>253</v>
      </c>
      <c r="G447" t="s">
        <v>15</v>
      </c>
      <c r="H447" t="s">
        <v>20</v>
      </c>
      <c r="I447">
        <v>1.28</v>
      </c>
      <c r="J447">
        <v>1</v>
      </c>
      <c r="K447" t="s">
        <v>2887</v>
      </c>
      <c r="L447" t="s">
        <v>3244</v>
      </c>
      <c r="M447" t="s">
        <v>2873</v>
      </c>
      <c r="N447">
        <v>50</v>
      </c>
      <c r="O447">
        <v>64</v>
      </c>
      <c r="P447">
        <v>1.28</v>
      </c>
      <c r="Q447" t="s">
        <v>8</v>
      </c>
      <c r="R447" t="s">
        <v>12</v>
      </c>
      <c r="S447" t="s">
        <v>12</v>
      </c>
      <c r="T447" t="s">
        <v>12</v>
      </c>
      <c r="U447" t="s">
        <v>12</v>
      </c>
      <c r="V447" t="s">
        <v>12</v>
      </c>
      <c r="W447" t="s">
        <v>12</v>
      </c>
      <c r="X447" t="s">
        <v>12</v>
      </c>
      <c r="Y447" t="s">
        <v>12</v>
      </c>
      <c r="Z447" t="s">
        <v>12</v>
      </c>
      <c r="AA447" t="s">
        <v>12</v>
      </c>
      <c r="AB447" t="s">
        <v>12</v>
      </c>
      <c r="AC447" t="s">
        <v>12</v>
      </c>
      <c r="AD447" t="s">
        <v>12</v>
      </c>
    </row>
    <row r="448" spans="1:30">
      <c r="A448" t="s">
        <v>248</v>
      </c>
      <c r="B448" t="str">
        <f>Master_Data_Productivity[[#This Row],[Uniq-ID]]&amp;"-"&amp;Master_Data_Productivity[[#This Row],[Period]]</f>
        <v>DC-Document_Controller-056-M3</v>
      </c>
      <c r="C448" t="s">
        <v>249</v>
      </c>
      <c r="D448" t="s">
        <v>250</v>
      </c>
      <c r="E448" t="s">
        <v>22</v>
      </c>
      <c r="F448" t="s">
        <v>255</v>
      </c>
      <c r="G448" t="s">
        <v>15</v>
      </c>
      <c r="H448" t="s">
        <v>20</v>
      </c>
      <c r="I448">
        <v>1.04</v>
      </c>
      <c r="J448">
        <v>1</v>
      </c>
      <c r="K448" t="s">
        <v>2887</v>
      </c>
      <c r="L448" t="s">
        <v>3244</v>
      </c>
      <c r="M448" t="s">
        <v>2873</v>
      </c>
      <c r="N448">
        <v>50</v>
      </c>
      <c r="O448">
        <v>52</v>
      </c>
      <c r="P448">
        <v>1.04</v>
      </c>
      <c r="Q448" t="s">
        <v>8</v>
      </c>
      <c r="R448" t="s">
        <v>12</v>
      </c>
      <c r="S448" t="s">
        <v>12</v>
      </c>
      <c r="T448" t="s">
        <v>12</v>
      </c>
      <c r="U448" t="s">
        <v>12</v>
      </c>
      <c r="V448" t="s">
        <v>12</v>
      </c>
      <c r="W448" t="s">
        <v>12</v>
      </c>
      <c r="X448" t="s">
        <v>12</v>
      </c>
      <c r="Y448" t="s">
        <v>12</v>
      </c>
      <c r="Z448" t="s">
        <v>12</v>
      </c>
      <c r="AA448" t="s">
        <v>12</v>
      </c>
      <c r="AB448" t="s">
        <v>12</v>
      </c>
      <c r="AC448" t="s">
        <v>12</v>
      </c>
      <c r="AD448" t="s">
        <v>12</v>
      </c>
    </row>
    <row r="449" spans="1:30">
      <c r="A449" t="s">
        <v>248</v>
      </c>
      <c r="B449" t="str">
        <f>Master_Data_Productivity[[#This Row],[Uniq-ID]]&amp;"-"&amp;Master_Data_Productivity[[#This Row],[Period]]</f>
        <v>DC-Document_Controller-056-M4</v>
      </c>
      <c r="C449" t="s">
        <v>249</v>
      </c>
      <c r="D449" t="s">
        <v>250</v>
      </c>
      <c r="E449" t="s">
        <v>25</v>
      </c>
      <c r="F449" t="s">
        <v>257</v>
      </c>
      <c r="G449" t="s">
        <v>33</v>
      </c>
      <c r="H449" t="s">
        <v>44</v>
      </c>
      <c r="I449">
        <v>0</v>
      </c>
      <c r="K449" t="s">
        <v>12</v>
      </c>
      <c r="L449" t="s">
        <v>12</v>
      </c>
      <c r="M449" t="s">
        <v>12</v>
      </c>
      <c r="Q449" t="s">
        <v>8</v>
      </c>
      <c r="R449" t="s">
        <v>12</v>
      </c>
      <c r="S449" t="s">
        <v>12</v>
      </c>
      <c r="T449" t="s">
        <v>12</v>
      </c>
      <c r="U449" t="s">
        <v>12</v>
      </c>
      <c r="V449" t="s">
        <v>12</v>
      </c>
      <c r="W449" t="s">
        <v>12</v>
      </c>
      <c r="X449" t="s">
        <v>12</v>
      </c>
      <c r="Y449" t="s">
        <v>12</v>
      </c>
      <c r="Z449" t="s">
        <v>12</v>
      </c>
      <c r="AA449" t="s">
        <v>12</v>
      </c>
      <c r="AB449" t="s">
        <v>12</v>
      </c>
      <c r="AC449" t="s">
        <v>12</v>
      </c>
      <c r="AD449" t="s">
        <v>12</v>
      </c>
    </row>
    <row r="450" spans="1:30">
      <c r="A450" t="s">
        <v>266</v>
      </c>
      <c r="B450" t="str">
        <f>Master_Data_Productivity[[#This Row],[Uniq-ID]]&amp;"-"&amp;Master_Data_Productivity[[#This Row],[Period]]</f>
        <v>DC-Document_Controller-055-M1</v>
      </c>
      <c r="C450" t="s">
        <v>267</v>
      </c>
      <c r="D450" t="s">
        <v>250</v>
      </c>
      <c r="E450" t="s">
        <v>13</v>
      </c>
      <c r="F450" t="s">
        <v>268</v>
      </c>
      <c r="G450" t="s">
        <v>15</v>
      </c>
      <c r="H450" t="s">
        <v>20</v>
      </c>
      <c r="I450">
        <v>1.02</v>
      </c>
      <c r="J450">
        <v>1</v>
      </c>
      <c r="K450" t="s">
        <v>2887</v>
      </c>
      <c r="L450" t="s">
        <v>3244</v>
      </c>
      <c r="M450" t="s">
        <v>2873</v>
      </c>
      <c r="N450">
        <v>50</v>
      </c>
      <c r="O450">
        <v>51</v>
      </c>
      <c r="P450">
        <v>1.02</v>
      </c>
      <c r="Q450" t="s">
        <v>8</v>
      </c>
      <c r="R450" t="s">
        <v>12</v>
      </c>
      <c r="S450" t="s">
        <v>12</v>
      </c>
      <c r="T450" t="s">
        <v>12</v>
      </c>
      <c r="U450" t="s">
        <v>12</v>
      </c>
      <c r="V450" t="s">
        <v>12</v>
      </c>
      <c r="W450" t="s">
        <v>12</v>
      </c>
      <c r="X450" t="s">
        <v>12</v>
      </c>
      <c r="Y450" t="s">
        <v>12</v>
      </c>
      <c r="Z450" t="s">
        <v>12</v>
      </c>
      <c r="AA450" t="s">
        <v>12</v>
      </c>
      <c r="AB450" t="s">
        <v>12</v>
      </c>
      <c r="AC450" t="s">
        <v>12</v>
      </c>
      <c r="AD450" t="s">
        <v>12</v>
      </c>
    </row>
    <row r="451" spans="1:30">
      <c r="A451" t="s">
        <v>266</v>
      </c>
      <c r="B451" t="str">
        <f>Master_Data_Productivity[[#This Row],[Uniq-ID]]&amp;"-"&amp;Master_Data_Productivity[[#This Row],[Period]]</f>
        <v>DC-Document_Controller-055-M2</v>
      </c>
      <c r="C451" t="s">
        <v>267</v>
      </c>
      <c r="D451" t="s">
        <v>250</v>
      </c>
      <c r="E451" t="s">
        <v>18</v>
      </c>
      <c r="F451" t="s">
        <v>270</v>
      </c>
      <c r="G451" t="s">
        <v>15</v>
      </c>
      <c r="H451" t="s">
        <v>20</v>
      </c>
      <c r="I451">
        <v>1.3</v>
      </c>
      <c r="J451">
        <v>1</v>
      </c>
      <c r="K451" t="s">
        <v>2887</v>
      </c>
      <c r="L451" t="s">
        <v>3244</v>
      </c>
      <c r="M451" t="s">
        <v>2873</v>
      </c>
      <c r="N451">
        <v>50</v>
      </c>
      <c r="O451">
        <v>65</v>
      </c>
      <c r="P451">
        <v>1.3</v>
      </c>
      <c r="Q451" t="s">
        <v>8</v>
      </c>
      <c r="R451" t="s">
        <v>12</v>
      </c>
      <c r="S451" t="s">
        <v>12</v>
      </c>
      <c r="T451" t="s">
        <v>12</v>
      </c>
      <c r="U451" t="s">
        <v>12</v>
      </c>
      <c r="V451" t="s">
        <v>12</v>
      </c>
      <c r="W451" t="s">
        <v>12</v>
      </c>
      <c r="X451" t="s">
        <v>12</v>
      </c>
      <c r="Y451" t="s">
        <v>12</v>
      </c>
      <c r="Z451" t="s">
        <v>12</v>
      </c>
      <c r="AA451" t="s">
        <v>12</v>
      </c>
      <c r="AB451" t="s">
        <v>12</v>
      </c>
      <c r="AC451" t="s">
        <v>12</v>
      </c>
      <c r="AD451" t="s">
        <v>12</v>
      </c>
    </row>
    <row r="452" spans="1:30">
      <c r="A452" t="s">
        <v>266</v>
      </c>
      <c r="B452" t="str">
        <f>Master_Data_Productivity[[#This Row],[Uniq-ID]]&amp;"-"&amp;Master_Data_Productivity[[#This Row],[Period]]</f>
        <v>DC-Document_Controller-055-M3</v>
      </c>
      <c r="C452" t="s">
        <v>267</v>
      </c>
      <c r="D452" t="s">
        <v>250</v>
      </c>
      <c r="E452" t="s">
        <v>22</v>
      </c>
      <c r="F452" t="s">
        <v>272</v>
      </c>
      <c r="G452" t="s">
        <v>15</v>
      </c>
      <c r="H452" t="s">
        <v>20</v>
      </c>
      <c r="I452">
        <v>1.1200000000000001</v>
      </c>
      <c r="J452">
        <v>1</v>
      </c>
      <c r="K452" t="s">
        <v>2887</v>
      </c>
      <c r="L452" t="s">
        <v>3244</v>
      </c>
      <c r="M452" t="s">
        <v>2873</v>
      </c>
      <c r="N452">
        <v>50</v>
      </c>
      <c r="O452">
        <v>56</v>
      </c>
      <c r="P452">
        <v>1.1200000000000001</v>
      </c>
      <c r="Q452" t="s">
        <v>8</v>
      </c>
      <c r="R452" t="s">
        <v>12</v>
      </c>
      <c r="S452" t="s">
        <v>12</v>
      </c>
      <c r="T452" t="s">
        <v>12</v>
      </c>
      <c r="U452" t="s">
        <v>12</v>
      </c>
      <c r="V452" t="s">
        <v>12</v>
      </c>
      <c r="W452" t="s">
        <v>12</v>
      </c>
      <c r="X452" t="s">
        <v>12</v>
      </c>
      <c r="Y452" t="s">
        <v>12</v>
      </c>
      <c r="Z452" t="s">
        <v>12</v>
      </c>
      <c r="AA452" t="s">
        <v>12</v>
      </c>
      <c r="AB452" t="s">
        <v>12</v>
      </c>
      <c r="AC452" t="s">
        <v>12</v>
      </c>
      <c r="AD452" t="s">
        <v>12</v>
      </c>
    </row>
    <row r="453" spans="1:30">
      <c r="A453" t="s">
        <v>266</v>
      </c>
      <c r="B453" t="str">
        <f>Master_Data_Productivity[[#This Row],[Uniq-ID]]&amp;"-"&amp;Master_Data_Productivity[[#This Row],[Period]]</f>
        <v>DC-Document_Controller-055-M4</v>
      </c>
      <c r="C453" t="s">
        <v>267</v>
      </c>
      <c r="D453" t="s">
        <v>250</v>
      </c>
      <c r="E453" t="s">
        <v>25</v>
      </c>
      <c r="F453" t="s">
        <v>274</v>
      </c>
      <c r="G453" t="s">
        <v>33</v>
      </c>
      <c r="H453" t="s">
        <v>44</v>
      </c>
      <c r="I453">
        <v>0</v>
      </c>
      <c r="K453" t="s">
        <v>12</v>
      </c>
      <c r="L453" t="s">
        <v>12</v>
      </c>
      <c r="M453" t="s">
        <v>12</v>
      </c>
      <c r="Q453" t="s">
        <v>8</v>
      </c>
      <c r="R453" t="s">
        <v>12</v>
      </c>
      <c r="S453" t="s">
        <v>12</v>
      </c>
      <c r="T453" t="s">
        <v>12</v>
      </c>
      <c r="U453" t="s">
        <v>12</v>
      </c>
      <c r="V453" t="s">
        <v>12</v>
      </c>
      <c r="W453" t="s">
        <v>12</v>
      </c>
      <c r="X453" t="s">
        <v>12</v>
      </c>
      <c r="Y453" t="s">
        <v>12</v>
      </c>
      <c r="Z453" t="s">
        <v>12</v>
      </c>
      <c r="AA453" t="s">
        <v>12</v>
      </c>
      <c r="AB453" t="s">
        <v>12</v>
      </c>
      <c r="AC453" t="s">
        <v>12</v>
      </c>
      <c r="AD453" t="s">
        <v>12</v>
      </c>
    </row>
    <row r="454" spans="1:30">
      <c r="A454" t="s">
        <v>275</v>
      </c>
      <c r="B454" t="str">
        <f>Master_Data_Productivity[[#This Row],[Uniq-ID]]&amp;"-"&amp;Master_Data_Productivity[[#This Row],[Period]]</f>
        <v>DC-Document_Controller-015-M1</v>
      </c>
      <c r="C454" t="s">
        <v>276</v>
      </c>
      <c r="D454" t="s">
        <v>48</v>
      </c>
      <c r="E454" t="s">
        <v>13</v>
      </c>
      <c r="F454" t="s">
        <v>200</v>
      </c>
      <c r="G454" t="s">
        <v>15</v>
      </c>
      <c r="H454" t="s">
        <v>20</v>
      </c>
      <c r="I454">
        <v>1.7689999999999999</v>
      </c>
      <c r="J454">
        <v>1</v>
      </c>
      <c r="K454" t="s">
        <v>2887</v>
      </c>
      <c r="L454" t="s">
        <v>3255</v>
      </c>
      <c r="M454" t="s">
        <v>2916</v>
      </c>
      <c r="N454">
        <v>26</v>
      </c>
      <c r="O454">
        <v>46</v>
      </c>
      <c r="P454">
        <v>1.7692000000000001</v>
      </c>
      <c r="Q454" t="s">
        <v>8</v>
      </c>
      <c r="R454" t="s">
        <v>12</v>
      </c>
      <c r="S454" t="s">
        <v>12</v>
      </c>
      <c r="T454" t="s">
        <v>12</v>
      </c>
      <c r="U454" t="s">
        <v>12</v>
      </c>
      <c r="V454" t="s">
        <v>12</v>
      </c>
      <c r="W454" t="s">
        <v>12</v>
      </c>
      <c r="X454" t="s">
        <v>12</v>
      </c>
      <c r="Y454" t="s">
        <v>12</v>
      </c>
      <c r="Z454" t="s">
        <v>12</v>
      </c>
      <c r="AA454" t="s">
        <v>12</v>
      </c>
      <c r="AB454" t="s">
        <v>12</v>
      </c>
      <c r="AC454" t="s">
        <v>12</v>
      </c>
      <c r="AD454" t="s">
        <v>12</v>
      </c>
    </row>
    <row r="455" spans="1:30">
      <c r="A455" t="s">
        <v>275</v>
      </c>
      <c r="B455" t="str">
        <f>Master_Data_Productivity[[#This Row],[Uniq-ID]]&amp;"-"&amp;Master_Data_Productivity[[#This Row],[Period]]</f>
        <v>DC-Document_Controller-015-M2</v>
      </c>
      <c r="C455" t="s">
        <v>276</v>
      </c>
      <c r="D455" t="s">
        <v>48</v>
      </c>
      <c r="E455" t="s">
        <v>18</v>
      </c>
      <c r="F455" t="s">
        <v>202</v>
      </c>
      <c r="G455" t="s">
        <v>15</v>
      </c>
      <c r="H455" t="s">
        <v>16</v>
      </c>
      <c r="I455">
        <v>3.1920000000000002</v>
      </c>
      <c r="J455">
        <v>1.5</v>
      </c>
      <c r="K455" t="s">
        <v>2887</v>
      </c>
      <c r="L455" t="s">
        <v>3255</v>
      </c>
      <c r="M455" t="s">
        <v>2916</v>
      </c>
      <c r="N455">
        <v>26</v>
      </c>
      <c r="O455">
        <v>83</v>
      </c>
      <c r="P455">
        <v>3.1922999999999999</v>
      </c>
      <c r="Q455" t="s">
        <v>8</v>
      </c>
      <c r="R455" t="s">
        <v>12</v>
      </c>
      <c r="S455" t="s">
        <v>12</v>
      </c>
      <c r="T455" t="s">
        <v>12</v>
      </c>
      <c r="U455" t="s">
        <v>12</v>
      </c>
      <c r="V455" t="s">
        <v>12</v>
      </c>
      <c r="W455" t="s">
        <v>12</v>
      </c>
      <c r="X455" t="s">
        <v>12</v>
      </c>
      <c r="Y455" t="s">
        <v>12</v>
      </c>
      <c r="Z455" t="s">
        <v>12</v>
      </c>
      <c r="AA455" t="s">
        <v>12</v>
      </c>
      <c r="AB455" t="s">
        <v>12</v>
      </c>
      <c r="AC455" t="s">
        <v>12</v>
      </c>
      <c r="AD455" t="s">
        <v>12</v>
      </c>
    </row>
    <row r="456" spans="1:30">
      <c r="A456" t="s">
        <v>275</v>
      </c>
      <c r="B456" t="str">
        <f>Master_Data_Productivity[[#This Row],[Uniq-ID]]&amp;"-"&amp;Master_Data_Productivity[[#This Row],[Period]]</f>
        <v>DC-Document_Controller-015-M3</v>
      </c>
      <c r="C456" t="s">
        <v>276</v>
      </c>
      <c r="D456" t="s">
        <v>48</v>
      </c>
      <c r="E456" t="s">
        <v>22</v>
      </c>
      <c r="F456" t="s">
        <v>204</v>
      </c>
      <c r="G456" t="s">
        <v>15</v>
      </c>
      <c r="H456" t="s">
        <v>20</v>
      </c>
      <c r="I456">
        <v>1.538</v>
      </c>
      <c r="J456">
        <v>1</v>
      </c>
      <c r="K456" t="s">
        <v>2887</v>
      </c>
      <c r="L456" t="s">
        <v>3255</v>
      </c>
      <c r="M456" t="s">
        <v>2916</v>
      </c>
      <c r="N456">
        <v>26</v>
      </c>
      <c r="O456">
        <v>40</v>
      </c>
      <c r="P456">
        <v>1.5385</v>
      </c>
      <c r="Q456" t="s">
        <v>8</v>
      </c>
      <c r="R456" t="s">
        <v>12</v>
      </c>
      <c r="S456" t="s">
        <v>12</v>
      </c>
      <c r="T456" t="s">
        <v>12</v>
      </c>
      <c r="U456" t="s">
        <v>12</v>
      </c>
      <c r="V456" t="s">
        <v>12</v>
      </c>
      <c r="W456" t="s">
        <v>12</v>
      </c>
      <c r="X456" t="s">
        <v>12</v>
      </c>
      <c r="Y456" t="s">
        <v>12</v>
      </c>
      <c r="Z456" t="s">
        <v>12</v>
      </c>
      <c r="AA456" t="s">
        <v>12</v>
      </c>
      <c r="AB456" t="s">
        <v>12</v>
      </c>
      <c r="AC456" t="s">
        <v>12</v>
      </c>
      <c r="AD456" t="s">
        <v>12</v>
      </c>
    </row>
    <row r="457" spans="1:30">
      <c r="A457" t="s">
        <v>275</v>
      </c>
      <c r="B457" t="str">
        <f>Master_Data_Productivity[[#This Row],[Uniq-ID]]&amp;"-"&amp;Master_Data_Productivity[[#This Row],[Period]]</f>
        <v>DC-Document_Controller-015-M4</v>
      </c>
      <c r="C457" t="s">
        <v>276</v>
      </c>
      <c r="D457" t="s">
        <v>48</v>
      </c>
      <c r="E457" t="s">
        <v>25</v>
      </c>
      <c r="F457" t="s">
        <v>206</v>
      </c>
      <c r="G457" t="s">
        <v>15</v>
      </c>
      <c r="H457" t="s">
        <v>20</v>
      </c>
      <c r="I457">
        <v>1.923</v>
      </c>
      <c r="J457">
        <v>1</v>
      </c>
      <c r="K457" t="s">
        <v>2887</v>
      </c>
      <c r="L457" t="s">
        <v>3255</v>
      </c>
      <c r="M457" t="s">
        <v>2916</v>
      </c>
      <c r="N457">
        <v>26</v>
      </c>
      <c r="O457">
        <v>50</v>
      </c>
      <c r="P457">
        <v>1.9231</v>
      </c>
      <c r="Q457" t="s">
        <v>8</v>
      </c>
      <c r="R457" t="s">
        <v>12</v>
      </c>
      <c r="S457" t="s">
        <v>12</v>
      </c>
      <c r="T457" t="s">
        <v>12</v>
      </c>
      <c r="U457" t="s">
        <v>12</v>
      </c>
      <c r="V457" t="s">
        <v>12</v>
      </c>
      <c r="W457" t="s">
        <v>12</v>
      </c>
      <c r="X457" t="s">
        <v>12</v>
      </c>
      <c r="Y457" t="s">
        <v>12</v>
      </c>
      <c r="Z457" t="s">
        <v>12</v>
      </c>
      <c r="AA457" t="s">
        <v>12</v>
      </c>
      <c r="AB457" t="s">
        <v>12</v>
      </c>
      <c r="AC457" t="s">
        <v>12</v>
      </c>
      <c r="AD457" t="s">
        <v>12</v>
      </c>
    </row>
    <row r="458" spans="1:30">
      <c r="A458" t="s">
        <v>275</v>
      </c>
      <c r="B458" t="str">
        <f>Master_Data_Productivity[[#This Row],[Uniq-ID]]&amp;"-"&amp;Master_Data_Productivity[[#This Row],[Period]]</f>
        <v>DC-Document_Controller-015-M5</v>
      </c>
      <c r="C458" t="s">
        <v>276</v>
      </c>
      <c r="D458" t="s">
        <v>48</v>
      </c>
      <c r="E458" t="s">
        <v>28</v>
      </c>
      <c r="F458" t="s">
        <v>208</v>
      </c>
      <c r="G458" t="s">
        <v>15</v>
      </c>
      <c r="H458" t="s">
        <v>20</v>
      </c>
      <c r="I458">
        <v>1.577</v>
      </c>
      <c r="J458">
        <v>1</v>
      </c>
      <c r="K458" t="s">
        <v>2887</v>
      </c>
      <c r="L458" t="s">
        <v>3255</v>
      </c>
      <c r="M458" t="s">
        <v>2916</v>
      </c>
      <c r="N458">
        <v>26</v>
      </c>
      <c r="O458">
        <v>41</v>
      </c>
      <c r="P458">
        <v>1.5769</v>
      </c>
      <c r="Q458" t="s">
        <v>8</v>
      </c>
      <c r="R458" t="s">
        <v>12</v>
      </c>
      <c r="S458" t="s">
        <v>12</v>
      </c>
      <c r="T458" t="s">
        <v>12</v>
      </c>
      <c r="U458" t="s">
        <v>12</v>
      </c>
      <c r="V458" t="s">
        <v>12</v>
      </c>
      <c r="W458" t="s">
        <v>12</v>
      </c>
      <c r="X458" t="s">
        <v>12</v>
      </c>
      <c r="Y458" t="s">
        <v>12</v>
      </c>
      <c r="Z458" t="s">
        <v>12</v>
      </c>
      <c r="AA458" t="s">
        <v>12</v>
      </c>
      <c r="AB458" t="s">
        <v>12</v>
      </c>
      <c r="AC458" t="s">
        <v>12</v>
      </c>
      <c r="AD458" t="s">
        <v>12</v>
      </c>
    </row>
    <row r="459" spans="1:30">
      <c r="A459" t="s">
        <v>275</v>
      </c>
      <c r="B459" t="str">
        <f>Master_Data_Productivity[[#This Row],[Uniq-ID]]&amp;"-"&amp;Master_Data_Productivity[[#This Row],[Period]]</f>
        <v>DC-Document_Controller-015-M6</v>
      </c>
      <c r="C459" t="s">
        <v>276</v>
      </c>
      <c r="D459" t="s">
        <v>48</v>
      </c>
      <c r="E459" t="s">
        <v>31</v>
      </c>
      <c r="F459" t="s">
        <v>210</v>
      </c>
      <c r="G459" t="s">
        <v>33</v>
      </c>
      <c r="H459" t="s">
        <v>44</v>
      </c>
      <c r="I459">
        <v>0</v>
      </c>
      <c r="K459" t="s">
        <v>12</v>
      </c>
      <c r="L459" t="s">
        <v>12</v>
      </c>
      <c r="M459" t="s">
        <v>12</v>
      </c>
      <c r="Q459" t="s">
        <v>8</v>
      </c>
      <c r="R459" t="s">
        <v>12</v>
      </c>
      <c r="S459" t="s">
        <v>12</v>
      </c>
      <c r="T459" t="s">
        <v>12</v>
      </c>
      <c r="U459" t="s">
        <v>12</v>
      </c>
      <c r="V459" t="s">
        <v>12</v>
      </c>
      <c r="W459" t="s">
        <v>12</v>
      </c>
      <c r="X459" t="s">
        <v>12</v>
      </c>
      <c r="Y459" t="s">
        <v>12</v>
      </c>
      <c r="Z459" t="s">
        <v>12</v>
      </c>
      <c r="AA459" t="s">
        <v>12</v>
      </c>
      <c r="AB459" t="s">
        <v>12</v>
      </c>
      <c r="AC459" t="s">
        <v>12</v>
      </c>
      <c r="AD459" t="s">
        <v>12</v>
      </c>
    </row>
    <row r="460" spans="1:30">
      <c r="A460" t="s">
        <v>330</v>
      </c>
      <c r="B460" t="str">
        <f>Master_Data_Productivity[[#This Row],[Uniq-ID]]&amp;"-"&amp;Master_Data_Productivity[[#This Row],[Period]]</f>
        <v>DC-Document_Controller-007-M1</v>
      </c>
      <c r="C460" t="s">
        <v>331</v>
      </c>
      <c r="D460" t="s">
        <v>76</v>
      </c>
      <c r="E460" t="s">
        <v>13</v>
      </c>
      <c r="F460" t="s">
        <v>332</v>
      </c>
      <c r="G460" t="s">
        <v>15</v>
      </c>
      <c r="H460" t="s">
        <v>44</v>
      </c>
      <c r="I460">
        <v>8.5999999999999993E-2</v>
      </c>
      <c r="J460">
        <v>0.5</v>
      </c>
      <c r="K460" t="s">
        <v>2871</v>
      </c>
      <c r="L460" t="s">
        <v>3282</v>
      </c>
      <c r="M460" t="s">
        <v>2916</v>
      </c>
      <c r="N460">
        <v>220</v>
      </c>
      <c r="O460">
        <v>19</v>
      </c>
      <c r="P460">
        <v>8.6400000000000005E-2</v>
      </c>
      <c r="Q460" t="s">
        <v>8</v>
      </c>
      <c r="R460" t="s">
        <v>12</v>
      </c>
      <c r="S460" t="s">
        <v>12</v>
      </c>
      <c r="T460" t="s">
        <v>12</v>
      </c>
      <c r="U460" t="s">
        <v>12</v>
      </c>
      <c r="V460" t="s">
        <v>12</v>
      </c>
      <c r="W460" t="s">
        <v>12</v>
      </c>
      <c r="X460" t="s">
        <v>12</v>
      </c>
      <c r="Y460" t="s">
        <v>12</v>
      </c>
      <c r="Z460" t="s">
        <v>12</v>
      </c>
      <c r="AA460" t="s">
        <v>12</v>
      </c>
      <c r="AB460" t="s">
        <v>12</v>
      </c>
      <c r="AC460" t="s">
        <v>12</v>
      </c>
      <c r="AD460" t="s">
        <v>12</v>
      </c>
    </row>
    <row r="461" spans="1:30">
      <c r="A461" t="s">
        <v>330</v>
      </c>
      <c r="B461" t="str">
        <f>Master_Data_Productivity[[#This Row],[Uniq-ID]]&amp;"-"&amp;Master_Data_Productivity[[#This Row],[Period]]</f>
        <v>DC-Document_Controller-007-M2</v>
      </c>
      <c r="C461" t="s">
        <v>331</v>
      </c>
      <c r="D461" t="s">
        <v>76</v>
      </c>
      <c r="E461" t="s">
        <v>18</v>
      </c>
      <c r="F461" t="s">
        <v>334</v>
      </c>
      <c r="G461" t="s">
        <v>15</v>
      </c>
      <c r="H461" t="s">
        <v>44</v>
      </c>
      <c r="I461">
        <v>0.1</v>
      </c>
      <c r="J461">
        <v>0.5</v>
      </c>
      <c r="K461" t="s">
        <v>2871</v>
      </c>
      <c r="L461" t="s">
        <v>3282</v>
      </c>
      <c r="M461" t="s">
        <v>2916</v>
      </c>
      <c r="N461">
        <v>220</v>
      </c>
      <c r="O461">
        <v>22</v>
      </c>
      <c r="P461">
        <v>0.1</v>
      </c>
      <c r="Q461" t="s">
        <v>8</v>
      </c>
      <c r="R461" t="s">
        <v>12</v>
      </c>
      <c r="S461" t="s">
        <v>12</v>
      </c>
      <c r="T461" t="s">
        <v>12</v>
      </c>
      <c r="U461" t="s">
        <v>12</v>
      </c>
      <c r="V461" t="s">
        <v>12</v>
      </c>
      <c r="W461" t="s">
        <v>12</v>
      </c>
      <c r="X461" t="s">
        <v>12</v>
      </c>
      <c r="Y461" t="s">
        <v>12</v>
      </c>
      <c r="Z461" t="s">
        <v>12</v>
      </c>
      <c r="AA461" t="s">
        <v>12</v>
      </c>
      <c r="AB461" t="s">
        <v>12</v>
      </c>
      <c r="AC461" t="s">
        <v>12</v>
      </c>
      <c r="AD461" t="s">
        <v>12</v>
      </c>
    </row>
    <row r="462" spans="1:30">
      <c r="A462" t="s">
        <v>330</v>
      </c>
      <c r="B462" t="str">
        <f>Master_Data_Productivity[[#This Row],[Uniq-ID]]&amp;"-"&amp;Master_Data_Productivity[[#This Row],[Period]]</f>
        <v>DC-Document_Controller-007-M3</v>
      </c>
      <c r="C462" t="s">
        <v>331</v>
      </c>
      <c r="D462" t="s">
        <v>76</v>
      </c>
      <c r="E462" t="s">
        <v>22</v>
      </c>
      <c r="F462" t="s">
        <v>336</v>
      </c>
      <c r="G462" t="s">
        <v>15</v>
      </c>
      <c r="H462" t="s">
        <v>44</v>
      </c>
      <c r="I462">
        <v>0</v>
      </c>
      <c r="K462" t="s">
        <v>12</v>
      </c>
      <c r="L462" t="s">
        <v>12</v>
      </c>
      <c r="M462" t="s">
        <v>12</v>
      </c>
      <c r="Q462" t="s">
        <v>8</v>
      </c>
      <c r="R462" t="s">
        <v>12</v>
      </c>
      <c r="S462" t="s">
        <v>12</v>
      </c>
      <c r="T462" t="s">
        <v>12</v>
      </c>
      <c r="U462" t="s">
        <v>12</v>
      </c>
      <c r="V462" t="s">
        <v>12</v>
      </c>
      <c r="W462" t="s">
        <v>12</v>
      </c>
      <c r="X462" t="s">
        <v>12</v>
      </c>
      <c r="Y462" t="s">
        <v>12</v>
      </c>
      <c r="Z462" t="s">
        <v>12</v>
      </c>
      <c r="AA462" t="s">
        <v>12</v>
      </c>
      <c r="AB462" t="s">
        <v>12</v>
      </c>
      <c r="AC462" t="s">
        <v>12</v>
      </c>
      <c r="AD462" t="s">
        <v>12</v>
      </c>
    </row>
    <row r="463" spans="1:30">
      <c r="A463" t="s">
        <v>330</v>
      </c>
      <c r="B463" t="str">
        <f>Master_Data_Productivity[[#This Row],[Uniq-ID]]&amp;"-"&amp;Master_Data_Productivity[[#This Row],[Period]]</f>
        <v>DC-Document_Controller-007-M4</v>
      </c>
      <c r="C463" t="s">
        <v>331</v>
      </c>
      <c r="D463" t="s">
        <v>76</v>
      </c>
      <c r="E463" t="s">
        <v>25</v>
      </c>
      <c r="F463" t="s">
        <v>337</v>
      </c>
      <c r="G463" t="s">
        <v>15</v>
      </c>
      <c r="H463" t="s">
        <v>44</v>
      </c>
      <c r="I463">
        <v>0</v>
      </c>
      <c r="K463" t="s">
        <v>12</v>
      </c>
      <c r="L463" t="s">
        <v>12</v>
      </c>
      <c r="M463" t="s">
        <v>12</v>
      </c>
      <c r="Q463" t="s">
        <v>8</v>
      </c>
      <c r="R463" t="s">
        <v>12</v>
      </c>
      <c r="S463" t="s">
        <v>12</v>
      </c>
      <c r="T463" t="s">
        <v>12</v>
      </c>
      <c r="U463" t="s">
        <v>12</v>
      </c>
      <c r="V463" t="s">
        <v>12</v>
      </c>
      <c r="W463" t="s">
        <v>12</v>
      </c>
      <c r="X463" t="s">
        <v>12</v>
      </c>
      <c r="Y463" t="s">
        <v>12</v>
      </c>
      <c r="Z463" t="s">
        <v>12</v>
      </c>
      <c r="AA463" t="s">
        <v>12</v>
      </c>
      <c r="AB463" t="s">
        <v>12</v>
      </c>
      <c r="AC463" t="s">
        <v>12</v>
      </c>
      <c r="AD463" t="s">
        <v>12</v>
      </c>
    </row>
    <row r="464" spans="1:30">
      <c r="A464" t="s">
        <v>330</v>
      </c>
      <c r="B464" t="str">
        <f>Master_Data_Productivity[[#This Row],[Uniq-ID]]&amp;"-"&amp;Master_Data_Productivity[[#This Row],[Period]]</f>
        <v>DC-Document_Controller-007-M5</v>
      </c>
      <c r="C464" t="s">
        <v>331</v>
      </c>
      <c r="D464" t="s">
        <v>76</v>
      </c>
      <c r="E464" t="s">
        <v>28</v>
      </c>
      <c r="F464" t="s">
        <v>338</v>
      </c>
      <c r="G464" t="s">
        <v>15</v>
      </c>
      <c r="H464" t="s">
        <v>44</v>
      </c>
      <c r="I464">
        <v>0</v>
      </c>
      <c r="K464" t="s">
        <v>12</v>
      </c>
      <c r="L464" t="s">
        <v>12</v>
      </c>
      <c r="M464" t="s">
        <v>12</v>
      </c>
      <c r="Q464" t="s">
        <v>8</v>
      </c>
      <c r="R464" t="s">
        <v>12</v>
      </c>
      <c r="S464" t="s">
        <v>12</v>
      </c>
      <c r="T464" t="s">
        <v>12</v>
      </c>
      <c r="U464" t="s">
        <v>12</v>
      </c>
      <c r="V464" t="s">
        <v>12</v>
      </c>
      <c r="W464" t="s">
        <v>12</v>
      </c>
      <c r="X464" t="s">
        <v>12</v>
      </c>
      <c r="Y464" t="s">
        <v>12</v>
      </c>
      <c r="Z464" t="s">
        <v>12</v>
      </c>
      <c r="AA464" t="s">
        <v>12</v>
      </c>
      <c r="AB464" t="s">
        <v>12</v>
      </c>
      <c r="AC464" t="s">
        <v>12</v>
      </c>
      <c r="AD464" t="s">
        <v>12</v>
      </c>
    </row>
    <row r="465" spans="1:30">
      <c r="A465" t="s">
        <v>330</v>
      </c>
      <c r="B465" t="str">
        <f>Master_Data_Productivity[[#This Row],[Uniq-ID]]&amp;"-"&amp;Master_Data_Productivity[[#This Row],[Period]]</f>
        <v>DC-Document_Controller-007-M6</v>
      </c>
      <c r="C465" t="s">
        <v>331</v>
      </c>
      <c r="D465" t="s">
        <v>76</v>
      </c>
      <c r="E465" t="s">
        <v>31</v>
      </c>
      <c r="F465" t="s">
        <v>339</v>
      </c>
      <c r="G465" t="s">
        <v>33</v>
      </c>
      <c r="H465" t="s">
        <v>44</v>
      </c>
      <c r="I465">
        <v>0</v>
      </c>
      <c r="K465" t="s">
        <v>12</v>
      </c>
      <c r="L465" t="s">
        <v>12</v>
      </c>
      <c r="M465" t="s">
        <v>12</v>
      </c>
      <c r="Q465" t="s">
        <v>8</v>
      </c>
      <c r="R465" t="s">
        <v>12</v>
      </c>
      <c r="S465" t="s">
        <v>12</v>
      </c>
      <c r="T465" t="s">
        <v>12</v>
      </c>
      <c r="U465" t="s">
        <v>12</v>
      </c>
      <c r="V465" t="s">
        <v>12</v>
      </c>
      <c r="W465" t="s">
        <v>12</v>
      </c>
      <c r="X465" t="s">
        <v>12</v>
      </c>
      <c r="Y465" t="s">
        <v>12</v>
      </c>
      <c r="Z465" t="s">
        <v>12</v>
      </c>
      <c r="AA465" t="s">
        <v>12</v>
      </c>
      <c r="AB465" t="s">
        <v>12</v>
      </c>
      <c r="AC465" t="s">
        <v>12</v>
      </c>
      <c r="AD465" t="s">
        <v>12</v>
      </c>
    </row>
    <row r="466" spans="1:30">
      <c r="A466" t="s">
        <v>304</v>
      </c>
      <c r="B466" t="str">
        <f>Master_Data_Productivity[[#This Row],[Uniq-ID]]&amp;"-"&amp;Master_Data_Productivity[[#This Row],[Period]]</f>
        <v>DC-Document_Controller-026-M1</v>
      </c>
      <c r="C466" t="s">
        <v>305</v>
      </c>
      <c r="D466" t="s">
        <v>76</v>
      </c>
      <c r="E466" t="s">
        <v>13</v>
      </c>
      <c r="F466" t="s">
        <v>14</v>
      </c>
      <c r="G466" t="s">
        <v>15</v>
      </c>
      <c r="H466" t="s">
        <v>44</v>
      </c>
      <c r="I466">
        <v>0.26900000000000002</v>
      </c>
      <c r="J466">
        <v>0.5</v>
      </c>
      <c r="K466" t="s">
        <v>2871</v>
      </c>
      <c r="L466" t="s">
        <v>3061</v>
      </c>
      <c r="M466" t="s">
        <v>2873</v>
      </c>
      <c r="N466">
        <v>66</v>
      </c>
      <c r="O466">
        <v>4</v>
      </c>
      <c r="P466">
        <v>6.0600000000000001E-2</v>
      </c>
      <c r="Q466" t="s">
        <v>8</v>
      </c>
      <c r="R466" t="s">
        <v>12</v>
      </c>
      <c r="S466" t="s">
        <v>12</v>
      </c>
      <c r="T466" t="s">
        <v>12</v>
      </c>
      <c r="U466" t="s">
        <v>12</v>
      </c>
      <c r="V466" t="s">
        <v>12</v>
      </c>
      <c r="W466" t="s">
        <v>12</v>
      </c>
      <c r="X466" t="s">
        <v>12</v>
      </c>
      <c r="Y466" t="s">
        <v>12</v>
      </c>
      <c r="Z466" t="s">
        <v>12</v>
      </c>
      <c r="AA466" t="s">
        <v>12</v>
      </c>
      <c r="AB466" t="s">
        <v>12</v>
      </c>
      <c r="AC466" t="s">
        <v>12</v>
      </c>
      <c r="AD466" t="s">
        <v>12</v>
      </c>
    </row>
    <row r="467" spans="1:30">
      <c r="A467" t="s">
        <v>304</v>
      </c>
      <c r="B467" t="str">
        <f>Master_Data_Productivity[[#This Row],[Uniq-ID]]&amp;"-"&amp;Master_Data_Productivity[[#This Row],[Period]]</f>
        <v>DC-Document_Controller-026-M1</v>
      </c>
      <c r="C467" t="s">
        <v>305</v>
      </c>
      <c r="D467" t="s">
        <v>76</v>
      </c>
      <c r="E467" t="s">
        <v>13</v>
      </c>
      <c r="F467" t="s">
        <v>14</v>
      </c>
      <c r="G467" t="s">
        <v>15</v>
      </c>
      <c r="H467" t="s">
        <v>44</v>
      </c>
      <c r="I467">
        <v>0.26900000000000002</v>
      </c>
      <c r="J467">
        <v>0.5</v>
      </c>
      <c r="K467" t="s">
        <v>2871</v>
      </c>
      <c r="L467" t="s">
        <v>2952</v>
      </c>
      <c r="M467" t="s">
        <v>2873</v>
      </c>
      <c r="N467">
        <v>257</v>
      </c>
      <c r="O467">
        <v>1</v>
      </c>
      <c r="P467">
        <v>3.8999999999999998E-3</v>
      </c>
      <c r="Q467" t="s">
        <v>8</v>
      </c>
      <c r="R467" t="s">
        <v>12</v>
      </c>
      <c r="S467" t="s">
        <v>12</v>
      </c>
      <c r="T467" t="s">
        <v>12</v>
      </c>
      <c r="U467" t="s">
        <v>12</v>
      </c>
      <c r="V467" t="s">
        <v>12</v>
      </c>
      <c r="W467" t="s">
        <v>12</v>
      </c>
      <c r="X467" t="s">
        <v>12</v>
      </c>
      <c r="Y467" t="s">
        <v>12</v>
      </c>
      <c r="Z467" t="s">
        <v>12</v>
      </c>
      <c r="AA467" t="s">
        <v>12</v>
      </c>
      <c r="AB467" t="s">
        <v>12</v>
      </c>
      <c r="AC467" t="s">
        <v>12</v>
      </c>
      <c r="AD467" t="s">
        <v>12</v>
      </c>
    </row>
    <row r="468" spans="1:30">
      <c r="A468" t="s">
        <v>304</v>
      </c>
      <c r="B468" t="str">
        <f>Master_Data_Productivity[[#This Row],[Uniq-ID]]&amp;"-"&amp;Master_Data_Productivity[[#This Row],[Period]]</f>
        <v>DC-Document_Controller-026-M1</v>
      </c>
      <c r="C468" t="s">
        <v>305</v>
      </c>
      <c r="D468" t="s">
        <v>76</v>
      </c>
      <c r="E468" t="s">
        <v>13</v>
      </c>
      <c r="F468" t="s">
        <v>14</v>
      </c>
      <c r="G468" t="s">
        <v>15</v>
      </c>
      <c r="H468" t="s">
        <v>44</v>
      </c>
      <c r="I468">
        <v>0.26900000000000002</v>
      </c>
      <c r="J468">
        <v>0.5</v>
      </c>
      <c r="K468" t="s">
        <v>2871</v>
      </c>
      <c r="L468" t="s">
        <v>2954</v>
      </c>
      <c r="M468" t="s">
        <v>2873</v>
      </c>
      <c r="N468">
        <v>220</v>
      </c>
      <c r="O468">
        <v>1</v>
      </c>
      <c r="P468">
        <v>4.4999999999999997E-3</v>
      </c>
      <c r="Q468" t="s">
        <v>8</v>
      </c>
      <c r="R468" t="s">
        <v>12</v>
      </c>
      <c r="S468" t="s">
        <v>12</v>
      </c>
      <c r="T468" t="s">
        <v>12</v>
      </c>
      <c r="U468" t="s">
        <v>12</v>
      </c>
      <c r="V468" t="s">
        <v>12</v>
      </c>
      <c r="W468" t="s">
        <v>12</v>
      </c>
      <c r="X468" t="s">
        <v>12</v>
      </c>
      <c r="Y468" t="s">
        <v>12</v>
      </c>
      <c r="Z468" t="s">
        <v>12</v>
      </c>
      <c r="AA468" t="s">
        <v>12</v>
      </c>
      <c r="AB468" t="s">
        <v>12</v>
      </c>
      <c r="AC468" t="s">
        <v>12</v>
      </c>
      <c r="AD468" t="s">
        <v>12</v>
      </c>
    </row>
    <row r="469" spans="1:30">
      <c r="A469" t="s">
        <v>304</v>
      </c>
      <c r="B469" t="str">
        <f>Master_Data_Productivity[[#This Row],[Uniq-ID]]&amp;"-"&amp;Master_Data_Productivity[[#This Row],[Period]]</f>
        <v>DC-Document_Controller-026-M1</v>
      </c>
      <c r="C469" t="s">
        <v>305</v>
      </c>
      <c r="D469" t="s">
        <v>76</v>
      </c>
      <c r="E469" t="s">
        <v>13</v>
      </c>
      <c r="F469" t="s">
        <v>14</v>
      </c>
      <c r="G469" t="s">
        <v>15</v>
      </c>
      <c r="H469" t="s">
        <v>44</v>
      </c>
      <c r="I469">
        <v>0.26900000000000002</v>
      </c>
      <c r="J469">
        <v>0.5</v>
      </c>
      <c r="K469" t="s">
        <v>2871</v>
      </c>
      <c r="L469" t="s">
        <v>2956</v>
      </c>
      <c r="M469" t="s">
        <v>2873</v>
      </c>
      <c r="N469">
        <v>298</v>
      </c>
      <c r="O469">
        <v>3</v>
      </c>
      <c r="P469">
        <v>1.01E-2</v>
      </c>
      <c r="Q469" t="s">
        <v>8</v>
      </c>
      <c r="R469" t="s">
        <v>12</v>
      </c>
      <c r="S469" t="s">
        <v>12</v>
      </c>
      <c r="T469" t="s">
        <v>12</v>
      </c>
      <c r="U469" t="s">
        <v>12</v>
      </c>
      <c r="V469" t="s">
        <v>12</v>
      </c>
      <c r="W469" t="s">
        <v>12</v>
      </c>
      <c r="X469" t="s">
        <v>12</v>
      </c>
      <c r="Y469" t="s">
        <v>12</v>
      </c>
      <c r="Z469" t="s">
        <v>12</v>
      </c>
      <c r="AA469" t="s">
        <v>12</v>
      </c>
      <c r="AB469" t="s">
        <v>12</v>
      </c>
      <c r="AC469" t="s">
        <v>12</v>
      </c>
      <c r="AD469" t="s">
        <v>12</v>
      </c>
    </row>
    <row r="470" spans="1:30">
      <c r="A470" t="s">
        <v>304</v>
      </c>
      <c r="B470" t="str">
        <f>Master_Data_Productivity[[#This Row],[Uniq-ID]]&amp;"-"&amp;Master_Data_Productivity[[#This Row],[Period]]</f>
        <v>DC-Document_Controller-026-M1</v>
      </c>
      <c r="C470" t="s">
        <v>305</v>
      </c>
      <c r="D470" t="s">
        <v>76</v>
      </c>
      <c r="E470" t="s">
        <v>13</v>
      </c>
      <c r="F470" t="s">
        <v>14</v>
      </c>
      <c r="G470" t="s">
        <v>15</v>
      </c>
      <c r="H470" t="s">
        <v>44</v>
      </c>
      <c r="I470">
        <v>0.26900000000000002</v>
      </c>
      <c r="J470">
        <v>0.5</v>
      </c>
      <c r="K470" t="s">
        <v>2871</v>
      </c>
      <c r="L470" t="s">
        <v>2958</v>
      </c>
      <c r="M470" t="s">
        <v>2873</v>
      </c>
      <c r="N470">
        <v>154</v>
      </c>
      <c r="O470">
        <v>6</v>
      </c>
      <c r="P470">
        <v>3.9E-2</v>
      </c>
      <c r="Q470" t="s">
        <v>8</v>
      </c>
      <c r="R470" t="s">
        <v>12</v>
      </c>
      <c r="S470" t="s">
        <v>12</v>
      </c>
      <c r="T470" t="s">
        <v>12</v>
      </c>
      <c r="U470" t="s">
        <v>12</v>
      </c>
      <c r="V470" t="s">
        <v>12</v>
      </c>
      <c r="W470" t="s">
        <v>12</v>
      </c>
      <c r="X470" t="s">
        <v>12</v>
      </c>
      <c r="Y470" t="s">
        <v>12</v>
      </c>
      <c r="Z470" t="s">
        <v>12</v>
      </c>
      <c r="AA470" t="s">
        <v>12</v>
      </c>
      <c r="AB470" t="s">
        <v>12</v>
      </c>
      <c r="AC470" t="s">
        <v>12</v>
      </c>
      <c r="AD470" t="s">
        <v>12</v>
      </c>
    </row>
    <row r="471" spans="1:30">
      <c r="A471" t="s">
        <v>304</v>
      </c>
      <c r="B471" t="str">
        <f>Master_Data_Productivity[[#This Row],[Uniq-ID]]&amp;"-"&amp;Master_Data_Productivity[[#This Row],[Period]]</f>
        <v>DC-Document_Controller-026-M1</v>
      </c>
      <c r="C471" t="s">
        <v>305</v>
      </c>
      <c r="D471" t="s">
        <v>76</v>
      </c>
      <c r="E471" t="s">
        <v>13</v>
      </c>
      <c r="F471" t="s">
        <v>14</v>
      </c>
      <c r="G471" t="s">
        <v>15</v>
      </c>
      <c r="H471" t="s">
        <v>44</v>
      </c>
      <c r="I471">
        <v>0.26900000000000002</v>
      </c>
      <c r="J471">
        <v>0.5</v>
      </c>
      <c r="K471" t="s">
        <v>2947</v>
      </c>
      <c r="L471" t="s">
        <v>2948</v>
      </c>
      <c r="M471" t="s">
        <v>2873</v>
      </c>
      <c r="N471">
        <v>110</v>
      </c>
      <c r="O471">
        <v>6</v>
      </c>
      <c r="P471">
        <v>5.45E-2</v>
      </c>
      <c r="Q471" t="s">
        <v>8</v>
      </c>
      <c r="R471" t="s">
        <v>12</v>
      </c>
      <c r="S471" t="s">
        <v>12</v>
      </c>
      <c r="T471" t="s">
        <v>12</v>
      </c>
      <c r="U471" t="s">
        <v>12</v>
      </c>
      <c r="V471" t="s">
        <v>12</v>
      </c>
      <c r="W471" t="s">
        <v>12</v>
      </c>
      <c r="X471" t="s">
        <v>12</v>
      </c>
      <c r="Y471" t="s">
        <v>12</v>
      </c>
      <c r="Z471" t="s">
        <v>12</v>
      </c>
      <c r="AA471" t="s">
        <v>12</v>
      </c>
      <c r="AB471" t="s">
        <v>12</v>
      </c>
      <c r="AC471" t="s">
        <v>12</v>
      </c>
      <c r="AD471" t="s">
        <v>12</v>
      </c>
    </row>
    <row r="472" spans="1:30">
      <c r="A472" t="s">
        <v>304</v>
      </c>
      <c r="B472" t="str">
        <f>Master_Data_Productivity[[#This Row],[Uniq-ID]]&amp;"-"&amp;Master_Data_Productivity[[#This Row],[Period]]</f>
        <v>DC-Document_Controller-026-M1</v>
      </c>
      <c r="C472" t="s">
        <v>305</v>
      </c>
      <c r="D472" t="s">
        <v>76</v>
      </c>
      <c r="E472" t="s">
        <v>13</v>
      </c>
      <c r="F472" t="s">
        <v>14</v>
      </c>
      <c r="G472" t="s">
        <v>15</v>
      </c>
      <c r="H472" t="s">
        <v>44</v>
      </c>
      <c r="I472">
        <v>0.26900000000000002</v>
      </c>
      <c r="J472">
        <v>0.5</v>
      </c>
      <c r="K472" t="s">
        <v>2947</v>
      </c>
      <c r="L472" t="s">
        <v>2988</v>
      </c>
      <c r="M472" t="s">
        <v>2873</v>
      </c>
      <c r="N472">
        <v>103</v>
      </c>
      <c r="O472">
        <v>9</v>
      </c>
      <c r="P472">
        <v>8.7400000000000005E-2</v>
      </c>
      <c r="Q472" t="s">
        <v>8</v>
      </c>
      <c r="R472" t="s">
        <v>12</v>
      </c>
      <c r="S472" t="s">
        <v>12</v>
      </c>
      <c r="T472" t="s">
        <v>12</v>
      </c>
      <c r="U472" t="s">
        <v>12</v>
      </c>
      <c r="V472" t="s">
        <v>12</v>
      </c>
      <c r="W472" t="s">
        <v>12</v>
      </c>
      <c r="X472" t="s">
        <v>12</v>
      </c>
      <c r="Y472" t="s">
        <v>12</v>
      </c>
      <c r="Z472" t="s">
        <v>12</v>
      </c>
      <c r="AA472" t="s">
        <v>12</v>
      </c>
      <c r="AB472" t="s">
        <v>12</v>
      </c>
      <c r="AC472" t="s">
        <v>12</v>
      </c>
      <c r="AD472" t="s">
        <v>12</v>
      </c>
    </row>
    <row r="473" spans="1:30">
      <c r="A473" t="s">
        <v>304</v>
      </c>
      <c r="B473" t="str">
        <f>Master_Data_Productivity[[#This Row],[Uniq-ID]]&amp;"-"&amp;Master_Data_Productivity[[#This Row],[Period]]</f>
        <v>DC-Document_Controller-026-M1</v>
      </c>
      <c r="C473" t="s">
        <v>305</v>
      </c>
      <c r="D473" t="s">
        <v>76</v>
      </c>
      <c r="E473" t="s">
        <v>13</v>
      </c>
      <c r="F473" t="s">
        <v>14</v>
      </c>
      <c r="G473" t="s">
        <v>15</v>
      </c>
      <c r="H473" t="s">
        <v>44</v>
      </c>
      <c r="I473">
        <v>0.26900000000000002</v>
      </c>
      <c r="J473">
        <v>0.5</v>
      </c>
      <c r="K473" t="s">
        <v>2887</v>
      </c>
      <c r="L473" t="s">
        <v>2992</v>
      </c>
      <c r="M473" t="s">
        <v>2873</v>
      </c>
      <c r="N473">
        <v>220</v>
      </c>
      <c r="O473">
        <v>2</v>
      </c>
      <c r="P473">
        <v>9.1000000000000004E-3</v>
      </c>
      <c r="Q473" t="s">
        <v>8</v>
      </c>
      <c r="R473" t="s">
        <v>12</v>
      </c>
      <c r="S473" t="s">
        <v>12</v>
      </c>
      <c r="T473" t="s">
        <v>12</v>
      </c>
      <c r="U473" t="s">
        <v>12</v>
      </c>
      <c r="V473" t="s">
        <v>12</v>
      </c>
      <c r="W473" t="s">
        <v>12</v>
      </c>
      <c r="X473" t="s">
        <v>12</v>
      </c>
      <c r="Y473" t="s">
        <v>12</v>
      </c>
      <c r="Z473" t="s">
        <v>12</v>
      </c>
      <c r="AA473" t="s">
        <v>12</v>
      </c>
      <c r="AB473" t="s">
        <v>12</v>
      </c>
      <c r="AC473" t="s">
        <v>12</v>
      </c>
      <c r="AD473" t="s">
        <v>12</v>
      </c>
    </row>
    <row r="474" spans="1:30">
      <c r="A474" t="s">
        <v>304</v>
      </c>
      <c r="B474" t="str">
        <f>Master_Data_Productivity[[#This Row],[Uniq-ID]]&amp;"-"&amp;Master_Data_Productivity[[#This Row],[Period]]</f>
        <v>DC-Document_Controller-026-M2</v>
      </c>
      <c r="C474" t="s">
        <v>305</v>
      </c>
      <c r="D474" t="s">
        <v>76</v>
      </c>
      <c r="E474" t="s">
        <v>18</v>
      </c>
      <c r="F474" t="s">
        <v>19</v>
      </c>
      <c r="G474" t="s">
        <v>15</v>
      </c>
      <c r="H474" t="s">
        <v>44</v>
      </c>
      <c r="I474">
        <v>0.443</v>
      </c>
      <c r="J474">
        <v>0.5</v>
      </c>
      <c r="K474" t="s">
        <v>2887</v>
      </c>
      <c r="L474" t="s">
        <v>2992</v>
      </c>
      <c r="M474" t="s">
        <v>2873</v>
      </c>
      <c r="N474">
        <v>220</v>
      </c>
      <c r="O474">
        <v>1</v>
      </c>
      <c r="P474">
        <v>4.4999999999999997E-3</v>
      </c>
      <c r="Q474" t="s">
        <v>8</v>
      </c>
      <c r="R474" t="s">
        <v>12</v>
      </c>
      <c r="S474" t="s">
        <v>12</v>
      </c>
      <c r="T474" t="s">
        <v>12</v>
      </c>
      <c r="U474" t="s">
        <v>12</v>
      </c>
      <c r="V474" t="s">
        <v>12</v>
      </c>
      <c r="W474" t="s">
        <v>12</v>
      </c>
      <c r="X474" t="s">
        <v>12</v>
      </c>
      <c r="Y474" t="s">
        <v>12</v>
      </c>
      <c r="Z474" t="s">
        <v>12</v>
      </c>
      <c r="AA474" t="s">
        <v>12</v>
      </c>
      <c r="AB474" t="s">
        <v>12</v>
      </c>
      <c r="AC474" t="s">
        <v>12</v>
      </c>
      <c r="AD474" t="s">
        <v>12</v>
      </c>
    </row>
    <row r="475" spans="1:30">
      <c r="A475" t="s">
        <v>304</v>
      </c>
      <c r="B475" t="str">
        <f>Master_Data_Productivity[[#This Row],[Uniq-ID]]&amp;"-"&amp;Master_Data_Productivity[[#This Row],[Period]]</f>
        <v>DC-Document_Controller-026-M2</v>
      </c>
      <c r="C475" t="s">
        <v>305</v>
      </c>
      <c r="D475" t="s">
        <v>76</v>
      </c>
      <c r="E475" t="s">
        <v>18</v>
      </c>
      <c r="F475" t="s">
        <v>19</v>
      </c>
      <c r="G475" t="s">
        <v>15</v>
      </c>
      <c r="H475" t="s">
        <v>44</v>
      </c>
      <c r="I475">
        <v>0.443</v>
      </c>
      <c r="J475">
        <v>0.5</v>
      </c>
      <c r="K475" t="s">
        <v>2871</v>
      </c>
      <c r="L475" t="s">
        <v>2958</v>
      </c>
      <c r="M475" t="s">
        <v>2873</v>
      </c>
      <c r="N475">
        <v>154</v>
      </c>
      <c r="O475">
        <v>1</v>
      </c>
      <c r="P475">
        <v>6.4999999999999997E-3</v>
      </c>
      <c r="Q475" t="s">
        <v>8</v>
      </c>
      <c r="R475" t="s">
        <v>12</v>
      </c>
      <c r="S475" t="s">
        <v>12</v>
      </c>
      <c r="T475" t="s">
        <v>12</v>
      </c>
      <c r="U475" t="s">
        <v>12</v>
      </c>
      <c r="V475" t="s">
        <v>12</v>
      </c>
      <c r="W475" t="s">
        <v>12</v>
      </c>
      <c r="X475" t="s">
        <v>12</v>
      </c>
      <c r="Y475" t="s">
        <v>12</v>
      </c>
      <c r="Z475" t="s">
        <v>12</v>
      </c>
      <c r="AA475" t="s">
        <v>12</v>
      </c>
      <c r="AB475" t="s">
        <v>12</v>
      </c>
      <c r="AC475" t="s">
        <v>12</v>
      </c>
      <c r="AD475" t="s">
        <v>12</v>
      </c>
    </row>
    <row r="476" spans="1:30">
      <c r="A476" t="s">
        <v>304</v>
      </c>
      <c r="B476" t="str">
        <f>Master_Data_Productivity[[#This Row],[Uniq-ID]]&amp;"-"&amp;Master_Data_Productivity[[#This Row],[Period]]</f>
        <v>DC-Document_Controller-026-M2</v>
      </c>
      <c r="C476" t="s">
        <v>305</v>
      </c>
      <c r="D476" t="s">
        <v>76</v>
      </c>
      <c r="E476" t="s">
        <v>18</v>
      </c>
      <c r="F476" t="s">
        <v>19</v>
      </c>
      <c r="G476" t="s">
        <v>15</v>
      </c>
      <c r="H476" t="s">
        <v>44</v>
      </c>
      <c r="I476">
        <v>0.443</v>
      </c>
      <c r="J476">
        <v>0.5</v>
      </c>
      <c r="K476" t="s">
        <v>2871</v>
      </c>
      <c r="L476" t="s">
        <v>2956</v>
      </c>
      <c r="M476" t="s">
        <v>2873</v>
      </c>
      <c r="N476">
        <v>298</v>
      </c>
      <c r="O476">
        <v>3</v>
      </c>
      <c r="P476">
        <v>1.01E-2</v>
      </c>
      <c r="Q476" t="s">
        <v>8</v>
      </c>
      <c r="R476" t="s">
        <v>12</v>
      </c>
      <c r="S476" t="s">
        <v>12</v>
      </c>
      <c r="T476" t="s">
        <v>12</v>
      </c>
      <c r="U476" t="s">
        <v>12</v>
      </c>
      <c r="V476" t="s">
        <v>12</v>
      </c>
      <c r="W476" t="s">
        <v>12</v>
      </c>
      <c r="X476" t="s">
        <v>12</v>
      </c>
      <c r="Y476" t="s">
        <v>12</v>
      </c>
      <c r="Z476" t="s">
        <v>12</v>
      </c>
      <c r="AA476" t="s">
        <v>12</v>
      </c>
      <c r="AB476" t="s">
        <v>12</v>
      </c>
      <c r="AC476" t="s">
        <v>12</v>
      </c>
      <c r="AD476" t="s">
        <v>12</v>
      </c>
    </row>
    <row r="477" spans="1:30">
      <c r="A477" t="s">
        <v>304</v>
      </c>
      <c r="B477" t="str">
        <f>Master_Data_Productivity[[#This Row],[Uniq-ID]]&amp;"-"&amp;Master_Data_Productivity[[#This Row],[Period]]</f>
        <v>DC-Document_Controller-026-M2</v>
      </c>
      <c r="C477" t="s">
        <v>305</v>
      </c>
      <c r="D477" t="s">
        <v>76</v>
      </c>
      <c r="E477" t="s">
        <v>18</v>
      </c>
      <c r="F477" t="s">
        <v>19</v>
      </c>
      <c r="G477" t="s">
        <v>15</v>
      </c>
      <c r="H477" t="s">
        <v>44</v>
      </c>
      <c r="I477">
        <v>0.443</v>
      </c>
      <c r="J477">
        <v>0.5</v>
      </c>
      <c r="K477" t="s">
        <v>2871</v>
      </c>
      <c r="L477" t="s">
        <v>2954</v>
      </c>
      <c r="M477" t="s">
        <v>2873</v>
      </c>
      <c r="N477">
        <v>220</v>
      </c>
      <c r="O477">
        <v>8</v>
      </c>
      <c r="P477">
        <v>3.6400000000000002E-2</v>
      </c>
      <c r="Q477" t="s">
        <v>8</v>
      </c>
      <c r="R477" t="s">
        <v>12</v>
      </c>
      <c r="S477" t="s">
        <v>12</v>
      </c>
      <c r="T477" t="s">
        <v>12</v>
      </c>
      <c r="U477" t="s">
        <v>12</v>
      </c>
      <c r="V477" t="s">
        <v>12</v>
      </c>
      <c r="W477" t="s">
        <v>12</v>
      </c>
      <c r="X477" t="s">
        <v>12</v>
      </c>
      <c r="Y477" t="s">
        <v>12</v>
      </c>
      <c r="Z477" t="s">
        <v>12</v>
      </c>
      <c r="AA477" t="s">
        <v>12</v>
      </c>
      <c r="AB477" t="s">
        <v>12</v>
      </c>
      <c r="AC477" t="s">
        <v>12</v>
      </c>
      <c r="AD477" t="s">
        <v>12</v>
      </c>
    </row>
    <row r="478" spans="1:30">
      <c r="A478" t="s">
        <v>304</v>
      </c>
      <c r="B478" t="str">
        <f>Master_Data_Productivity[[#This Row],[Uniq-ID]]&amp;"-"&amp;Master_Data_Productivity[[#This Row],[Period]]</f>
        <v>DC-Document_Controller-026-M2</v>
      </c>
      <c r="C478" t="s">
        <v>305</v>
      </c>
      <c r="D478" t="s">
        <v>76</v>
      </c>
      <c r="E478" t="s">
        <v>18</v>
      </c>
      <c r="F478" t="s">
        <v>19</v>
      </c>
      <c r="G478" t="s">
        <v>15</v>
      </c>
      <c r="H478" t="s">
        <v>44</v>
      </c>
      <c r="I478">
        <v>0.443</v>
      </c>
      <c r="J478">
        <v>0.5</v>
      </c>
      <c r="K478" t="s">
        <v>2871</v>
      </c>
      <c r="L478" t="s">
        <v>3061</v>
      </c>
      <c r="M478" t="s">
        <v>2873</v>
      </c>
      <c r="N478">
        <v>66</v>
      </c>
      <c r="O478">
        <v>2</v>
      </c>
      <c r="P478">
        <v>3.0300000000000001E-2</v>
      </c>
      <c r="Q478" t="s">
        <v>8</v>
      </c>
      <c r="R478" t="s">
        <v>12</v>
      </c>
      <c r="S478" t="s">
        <v>12</v>
      </c>
      <c r="T478" t="s">
        <v>12</v>
      </c>
      <c r="U478" t="s">
        <v>12</v>
      </c>
      <c r="V478" t="s">
        <v>12</v>
      </c>
      <c r="W478" t="s">
        <v>12</v>
      </c>
      <c r="X478" t="s">
        <v>12</v>
      </c>
      <c r="Y478" t="s">
        <v>12</v>
      </c>
      <c r="Z478" t="s">
        <v>12</v>
      </c>
      <c r="AA478" t="s">
        <v>12</v>
      </c>
      <c r="AB478" t="s">
        <v>12</v>
      </c>
      <c r="AC478" t="s">
        <v>12</v>
      </c>
      <c r="AD478" t="s">
        <v>12</v>
      </c>
    </row>
    <row r="479" spans="1:30">
      <c r="A479" t="s">
        <v>304</v>
      </c>
      <c r="B479" t="str">
        <f>Master_Data_Productivity[[#This Row],[Uniq-ID]]&amp;"-"&amp;Master_Data_Productivity[[#This Row],[Period]]</f>
        <v>DC-Document_Controller-026-M2</v>
      </c>
      <c r="C479" t="s">
        <v>305</v>
      </c>
      <c r="D479" t="s">
        <v>76</v>
      </c>
      <c r="E479" t="s">
        <v>18</v>
      </c>
      <c r="F479" t="s">
        <v>19</v>
      </c>
      <c r="G479" t="s">
        <v>15</v>
      </c>
      <c r="H479" t="s">
        <v>44</v>
      </c>
      <c r="I479">
        <v>0.443</v>
      </c>
      <c r="J479">
        <v>0.5</v>
      </c>
      <c r="K479" t="s">
        <v>2947</v>
      </c>
      <c r="L479" t="s">
        <v>2988</v>
      </c>
      <c r="M479" t="s">
        <v>2873</v>
      </c>
      <c r="N479">
        <v>103</v>
      </c>
      <c r="O479">
        <v>31</v>
      </c>
      <c r="P479">
        <v>0.30099999999999999</v>
      </c>
      <c r="Q479" t="s">
        <v>8</v>
      </c>
      <c r="R479" t="s">
        <v>12</v>
      </c>
      <c r="S479" t="s">
        <v>12</v>
      </c>
      <c r="T479" t="s">
        <v>12</v>
      </c>
      <c r="U479" t="s">
        <v>12</v>
      </c>
      <c r="V479" t="s">
        <v>12</v>
      </c>
      <c r="W479" t="s">
        <v>12</v>
      </c>
      <c r="X479" t="s">
        <v>12</v>
      </c>
      <c r="Y479" t="s">
        <v>12</v>
      </c>
      <c r="Z479" t="s">
        <v>12</v>
      </c>
      <c r="AA479" t="s">
        <v>12</v>
      </c>
      <c r="AB479" t="s">
        <v>12</v>
      </c>
      <c r="AC479" t="s">
        <v>12</v>
      </c>
      <c r="AD479" t="s">
        <v>12</v>
      </c>
    </row>
    <row r="480" spans="1:30">
      <c r="A480" t="s">
        <v>304</v>
      </c>
      <c r="B480" t="str">
        <f>Master_Data_Productivity[[#This Row],[Uniq-ID]]&amp;"-"&amp;Master_Data_Productivity[[#This Row],[Period]]</f>
        <v>DC-Document_Controller-026-M2</v>
      </c>
      <c r="C480" t="s">
        <v>305</v>
      </c>
      <c r="D480" t="s">
        <v>76</v>
      </c>
      <c r="E480" t="s">
        <v>18</v>
      </c>
      <c r="F480" t="s">
        <v>19</v>
      </c>
      <c r="G480" t="s">
        <v>15</v>
      </c>
      <c r="H480" t="s">
        <v>44</v>
      </c>
      <c r="I480">
        <v>0.443</v>
      </c>
      <c r="J480">
        <v>0.5</v>
      </c>
      <c r="K480" t="s">
        <v>2947</v>
      </c>
      <c r="L480" t="s">
        <v>2948</v>
      </c>
      <c r="M480" t="s">
        <v>2873</v>
      </c>
      <c r="N480">
        <v>110</v>
      </c>
      <c r="O480">
        <v>6</v>
      </c>
      <c r="P480">
        <v>5.45E-2</v>
      </c>
      <c r="Q480" t="s">
        <v>8</v>
      </c>
      <c r="R480" t="s">
        <v>12</v>
      </c>
      <c r="S480" t="s">
        <v>12</v>
      </c>
      <c r="T480" t="s">
        <v>12</v>
      </c>
      <c r="U480" t="s">
        <v>12</v>
      </c>
      <c r="V480" t="s">
        <v>12</v>
      </c>
      <c r="W480" t="s">
        <v>12</v>
      </c>
      <c r="X480" t="s">
        <v>12</v>
      </c>
      <c r="Y480" t="s">
        <v>12</v>
      </c>
      <c r="Z480" t="s">
        <v>12</v>
      </c>
      <c r="AA480" t="s">
        <v>12</v>
      </c>
      <c r="AB480" t="s">
        <v>12</v>
      </c>
      <c r="AC480" t="s">
        <v>12</v>
      </c>
      <c r="AD480" t="s">
        <v>12</v>
      </c>
    </row>
    <row r="481" spans="1:30">
      <c r="A481" t="s">
        <v>304</v>
      </c>
      <c r="B481" t="str">
        <f>Master_Data_Productivity[[#This Row],[Uniq-ID]]&amp;"-"&amp;Master_Data_Productivity[[#This Row],[Period]]</f>
        <v>DC-Document_Controller-026-M3</v>
      </c>
      <c r="C481" t="s">
        <v>305</v>
      </c>
      <c r="D481" t="s">
        <v>76</v>
      </c>
      <c r="E481" t="s">
        <v>22</v>
      </c>
      <c r="F481" t="s">
        <v>23</v>
      </c>
      <c r="G481" t="s">
        <v>15</v>
      </c>
      <c r="H481" t="s">
        <v>44</v>
      </c>
      <c r="I481">
        <v>0.372</v>
      </c>
      <c r="J481">
        <v>0.5</v>
      </c>
      <c r="K481" t="s">
        <v>2947</v>
      </c>
      <c r="L481" t="s">
        <v>3264</v>
      </c>
      <c r="M481" t="s">
        <v>2916</v>
      </c>
      <c r="N481">
        <v>1027</v>
      </c>
      <c r="O481">
        <v>28</v>
      </c>
      <c r="P481">
        <v>2.7300000000000001E-2</v>
      </c>
      <c r="Q481" t="s">
        <v>8</v>
      </c>
      <c r="R481" t="s">
        <v>12</v>
      </c>
      <c r="S481" t="s">
        <v>12</v>
      </c>
      <c r="T481" t="s">
        <v>12</v>
      </c>
      <c r="U481" t="s">
        <v>12</v>
      </c>
      <c r="V481" t="s">
        <v>12</v>
      </c>
      <c r="W481" t="s">
        <v>12</v>
      </c>
      <c r="X481" t="s">
        <v>12</v>
      </c>
      <c r="Y481" t="s">
        <v>12</v>
      </c>
      <c r="Z481" t="s">
        <v>12</v>
      </c>
      <c r="AA481" t="s">
        <v>12</v>
      </c>
      <c r="AB481" t="s">
        <v>12</v>
      </c>
      <c r="AC481" t="s">
        <v>12</v>
      </c>
      <c r="AD481" t="s">
        <v>12</v>
      </c>
    </row>
    <row r="482" spans="1:30">
      <c r="A482" t="s">
        <v>304</v>
      </c>
      <c r="B482" t="str">
        <f>Master_Data_Productivity[[#This Row],[Uniq-ID]]&amp;"-"&amp;Master_Data_Productivity[[#This Row],[Period]]</f>
        <v>DC-Document_Controller-026-M3</v>
      </c>
      <c r="C482" t="s">
        <v>305</v>
      </c>
      <c r="D482" t="s">
        <v>76</v>
      </c>
      <c r="E482" t="s">
        <v>22</v>
      </c>
      <c r="F482" t="s">
        <v>23</v>
      </c>
      <c r="G482" t="s">
        <v>15</v>
      </c>
      <c r="H482" t="s">
        <v>44</v>
      </c>
      <c r="I482">
        <v>0.372</v>
      </c>
      <c r="J482">
        <v>0.5</v>
      </c>
      <c r="K482" t="s">
        <v>2947</v>
      </c>
      <c r="L482" t="s">
        <v>2948</v>
      </c>
      <c r="M482" t="s">
        <v>2873</v>
      </c>
      <c r="N482">
        <v>110</v>
      </c>
      <c r="O482">
        <v>2</v>
      </c>
      <c r="P482">
        <v>1.8200000000000001E-2</v>
      </c>
      <c r="Q482" t="s">
        <v>8</v>
      </c>
      <c r="R482" t="s">
        <v>12</v>
      </c>
      <c r="S482" t="s">
        <v>12</v>
      </c>
      <c r="T482" t="s">
        <v>12</v>
      </c>
      <c r="U482" t="s">
        <v>12</v>
      </c>
      <c r="V482" t="s">
        <v>12</v>
      </c>
      <c r="W482" t="s">
        <v>12</v>
      </c>
      <c r="X482" t="s">
        <v>12</v>
      </c>
      <c r="Y482" t="s">
        <v>12</v>
      </c>
      <c r="Z482" t="s">
        <v>12</v>
      </c>
      <c r="AA482" t="s">
        <v>12</v>
      </c>
      <c r="AB482" t="s">
        <v>12</v>
      </c>
      <c r="AC482" t="s">
        <v>12</v>
      </c>
      <c r="AD482" t="s">
        <v>12</v>
      </c>
    </row>
    <row r="483" spans="1:30">
      <c r="A483" t="s">
        <v>304</v>
      </c>
      <c r="B483" t="str">
        <f>Master_Data_Productivity[[#This Row],[Uniq-ID]]&amp;"-"&amp;Master_Data_Productivity[[#This Row],[Period]]</f>
        <v>DC-Document_Controller-026-M3</v>
      </c>
      <c r="C483" t="s">
        <v>305</v>
      </c>
      <c r="D483" t="s">
        <v>76</v>
      </c>
      <c r="E483" t="s">
        <v>22</v>
      </c>
      <c r="F483" t="s">
        <v>23</v>
      </c>
      <c r="G483" t="s">
        <v>15</v>
      </c>
      <c r="H483" t="s">
        <v>44</v>
      </c>
      <c r="I483">
        <v>0.372</v>
      </c>
      <c r="J483">
        <v>0.5</v>
      </c>
      <c r="K483" t="s">
        <v>2947</v>
      </c>
      <c r="L483" t="s">
        <v>2988</v>
      </c>
      <c r="M483" t="s">
        <v>2873</v>
      </c>
      <c r="N483">
        <v>103</v>
      </c>
      <c r="O483">
        <v>31</v>
      </c>
      <c r="P483">
        <v>0.30099999999999999</v>
      </c>
      <c r="Q483" t="s">
        <v>8</v>
      </c>
      <c r="R483" t="s">
        <v>12</v>
      </c>
      <c r="S483" t="s">
        <v>12</v>
      </c>
      <c r="T483" t="s">
        <v>12</v>
      </c>
      <c r="U483" t="s">
        <v>12</v>
      </c>
      <c r="V483" t="s">
        <v>12</v>
      </c>
      <c r="W483" t="s">
        <v>12</v>
      </c>
      <c r="X483" t="s">
        <v>12</v>
      </c>
      <c r="Y483" t="s">
        <v>12</v>
      </c>
      <c r="Z483" t="s">
        <v>12</v>
      </c>
      <c r="AA483" t="s">
        <v>12</v>
      </c>
      <c r="AB483" t="s">
        <v>12</v>
      </c>
      <c r="AC483" t="s">
        <v>12</v>
      </c>
      <c r="AD483" t="s">
        <v>12</v>
      </c>
    </row>
    <row r="484" spans="1:30">
      <c r="A484" t="s">
        <v>304</v>
      </c>
      <c r="B484" t="str">
        <f>Master_Data_Productivity[[#This Row],[Uniq-ID]]&amp;"-"&amp;Master_Data_Productivity[[#This Row],[Period]]</f>
        <v>DC-Document_Controller-026-M3</v>
      </c>
      <c r="C484" t="s">
        <v>305</v>
      </c>
      <c r="D484" t="s">
        <v>76</v>
      </c>
      <c r="E484" t="s">
        <v>22</v>
      </c>
      <c r="F484" t="s">
        <v>23</v>
      </c>
      <c r="G484" t="s">
        <v>15</v>
      </c>
      <c r="H484" t="s">
        <v>44</v>
      </c>
      <c r="I484">
        <v>0.372</v>
      </c>
      <c r="J484">
        <v>0.5</v>
      </c>
      <c r="K484" t="s">
        <v>2871</v>
      </c>
      <c r="L484" t="s">
        <v>2954</v>
      </c>
      <c r="M484" t="s">
        <v>2873</v>
      </c>
      <c r="N484">
        <v>220</v>
      </c>
      <c r="O484">
        <v>2</v>
      </c>
      <c r="P484">
        <v>9.1000000000000004E-3</v>
      </c>
      <c r="Q484" t="s">
        <v>8</v>
      </c>
      <c r="R484" t="s">
        <v>12</v>
      </c>
      <c r="S484" t="s">
        <v>12</v>
      </c>
      <c r="T484" t="s">
        <v>12</v>
      </c>
      <c r="U484" t="s">
        <v>12</v>
      </c>
      <c r="V484" t="s">
        <v>12</v>
      </c>
      <c r="W484" t="s">
        <v>12</v>
      </c>
      <c r="X484" t="s">
        <v>12</v>
      </c>
      <c r="Y484" t="s">
        <v>12</v>
      </c>
      <c r="Z484" t="s">
        <v>12</v>
      </c>
      <c r="AA484" t="s">
        <v>12</v>
      </c>
      <c r="AB484" t="s">
        <v>12</v>
      </c>
      <c r="AC484" t="s">
        <v>12</v>
      </c>
      <c r="AD484" t="s">
        <v>12</v>
      </c>
    </row>
    <row r="485" spans="1:30">
      <c r="A485" t="s">
        <v>304</v>
      </c>
      <c r="B485" t="str">
        <f>Master_Data_Productivity[[#This Row],[Uniq-ID]]&amp;"-"&amp;Master_Data_Productivity[[#This Row],[Period]]</f>
        <v>DC-Document_Controller-026-M3</v>
      </c>
      <c r="C485" t="s">
        <v>305</v>
      </c>
      <c r="D485" t="s">
        <v>76</v>
      </c>
      <c r="E485" t="s">
        <v>22</v>
      </c>
      <c r="F485" t="s">
        <v>23</v>
      </c>
      <c r="G485" t="s">
        <v>15</v>
      </c>
      <c r="H485" t="s">
        <v>44</v>
      </c>
      <c r="I485">
        <v>0.372</v>
      </c>
      <c r="J485">
        <v>0.5</v>
      </c>
      <c r="K485" t="s">
        <v>2871</v>
      </c>
      <c r="L485" t="s">
        <v>2956</v>
      </c>
      <c r="M485" t="s">
        <v>2873</v>
      </c>
      <c r="N485">
        <v>298</v>
      </c>
      <c r="O485">
        <v>3</v>
      </c>
      <c r="P485">
        <v>1.01E-2</v>
      </c>
      <c r="Q485" t="s">
        <v>8</v>
      </c>
      <c r="R485" t="s">
        <v>12</v>
      </c>
      <c r="S485" t="s">
        <v>12</v>
      </c>
      <c r="T485" t="s">
        <v>12</v>
      </c>
      <c r="U485" t="s">
        <v>12</v>
      </c>
      <c r="V485" t="s">
        <v>12</v>
      </c>
      <c r="W485" t="s">
        <v>12</v>
      </c>
      <c r="X485" t="s">
        <v>12</v>
      </c>
      <c r="Y485" t="s">
        <v>12</v>
      </c>
      <c r="Z485" t="s">
        <v>12</v>
      </c>
      <c r="AA485" t="s">
        <v>12</v>
      </c>
      <c r="AB485" t="s">
        <v>12</v>
      </c>
      <c r="AC485" t="s">
        <v>12</v>
      </c>
      <c r="AD485" t="s">
        <v>12</v>
      </c>
    </row>
    <row r="486" spans="1:30">
      <c r="A486" t="s">
        <v>304</v>
      </c>
      <c r="B486" t="str">
        <f>Master_Data_Productivity[[#This Row],[Uniq-ID]]&amp;"-"&amp;Master_Data_Productivity[[#This Row],[Period]]</f>
        <v>DC-Document_Controller-026-M3</v>
      </c>
      <c r="C486" t="s">
        <v>305</v>
      </c>
      <c r="D486" t="s">
        <v>76</v>
      </c>
      <c r="E486" t="s">
        <v>22</v>
      </c>
      <c r="F486" t="s">
        <v>23</v>
      </c>
      <c r="G486" t="s">
        <v>15</v>
      </c>
      <c r="H486" t="s">
        <v>44</v>
      </c>
      <c r="I486">
        <v>0.372</v>
      </c>
      <c r="J486">
        <v>0.5</v>
      </c>
      <c r="K486" t="s">
        <v>2871</v>
      </c>
      <c r="L486" t="s">
        <v>2958</v>
      </c>
      <c r="M486" t="s">
        <v>2873</v>
      </c>
      <c r="N486">
        <v>154</v>
      </c>
      <c r="O486">
        <v>1</v>
      </c>
      <c r="P486">
        <v>6.4999999999999997E-3</v>
      </c>
      <c r="Q486" t="s">
        <v>8</v>
      </c>
      <c r="R486" t="s">
        <v>12</v>
      </c>
      <c r="S486" t="s">
        <v>12</v>
      </c>
      <c r="T486" t="s">
        <v>12</v>
      </c>
      <c r="U486" t="s">
        <v>12</v>
      </c>
      <c r="V486" t="s">
        <v>12</v>
      </c>
      <c r="W486" t="s">
        <v>12</v>
      </c>
      <c r="X486" t="s">
        <v>12</v>
      </c>
      <c r="Y486" t="s">
        <v>12</v>
      </c>
      <c r="Z486" t="s">
        <v>12</v>
      </c>
      <c r="AA486" t="s">
        <v>12</v>
      </c>
      <c r="AB486" t="s">
        <v>12</v>
      </c>
      <c r="AC486" t="s">
        <v>12</v>
      </c>
      <c r="AD486" t="s">
        <v>12</v>
      </c>
    </row>
    <row r="487" spans="1:30">
      <c r="A487" t="s">
        <v>304</v>
      </c>
      <c r="B487" t="str">
        <f>Master_Data_Productivity[[#This Row],[Uniq-ID]]&amp;"-"&amp;Master_Data_Productivity[[#This Row],[Period]]</f>
        <v>DC-Document_Controller-026-M4</v>
      </c>
      <c r="C487" t="s">
        <v>305</v>
      </c>
      <c r="D487" t="s">
        <v>76</v>
      </c>
      <c r="E487" t="s">
        <v>25</v>
      </c>
      <c r="F487" t="s">
        <v>26</v>
      </c>
      <c r="G487" t="s">
        <v>15</v>
      </c>
      <c r="H487" t="s">
        <v>20</v>
      </c>
      <c r="I487">
        <v>1.4690000000000001</v>
      </c>
      <c r="J487">
        <v>1</v>
      </c>
      <c r="K487" t="s">
        <v>2871</v>
      </c>
      <c r="L487" t="s">
        <v>2950</v>
      </c>
      <c r="M487" t="s">
        <v>2873</v>
      </c>
      <c r="N487">
        <v>88</v>
      </c>
      <c r="O487">
        <v>100</v>
      </c>
      <c r="P487">
        <v>1.1364000000000001</v>
      </c>
      <c r="Q487" t="s">
        <v>8</v>
      </c>
      <c r="R487" t="s">
        <v>12</v>
      </c>
      <c r="S487" t="s">
        <v>12</v>
      </c>
      <c r="T487" t="s">
        <v>12</v>
      </c>
      <c r="U487" t="s">
        <v>12</v>
      </c>
      <c r="V487" t="s">
        <v>12</v>
      </c>
      <c r="W487" t="s">
        <v>12</v>
      </c>
      <c r="X487" t="s">
        <v>12</v>
      </c>
      <c r="Y487" t="s">
        <v>12</v>
      </c>
      <c r="Z487" t="s">
        <v>12</v>
      </c>
      <c r="AA487" t="s">
        <v>12</v>
      </c>
      <c r="AB487" t="s">
        <v>12</v>
      </c>
      <c r="AC487" t="s">
        <v>12</v>
      </c>
      <c r="AD487" t="s">
        <v>12</v>
      </c>
    </row>
    <row r="488" spans="1:30">
      <c r="A488" t="s">
        <v>304</v>
      </c>
      <c r="B488" t="str">
        <f>Master_Data_Productivity[[#This Row],[Uniq-ID]]&amp;"-"&amp;Master_Data_Productivity[[#This Row],[Period]]</f>
        <v>DC-Document_Controller-026-M4</v>
      </c>
      <c r="C488" t="s">
        <v>305</v>
      </c>
      <c r="D488" t="s">
        <v>76</v>
      </c>
      <c r="E488" t="s">
        <v>25</v>
      </c>
      <c r="F488" t="s">
        <v>26</v>
      </c>
      <c r="G488" t="s">
        <v>15</v>
      </c>
      <c r="H488" t="s">
        <v>20</v>
      </c>
      <c r="I488">
        <v>1.4690000000000001</v>
      </c>
      <c r="J488">
        <v>1</v>
      </c>
      <c r="K488" t="s">
        <v>2871</v>
      </c>
      <c r="L488" t="s">
        <v>3061</v>
      </c>
      <c r="M488" t="s">
        <v>2873</v>
      </c>
      <c r="N488">
        <v>66</v>
      </c>
      <c r="O488">
        <v>2</v>
      </c>
      <c r="P488">
        <v>3.0300000000000001E-2</v>
      </c>
      <c r="Q488" t="s">
        <v>8</v>
      </c>
      <c r="R488" t="s">
        <v>12</v>
      </c>
      <c r="S488" t="s">
        <v>12</v>
      </c>
      <c r="T488" t="s">
        <v>12</v>
      </c>
      <c r="U488" t="s">
        <v>12</v>
      </c>
      <c r="V488" t="s">
        <v>12</v>
      </c>
      <c r="W488" t="s">
        <v>12</v>
      </c>
      <c r="X488" t="s">
        <v>12</v>
      </c>
      <c r="Y488" t="s">
        <v>12</v>
      </c>
      <c r="Z488" t="s">
        <v>12</v>
      </c>
      <c r="AA488" t="s">
        <v>12</v>
      </c>
      <c r="AB488" t="s">
        <v>12</v>
      </c>
      <c r="AC488" t="s">
        <v>12</v>
      </c>
      <c r="AD488" t="s">
        <v>12</v>
      </c>
    </row>
    <row r="489" spans="1:30">
      <c r="A489" t="s">
        <v>304</v>
      </c>
      <c r="B489" t="str">
        <f>Master_Data_Productivity[[#This Row],[Uniq-ID]]&amp;"-"&amp;Master_Data_Productivity[[#This Row],[Period]]</f>
        <v>DC-Document_Controller-026-M4</v>
      </c>
      <c r="C489" t="s">
        <v>305</v>
      </c>
      <c r="D489" t="s">
        <v>76</v>
      </c>
      <c r="E489" t="s">
        <v>25</v>
      </c>
      <c r="F489" t="s">
        <v>26</v>
      </c>
      <c r="G489" t="s">
        <v>15</v>
      </c>
      <c r="H489" t="s">
        <v>20</v>
      </c>
      <c r="I489">
        <v>1.4690000000000001</v>
      </c>
      <c r="J489">
        <v>1</v>
      </c>
      <c r="K489" t="s">
        <v>2871</v>
      </c>
      <c r="L489" t="s">
        <v>2958</v>
      </c>
      <c r="M489" t="s">
        <v>2873</v>
      </c>
      <c r="N489">
        <v>154</v>
      </c>
      <c r="O489">
        <v>1</v>
      </c>
      <c r="P489">
        <v>6.4999999999999997E-3</v>
      </c>
      <c r="Q489" t="s">
        <v>8</v>
      </c>
      <c r="R489" t="s">
        <v>12</v>
      </c>
      <c r="S489" t="s">
        <v>12</v>
      </c>
      <c r="T489" t="s">
        <v>12</v>
      </c>
      <c r="U489" t="s">
        <v>12</v>
      </c>
      <c r="V489" t="s">
        <v>12</v>
      </c>
      <c r="W489" t="s">
        <v>12</v>
      </c>
      <c r="X489" t="s">
        <v>12</v>
      </c>
      <c r="Y489" t="s">
        <v>12</v>
      </c>
      <c r="Z489" t="s">
        <v>12</v>
      </c>
      <c r="AA489" t="s">
        <v>12</v>
      </c>
      <c r="AB489" t="s">
        <v>12</v>
      </c>
      <c r="AC489" t="s">
        <v>12</v>
      </c>
      <c r="AD489" t="s">
        <v>12</v>
      </c>
    </row>
    <row r="490" spans="1:30">
      <c r="A490" t="s">
        <v>304</v>
      </c>
      <c r="B490" t="str">
        <f>Master_Data_Productivity[[#This Row],[Uniq-ID]]&amp;"-"&amp;Master_Data_Productivity[[#This Row],[Period]]</f>
        <v>DC-Document_Controller-026-M4</v>
      </c>
      <c r="C490" t="s">
        <v>305</v>
      </c>
      <c r="D490" t="s">
        <v>76</v>
      </c>
      <c r="E490" t="s">
        <v>25</v>
      </c>
      <c r="F490" t="s">
        <v>26</v>
      </c>
      <c r="G490" t="s">
        <v>15</v>
      </c>
      <c r="H490" t="s">
        <v>20</v>
      </c>
      <c r="I490">
        <v>1.4690000000000001</v>
      </c>
      <c r="J490">
        <v>1</v>
      </c>
      <c r="K490" t="s">
        <v>2871</v>
      </c>
      <c r="L490" t="s">
        <v>2956</v>
      </c>
      <c r="M490" t="s">
        <v>2873</v>
      </c>
      <c r="N490">
        <v>298</v>
      </c>
      <c r="O490">
        <v>2</v>
      </c>
      <c r="P490">
        <v>6.7000000000000002E-3</v>
      </c>
      <c r="Q490" t="s">
        <v>8</v>
      </c>
      <c r="R490" t="s">
        <v>12</v>
      </c>
      <c r="S490" t="s">
        <v>12</v>
      </c>
      <c r="T490" t="s">
        <v>12</v>
      </c>
      <c r="U490" t="s">
        <v>12</v>
      </c>
      <c r="V490" t="s">
        <v>12</v>
      </c>
      <c r="W490" t="s">
        <v>12</v>
      </c>
      <c r="X490" t="s">
        <v>12</v>
      </c>
      <c r="Y490" t="s">
        <v>12</v>
      </c>
      <c r="Z490" t="s">
        <v>12</v>
      </c>
      <c r="AA490" t="s">
        <v>12</v>
      </c>
      <c r="AB490" t="s">
        <v>12</v>
      </c>
      <c r="AC490" t="s">
        <v>12</v>
      </c>
      <c r="AD490" t="s">
        <v>12</v>
      </c>
    </row>
    <row r="491" spans="1:30">
      <c r="A491" t="s">
        <v>304</v>
      </c>
      <c r="B491" t="str">
        <f>Master_Data_Productivity[[#This Row],[Uniq-ID]]&amp;"-"&amp;Master_Data_Productivity[[#This Row],[Period]]</f>
        <v>DC-Document_Controller-026-M4</v>
      </c>
      <c r="C491" t="s">
        <v>305</v>
      </c>
      <c r="D491" t="s">
        <v>76</v>
      </c>
      <c r="E491" t="s">
        <v>25</v>
      </c>
      <c r="F491" t="s">
        <v>26</v>
      </c>
      <c r="G491" t="s">
        <v>15</v>
      </c>
      <c r="H491" t="s">
        <v>20</v>
      </c>
      <c r="I491">
        <v>1.4690000000000001</v>
      </c>
      <c r="J491">
        <v>1</v>
      </c>
      <c r="K491" t="s">
        <v>2947</v>
      </c>
      <c r="L491" t="s">
        <v>3264</v>
      </c>
      <c r="M491" t="s">
        <v>2916</v>
      </c>
      <c r="N491">
        <v>1027</v>
      </c>
      <c r="O491">
        <v>108</v>
      </c>
      <c r="P491">
        <v>0.1052</v>
      </c>
      <c r="Q491" t="s">
        <v>8</v>
      </c>
      <c r="R491" t="s">
        <v>12</v>
      </c>
      <c r="S491" t="s">
        <v>12</v>
      </c>
      <c r="T491" t="s">
        <v>12</v>
      </c>
      <c r="U491" t="s">
        <v>12</v>
      </c>
      <c r="V491" t="s">
        <v>12</v>
      </c>
      <c r="W491" t="s">
        <v>12</v>
      </c>
      <c r="X491" t="s">
        <v>12</v>
      </c>
      <c r="Y491" t="s">
        <v>12</v>
      </c>
      <c r="Z491" t="s">
        <v>12</v>
      </c>
      <c r="AA491" t="s">
        <v>12</v>
      </c>
      <c r="AB491" t="s">
        <v>12</v>
      </c>
      <c r="AC491" t="s">
        <v>12</v>
      </c>
      <c r="AD491" t="s">
        <v>12</v>
      </c>
    </row>
    <row r="492" spans="1:30">
      <c r="A492" t="s">
        <v>304</v>
      </c>
      <c r="B492" t="str">
        <f>Master_Data_Productivity[[#This Row],[Uniq-ID]]&amp;"-"&amp;Master_Data_Productivity[[#This Row],[Period]]</f>
        <v>DC-Document_Controller-026-M4</v>
      </c>
      <c r="C492" t="s">
        <v>305</v>
      </c>
      <c r="D492" t="s">
        <v>76</v>
      </c>
      <c r="E492" t="s">
        <v>25</v>
      </c>
      <c r="F492" t="s">
        <v>26</v>
      </c>
      <c r="G492" t="s">
        <v>15</v>
      </c>
      <c r="H492" t="s">
        <v>20</v>
      </c>
      <c r="I492">
        <v>1.4690000000000001</v>
      </c>
      <c r="J492">
        <v>1</v>
      </c>
      <c r="K492" t="s">
        <v>2947</v>
      </c>
      <c r="L492" t="s">
        <v>2988</v>
      </c>
      <c r="M492" t="s">
        <v>2873</v>
      </c>
      <c r="N492">
        <v>103</v>
      </c>
      <c r="O492">
        <v>19</v>
      </c>
      <c r="P492">
        <v>0.1845</v>
      </c>
      <c r="Q492" t="s">
        <v>8</v>
      </c>
      <c r="R492" t="s">
        <v>12</v>
      </c>
      <c r="S492" t="s">
        <v>12</v>
      </c>
      <c r="T492" t="s">
        <v>12</v>
      </c>
      <c r="U492" t="s">
        <v>12</v>
      </c>
      <c r="V492" t="s">
        <v>12</v>
      </c>
      <c r="W492" t="s">
        <v>12</v>
      </c>
      <c r="X492" t="s">
        <v>12</v>
      </c>
      <c r="Y492" t="s">
        <v>12</v>
      </c>
      <c r="Z492" t="s">
        <v>12</v>
      </c>
      <c r="AA492" t="s">
        <v>12</v>
      </c>
      <c r="AB492" t="s">
        <v>12</v>
      </c>
      <c r="AC492" t="s">
        <v>12</v>
      </c>
      <c r="AD492" t="s">
        <v>12</v>
      </c>
    </row>
    <row r="493" spans="1:30">
      <c r="A493" t="s">
        <v>304</v>
      </c>
      <c r="B493" t="str">
        <f>Master_Data_Productivity[[#This Row],[Uniq-ID]]&amp;"-"&amp;Master_Data_Productivity[[#This Row],[Period]]</f>
        <v>DC-Document_Controller-026-M5</v>
      </c>
      <c r="C493" t="s">
        <v>305</v>
      </c>
      <c r="D493" t="s">
        <v>76</v>
      </c>
      <c r="E493" t="s">
        <v>28</v>
      </c>
      <c r="F493" t="s">
        <v>29</v>
      </c>
      <c r="G493" t="s">
        <v>15</v>
      </c>
      <c r="H493" t="s">
        <v>44</v>
      </c>
      <c r="I493">
        <v>0.83199999999999996</v>
      </c>
      <c r="J493">
        <v>0.83</v>
      </c>
      <c r="K493" t="s">
        <v>2947</v>
      </c>
      <c r="L493" t="s">
        <v>2988</v>
      </c>
      <c r="M493" t="s">
        <v>2873</v>
      </c>
      <c r="N493">
        <v>103</v>
      </c>
      <c r="O493">
        <v>73</v>
      </c>
      <c r="P493">
        <v>0.7087</v>
      </c>
      <c r="Q493" t="s">
        <v>8</v>
      </c>
      <c r="R493" t="s">
        <v>12</v>
      </c>
      <c r="S493" t="s">
        <v>12</v>
      </c>
      <c r="T493" t="s">
        <v>12</v>
      </c>
      <c r="U493" t="s">
        <v>12</v>
      </c>
      <c r="V493" t="s">
        <v>12</v>
      </c>
      <c r="W493" t="s">
        <v>12</v>
      </c>
      <c r="X493" t="s">
        <v>12</v>
      </c>
      <c r="Y493" t="s">
        <v>12</v>
      </c>
      <c r="Z493" t="s">
        <v>12</v>
      </c>
      <c r="AA493" t="s">
        <v>12</v>
      </c>
      <c r="AB493" t="s">
        <v>12</v>
      </c>
      <c r="AC493" t="s">
        <v>12</v>
      </c>
      <c r="AD493" t="s">
        <v>12</v>
      </c>
    </row>
    <row r="494" spans="1:30">
      <c r="A494" t="s">
        <v>304</v>
      </c>
      <c r="B494" t="str">
        <f>Master_Data_Productivity[[#This Row],[Uniq-ID]]&amp;"-"&amp;Master_Data_Productivity[[#This Row],[Period]]</f>
        <v>DC-Document_Controller-026-M5</v>
      </c>
      <c r="C494" t="s">
        <v>305</v>
      </c>
      <c r="D494" t="s">
        <v>76</v>
      </c>
      <c r="E494" t="s">
        <v>28</v>
      </c>
      <c r="F494" t="s">
        <v>29</v>
      </c>
      <c r="G494" t="s">
        <v>15</v>
      </c>
      <c r="H494" t="s">
        <v>44</v>
      </c>
      <c r="I494">
        <v>0.83199999999999996</v>
      </c>
      <c r="J494">
        <v>0.83</v>
      </c>
      <c r="K494" t="s">
        <v>2947</v>
      </c>
      <c r="L494" t="s">
        <v>3264</v>
      </c>
      <c r="M494" t="s">
        <v>2916</v>
      </c>
      <c r="N494">
        <v>1027</v>
      </c>
      <c r="O494">
        <v>104</v>
      </c>
      <c r="P494">
        <v>0.1013</v>
      </c>
      <c r="Q494" t="s">
        <v>8</v>
      </c>
      <c r="R494" t="s">
        <v>12</v>
      </c>
      <c r="S494" t="s">
        <v>12</v>
      </c>
      <c r="T494" t="s">
        <v>12</v>
      </c>
      <c r="U494" t="s">
        <v>12</v>
      </c>
      <c r="V494" t="s">
        <v>12</v>
      </c>
      <c r="W494" t="s">
        <v>12</v>
      </c>
      <c r="X494" t="s">
        <v>12</v>
      </c>
      <c r="Y494" t="s">
        <v>12</v>
      </c>
      <c r="Z494" t="s">
        <v>12</v>
      </c>
      <c r="AA494" t="s">
        <v>12</v>
      </c>
      <c r="AB494" t="s">
        <v>12</v>
      </c>
      <c r="AC494" t="s">
        <v>12</v>
      </c>
      <c r="AD494" t="s">
        <v>12</v>
      </c>
    </row>
    <row r="495" spans="1:30">
      <c r="A495" t="s">
        <v>304</v>
      </c>
      <c r="B495" t="str">
        <f>Master_Data_Productivity[[#This Row],[Uniq-ID]]&amp;"-"&amp;Master_Data_Productivity[[#This Row],[Period]]</f>
        <v>DC-Document_Controller-026-M5</v>
      </c>
      <c r="C495" t="s">
        <v>305</v>
      </c>
      <c r="D495" t="s">
        <v>76</v>
      </c>
      <c r="E495" t="s">
        <v>28</v>
      </c>
      <c r="F495" t="s">
        <v>29</v>
      </c>
      <c r="G495" t="s">
        <v>15</v>
      </c>
      <c r="H495" t="s">
        <v>44</v>
      </c>
      <c r="I495">
        <v>0.83199999999999996</v>
      </c>
      <c r="J495">
        <v>0.83</v>
      </c>
      <c r="K495" t="s">
        <v>2947</v>
      </c>
      <c r="L495" t="s">
        <v>2948</v>
      </c>
      <c r="M495" t="s">
        <v>2873</v>
      </c>
      <c r="N495">
        <v>110</v>
      </c>
      <c r="O495">
        <v>1</v>
      </c>
      <c r="P495">
        <v>9.1000000000000004E-3</v>
      </c>
      <c r="Q495" t="s">
        <v>8</v>
      </c>
      <c r="R495" t="s">
        <v>12</v>
      </c>
      <c r="S495" t="s">
        <v>12</v>
      </c>
      <c r="T495" t="s">
        <v>12</v>
      </c>
      <c r="U495" t="s">
        <v>12</v>
      </c>
      <c r="V495" t="s">
        <v>12</v>
      </c>
      <c r="W495" t="s">
        <v>12</v>
      </c>
      <c r="X495" t="s">
        <v>12</v>
      </c>
      <c r="Y495" t="s">
        <v>12</v>
      </c>
      <c r="Z495" t="s">
        <v>12</v>
      </c>
      <c r="AA495" t="s">
        <v>12</v>
      </c>
      <c r="AB495" t="s">
        <v>12</v>
      </c>
      <c r="AC495" t="s">
        <v>12</v>
      </c>
      <c r="AD495" t="s">
        <v>12</v>
      </c>
    </row>
    <row r="496" spans="1:30">
      <c r="A496" t="s">
        <v>304</v>
      </c>
      <c r="B496" t="str">
        <f>Master_Data_Productivity[[#This Row],[Uniq-ID]]&amp;"-"&amp;Master_Data_Productivity[[#This Row],[Period]]</f>
        <v>DC-Document_Controller-026-M5</v>
      </c>
      <c r="C496" t="s">
        <v>305</v>
      </c>
      <c r="D496" t="s">
        <v>76</v>
      </c>
      <c r="E496" t="s">
        <v>28</v>
      </c>
      <c r="F496" t="s">
        <v>29</v>
      </c>
      <c r="G496" t="s">
        <v>15</v>
      </c>
      <c r="H496" t="s">
        <v>44</v>
      </c>
      <c r="I496">
        <v>0.83199999999999996</v>
      </c>
      <c r="J496">
        <v>0.83</v>
      </c>
      <c r="K496" t="s">
        <v>2871</v>
      </c>
      <c r="L496" t="s">
        <v>2954</v>
      </c>
      <c r="M496" t="s">
        <v>2873</v>
      </c>
      <c r="N496">
        <v>220</v>
      </c>
      <c r="O496">
        <v>1</v>
      </c>
      <c r="P496">
        <v>4.4999999999999997E-3</v>
      </c>
      <c r="Q496" t="s">
        <v>8</v>
      </c>
      <c r="R496" t="s">
        <v>12</v>
      </c>
      <c r="S496" t="s">
        <v>12</v>
      </c>
      <c r="T496" t="s">
        <v>12</v>
      </c>
      <c r="U496" t="s">
        <v>12</v>
      </c>
      <c r="V496" t="s">
        <v>12</v>
      </c>
      <c r="W496" t="s">
        <v>12</v>
      </c>
      <c r="X496" t="s">
        <v>12</v>
      </c>
      <c r="Y496" t="s">
        <v>12</v>
      </c>
      <c r="Z496" t="s">
        <v>12</v>
      </c>
      <c r="AA496" t="s">
        <v>12</v>
      </c>
      <c r="AB496" t="s">
        <v>12</v>
      </c>
      <c r="AC496" t="s">
        <v>12</v>
      </c>
      <c r="AD496" t="s">
        <v>12</v>
      </c>
    </row>
    <row r="497" spans="1:30">
      <c r="A497" t="s">
        <v>304</v>
      </c>
      <c r="B497" t="str">
        <f>Master_Data_Productivity[[#This Row],[Uniq-ID]]&amp;"-"&amp;Master_Data_Productivity[[#This Row],[Period]]</f>
        <v>DC-Document_Controller-026-M5</v>
      </c>
      <c r="C497" t="s">
        <v>305</v>
      </c>
      <c r="D497" t="s">
        <v>76</v>
      </c>
      <c r="E497" t="s">
        <v>28</v>
      </c>
      <c r="F497" t="s">
        <v>29</v>
      </c>
      <c r="G497" t="s">
        <v>15</v>
      </c>
      <c r="H497" t="s">
        <v>44</v>
      </c>
      <c r="I497">
        <v>0.83199999999999996</v>
      </c>
      <c r="J497">
        <v>0.83</v>
      </c>
      <c r="K497" t="s">
        <v>2871</v>
      </c>
      <c r="L497" t="s">
        <v>2956</v>
      </c>
      <c r="M497" t="s">
        <v>2873</v>
      </c>
      <c r="N497">
        <v>298</v>
      </c>
      <c r="O497">
        <v>1</v>
      </c>
      <c r="P497">
        <v>3.3999999999999998E-3</v>
      </c>
      <c r="Q497" t="s">
        <v>8</v>
      </c>
      <c r="R497" t="s">
        <v>12</v>
      </c>
      <c r="S497" t="s">
        <v>12</v>
      </c>
      <c r="T497" t="s">
        <v>12</v>
      </c>
      <c r="U497" t="s">
        <v>12</v>
      </c>
      <c r="V497" t="s">
        <v>12</v>
      </c>
      <c r="W497" t="s">
        <v>12</v>
      </c>
      <c r="X497" t="s">
        <v>12</v>
      </c>
      <c r="Y497" t="s">
        <v>12</v>
      </c>
      <c r="Z497" t="s">
        <v>12</v>
      </c>
      <c r="AA497" t="s">
        <v>12</v>
      </c>
      <c r="AB497" t="s">
        <v>12</v>
      </c>
      <c r="AC497" t="s">
        <v>12</v>
      </c>
      <c r="AD497" t="s">
        <v>12</v>
      </c>
    </row>
    <row r="498" spans="1:30">
      <c r="A498" t="s">
        <v>304</v>
      </c>
      <c r="B498" t="str">
        <f>Master_Data_Productivity[[#This Row],[Uniq-ID]]&amp;"-"&amp;Master_Data_Productivity[[#This Row],[Period]]</f>
        <v>DC-Document_Controller-026-M5</v>
      </c>
      <c r="C498" t="s">
        <v>305</v>
      </c>
      <c r="D498" t="s">
        <v>76</v>
      </c>
      <c r="E498" t="s">
        <v>28</v>
      </c>
      <c r="F498" t="s">
        <v>29</v>
      </c>
      <c r="G498" t="s">
        <v>15</v>
      </c>
      <c r="H498" t="s">
        <v>44</v>
      </c>
      <c r="I498">
        <v>0.83199999999999996</v>
      </c>
      <c r="J498">
        <v>0.83</v>
      </c>
      <c r="K498" t="s">
        <v>2887</v>
      </c>
      <c r="L498" t="s">
        <v>2992</v>
      </c>
      <c r="M498" t="s">
        <v>2873</v>
      </c>
      <c r="N498">
        <v>220</v>
      </c>
      <c r="O498">
        <v>1</v>
      </c>
      <c r="P498">
        <v>4.4999999999999997E-3</v>
      </c>
      <c r="Q498" t="s">
        <v>8</v>
      </c>
      <c r="R498" t="s">
        <v>12</v>
      </c>
      <c r="S498" t="s">
        <v>12</v>
      </c>
      <c r="T498" t="s">
        <v>12</v>
      </c>
      <c r="U498" t="s">
        <v>12</v>
      </c>
      <c r="V498" t="s">
        <v>12</v>
      </c>
      <c r="W498" t="s">
        <v>12</v>
      </c>
      <c r="X498" t="s">
        <v>12</v>
      </c>
      <c r="Y498" t="s">
        <v>12</v>
      </c>
      <c r="Z498" t="s">
        <v>12</v>
      </c>
      <c r="AA498" t="s">
        <v>12</v>
      </c>
      <c r="AB498" t="s">
        <v>12</v>
      </c>
      <c r="AC498" t="s">
        <v>12</v>
      </c>
      <c r="AD498" t="s">
        <v>12</v>
      </c>
    </row>
    <row r="499" spans="1:30">
      <c r="A499" t="s">
        <v>304</v>
      </c>
      <c r="B499" t="str">
        <f>Master_Data_Productivity[[#This Row],[Uniq-ID]]&amp;"-"&amp;Master_Data_Productivity[[#This Row],[Period]]</f>
        <v>DC-Document_Controller-026-M6</v>
      </c>
      <c r="C499" t="s">
        <v>305</v>
      </c>
      <c r="D499" t="s">
        <v>76</v>
      </c>
      <c r="E499" t="s">
        <v>31</v>
      </c>
      <c r="F499" t="s">
        <v>32</v>
      </c>
      <c r="G499" t="s">
        <v>33</v>
      </c>
      <c r="H499" t="s">
        <v>44</v>
      </c>
      <c r="I499">
        <v>0.434</v>
      </c>
      <c r="J499">
        <v>0.5</v>
      </c>
      <c r="K499" t="s">
        <v>2947</v>
      </c>
      <c r="L499" t="s">
        <v>2988</v>
      </c>
      <c r="M499" t="s">
        <v>2873</v>
      </c>
      <c r="N499">
        <v>103</v>
      </c>
      <c r="O499">
        <v>43</v>
      </c>
      <c r="P499">
        <v>0.41749999999999998</v>
      </c>
      <c r="Q499" t="s">
        <v>8</v>
      </c>
      <c r="R499" t="s">
        <v>12</v>
      </c>
      <c r="S499" t="s">
        <v>12</v>
      </c>
      <c r="T499" t="s">
        <v>12</v>
      </c>
      <c r="U499" t="s">
        <v>12</v>
      </c>
      <c r="V499" t="s">
        <v>12</v>
      </c>
      <c r="W499" t="s">
        <v>12</v>
      </c>
      <c r="X499" t="s">
        <v>12</v>
      </c>
      <c r="Y499" t="s">
        <v>12</v>
      </c>
      <c r="Z499" t="s">
        <v>12</v>
      </c>
      <c r="AA499" t="s">
        <v>12</v>
      </c>
      <c r="AB499" t="s">
        <v>12</v>
      </c>
      <c r="AC499" t="s">
        <v>12</v>
      </c>
      <c r="AD499" t="s">
        <v>12</v>
      </c>
    </row>
    <row r="500" spans="1:30">
      <c r="A500" t="s">
        <v>304</v>
      </c>
      <c r="B500" t="str">
        <f>Master_Data_Productivity[[#This Row],[Uniq-ID]]&amp;"-"&amp;Master_Data_Productivity[[#This Row],[Period]]</f>
        <v>DC-Document_Controller-026-M6</v>
      </c>
      <c r="C500" t="s">
        <v>305</v>
      </c>
      <c r="D500" t="s">
        <v>76</v>
      </c>
      <c r="E500" t="s">
        <v>31</v>
      </c>
      <c r="F500" t="s">
        <v>32</v>
      </c>
      <c r="G500" t="s">
        <v>33</v>
      </c>
      <c r="H500" t="s">
        <v>44</v>
      </c>
      <c r="I500">
        <v>0.434</v>
      </c>
      <c r="J500">
        <v>0.5</v>
      </c>
      <c r="K500" t="s">
        <v>2871</v>
      </c>
      <c r="L500" t="s">
        <v>2956</v>
      </c>
      <c r="M500" t="s">
        <v>2873</v>
      </c>
      <c r="N500">
        <v>298</v>
      </c>
      <c r="O500">
        <v>1</v>
      </c>
      <c r="P500">
        <v>3.3999999999999998E-3</v>
      </c>
      <c r="Q500" t="s">
        <v>8</v>
      </c>
      <c r="R500" t="s">
        <v>12</v>
      </c>
      <c r="S500" t="s">
        <v>12</v>
      </c>
      <c r="T500" t="s">
        <v>12</v>
      </c>
      <c r="U500" t="s">
        <v>12</v>
      </c>
      <c r="V500" t="s">
        <v>12</v>
      </c>
      <c r="W500" t="s">
        <v>12</v>
      </c>
      <c r="X500" t="s">
        <v>12</v>
      </c>
      <c r="Y500" t="s">
        <v>12</v>
      </c>
      <c r="Z500" t="s">
        <v>12</v>
      </c>
      <c r="AA500" t="s">
        <v>12</v>
      </c>
      <c r="AB500" t="s">
        <v>12</v>
      </c>
      <c r="AC500" t="s">
        <v>12</v>
      </c>
      <c r="AD500" t="s">
        <v>12</v>
      </c>
    </row>
    <row r="501" spans="1:30">
      <c r="A501" t="s">
        <v>304</v>
      </c>
      <c r="B501" t="str">
        <f>Master_Data_Productivity[[#This Row],[Uniq-ID]]&amp;"-"&amp;Master_Data_Productivity[[#This Row],[Period]]</f>
        <v>DC-Document_Controller-026-M6</v>
      </c>
      <c r="C501" t="s">
        <v>305</v>
      </c>
      <c r="D501" t="s">
        <v>76</v>
      </c>
      <c r="E501" t="s">
        <v>31</v>
      </c>
      <c r="F501" t="s">
        <v>32</v>
      </c>
      <c r="G501" t="s">
        <v>33</v>
      </c>
      <c r="H501" t="s">
        <v>44</v>
      </c>
      <c r="I501">
        <v>0.434</v>
      </c>
      <c r="J501">
        <v>0.5</v>
      </c>
      <c r="K501" t="s">
        <v>2871</v>
      </c>
      <c r="L501" t="s">
        <v>2958</v>
      </c>
      <c r="M501" t="s">
        <v>2873</v>
      </c>
      <c r="N501">
        <v>154</v>
      </c>
      <c r="O501">
        <v>2</v>
      </c>
      <c r="P501">
        <v>1.2999999999999999E-2</v>
      </c>
      <c r="Q501" t="s">
        <v>8</v>
      </c>
      <c r="R501" t="s">
        <v>12</v>
      </c>
      <c r="S501" t="s">
        <v>12</v>
      </c>
      <c r="T501" t="s">
        <v>12</v>
      </c>
      <c r="U501" t="s">
        <v>12</v>
      </c>
      <c r="V501" t="s">
        <v>12</v>
      </c>
      <c r="W501" t="s">
        <v>12</v>
      </c>
      <c r="X501" t="s">
        <v>12</v>
      </c>
      <c r="Y501" t="s">
        <v>12</v>
      </c>
      <c r="Z501" t="s">
        <v>12</v>
      </c>
      <c r="AA501" t="s">
        <v>12</v>
      </c>
      <c r="AB501" t="s">
        <v>12</v>
      </c>
      <c r="AC501" t="s">
        <v>12</v>
      </c>
      <c r="AD501" t="s">
        <v>12</v>
      </c>
    </row>
    <row r="502" spans="1:30">
      <c r="A502" t="s">
        <v>390</v>
      </c>
      <c r="B502" t="str">
        <f>Master_Data_Productivity[[#This Row],[Uniq-ID]]&amp;"-"&amp;Master_Data_Productivity[[#This Row],[Period]]</f>
        <v>DC-Document_Controller-035-M1</v>
      </c>
      <c r="C502" t="s">
        <v>391</v>
      </c>
      <c r="D502" t="s">
        <v>76</v>
      </c>
      <c r="E502" t="s">
        <v>13</v>
      </c>
      <c r="F502" t="s">
        <v>392</v>
      </c>
      <c r="G502" t="s">
        <v>15</v>
      </c>
      <c r="H502" t="s">
        <v>44</v>
      </c>
      <c r="I502">
        <v>0</v>
      </c>
      <c r="K502" t="s">
        <v>12</v>
      </c>
      <c r="L502" t="s">
        <v>12</v>
      </c>
      <c r="M502" t="s">
        <v>12</v>
      </c>
      <c r="Q502" t="s">
        <v>8</v>
      </c>
      <c r="R502" t="s">
        <v>12</v>
      </c>
      <c r="S502" t="s">
        <v>12</v>
      </c>
      <c r="T502" t="s">
        <v>12</v>
      </c>
      <c r="U502" t="s">
        <v>12</v>
      </c>
      <c r="V502" t="s">
        <v>12</v>
      </c>
      <c r="W502" t="s">
        <v>12</v>
      </c>
      <c r="X502" t="s">
        <v>12</v>
      </c>
      <c r="Y502" t="s">
        <v>12</v>
      </c>
      <c r="Z502" t="s">
        <v>12</v>
      </c>
      <c r="AA502" t="s">
        <v>12</v>
      </c>
      <c r="AB502" t="s">
        <v>12</v>
      </c>
      <c r="AC502" t="s">
        <v>12</v>
      </c>
      <c r="AD502" t="s">
        <v>12</v>
      </c>
    </row>
    <row r="503" spans="1:30">
      <c r="A503" t="s">
        <v>390</v>
      </c>
      <c r="B503" t="str">
        <f>Master_Data_Productivity[[#This Row],[Uniq-ID]]&amp;"-"&amp;Master_Data_Productivity[[#This Row],[Period]]</f>
        <v>DC-Document_Controller-035-M2</v>
      </c>
      <c r="C503" t="s">
        <v>391</v>
      </c>
      <c r="D503" t="s">
        <v>76</v>
      </c>
      <c r="E503" t="s">
        <v>18</v>
      </c>
      <c r="F503" t="s">
        <v>393</v>
      </c>
      <c r="G503" t="s">
        <v>15</v>
      </c>
      <c r="H503" t="s">
        <v>16</v>
      </c>
      <c r="I503">
        <v>2.1760000000000002</v>
      </c>
      <c r="J503">
        <v>1.0900000000000001</v>
      </c>
      <c r="K503" t="s">
        <v>2887</v>
      </c>
      <c r="L503" t="s">
        <v>3308</v>
      </c>
      <c r="M503" t="s">
        <v>2916</v>
      </c>
      <c r="N503">
        <v>154</v>
      </c>
      <c r="O503">
        <v>160</v>
      </c>
      <c r="P503">
        <v>1.0389999999999999</v>
      </c>
      <c r="Q503" t="s">
        <v>8</v>
      </c>
      <c r="R503" t="s">
        <v>12</v>
      </c>
      <c r="S503" t="s">
        <v>12</v>
      </c>
      <c r="T503" t="s">
        <v>12</v>
      </c>
      <c r="U503" t="s">
        <v>12</v>
      </c>
      <c r="V503" t="s">
        <v>12</v>
      </c>
      <c r="W503" t="s">
        <v>12</v>
      </c>
      <c r="X503" t="s">
        <v>12</v>
      </c>
      <c r="Y503" t="s">
        <v>12</v>
      </c>
      <c r="Z503" t="s">
        <v>12</v>
      </c>
      <c r="AA503" t="s">
        <v>12</v>
      </c>
      <c r="AB503" t="s">
        <v>12</v>
      </c>
      <c r="AC503" t="s">
        <v>12</v>
      </c>
      <c r="AD503" t="s">
        <v>12</v>
      </c>
    </row>
    <row r="504" spans="1:30">
      <c r="A504" t="s">
        <v>390</v>
      </c>
      <c r="B504" t="str">
        <f>Master_Data_Productivity[[#This Row],[Uniq-ID]]&amp;"-"&amp;Master_Data_Productivity[[#This Row],[Period]]</f>
        <v>DC-Document_Controller-035-M2</v>
      </c>
      <c r="C504" t="s">
        <v>391</v>
      </c>
      <c r="D504" t="s">
        <v>76</v>
      </c>
      <c r="E504" t="s">
        <v>18</v>
      </c>
      <c r="F504" t="s">
        <v>393</v>
      </c>
      <c r="G504" t="s">
        <v>15</v>
      </c>
      <c r="H504" t="s">
        <v>16</v>
      </c>
      <c r="I504">
        <v>2.1760000000000002</v>
      </c>
      <c r="J504">
        <v>1.0900000000000001</v>
      </c>
      <c r="K504" t="s">
        <v>2887</v>
      </c>
      <c r="L504" t="s">
        <v>3306</v>
      </c>
      <c r="M504" t="s">
        <v>2916</v>
      </c>
      <c r="N504">
        <v>51</v>
      </c>
      <c r="O504">
        <v>58</v>
      </c>
      <c r="P504">
        <v>1.1373</v>
      </c>
      <c r="Q504" t="s">
        <v>8</v>
      </c>
      <c r="R504" t="s">
        <v>12</v>
      </c>
      <c r="S504" t="s">
        <v>12</v>
      </c>
      <c r="T504" t="s">
        <v>12</v>
      </c>
      <c r="U504" t="s">
        <v>12</v>
      </c>
      <c r="V504" t="s">
        <v>12</v>
      </c>
      <c r="W504" t="s">
        <v>12</v>
      </c>
      <c r="X504" t="s">
        <v>12</v>
      </c>
      <c r="Y504" t="s">
        <v>12</v>
      </c>
      <c r="Z504" t="s">
        <v>12</v>
      </c>
      <c r="AA504" t="s">
        <v>12</v>
      </c>
      <c r="AB504" t="s">
        <v>12</v>
      </c>
      <c r="AC504" t="s">
        <v>12</v>
      </c>
      <c r="AD504" t="s">
        <v>12</v>
      </c>
    </row>
    <row r="505" spans="1:30">
      <c r="A505" t="s">
        <v>390</v>
      </c>
      <c r="B505" t="str">
        <f>Master_Data_Productivity[[#This Row],[Uniq-ID]]&amp;"-"&amp;Master_Data_Productivity[[#This Row],[Period]]</f>
        <v>DC-Document_Controller-035-M3</v>
      </c>
      <c r="C505" t="s">
        <v>391</v>
      </c>
      <c r="D505" t="s">
        <v>76</v>
      </c>
      <c r="E505" t="s">
        <v>22</v>
      </c>
      <c r="F505" t="s">
        <v>395</v>
      </c>
      <c r="G505" t="s">
        <v>15</v>
      </c>
      <c r="H505" t="s">
        <v>16</v>
      </c>
      <c r="I505">
        <v>2.085</v>
      </c>
      <c r="J505">
        <v>1.04</v>
      </c>
      <c r="K505" t="s">
        <v>2887</v>
      </c>
      <c r="L505" t="s">
        <v>3306</v>
      </c>
      <c r="M505" t="s">
        <v>2916</v>
      </c>
      <c r="N505">
        <v>51</v>
      </c>
      <c r="O505">
        <v>54</v>
      </c>
      <c r="P505">
        <v>1.0588</v>
      </c>
      <c r="Q505" t="s">
        <v>8</v>
      </c>
      <c r="R505" t="s">
        <v>12</v>
      </c>
      <c r="S505" t="s">
        <v>12</v>
      </c>
      <c r="T505" t="s">
        <v>12</v>
      </c>
      <c r="U505" t="s">
        <v>12</v>
      </c>
      <c r="V505" t="s">
        <v>12</v>
      </c>
      <c r="W505" t="s">
        <v>12</v>
      </c>
      <c r="X505" t="s">
        <v>12</v>
      </c>
      <c r="Y505" t="s">
        <v>12</v>
      </c>
      <c r="Z505" t="s">
        <v>12</v>
      </c>
      <c r="AA505" t="s">
        <v>12</v>
      </c>
      <c r="AB505" t="s">
        <v>12</v>
      </c>
      <c r="AC505" t="s">
        <v>12</v>
      </c>
      <c r="AD505" t="s">
        <v>12</v>
      </c>
    </row>
    <row r="506" spans="1:30">
      <c r="A506" t="s">
        <v>390</v>
      </c>
      <c r="B506" t="str">
        <f>Master_Data_Productivity[[#This Row],[Uniq-ID]]&amp;"-"&amp;Master_Data_Productivity[[#This Row],[Period]]</f>
        <v>DC-Document_Controller-035-M3</v>
      </c>
      <c r="C506" t="s">
        <v>391</v>
      </c>
      <c r="D506" t="s">
        <v>76</v>
      </c>
      <c r="E506" t="s">
        <v>22</v>
      </c>
      <c r="F506" t="s">
        <v>395</v>
      </c>
      <c r="G506" t="s">
        <v>15</v>
      </c>
      <c r="H506" t="s">
        <v>16</v>
      </c>
      <c r="I506">
        <v>2.085</v>
      </c>
      <c r="J506">
        <v>1.04</v>
      </c>
      <c r="K506" t="s">
        <v>2887</v>
      </c>
      <c r="L506" t="s">
        <v>3308</v>
      </c>
      <c r="M506" t="s">
        <v>2916</v>
      </c>
      <c r="N506">
        <v>154</v>
      </c>
      <c r="O506">
        <v>158</v>
      </c>
      <c r="P506">
        <v>1.026</v>
      </c>
      <c r="Q506" t="s">
        <v>8</v>
      </c>
      <c r="R506" t="s">
        <v>12</v>
      </c>
      <c r="S506" t="s">
        <v>12</v>
      </c>
      <c r="T506" t="s">
        <v>12</v>
      </c>
      <c r="U506" t="s">
        <v>12</v>
      </c>
      <c r="V506" t="s">
        <v>12</v>
      </c>
      <c r="W506" t="s">
        <v>12</v>
      </c>
      <c r="X506" t="s">
        <v>12</v>
      </c>
      <c r="Y506" t="s">
        <v>12</v>
      </c>
      <c r="Z506" t="s">
        <v>12</v>
      </c>
      <c r="AA506" t="s">
        <v>12</v>
      </c>
      <c r="AB506" t="s">
        <v>12</v>
      </c>
      <c r="AC506" t="s">
        <v>12</v>
      </c>
      <c r="AD506" t="s">
        <v>12</v>
      </c>
    </row>
    <row r="507" spans="1:30">
      <c r="A507" t="s">
        <v>390</v>
      </c>
      <c r="B507" t="str">
        <f>Master_Data_Productivity[[#This Row],[Uniq-ID]]&amp;"-"&amp;Master_Data_Productivity[[#This Row],[Period]]</f>
        <v>DC-Document_Controller-035-M4</v>
      </c>
      <c r="C507" t="s">
        <v>391</v>
      </c>
      <c r="D507" t="s">
        <v>76</v>
      </c>
      <c r="E507" t="s">
        <v>25</v>
      </c>
      <c r="F507" t="s">
        <v>348</v>
      </c>
      <c r="G507" t="s">
        <v>33</v>
      </c>
      <c r="H507" t="s">
        <v>16</v>
      </c>
      <c r="I507">
        <v>2.0259999999999998</v>
      </c>
      <c r="J507">
        <v>1.01</v>
      </c>
      <c r="K507" t="s">
        <v>2887</v>
      </c>
      <c r="L507" t="s">
        <v>3306</v>
      </c>
      <c r="M507" t="s">
        <v>2916</v>
      </c>
      <c r="N507">
        <v>51</v>
      </c>
      <c r="O507">
        <v>52</v>
      </c>
      <c r="P507">
        <v>1.0196000000000001</v>
      </c>
      <c r="Q507" t="s">
        <v>8</v>
      </c>
      <c r="R507" t="s">
        <v>12</v>
      </c>
      <c r="S507" t="s">
        <v>12</v>
      </c>
      <c r="T507" t="s">
        <v>12</v>
      </c>
      <c r="U507" t="s">
        <v>12</v>
      </c>
      <c r="V507" t="s">
        <v>12</v>
      </c>
      <c r="W507" t="s">
        <v>12</v>
      </c>
      <c r="X507" t="s">
        <v>12</v>
      </c>
      <c r="Y507" t="s">
        <v>12</v>
      </c>
      <c r="Z507" t="s">
        <v>12</v>
      </c>
      <c r="AA507" t="s">
        <v>12</v>
      </c>
      <c r="AB507" t="s">
        <v>12</v>
      </c>
      <c r="AC507" t="s">
        <v>12</v>
      </c>
      <c r="AD507" t="s">
        <v>12</v>
      </c>
    </row>
    <row r="508" spans="1:30">
      <c r="A508" t="s">
        <v>390</v>
      </c>
      <c r="B508" t="str">
        <f>Master_Data_Productivity[[#This Row],[Uniq-ID]]&amp;"-"&amp;Master_Data_Productivity[[#This Row],[Period]]</f>
        <v>DC-Document_Controller-035-M4</v>
      </c>
      <c r="C508" t="s">
        <v>391</v>
      </c>
      <c r="D508" t="s">
        <v>76</v>
      </c>
      <c r="E508" t="s">
        <v>25</v>
      </c>
      <c r="F508" t="s">
        <v>348</v>
      </c>
      <c r="G508" t="s">
        <v>33</v>
      </c>
      <c r="H508" t="s">
        <v>16</v>
      </c>
      <c r="I508">
        <v>2.0259999999999998</v>
      </c>
      <c r="J508">
        <v>1.01</v>
      </c>
      <c r="K508" t="s">
        <v>2887</v>
      </c>
      <c r="L508" t="s">
        <v>3308</v>
      </c>
      <c r="M508" t="s">
        <v>2916</v>
      </c>
      <c r="N508">
        <v>154</v>
      </c>
      <c r="O508">
        <v>155</v>
      </c>
      <c r="P508">
        <v>1.0065</v>
      </c>
      <c r="Q508" t="s">
        <v>8</v>
      </c>
      <c r="R508" t="s">
        <v>12</v>
      </c>
      <c r="S508" t="s">
        <v>12</v>
      </c>
      <c r="T508" t="s">
        <v>12</v>
      </c>
      <c r="U508" t="s">
        <v>12</v>
      </c>
      <c r="V508" t="s">
        <v>12</v>
      </c>
      <c r="W508" t="s">
        <v>12</v>
      </c>
      <c r="X508" t="s">
        <v>12</v>
      </c>
      <c r="Y508" t="s">
        <v>12</v>
      </c>
      <c r="Z508" t="s">
        <v>12</v>
      </c>
      <c r="AA508" t="s">
        <v>12</v>
      </c>
      <c r="AB508" t="s">
        <v>12</v>
      </c>
      <c r="AC508" t="s">
        <v>12</v>
      </c>
      <c r="AD508" t="s">
        <v>12</v>
      </c>
    </row>
    <row r="509" spans="1:30">
      <c r="A509" t="s">
        <v>368</v>
      </c>
      <c r="B509" t="str">
        <f>Master_Data_Productivity[[#This Row],[Uniq-ID]]&amp;"-"&amp;Master_Data_Productivity[[#This Row],[Period]]</f>
        <v>DC-Document_Controller-050-M1</v>
      </c>
      <c r="C509" t="s">
        <v>369</v>
      </c>
      <c r="D509" t="s">
        <v>76</v>
      </c>
      <c r="E509" t="s">
        <v>13</v>
      </c>
      <c r="F509" t="s">
        <v>37</v>
      </c>
      <c r="G509" t="s">
        <v>15</v>
      </c>
      <c r="H509" t="s">
        <v>44</v>
      </c>
      <c r="I509">
        <v>4.0000000000000001E-3</v>
      </c>
      <c r="J509">
        <v>0.5</v>
      </c>
      <c r="K509" t="s">
        <v>2887</v>
      </c>
      <c r="L509" t="s">
        <v>3294</v>
      </c>
      <c r="M509" t="s">
        <v>2916</v>
      </c>
      <c r="N509">
        <v>250</v>
      </c>
      <c r="O509">
        <v>1</v>
      </c>
      <c r="P509">
        <v>4.0000000000000001E-3</v>
      </c>
      <c r="Q509" t="s">
        <v>8</v>
      </c>
      <c r="R509" t="s">
        <v>12</v>
      </c>
      <c r="S509" t="s">
        <v>12</v>
      </c>
      <c r="T509" t="s">
        <v>12</v>
      </c>
      <c r="U509" t="s">
        <v>12</v>
      </c>
      <c r="V509" t="s">
        <v>12</v>
      </c>
      <c r="W509" t="s">
        <v>12</v>
      </c>
      <c r="X509" t="s">
        <v>12</v>
      </c>
      <c r="Y509" t="s">
        <v>12</v>
      </c>
      <c r="Z509" t="s">
        <v>12</v>
      </c>
      <c r="AA509" t="s">
        <v>12</v>
      </c>
      <c r="AB509" t="s">
        <v>12</v>
      </c>
      <c r="AC509" t="s">
        <v>12</v>
      </c>
      <c r="AD509" t="s">
        <v>12</v>
      </c>
    </row>
    <row r="510" spans="1:30">
      <c r="A510" t="s">
        <v>368</v>
      </c>
      <c r="B510" t="str">
        <f>Master_Data_Productivity[[#This Row],[Uniq-ID]]&amp;"-"&amp;Master_Data_Productivity[[#This Row],[Period]]</f>
        <v>DC-Document_Controller-050-M2</v>
      </c>
      <c r="C510" t="s">
        <v>369</v>
      </c>
      <c r="D510" t="s">
        <v>76</v>
      </c>
      <c r="E510" t="s">
        <v>18</v>
      </c>
      <c r="F510" t="s">
        <v>39</v>
      </c>
      <c r="G510" t="s">
        <v>15</v>
      </c>
      <c r="H510" t="s">
        <v>44</v>
      </c>
      <c r="I510">
        <v>0</v>
      </c>
      <c r="K510" t="s">
        <v>12</v>
      </c>
      <c r="L510" t="s">
        <v>12</v>
      </c>
      <c r="M510" t="s">
        <v>12</v>
      </c>
      <c r="Q510" t="s">
        <v>8</v>
      </c>
      <c r="R510" t="s">
        <v>12</v>
      </c>
      <c r="S510" t="s">
        <v>12</v>
      </c>
      <c r="T510" t="s">
        <v>12</v>
      </c>
      <c r="U510" t="s">
        <v>12</v>
      </c>
      <c r="V510" t="s">
        <v>12</v>
      </c>
      <c r="W510" t="s">
        <v>12</v>
      </c>
      <c r="X510" t="s">
        <v>12</v>
      </c>
      <c r="Y510" t="s">
        <v>12</v>
      </c>
      <c r="Z510" t="s">
        <v>12</v>
      </c>
      <c r="AA510" t="s">
        <v>12</v>
      </c>
      <c r="AB510" t="s">
        <v>12</v>
      </c>
      <c r="AC510" t="s">
        <v>12</v>
      </c>
      <c r="AD510" t="s">
        <v>12</v>
      </c>
    </row>
    <row r="511" spans="1:30">
      <c r="A511" t="s">
        <v>368</v>
      </c>
      <c r="B511" t="str">
        <f>Master_Data_Productivity[[#This Row],[Uniq-ID]]&amp;"-"&amp;Master_Data_Productivity[[#This Row],[Period]]</f>
        <v>DC-Document_Controller-050-M3</v>
      </c>
      <c r="C511" t="s">
        <v>369</v>
      </c>
      <c r="D511" t="s">
        <v>76</v>
      </c>
      <c r="E511" t="s">
        <v>22</v>
      </c>
      <c r="F511" t="s">
        <v>41</v>
      </c>
      <c r="G511" t="s">
        <v>15</v>
      </c>
      <c r="H511" t="s">
        <v>20</v>
      </c>
      <c r="I511">
        <v>1.3320000000000001</v>
      </c>
      <c r="J511">
        <v>1</v>
      </c>
      <c r="K511" t="s">
        <v>2887</v>
      </c>
      <c r="L511" t="s">
        <v>3294</v>
      </c>
      <c r="M511" t="s">
        <v>2916</v>
      </c>
      <c r="N511">
        <v>250</v>
      </c>
      <c r="O511">
        <v>333</v>
      </c>
      <c r="P511">
        <v>1.3320000000000001</v>
      </c>
      <c r="Q511" t="s">
        <v>8</v>
      </c>
      <c r="R511" t="s">
        <v>12</v>
      </c>
      <c r="S511" t="s">
        <v>12</v>
      </c>
      <c r="T511" t="s">
        <v>12</v>
      </c>
      <c r="U511" t="s">
        <v>12</v>
      </c>
      <c r="V511" t="s">
        <v>12</v>
      </c>
      <c r="W511" t="s">
        <v>12</v>
      </c>
      <c r="X511" t="s">
        <v>12</v>
      </c>
      <c r="Y511" t="s">
        <v>12</v>
      </c>
      <c r="Z511" t="s">
        <v>12</v>
      </c>
      <c r="AA511" t="s">
        <v>12</v>
      </c>
      <c r="AB511" t="s">
        <v>12</v>
      </c>
      <c r="AC511" t="s">
        <v>12</v>
      </c>
      <c r="AD511" t="s">
        <v>12</v>
      </c>
    </row>
    <row r="512" spans="1:30">
      <c r="A512" t="s">
        <v>368</v>
      </c>
      <c r="B512" t="str">
        <f>Master_Data_Productivity[[#This Row],[Uniq-ID]]&amp;"-"&amp;Master_Data_Productivity[[#This Row],[Period]]</f>
        <v>DC-Document_Controller-050-M4</v>
      </c>
      <c r="C512" t="s">
        <v>369</v>
      </c>
      <c r="D512" t="s">
        <v>76</v>
      </c>
      <c r="E512" t="s">
        <v>25</v>
      </c>
      <c r="F512" t="s">
        <v>43</v>
      </c>
      <c r="G512" t="s">
        <v>33</v>
      </c>
      <c r="H512" t="s">
        <v>44</v>
      </c>
      <c r="I512">
        <v>0</v>
      </c>
      <c r="K512" t="s">
        <v>12</v>
      </c>
      <c r="L512" t="s">
        <v>12</v>
      </c>
      <c r="M512" t="s">
        <v>12</v>
      </c>
      <c r="Q512" t="s">
        <v>8</v>
      </c>
      <c r="R512" t="s">
        <v>12</v>
      </c>
      <c r="S512" t="s">
        <v>12</v>
      </c>
      <c r="T512" t="s">
        <v>12</v>
      </c>
      <c r="U512" t="s">
        <v>12</v>
      </c>
      <c r="V512" t="s">
        <v>12</v>
      </c>
      <c r="W512" t="s">
        <v>12</v>
      </c>
      <c r="X512" t="s">
        <v>12</v>
      </c>
      <c r="Y512" t="s">
        <v>12</v>
      </c>
      <c r="Z512" t="s">
        <v>12</v>
      </c>
      <c r="AA512" t="s">
        <v>12</v>
      </c>
      <c r="AB512" t="s">
        <v>12</v>
      </c>
      <c r="AC512" t="s">
        <v>12</v>
      </c>
      <c r="AD512" t="s">
        <v>12</v>
      </c>
    </row>
    <row r="513" spans="1:30">
      <c r="A513" t="s">
        <v>353</v>
      </c>
      <c r="B513" t="str">
        <f>Master_Data_Productivity[[#This Row],[Uniq-ID]]&amp;"-"&amp;Master_Data_Productivity[[#This Row],[Period]]</f>
        <v>DC-Document_Controller-053-M1</v>
      </c>
      <c r="C513" t="s">
        <v>354</v>
      </c>
      <c r="D513" t="s">
        <v>76</v>
      </c>
      <c r="E513" t="s">
        <v>13</v>
      </c>
      <c r="F513" t="s">
        <v>37</v>
      </c>
      <c r="G513" t="s">
        <v>15</v>
      </c>
      <c r="H513" t="s">
        <v>44</v>
      </c>
      <c r="I513">
        <v>0</v>
      </c>
      <c r="K513" t="s">
        <v>12</v>
      </c>
      <c r="L513" t="s">
        <v>12</v>
      </c>
      <c r="M513" t="s">
        <v>12</v>
      </c>
      <c r="Q513" t="s">
        <v>8</v>
      </c>
      <c r="R513" t="s">
        <v>12</v>
      </c>
      <c r="S513" t="s">
        <v>12</v>
      </c>
      <c r="T513" t="s">
        <v>12</v>
      </c>
      <c r="U513" t="s">
        <v>12</v>
      </c>
      <c r="V513" t="s">
        <v>12</v>
      </c>
      <c r="W513" t="s">
        <v>12</v>
      </c>
      <c r="X513" t="s">
        <v>12</v>
      </c>
      <c r="Y513" t="s">
        <v>12</v>
      </c>
      <c r="Z513" t="s">
        <v>12</v>
      </c>
      <c r="AA513" t="s">
        <v>12</v>
      </c>
      <c r="AB513" t="s">
        <v>12</v>
      </c>
      <c r="AC513" t="s">
        <v>12</v>
      </c>
      <c r="AD513" t="s">
        <v>12</v>
      </c>
    </row>
    <row r="514" spans="1:30">
      <c r="A514" t="s">
        <v>353</v>
      </c>
      <c r="B514" t="str">
        <f>Master_Data_Productivity[[#This Row],[Uniq-ID]]&amp;"-"&amp;Master_Data_Productivity[[#This Row],[Period]]</f>
        <v>DC-Document_Controller-053-M2</v>
      </c>
      <c r="C514" t="s">
        <v>354</v>
      </c>
      <c r="D514" t="s">
        <v>76</v>
      </c>
      <c r="E514" t="s">
        <v>18</v>
      </c>
      <c r="F514" t="s">
        <v>39</v>
      </c>
      <c r="G514" t="s">
        <v>15</v>
      </c>
      <c r="H514" t="s">
        <v>44</v>
      </c>
      <c r="I514">
        <v>0</v>
      </c>
      <c r="K514" t="s">
        <v>12</v>
      </c>
      <c r="L514" t="s">
        <v>12</v>
      </c>
      <c r="M514" t="s">
        <v>12</v>
      </c>
      <c r="Q514" t="s">
        <v>8</v>
      </c>
      <c r="R514" t="s">
        <v>12</v>
      </c>
      <c r="S514" t="s">
        <v>12</v>
      </c>
      <c r="T514" t="s">
        <v>12</v>
      </c>
      <c r="U514" t="s">
        <v>12</v>
      </c>
      <c r="V514" t="s">
        <v>12</v>
      </c>
      <c r="W514" t="s">
        <v>12</v>
      </c>
      <c r="X514" t="s">
        <v>12</v>
      </c>
      <c r="Y514" t="s">
        <v>12</v>
      </c>
      <c r="Z514" t="s">
        <v>12</v>
      </c>
      <c r="AA514" t="s">
        <v>12</v>
      </c>
      <c r="AB514" t="s">
        <v>12</v>
      </c>
      <c r="AC514" t="s">
        <v>12</v>
      </c>
      <c r="AD514" t="s">
        <v>12</v>
      </c>
    </row>
    <row r="515" spans="1:30">
      <c r="A515" t="s">
        <v>353</v>
      </c>
      <c r="B515" t="str">
        <f>Master_Data_Productivity[[#This Row],[Uniq-ID]]&amp;"-"&amp;Master_Data_Productivity[[#This Row],[Period]]</f>
        <v>DC-Document_Controller-053-M3</v>
      </c>
      <c r="C515" t="s">
        <v>354</v>
      </c>
      <c r="D515" t="s">
        <v>76</v>
      </c>
      <c r="E515" t="s">
        <v>22</v>
      </c>
      <c r="F515" t="s">
        <v>41</v>
      </c>
      <c r="G515" t="s">
        <v>15</v>
      </c>
      <c r="H515" t="s">
        <v>44</v>
      </c>
      <c r="I515">
        <v>0</v>
      </c>
      <c r="K515" t="s">
        <v>12</v>
      </c>
      <c r="L515" t="s">
        <v>12</v>
      </c>
      <c r="M515" t="s">
        <v>12</v>
      </c>
      <c r="Q515" t="s">
        <v>8</v>
      </c>
      <c r="R515" t="s">
        <v>12</v>
      </c>
      <c r="S515" t="s">
        <v>12</v>
      </c>
      <c r="T515" t="s">
        <v>12</v>
      </c>
      <c r="U515" t="s">
        <v>12</v>
      </c>
      <c r="V515" t="s">
        <v>12</v>
      </c>
      <c r="W515" t="s">
        <v>12</v>
      </c>
      <c r="X515" t="s">
        <v>12</v>
      </c>
      <c r="Y515" t="s">
        <v>12</v>
      </c>
      <c r="Z515" t="s">
        <v>12</v>
      </c>
      <c r="AA515" t="s">
        <v>12</v>
      </c>
      <c r="AB515" t="s">
        <v>12</v>
      </c>
      <c r="AC515" t="s">
        <v>12</v>
      </c>
      <c r="AD515" t="s">
        <v>12</v>
      </c>
    </row>
    <row r="516" spans="1:30">
      <c r="A516" t="s">
        <v>353</v>
      </c>
      <c r="B516" t="str">
        <f>Master_Data_Productivity[[#This Row],[Uniq-ID]]&amp;"-"&amp;Master_Data_Productivity[[#This Row],[Period]]</f>
        <v>DC-Document_Controller-053-M4</v>
      </c>
      <c r="C516" t="s">
        <v>354</v>
      </c>
      <c r="D516" t="s">
        <v>76</v>
      </c>
      <c r="E516" t="s">
        <v>25</v>
      </c>
      <c r="F516" t="s">
        <v>43</v>
      </c>
      <c r="G516" t="s">
        <v>33</v>
      </c>
      <c r="H516" t="s">
        <v>44</v>
      </c>
      <c r="I516">
        <v>0</v>
      </c>
      <c r="K516" t="s">
        <v>12</v>
      </c>
      <c r="L516" t="s">
        <v>12</v>
      </c>
      <c r="M516" t="s">
        <v>12</v>
      </c>
      <c r="Q516" t="s">
        <v>8</v>
      </c>
      <c r="R516" t="s">
        <v>12</v>
      </c>
      <c r="S516" t="s">
        <v>12</v>
      </c>
      <c r="T516" t="s">
        <v>12</v>
      </c>
      <c r="U516" t="s">
        <v>12</v>
      </c>
      <c r="V516" t="s">
        <v>12</v>
      </c>
      <c r="W516" t="s">
        <v>12</v>
      </c>
      <c r="X516" t="s">
        <v>12</v>
      </c>
      <c r="Y516" t="s">
        <v>12</v>
      </c>
      <c r="Z516" t="s">
        <v>12</v>
      </c>
      <c r="AA516" t="s">
        <v>12</v>
      </c>
      <c r="AB516" t="s">
        <v>12</v>
      </c>
      <c r="AC516" t="s">
        <v>12</v>
      </c>
      <c r="AD516" t="s">
        <v>12</v>
      </c>
    </row>
    <row r="517" spans="1:30">
      <c r="A517" t="s">
        <v>427</v>
      </c>
      <c r="B517" t="str">
        <f>Master_Data_Productivity[[#This Row],[Uniq-ID]]&amp;"-"&amp;Master_Data_Productivity[[#This Row],[Period]]</f>
        <v>DC-Document_Controller-010-M1</v>
      </c>
      <c r="C517" t="s">
        <v>428</v>
      </c>
      <c r="D517" t="s">
        <v>155</v>
      </c>
      <c r="E517" t="s">
        <v>13</v>
      </c>
      <c r="F517" t="s">
        <v>122</v>
      </c>
      <c r="G517" t="s">
        <v>15</v>
      </c>
      <c r="H517" t="s">
        <v>44</v>
      </c>
      <c r="I517">
        <v>7.6999999999999999E-2</v>
      </c>
      <c r="J517">
        <v>0.5</v>
      </c>
      <c r="K517" t="s">
        <v>3098</v>
      </c>
      <c r="L517" t="s">
        <v>3099</v>
      </c>
      <c r="M517" t="s">
        <v>2873</v>
      </c>
      <c r="N517">
        <v>26</v>
      </c>
      <c r="O517">
        <v>2</v>
      </c>
      <c r="P517">
        <v>7.6899999999999996E-2</v>
      </c>
      <c r="Q517" t="s">
        <v>8</v>
      </c>
      <c r="R517" t="s">
        <v>12</v>
      </c>
      <c r="S517" t="s">
        <v>12</v>
      </c>
      <c r="T517" t="s">
        <v>12</v>
      </c>
      <c r="U517" t="s">
        <v>12</v>
      </c>
      <c r="V517" t="s">
        <v>12</v>
      </c>
      <c r="W517" t="s">
        <v>12</v>
      </c>
      <c r="X517" t="s">
        <v>12</v>
      </c>
      <c r="Y517" t="s">
        <v>12</v>
      </c>
      <c r="Z517" t="s">
        <v>12</v>
      </c>
      <c r="AA517" t="s">
        <v>12</v>
      </c>
      <c r="AB517" t="s">
        <v>12</v>
      </c>
      <c r="AC517" t="s">
        <v>12</v>
      </c>
      <c r="AD517" t="s">
        <v>12</v>
      </c>
    </row>
    <row r="518" spans="1:30">
      <c r="A518" t="s">
        <v>427</v>
      </c>
      <c r="B518" t="str">
        <f>Master_Data_Productivity[[#This Row],[Uniq-ID]]&amp;"-"&amp;Master_Data_Productivity[[#This Row],[Period]]</f>
        <v>DC-Document_Controller-010-M2</v>
      </c>
      <c r="C518" t="s">
        <v>428</v>
      </c>
      <c r="D518" t="s">
        <v>155</v>
      </c>
      <c r="E518" t="s">
        <v>18</v>
      </c>
      <c r="F518" t="s">
        <v>124</v>
      </c>
      <c r="G518" t="s">
        <v>15</v>
      </c>
      <c r="H518" t="s">
        <v>44</v>
      </c>
      <c r="I518">
        <v>7.6999999999999999E-2</v>
      </c>
      <c r="J518">
        <v>0.5</v>
      </c>
      <c r="K518" t="s">
        <v>3098</v>
      </c>
      <c r="L518" t="s">
        <v>3099</v>
      </c>
      <c r="M518" t="s">
        <v>2873</v>
      </c>
      <c r="N518">
        <v>26</v>
      </c>
      <c r="O518">
        <v>2</v>
      </c>
      <c r="P518">
        <v>7.6899999999999996E-2</v>
      </c>
      <c r="Q518" t="s">
        <v>8</v>
      </c>
      <c r="R518" t="s">
        <v>12</v>
      </c>
      <c r="S518" t="s">
        <v>12</v>
      </c>
      <c r="T518" t="s">
        <v>12</v>
      </c>
      <c r="U518" t="s">
        <v>12</v>
      </c>
      <c r="V518" t="s">
        <v>12</v>
      </c>
      <c r="W518" t="s">
        <v>12</v>
      </c>
      <c r="X518" t="s">
        <v>12</v>
      </c>
      <c r="Y518" t="s">
        <v>12</v>
      </c>
      <c r="Z518" t="s">
        <v>12</v>
      </c>
      <c r="AA518" t="s">
        <v>12</v>
      </c>
      <c r="AB518" t="s">
        <v>12</v>
      </c>
      <c r="AC518" t="s">
        <v>12</v>
      </c>
      <c r="AD518" t="s">
        <v>12</v>
      </c>
    </row>
    <row r="519" spans="1:30">
      <c r="A519" t="s">
        <v>427</v>
      </c>
      <c r="B519" t="str">
        <f>Master_Data_Productivity[[#This Row],[Uniq-ID]]&amp;"-"&amp;Master_Data_Productivity[[#This Row],[Period]]</f>
        <v>DC-Document_Controller-010-M3</v>
      </c>
      <c r="C519" t="s">
        <v>428</v>
      </c>
      <c r="D519" t="s">
        <v>155</v>
      </c>
      <c r="E519" t="s">
        <v>22</v>
      </c>
      <c r="F519" t="s">
        <v>126</v>
      </c>
      <c r="G519" t="s">
        <v>15</v>
      </c>
      <c r="H519" t="s">
        <v>44</v>
      </c>
      <c r="I519">
        <v>3.7999999999999999E-2</v>
      </c>
      <c r="J519">
        <v>0.5</v>
      </c>
      <c r="K519" t="s">
        <v>3098</v>
      </c>
      <c r="L519" t="s">
        <v>3099</v>
      </c>
      <c r="M519" t="s">
        <v>2873</v>
      </c>
      <c r="N519">
        <v>26</v>
      </c>
      <c r="O519">
        <v>1</v>
      </c>
      <c r="P519">
        <v>3.85E-2</v>
      </c>
      <c r="Q519" t="s">
        <v>8</v>
      </c>
      <c r="R519" t="s">
        <v>12</v>
      </c>
      <c r="S519" t="s">
        <v>12</v>
      </c>
      <c r="T519" t="s">
        <v>12</v>
      </c>
      <c r="U519" t="s">
        <v>12</v>
      </c>
      <c r="V519" t="s">
        <v>12</v>
      </c>
      <c r="W519" t="s">
        <v>12</v>
      </c>
      <c r="X519" t="s">
        <v>12</v>
      </c>
      <c r="Y519" t="s">
        <v>12</v>
      </c>
      <c r="Z519" t="s">
        <v>12</v>
      </c>
      <c r="AA519" t="s">
        <v>12</v>
      </c>
      <c r="AB519" t="s">
        <v>12</v>
      </c>
      <c r="AC519" t="s">
        <v>12</v>
      </c>
      <c r="AD519" t="s">
        <v>12</v>
      </c>
    </row>
    <row r="520" spans="1:30">
      <c r="A520" t="s">
        <v>427</v>
      </c>
      <c r="B520" t="str">
        <f>Master_Data_Productivity[[#This Row],[Uniq-ID]]&amp;"-"&amp;Master_Data_Productivity[[#This Row],[Period]]</f>
        <v>DC-Document_Controller-010-M4</v>
      </c>
      <c r="C520" t="s">
        <v>428</v>
      </c>
      <c r="D520" t="s">
        <v>155</v>
      </c>
      <c r="E520" t="s">
        <v>25</v>
      </c>
      <c r="F520" t="s">
        <v>128</v>
      </c>
      <c r="G520" t="s">
        <v>15</v>
      </c>
      <c r="H520" t="s">
        <v>44</v>
      </c>
      <c r="I520">
        <v>0.192</v>
      </c>
      <c r="J520">
        <v>0.5</v>
      </c>
      <c r="K520" t="s">
        <v>3098</v>
      </c>
      <c r="L520" t="s">
        <v>3099</v>
      </c>
      <c r="M520" t="s">
        <v>2873</v>
      </c>
      <c r="N520">
        <v>26</v>
      </c>
      <c r="O520">
        <v>5</v>
      </c>
      <c r="P520">
        <v>0.1923</v>
      </c>
      <c r="Q520" t="s">
        <v>8</v>
      </c>
      <c r="R520" t="s">
        <v>12</v>
      </c>
      <c r="S520" t="s">
        <v>12</v>
      </c>
      <c r="T520" t="s">
        <v>12</v>
      </c>
      <c r="U520" t="s">
        <v>12</v>
      </c>
      <c r="V520" t="s">
        <v>12</v>
      </c>
      <c r="W520" t="s">
        <v>12</v>
      </c>
      <c r="X520" t="s">
        <v>12</v>
      </c>
      <c r="Y520" t="s">
        <v>12</v>
      </c>
      <c r="Z520" t="s">
        <v>12</v>
      </c>
      <c r="AA520" t="s">
        <v>12</v>
      </c>
      <c r="AB520" t="s">
        <v>12</v>
      </c>
      <c r="AC520" t="s">
        <v>12</v>
      </c>
      <c r="AD520" t="s">
        <v>12</v>
      </c>
    </row>
    <row r="521" spans="1:30">
      <c r="A521" t="s">
        <v>427</v>
      </c>
      <c r="B521" t="str">
        <f>Master_Data_Productivity[[#This Row],[Uniq-ID]]&amp;"-"&amp;Master_Data_Productivity[[#This Row],[Period]]</f>
        <v>DC-Document_Controller-010-M5</v>
      </c>
      <c r="C521" t="s">
        <v>428</v>
      </c>
      <c r="D521" t="s">
        <v>155</v>
      </c>
      <c r="E521" t="s">
        <v>28</v>
      </c>
      <c r="F521" t="s">
        <v>130</v>
      </c>
      <c r="G521" t="s">
        <v>15</v>
      </c>
      <c r="H521" t="s">
        <v>44</v>
      </c>
      <c r="I521">
        <v>0.26900000000000002</v>
      </c>
      <c r="J521">
        <v>0.5</v>
      </c>
      <c r="K521" t="s">
        <v>3098</v>
      </c>
      <c r="L521" t="s">
        <v>3099</v>
      </c>
      <c r="M521" t="s">
        <v>2873</v>
      </c>
      <c r="N521">
        <v>26</v>
      </c>
      <c r="O521">
        <v>7</v>
      </c>
      <c r="P521">
        <v>0.26919999999999999</v>
      </c>
      <c r="Q521" t="s">
        <v>8</v>
      </c>
      <c r="R521" t="s">
        <v>12</v>
      </c>
      <c r="S521" t="s">
        <v>12</v>
      </c>
      <c r="T521" t="s">
        <v>12</v>
      </c>
      <c r="U521" t="s">
        <v>12</v>
      </c>
      <c r="V521" t="s">
        <v>12</v>
      </c>
      <c r="W521" t="s">
        <v>12</v>
      </c>
      <c r="X521" t="s">
        <v>12</v>
      </c>
      <c r="Y521" t="s">
        <v>12</v>
      </c>
      <c r="Z521" t="s">
        <v>12</v>
      </c>
      <c r="AA521" t="s">
        <v>12</v>
      </c>
      <c r="AB521" t="s">
        <v>12</v>
      </c>
      <c r="AC521" t="s">
        <v>12</v>
      </c>
      <c r="AD521" t="s">
        <v>12</v>
      </c>
    </row>
    <row r="522" spans="1:30">
      <c r="A522" t="s">
        <v>427</v>
      </c>
      <c r="B522" t="str">
        <f>Master_Data_Productivity[[#This Row],[Uniq-ID]]&amp;"-"&amp;Master_Data_Productivity[[#This Row],[Period]]</f>
        <v>DC-Document_Controller-010-M6</v>
      </c>
      <c r="C522" t="s">
        <v>428</v>
      </c>
      <c r="D522" t="s">
        <v>155</v>
      </c>
      <c r="E522" t="s">
        <v>31</v>
      </c>
      <c r="F522" t="s">
        <v>132</v>
      </c>
      <c r="G522" t="s">
        <v>33</v>
      </c>
      <c r="H522" t="s">
        <v>44</v>
      </c>
      <c r="I522">
        <v>0.192</v>
      </c>
      <c r="J522">
        <v>0.5</v>
      </c>
      <c r="K522" t="s">
        <v>3098</v>
      </c>
      <c r="L522" t="s">
        <v>3099</v>
      </c>
      <c r="M522" t="s">
        <v>2873</v>
      </c>
      <c r="N522">
        <v>26</v>
      </c>
      <c r="O522">
        <v>5</v>
      </c>
      <c r="P522">
        <v>0.1923</v>
      </c>
      <c r="Q522" t="s">
        <v>8</v>
      </c>
      <c r="R522" t="s">
        <v>12</v>
      </c>
      <c r="S522" t="s">
        <v>12</v>
      </c>
      <c r="T522" t="s">
        <v>12</v>
      </c>
      <c r="U522" t="s">
        <v>12</v>
      </c>
      <c r="V522" t="s">
        <v>12</v>
      </c>
      <c r="W522" t="s">
        <v>12</v>
      </c>
      <c r="X522" t="s">
        <v>12</v>
      </c>
      <c r="Y522" t="s">
        <v>12</v>
      </c>
      <c r="Z522" t="s">
        <v>12</v>
      </c>
      <c r="AA522" t="s">
        <v>12</v>
      </c>
      <c r="AB522" t="s">
        <v>12</v>
      </c>
      <c r="AC522" t="s">
        <v>12</v>
      </c>
      <c r="AD522" t="s">
        <v>12</v>
      </c>
    </row>
    <row r="523" spans="1:30">
      <c r="A523" t="s">
        <v>412</v>
      </c>
      <c r="B523" t="str">
        <f>Master_Data_Productivity[[#This Row],[Uniq-ID]]&amp;"-"&amp;Master_Data_Productivity[[#This Row],[Period]]</f>
        <v>DC-Document_Controller-019-M1</v>
      </c>
      <c r="C523" t="s">
        <v>413</v>
      </c>
      <c r="D523" t="s">
        <v>48</v>
      </c>
      <c r="E523" t="s">
        <v>13</v>
      </c>
      <c r="F523" t="s">
        <v>200</v>
      </c>
      <c r="G523" t="s">
        <v>15</v>
      </c>
      <c r="H523" t="s">
        <v>44</v>
      </c>
      <c r="I523">
        <v>0.55200000000000005</v>
      </c>
      <c r="J523">
        <v>0.55000000000000004</v>
      </c>
      <c r="K523" t="s">
        <v>2871</v>
      </c>
      <c r="L523" t="s">
        <v>3190</v>
      </c>
      <c r="M523" t="s">
        <v>2873</v>
      </c>
      <c r="N523">
        <v>168</v>
      </c>
      <c r="O523">
        <v>39</v>
      </c>
      <c r="P523">
        <v>0.2321</v>
      </c>
      <c r="Q523" t="s">
        <v>8</v>
      </c>
      <c r="R523" t="s">
        <v>12</v>
      </c>
      <c r="S523" t="s">
        <v>12</v>
      </c>
      <c r="T523" t="s">
        <v>12</v>
      </c>
      <c r="U523" t="s">
        <v>12</v>
      </c>
      <c r="V523" t="s">
        <v>12</v>
      </c>
      <c r="W523" t="s">
        <v>12</v>
      </c>
      <c r="X523" t="s">
        <v>12</v>
      </c>
      <c r="Y523" t="s">
        <v>12</v>
      </c>
      <c r="Z523" t="s">
        <v>12</v>
      </c>
      <c r="AA523" t="s">
        <v>12</v>
      </c>
      <c r="AB523" t="s">
        <v>12</v>
      </c>
      <c r="AC523" t="s">
        <v>12</v>
      </c>
      <c r="AD523" t="s">
        <v>12</v>
      </c>
    </row>
    <row r="524" spans="1:30">
      <c r="A524" t="s">
        <v>412</v>
      </c>
      <c r="B524" t="str">
        <f>Master_Data_Productivity[[#This Row],[Uniq-ID]]&amp;"-"&amp;Master_Data_Productivity[[#This Row],[Period]]</f>
        <v>DC-Document_Controller-019-M1</v>
      </c>
      <c r="C524" t="s">
        <v>413</v>
      </c>
      <c r="D524" t="s">
        <v>48</v>
      </c>
      <c r="E524" t="s">
        <v>13</v>
      </c>
      <c r="F524" t="s">
        <v>200</v>
      </c>
      <c r="G524" t="s">
        <v>15</v>
      </c>
      <c r="H524" t="s">
        <v>44</v>
      </c>
      <c r="I524">
        <v>0.55200000000000005</v>
      </c>
      <c r="J524">
        <v>0.55000000000000004</v>
      </c>
      <c r="K524" t="s">
        <v>2871</v>
      </c>
      <c r="L524" t="s">
        <v>3192</v>
      </c>
      <c r="M524" t="s">
        <v>2873</v>
      </c>
      <c r="N524">
        <v>154</v>
      </c>
      <c r="O524">
        <v>19</v>
      </c>
      <c r="P524">
        <v>0.1234</v>
      </c>
      <c r="Q524" t="s">
        <v>8</v>
      </c>
      <c r="R524" t="s">
        <v>12</v>
      </c>
      <c r="S524" t="s">
        <v>12</v>
      </c>
      <c r="T524" t="s">
        <v>12</v>
      </c>
      <c r="U524" t="s">
        <v>12</v>
      </c>
      <c r="V524" t="s">
        <v>12</v>
      </c>
      <c r="W524" t="s">
        <v>12</v>
      </c>
      <c r="X524" t="s">
        <v>12</v>
      </c>
      <c r="Y524" t="s">
        <v>12</v>
      </c>
      <c r="Z524" t="s">
        <v>12</v>
      </c>
      <c r="AA524" t="s">
        <v>12</v>
      </c>
      <c r="AB524" t="s">
        <v>12</v>
      </c>
      <c r="AC524" t="s">
        <v>12</v>
      </c>
      <c r="AD524" t="s">
        <v>12</v>
      </c>
    </row>
    <row r="525" spans="1:30">
      <c r="A525" t="s">
        <v>412</v>
      </c>
      <c r="B525" t="str">
        <f>Master_Data_Productivity[[#This Row],[Uniq-ID]]&amp;"-"&amp;Master_Data_Productivity[[#This Row],[Period]]</f>
        <v>DC-Document_Controller-019-M1</v>
      </c>
      <c r="C525" t="s">
        <v>413</v>
      </c>
      <c r="D525" t="s">
        <v>48</v>
      </c>
      <c r="E525" t="s">
        <v>13</v>
      </c>
      <c r="F525" t="s">
        <v>200</v>
      </c>
      <c r="G525" t="s">
        <v>15</v>
      </c>
      <c r="H525" t="s">
        <v>44</v>
      </c>
      <c r="I525">
        <v>0.55200000000000005</v>
      </c>
      <c r="J525">
        <v>0.55000000000000004</v>
      </c>
      <c r="K525" t="s">
        <v>2887</v>
      </c>
      <c r="L525" t="s">
        <v>3194</v>
      </c>
      <c r="M525" t="s">
        <v>2873</v>
      </c>
      <c r="N525">
        <v>616</v>
      </c>
      <c r="O525">
        <v>121</v>
      </c>
      <c r="P525">
        <v>0.19639999999999999</v>
      </c>
      <c r="Q525" t="s">
        <v>8</v>
      </c>
      <c r="R525" t="s">
        <v>12</v>
      </c>
      <c r="S525" t="s">
        <v>12</v>
      </c>
      <c r="T525" t="s">
        <v>12</v>
      </c>
      <c r="U525" t="s">
        <v>12</v>
      </c>
      <c r="V525" t="s">
        <v>12</v>
      </c>
      <c r="W525" t="s">
        <v>12</v>
      </c>
      <c r="X525" t="s">
        <v>12</v>
      </c>
      <c r="Y525" t="s">
        <v>12</v>
      </c>
      <c r="Z525" t="s">
        <v>12</v>
      </c>
      <c r="AA525" t="s">
        <v>12</v>
      </c>
      <c r="AB525" t="s">
        <v>12</v>
      </c>
      <c r="AC525" t="s">
        <v>12</v>
      </c>
      <c r="AD525" t="s">
        <v>12</v>
      </c>
    </row>
    <row r="526" spans="1:30">
      <c r="A526" t="s">
        <v>412</v>
      </c>
      <c r="B526" t="str">
        <f>Master_Data_Productivity[[#This Row],[Uniq-ID]]&amp;"-"&amp;Master_Data_Productivity[[#This Row],[Period]]</f>
        <v>DC-Document_Controller-019-M2</v>
      </c>
      <c r="C526" t="s">
        <v>413</v>
      </c>
      <c r="D526" t="s">
        <v>48</v>
      </c>
      <c r="E526" t="s">
        <v>18</v>
      </c>
      <c r="F526" t="s">
        <v>202</v>
      </c>
      <c r="G526" t="s">
        <v>15</v>
      </c>
      <c r="H526" t="s">
        <v>44</v>
      </c>
      <c r="I526">
        <v>0.45100000000000001</v>
      </c>
      <c r="J526">
        <v>0.5</v>
      </c>
      <c r="K526" t="s">
        <v>2887</v>
      </c>
      <c r="L526" t="s">
        <v>3194</v>
      </c>
      <c r="M526" t="s">
        <v>2873</v>
      </c>
      <c r="N526">
        <v>616</v>
      </c>
      <c r="O526">
        <v>61</v>
      </c>
      <c r="P526">
        <v>9.9000000000000005E-2</v>
      </c>
      <c r="Q526" t="s">
        <v>8</v>
      </c>
      <c r="R526" t="s">
        <v>12</v>
      </c>
      <c r="S526" t="s">
        <v>12</v>
      </c>
      <c r="T526" t="s">
        <v>12</v>
      </c>
      <c r="U526" t="s">
        <v>12</v>
      </c>
      <c r="V526" t="s">
        <v>12</v>
      </c>
      <c r="W526" t="s">
        <v>12</v>
      </c>
      <c r="X526" t="s">
        <v>12</v>
      </c>
      <c r="Y526" t="s">
        <v>12</v>
      </c>
      <c r="Z526" t="s">
        <v>12</v>
      </c>
      <c r="AA526" t="s">
        <v>12</v>
      </c>
      <c r="AB526" t="s">
        <v>12</v>
      </c>
      <c r="AC526" t="s">
        <v>12</v>
      </c>
      <c r="AD526" t="s">
        <v>12</v>
      </c>
    </row>
    <row r="527" spans="1:30">
      <c r="A527" t="s">
        <v>412</v>
      </c>
      <c r="B527" t="str">
        <f>Master_Data_Productivity[[#This Row],[Uniq-ID]]&amp;"-"&amp;Master_Data_Productivity[[#This Row],[Period]]</f>
        <v>DC-Document_Controller-019-M2</v>
      </c>
      <c r="C527" t="s">
        <v>413</v>
      </c>
      <c r="D527" t="s">
        <v>48</v>
      </c>
      <c r="E527" t="s">
        <v>18</v>
      </c>
      <c r="F527" t="s">
        <v>202</v>
      </c>
      <c r="G527" t="s">
        <v>15</v>
      </c>
      <c r="H527" t="s">
        <v>44</v>
      </c>
      <c r="I527">
        <v>0.45100000000000001</v>
      </c>
      <c r="J527">
        <v>0.5</v>
      </c>
      <c r="K527" t="s">
        <v>2871</v>
      </c>
      <c r="L527" t="s">
        <v>3192</v>
      </c>
      <c r="M527" t="s">
        <v>2873</v>
      </c>
      <c r="N527">
        <v>154</v>
      </c>
      <c r="O527">
        <v>34</v>
      </c>
      <c r="P527">
        <v>0.2208</v>
      </c>
      <c r="Q527" t="s">
        <v>8</v>
      </c>
      <c r="R527" t="s">
        <v>12</v>
      </c>
      <c r="S527" t="s">
        <v>12</v>
      </c>
      <c r="T527" t="s">
        <v>12</v>
      </c>
      <c r="U527" t="s">
        <v>12</v>
      </c>
      <c r="V527" t="s">
        <v>12</v>
      </c>
      <c r="W527" t="s">
        <v>12</v>
      </c>
      <c r="X527" t="s">
        <v>12</v>
      </c>
      <c r="Y527" t="s">
        <v>12</v>
      </c>
      <c r="Z527" t="s">
        <v>12</v>
      </c>
      <c r="AA527" t="s">
        <v>12</v>
      </c>
      <c r="AB527" t="s">
        <v>12</v>
      </c>
      <c r="AC527" t="s">
        <v>12</v>
      </c>
      <c r="AD527" t="s">
        <v>12</v>
      </c>
    </row>
    <row r="528" spans="1:30">
      <c r="A528" t="s">
        <v>412</v>
      </c>
      <c r="B528" t="str">
        <f>Master_Data_Productivity[[#This Row],[Uniq-ID]]&amp;"-"&amp;Master_Data_Productivity[[#This Row],[Period]]</f>
        <v>DC-Document_Controller-019-M2</v>
      </c>
      <c r="C528" t="s">
        <v>413</v>
      </c>
      <c r="D528" t="s">
        <v>48</v>
      </c>
      <c r="E528" t="s">
        <v>18</v>
      </c>
      <c r="F528" t="s">
        <v>202</v>
      </c>
      <c r="G528" t="s">
        <v>15</v>
      </c>
      <c r="H528" t="s">
        <v>44</v>
      </c>
      <c r="I528">
        <v>0.45100000000000001</v>
      </c>
      <c r="J528">
        <v>0.5</v>
      </c>
      <c r="K528" t="s">
        <v>2871</v>
      </c>
      <c r="L528" t="s">
        <v>3190</v>
      </c>
      <c r="M528" t="s">
        <v>2873</v>
      </c>
      <c r="N528">
        <v>168</v>
      </c>
      <c r="O528">
        <v>22</v>
      </c>
      <c r="P528">
        <v>0.13100000000000001</v>
      </c>
      <c r="Q528" t="s">
        <v>8</v>
      </c>
      <c r="R528" t="s">
        <v>12</v>
      </c>
      <c r="S528" t="s">
        <v>12</v>
      </c>
      <c r="T528" t="s">
        <v>12</v>
      </c>
      <c r="U528" t="s">
        <v>12</v>
      </c>
      <c r="V528" t="s">
        <v>12</v>
      </c>
      <c r="W528" t="s">
        <v>12</v>
      </c>
      <c r="X528" t="s">
        <v>12</v>
      </c>
      <c r="Y528" t="s">
        <v>12</v>
      </c>
      <c r="Z528" t="s">
        <v>12</v>
      </c>
      <c r="AA528" t="s">
        <v>12</v>
      </c>
      <c r="AB528" t="s">
        <v>12</v>
      </c>
      <c r="AC528" t="s">
        <v>12</v>
      </c>
      <c r="AD528" t="s">
        <v>12</v>
      </c>
    </row>
    <row r="529" spans="1:30">
      <c r="A529" t="s">
        <v>412</v>
      </c>
      <c r="B529" t="str">
        <f>Master_Data_Productivity[[#This Row],[Uniq-ID]]&amp;"-"&amp;Master_Data_Productivity[[#This Row],[Period]]</f>
        <v>DC-Document_Controller-019-M3</v>
      </c>
      <c r="C529" t="s">
        <v>413</v>
      </c>
      <c r="D529" t="s">
        <v>48</v>
      </c>
      <c r="E529" t="s">
        <v>22</v>
      </c>
      <c r="F529" t="s">
        <v>204</v>
      </c>
      <c r="G529" t="s">
        <v>15</v>
      </c>
      <c r="H529" t="s">
        <v>44</v>
      </c>
      <c r="I529">
        <v>0.504</v>
      </c>
      <c r="J529">
        <v>0.5</v>
      </c>
      <c r="K529" t="s">
        <v>2887</v>
      </c>
      <c r="L529" t="s">
        <v>3194</v>
      </c>
      <c r="M529" t="s">
        <v>2873</v>
      </c>
      <c r="N529">
        <v>616</v>
      </c>
      <c r="O529">
        <v>8</v>
      </c>
      <c r="P529">
        <v>1.2999999999999999E-2</v>
      </c>
      <c r="Q529" t="s">
        <v>8</v>
      </c>
      <c r="R529" t="s">
        <v>12</v>
      </c>
      <c r="S529" t="s">
        <v>12</v>
      </c>
      <c r="T529" t="s">
        <v>12</v>
      </c>
      <c r="U529" t="s">
        <v>12</v>
      </c>
      <c r="V529" t="s">
        <v>12</v>
      </c>
      <c r="W529" t="s">
        <v>12</v>
      </c>
      <c r="X529" t="s">
        <v>12</v>
      </c>
      <c r="Y529" t="s">
        <v>12</v>
      </c>
      <c r="Z529" t="s">
        <v>12</v>
      </c>
      <c r="AA529" t="s">
        <v>12</v>
      </c>
      <c r="AB529" t="s">
        <v>12</v>
      </c>
      <c r="AC529" t="s">
        <v>12</v>
      </c>
      <c r="AD529" t="s">
        <v>12</v>
      </c>
    </row>
    <row r="530" spans="1:30">
      <c r="A530" t="s">
        <v>412</v>
      </c>
      <c r="B530" t="str">
        <f>Master_Data_Productivity[[#This Row],[Uniq-ID]]&amp;"-"&amp;Master_Data_Productivity[[#This Row],[Period]]</f>
        <v>DC-Document_Controller-019-M3</v>
      </c>
      <c r="C530" t="s">
        <v>413</v>
      </c>
      <c r="D530" t="s">
        <v>48</v>
      </c>
      <c r="E530" t="s">
        <v>22</v>
      </c>
      <c r="F530" t="s">
        <v>204</v>
      </c>
      <c r="G530" t="s">
        <v>15</v>
      </c>
      <c r="H530" t="s">
        <v>44</v>
      </c>
      <c r="I530">
        <v>0.504</v>
      </c>
      <c r="J530">
        <v>0.5</v>
      </c>
      <c r="K530" t="s">
        <v>2887</v>
      </c>
      <c r="L530" t="s">
        <v>3339</v>
      </c>
      <c r="M530" t="s">
        <v>2873</v>
      </c>
      <c r="N530">
        <v>154</v>
      </c>
      <c r="O530">
        <v>58</v>
      </c>
      <c r="P530">
        <v>0.37659999999999999</v>
      </c>
      <c r="Q530" t="s">
        <v>8</v>
      </c>
      <c r="R530" t="s">
        <v>12</v>
      </c>
      <c r="S530" t="s">
        <v>12</v>
      </c>
      <c r="T530" t="s">
        <v>12</v>
      </c>
      <c r="U530" t="s">
        <v>12</v>
      </c>
      <c r="V530" t="s">
        <v>12</v>
      </c>
      <c r="W530" t="s">
        <v>12</v>
      </c>
      <c r="X530" t="s">
        <v>12</v>
      </c>
      <c r="Y530" t="s">
        <v>12</v>
      </c>
      <c r="Z530" t="s">
        <v>12</v>
      </c>
      <c r="AA530" t="s">
        <v>12</v>
      </c>
      <c r="AB530" t="s">
        <v>12</v>
      </c>
      <c r="AC530" t="s">
        <v>12</v>
      </c>
      <c r="AD530" t="s">
        <v>12</v>
      </c>
    </row>
    <row r="531" spans="1:30">
      <c r="A531" t="s">
        <v>412</v>
      </c>
      <c r="B531" t="str">
        <f>Master_Data_Productivity[[#This Row],[Uniq-ID]]&amp;"-"&amp;Master_Data_Productivity[[#This Row],[Period]]</f>
        <v>DC-Document_Controller-019-M3</v>
      </c>
      <c r="C531" t="s">
        <v>413</v>
      </c>
      <c r="D531" t="s">
        <v>48</v>
      </c>
      <c r="E531" t="s">
        <v>22</v>
      </c>
      <c r="F531" t="s">
        <v>204</v>
      </c>
      <c r="G531" t="s">
        <v>15</v>
      </c>
      <c r="H531" t="s">
        <v>44</v>
      </c>
      <c r="I531">
        <v>0.504</v>
      </c>
      <c r="J531">
        <v>0.5</v>
      </c>
      <c r="K531" t="s">
        <v>2871</v>
      </c>
      <c r="L531" t="s">
        <v>3192</v>
      </c>
      <c r="M531" t="s">
        <v>2873</v>
      </c>
      <c r="N531">
        <v>154</v>
      </c>
      <c r="O531">
        <v>13</v>
      </c>
      <c r="P531">
        <v>8.4400000000000003E-2</v>
      </c>
      <c r="Q531" t="s">
        <v>8</v>
      </c>
      <c r="R531" t="s">
        <v>12</v>
      </c>
      <c r="S531" t="s">
        <v>12</v>
      </c>
      <c r="T531" t="s">
        <v>12</v>
      </c>
      <c r="U531" t="s">
        <v>12</v>
      </c>
      <c r="V531" t="s">
        <v>12</v>
      </c>
      <c r="W531" t="s">
        <v>12</v>
      </c>
      <c r="X531" t="s">
        <v>12</v>
      </c>
      <c r="Y531" t="s">
        <v>12</v>
      </c>
      <c r="Z531" t="s">
        <v>12</v>
      </c>
      <c r="AA531" t="s">
        <v>12</v>
      </c>
      <c r="AB531" t="s">
        <v>12</v>
      </c>
      <c r="AC531" t="s">
        <v>12</v>
      </c>
      <c r="AD531" t="s">
        <v>12</v>
      </c>
    </row>
    <row r="532" spans="1:30">
      <c r="A532" t="s">
        <v>412</v>
      </c>
      <c r="B532" t="str">
        <f>Master_Data_Productivity[[#This Row],[Uniq-ID]]&amp;"-"&amp;Master_Data_Productivity[[#This Row],[Period]]</f>
        <v>DC-Document_Controller-019-M3</v>
      </c>
      <c r="C532" t="s">
        <v>413</v>
      </c>
      <c r="D532" t="s">
        <v>48</v>
      </c>
      <c r="E532" t="s">
        <v>22</v>
      </c>
      <c r="F532" t="s">
        <v>204</v>
      </c>
      <c r="G532" t="s">
        <v>15</v>
      </c>
      <c r="H532" t="s">
        <v>44</v>
      </c>
      <c r="I532">
        <v>0.504</v>
      </c>
      <c r="J532">
        <v>0.5</v>
      </c>
      <c r="K532" t="s">
        <v>2871</v>
      </c>
      <c r="L532" t="s">
        <v>3190</v>
      </c>
      <c r="M532" t="s">
        <v>2873</v>
      </c>
      <c r="N532">
        <v>168</v>
      </c>
      <c r="O532">
        <v>5</v>
      </c>
      <c r="P532">
        <v>2.98E-2</v>
      </c>
      <c r="Q532" t="s">
        <v>8</v>
      </c>
      <c r="R532" t="s">
        <v>12</v>
      </c>
      <c r="S532" t="s">
        <v>12</v>
      </c>
      <c r="T532" t="s">
        <v>12</v>
      </c>
      <c r="U532" t="s">
        <v>12</v>
      </c>
      <c r="V532" t="s">
        <v>12</v>
      </c>
      <c r="W532" t="s">
        <v>12</v>
      </c>
      <c r="X532" t="s">
        <v>12</v>
      </c>
      <c r="Y532" t="s">
        <v>12</v>
      </c>
      <c r="Z532" t="s">
        <v>12</v>
      </c>
      <c r="AA532" t="s">
        <v>12</v>
      </c>
      <c r="AB532" t="s">
        <v>12</v>
      </c>
      <c r="AC532" t="s">
        <v>12</v>
      </c>
      <c r="AD532" t="s">
        <v>12</v>
      </c>
    </row>
    <row r="533" spans="1:30">
      <c r="A533" t="s">
        <v>412</v>
      </c>
      <c r="B533" t="str">
        <f>Master_Data_Productivity[[#This Row],[Uniq-ID]]&amp;"-"&amp;Master_Data_Productivity[[#This Row],[Period]]</f>
        <v>DC-Document_Controller-019-M4</v>
      </c>
      <c r="C533" t="s">
        <v>413</v>
      </c>
      <c r="D533" t="s">
        <v>48</v>
      </c>
      <c r="E533" t="s">
        <v>25</v>
      </c>
      <c r="F533" t="s">
        <v>206</v>
      </c>
      <c r="G533" t="s">
        <v>15</v>
      </c>
      <c r="H533" t="s">
        <v>16</v>
      </c>
      <c r="I533">
        <v>2.383</v>
      </c>
      <c r="J533">
        <v>1.19</v>
      </c>
      <c r="K533" t="s">
        <v>2871</v>
      </c>
      <c r="L533" t="s">
        <v>3192</v>
      </c>
      <c r="M533" t="s">
        <v>2873</v>
      </c>
      <c r="N533">
        <v>154</v>
      </c>
      <c r="O533">
        <v>4</v>
      </c>
      <c r="P533">
        <v>2.5999999999999999E-2</v>
      </c>
      <c r="Q533" t="s">
        <v>8</v>
      </c>
      <c r="R533" t="s">
        <v>12</v>
      </c>
      <c r="S533" t="s">
        <v>12</v>
      </c>
      <c r="T533" t="s">
        <v>12</v>
      </c>
      <c r="U533" t="s">
        <v>12</v>
      </c>
      <c r="V533" t="s">
        <v>12</v>
      </c>
      <c r="W533" t="s">
        <v>12</v>
      </c>
      <c r="X533" t="s">
        <v>12</v>
      </c>
      <c r="Y533" t="s">
        <v>12</v>
      </c>
      <c r="Z533" t="s">
        <v>12</v>
      </c>
      <c r="AA533" t="s">
        <v>12</v>
      </c>
      <c r="AB533" t="s">
        <v>12</v>
      </c>
      <c r="AC533" t="s">
        <v>12</v>
      </c>
      <c r="AD533" t="s">
        <v>12</v>
      </c>
    </row>
    <row r="534" spans="1:30">
      <c r="A534" t="s">
        <v>412</v>
      </c>
      <c r="B534" t="str">
        <f>Master_Data_Productivity[[#This Row],[Uniq-ID]]&amp;"-"&amp;Master_Data_Productivity[[#This Row],[Period]]</f>
        <v>DC-Document_Controller-019-M4</v>
      </c>
      <c r="C534" t="s">
        <v>413</v>
      </c>
      <c r="D534" t="s">
        <v>48</v>
      </c>
      <c r="E534" t="s">
        <v>25</v>
      </c>
      <c r="F534" t="s">
        <v>206</v>
      </c>
      <c r="G534" t="s">
        <v>15</v>
      </c>
      <c r="H534" t="s">
        <v>16</v>
      </c>
      <c r="I534">
        <v>2.383</v>
      </c>
      <c r="J534">
        <v>1.19</v>
      </c>
      <c r="K534" t="s">
        <v>2887</v>
      </c>
      <c r="L534" t="s">
        <v>3339</v>
      </c>
      <c r="M534" t="s">
        <v>2873</v>
      </c>
      <c r="N534">
        <v>154</v>
      </c>
      <c r="O534">
        <v>363</v>
      </c>
      <c r="P534">
        <v>2.3571</v>
      </c>
      <c r="Q534" t="s">
        <v>8</v>
      </c>
      <c r="R534" t="s">
        <v>12</v>
      </c>
      <c r="S534" t="s">
        <v>12</v>
      </c>
      <c r="T534" t="s">
        <v>12</v>
      </c>
      <c r="U534" t="s">
        <v>12</v>
      </c>
      <c r="V534" t="s">
        <v>12</v>
      </c>
      <c r="W534" t="s">
        <v>12</v>
      </c>
      <c r="X534" t="s">
        <v>12</v>
      </c>
      <c r="Y534" t="s">
        <v>12</v>
      </c>
      <c r="Z534" t="s">
        <v>12</v>
      </c>
      <c r="AA534" t="s">
        <v>12</v>
      </c>
      <c r="AB534" t="s">
        <v>12</v>
      </c>
      <c r="AC534" t="s">
        <v>12</v>
      </c>
      <c r="AD534" t="s">
        <v>12</v>
      </c>
    </row>
    <row r="535" spans="1:30">
      <c r="A535" t="s">
        <v>412</v>
      </c>
      <c r="B535" t="str">
        <f>Master_Data_Productivity[[#This Row],[Uniq-ID]]&amp;"-"&amp;Master_Data_Productivity[[#This Row],[Period]]</f>
        <v>DC-Document_Controller-019-M5</v>
      </c>
      <c r="C535" t="s">
        <v>413</v>
      </c>
      <c r="D535" t="s">
        <v>48</v>
      </c>
      <c r="E535" t="s">
        <v>28</v>
      </c>
      <c r="F535" t="s">
        <v>208</v>
      </c>
      <c r="G535" t="s">
        <v>15</v>
      </c>
      <c r="H535" t="s">
        <v>16</v>
      </c>
      <c r="I535">
        <v>2.6819999999999999</v>
      </c>
      <c r="J535">
        <v>1.34</v>
      </c>
      <c r="K535" t="s">
        <v>2871</v>
      </c>
      <c r="L535" t="s">
        <v>3192</v>
      </c>
      <c r="M535" t="s">
        <v>2873</v>
      </c>
      <c r="N535">
        <v>154</v>
      </c>
      <c r="O535">
        <v>2</v>
      </c>
      <c r="P535">
        <v>1.2999999999999999E-2</v>
      </c>
      <c r="Q535" t="s">
        <v>8</v>
      </c>
      <c r="R535" t="s">
        <v>12</v>
      </c>
      <c r="S535" t="s">
        <v>12</v>
      </c>
      <c r="T535" t="s">
        <v>12</v>
      </c>
      <c r="U535" t="s">
        <v>12</v>
      </c>
      <c r="V535" t="s">
        <v>12</v>
      </c>
      <c r="W535" t="s">
        <v>12</v>
      </c>
      <c r="X535" t="s">
        <v>12</v>
      </c>
      <c r="Y535" t="s">
        <v>12</v>
      </c>
      <c r="Z535" t="s">
        <v>12</v>
      </c>
      <c r="AA535" t="s">
        <v>12</v>
      </c>
      <c r="AB535" t="s">
        <v>12</v>
      </c>
      <c r="AC535" t="s">
        <v>12</v>
      </c>
      <c r="AD535" t="s">
        <v>12</v>
      </c>
    </row>
    <row r="536" spans="1:30">
      <c r="A536" t="s">
        <v>412</v>
      </c>
      <c r="B536" t="str">
        <f>Master_Data_Productivity[[#This Row],[Uniq-ID]]&amp;"-"&amp;Master_Data_Productivity[[#This Row],[Period]]</f>
        <v>DC-Document_Controller-019-M5</v>
      </c>
      <c r="C536" t="s">
        <v>413</v>
      </c>
      <c r="D536" t="s">
        <v>48</v>
      </c>
      <c r="E536" t="s">
        <v>28</v>
      </c>
      <c r="F536" t="s">
        <v>208</v>
      </c>
      <c r="G536" t="s">
        <v>15</v>
      </c>
      <c r="H536" t="s">
        <v>16</v>
      </c>
      <c r="I536">
        <v>2.6819999999999999</v>
      </c>
      <c r="J536">
        <v>1.34</v>
      </c>
      <c r="K536" t="s">
        <v>2887</v>
      </c>
      <c r="L536" t="s">
        <v>3199</v>
      </c>
      <c r="M536" t="s">
        <v>2873</v>
      </c>
      <c r="N536">
        <v>462</v>
      </c>
      <c r="O536">
        <v>444</v>
      </c>
      <c r="P536">
        <v>0.96099999999999997</v>
      </c>
      <c r="Q536" t="s">
        <v>8</v>
      </c>
      <c r="R536" t="s">
        <v>12</v>
      </c>
      <c r="S536" t="s">
        <v>12</v>
      </c>
      <c r="T536" t="s">
        <v>12</v>
      </c>
      <c r="U536" t="s">
        <v>12</v>
      </c>
      <c r="V536" t="s">
        <v>12</v>
      </c>
      <c r="W536" t="s">
        <v>12</v>
      </c>
      <c r="X536" t="s">
        <v>12</v>
      </c>
      <c r="Y536" t="s">
        <v>12</v>
      </c>
      <c r="Z536" t="s">
        <v>12</v>
      </c>
      <c r="AA536" t="s">
        <v>12</v>
      </c>
      <c r="AB536" t="s">
        <v>12</v>
      </c>
      <c r="AC536" t="s">
        <v>12</v>
      </c>
      <c r="AD536" t="s">
        <v>12</v>
      </c>
    </row>
    <row r="537" spans="1:30">
      <c r="A537" t="s">
        <v>412</v>
      </c>
      <c r="B537" t="str">
        <f>Master_Data_Productivity[[#This Row],[Uniq-ID]]&amp;"-"&amp;Master_Data_Productivity[[#This Row],[Period]]</f>
        <v>DC-Document_Controller-019-M5</v>
      </c>
      <c r="C537" t="s">
        <v>413</v>
      </c>
      <c r="D537" t="s">
        <v>48</v>
      </c>
      <c r="E537" t="s">
        <v>28</v>
      </c>
      <c r="F537" t="s">
        <v>208</v>
      </c>
      <c r="G537" t="s">
        <v>15</v>
      </c>
      <c r="H537" t="s">
        <v>16</v>
      </c>
      <c r="I537">
        <v>2.6819999999999999</v>
      </c>
      <c r="J537">
        <v>1.34</v>
      </c>
      <c r="K537" t="s">
        <v>2887</v>
      </c>
      <c r="L537" t="s">
        <v>3339</v>
      </c>
      <c r="M537" t="s">
        <v>2873</v>
      </c>
      <c r="N537">
        <v>154</v>
      </c>
      <c r="O537">
        <v>263</v>
      </c>
      <c r="P537">
        <v>1.7078</v>
      </c>
      <c r="Q537" t="s">
        <v>8</v>
      </c>
      <c r="R537" t="s">
        <v>12</v>
      </c>
      <c r="S537" t="s">
        <v>12</v>
      </c>
      <c r="T537" t="s">
        <v>12</v>
      </c>
      <c r="U537" t="s">
        <v>12</v>
      </c>
      <c r="V537" t="s">
        <v>12</v>
      </c>
      <c r="W537" t="s">
        <v>12</v>
      </c>
      <c r="X537" t="s">
        <v>12</v>
      </c>
      <c r="Y537" t="s">
        <v>12</v>
      </c>
      <c r="Z537" t="s">
        <v>12</v>
      </c>
      <c r="AA537" t="s">
        <v>12</v>
      </c>
      <c r="AB537" t="s">
        <v>12</v>
      </c>
      <c r="AC537" t="s">
        <v>12</v>
      </c>
      <c r="AD537" t="s">
        <v>12</v>
      </c>
    </row>
    <row r="538" spans="1:30">
      <c r="A538" t="s">
        <v>412</v>
      </c>
      <c r="B538" t="str">
        <f>Master_Data_Productivity[[#This Row],[Uniq-ID]]&amp;"-"&amp;Master_Data_Productivity[[#This Row],[Period]]</f>
        <v>DC-Document_Controller-019-M6</v>
      </c>
      <c r="C538" t="s">
        <v>413</v>
      </c>
      <c r="D538" t="s">
        <v>48</v>
      </c>
      <c r="E538" t="s">
        <v>31</v>
      </c>
      <c r="F538" t="s">
        <v>210</v>
      </c>
      <c r="G538" t="s">
        <v>33</v>
      </c>
      <c r="H538" t="s">
        <v>44</v>
      </c>
      <c r="I538">
        <v>0.48699999999999999</v>
      </c>
      <c r="J538">
        <v>0.5</v>
      </c>
      <c r="K538" t="s">
        <v>2887</v>
      </c>
      <c r="L538" t="s">
        <v>3339</v>
      </c>
      <c r="M538" t="s">
        <v>2873</v>
      </c>
      <c r="N538">
        <v>154</v>
      </c>
      <c r="O538">
        <v>75</v>
      </c>
      <c r="P538">
        <v>0.48699999999999999</v>
      </c>
      <c r="Q538" t="s">
        <v>8</v>
      </c>
      <c r="R538" t="s">
        <v>12</v>
      </c>
      <c r="S538" t="s">
        <v>12</v>
      </c>
      <c r="T538" t="s">
        <v>12</v>
      </c>
      <c r="U538" t="s">
        <v>12</v>
      </c>
      <c r="V538" t="s">
        <v>12</v>
      </c>
      <c r="W538" t="s">
        <v>12</v>
      </c>
      <c r="X538" t="s">
        <v>12</v>
      </c>
      <c r="Y538" t="s">
        <v>12</v>
      </c>
      <c r="Z538" t="s">
        <v>12</v>
      </c>
      <c r="AA538" t="s">
        <v>12</v>
      </c>
      <c r="AB538" t="s">
        <v>12</v>
      </c>
      <c r="AC538" t="s">
        <v>12</v>
      </c>
      <c r="AD538" t="s">
        <v>12</v>
      </c>
    </row>
    <row r="539" spans="1:30">
      <c r="A539" t="s">
        <v>355</v>
      </c>
      <c r="B539" t="str">
        <f>Master_Data_Productivity[[#This Row],[Uniq-ID]]&amp;"-"&amp;Master_Data_Productivity[[#This Row],[Period]]</f>
        <v>DC-Document_Controller-052-M1</v>
      </c>
      <c r="C539" t="s">
        <v>356</v>
      </c>
      <c r="D539" t="s">
        <v>76</v>
      </c>
      <c r="E539" t="s">
        <v>13</v>
      </c>
      <c r="F539" t="s">
        <v>357</v>
      </c>
      <c r="G539" t="s">
        <v>15</v>
      </c>
      <c r="H539" t="s">
        <v>44</v>
      </c>
      <c r="I539">
        <v>0</v>
      </c>
      <c r="K539" t="s">
        <v>12</v>
      </c>
      <c r="L539" t="s">
        <v>12</v>
      </c>
      <c r="M539" t="s">
        <v>12</v>
      </c>
      <c r="Q539" t="s">
        <v>8</v>
      </c>
      <c r="R539" t="s">
        <v>12</v>
      </c>
      <c r="S539" t="s">
        <v>12</v>
      </c>
      <c r="T539" t="s">
        <v>12</v>
      </c>
      <c r="U539" t="s">
        <v>12</v>
      </c>
      <c r="V539" t="s">
        <v>12</v>
      </c>
      <c r="W539" t="s">
        <v>12</v>
      </c>
      <c r="X539" t="s">
        <v>12</v>
      </c>
      <c r="Y539" t="s">
        <v>12</v>
      </c>
      <c r="Z539" t="s">
        <v>12</v>
      </c>
      <c r="AA539" t="s">
        <v>12</v>
      </c>
      <c r="AB539" t="s">
        <v>12</v>
      </c>
      <c r="AC539" t="s">
        <v>12</v>
      </c>
      <c r="AD539" t="s">
        <v>12</v>
      </c>
    </row>
    <row r="540" spans="1:30">
      <c r="A540" t="s">
        <v>355</v>
      </c>
      <c r="B540" t="str">
        <f>Master_Data_Productivity[[#This Row],[Uniq-ID]]&amp;"-"&amp;Master_Data_Productivity[[#This Row],[Period]]</f>
        <v>DC-Document_Controller-052-M2</v>
      </c>
      <c r="C540" t="s">
        <v>356</v>
      </c>
      <c r="D540" t="s">
        <v>76</v>
      </c>
      <c r="E540" t="s">
        <v>18</v>
      </c>
      <c r="F540" t="s">
        <v>220</v>
      </c>
      <c r="G540" t="s">
        <v>15</v>
      </c>
      <c r="H540" t="s">
        <v>44</v>
      </c>
      <c r="I540">
        <v>0</v>
      </c>
      <c r="K540" t="s">
        <v>12</v>
      </c>
      <c r="L540" t="s">
        <v>12</v>
      </c>
      <c r="M540" t="s">
        <v>12</v>
      </c>
      <c r="Q540" t="s">
        <v>8</v>
      </c>
      <c r="R540" t="s">
        <v>12</v>
      </c>
      <c r="S540" t="s">
        <v>12</v>
      </c>
      <c r="T540" t="s">
        <v>12</v>
      </c>
      <c r="U540" t="s">
        <v>12</v>
      </c>
      <c r="V540" t="s">
        <v>12</v>
      </c>
      <c r="W540" t="s">
        <v>12</v>
      </c>
      <c r="X540" t="s">
        <v>12</v>
      </c>
      <c r="Y540" t="s">
        <v>12</v>
      </c>
      <c r="Z540" t="s">
        <v>12</v>
      </c>
      <c r="AA540" t="s">
        <v>12</v>
      </c>
      <c r="AB540" t="s">
        <v>12</v>
      </c>
      <c r="AC540" t="s">
        <v>12</v>
      </c>
      <c r="AD540" t="s">
        <v>12</v>
      </c>
    </row>
    <row r="541" spans="1:30">
      <c r="A541" t="s">
        <v>355</v>
      </c>
      <c r="B541" t="str">
        <f>Master_Data_Productivity[[#This Row],[Uniq-ID]]&amp;"-"&amp;Master_Data_Productivity[[#This Row],[Period]]</f>
        <v>DC-Document_Controller-052-M3</v>
      </c>
      <c r="C541" t="s">
        <v>356</v>
      </c>
      <c r="D541" t="s">
        <v>76</v>
      </c>
      <c r="E541" t="s">
        <v>22</v>
      </c>
      <c r="F541" t="s">
        <v>222</v>
      </c>
      <c r="G541" t="s">
        <v>15</v>
      </c>
      <c r="H541" t="s">
        <v>44</v>
      </c>
      <c r="I541">
        <v>0</v>
      </c>
      <c r="K541" t="s">
        <v>12</v>
      </c>
      <c r="L541" t="s">
        <v>12</v>
      </c>
      <c r="M541" t="s">
        <v>12</v>
      </c>
      <c r="Q541" t="s">
        <v>8</v>
      </c>
      <c r="R541" t="s">
        <v>12</v>
      </c>
      <c r="S541" t="s">
        <v>12</v>
      </c>
      <c r="T541" t="s">
        <v>12</v>
      </c>
      <c r="U541" t="s">
        <v>12</v>
      </c>
      <c r="V541" t="s">
        <v>12</v>
      </c>
      <c r="W541" t="s">
        <v>12</v>
      </c>
      <c r="X541" t="s">
        <v>12</v>
      </c>
      <c r="Y541" t="s">
        <v>12</v>
      </c>
      <c r="Z541" t="s">
        <v>12</v>
      </c>
      <c r="AA541" t="s">
        <v>12</v>
      </c>
      <c r="AB541" t="s">
        <v>12</v>
      </c>
      <c r="AC541" t="s">
        <v>12</v>
      </c>
      <c r="AD541" t="s">
        <v>12</v>
      </c>
    </row>
    <row r="542" spans="1:30">
      <c r="A542" t="s">
        <v>355</v>
      </c>
      <c r="B542" t="str">
        <f>Master_Data_Productivity[[#This Row],[Uniq-ID]]&amp;"-"&amp;Master_Data_Productivity[[#This Row],[Period]]</f>
        <v>DC-Document_Controller-052-M4</v>
      </c>
      <c r="C542" t="s">
        <v>356</v>
      </c>
      <c r="D542" t="s">
        <v>76</v>
      </c>
      <c r="E542" t="s">
        <v>25</v>
      </c>
      <c r="F542" t="s">
        <v>224</v>
      </c>
      <c r="G542" t="s">
        <v>33</v>
      </c>
      <c r="H542" t="s">
        <v>44</v>
      </c>
      <c r="I542">
        <v>0</v>
      </c>
      <c r="K542" t="s">
        <v>12</v>
      </c>
      <c r="L542" t="s">
        <v>12</v>
      </c>
      <c r="M542" t="s">
        <v>12</v>
      </c>
      <c r="Q542" t="s">
        <v>8</v>
      </c>
      <c r="R542" t="s">
        <v>12</v>
      </c>
      <c r="S542" t="s">
        <v>12</v>
      </c>
      <c r="T542" t="s">
        <v>12</v>
      </c>
      <c r="U542" t="s">
        <v>12</v>
      </c>
      <c r="V542" t="s">
        <v>12</v>
      </c>
      <c r="W542" t="s">
        <v>12</v>
      </c>
      <c r="X542" t="s">
        <v>12</v>
      </c>
      <c r="Y542" t="s">
        <v>12</v>
      </c>
      <c r="Z542" t="s">
        <v>12</v>
      </c>
      <c r="AA542" t="s">
        <v>12</v>
      </c>
      <c r="AB542" t="s">
        <v>12</v>
      </c>
      <c r="AC542" t="s">
        <v>12</v>
      </c>
      <c r="AD542" t="s">
        <v>12</v>
      </c>
    </row>
    <row r="543" spans="1:30">
      <c r="A543" t="s">
        <v>282</v>
      </c>
      <c r="B543" t="str">
        <f>Master_Data_Productivity[[#This Row],[Uniq-ID]]&amp;"-"&amp;Master_Data_Productivity[[#This Row],[Period]]</f>
        <v>DC-Document_Controller-073-M1</v>
      </c>
      <c r="C543" t="s">
        <v>283</v>
      </c>
      <c r="D543" t="s">
        <v>48</v>
      </c>
      <c r="E543" t="s">
        <v>13</v>
      </c>
      <c r="F543" t="s">
        <v>284</v>
      </c>
      <c r="G543" t="s">
        <v>33</v>
      </c>
      <c r="H543" t="s">
        <v>44</v>
      </c>
      <c r="I543">
        <v>0</v>
      </c>
      <c r="K543" t="s">
        <v>12</v>
      </c>
      <c r="L543" t="s">
        <v>12</v>
      </c>
      <c r="M543" t="s">
        <v>12</v>
      </c>
      <c r="Q543" t="s">
        <v>8</v>
      </c>
      <c r="R543" t="s">
        <v>12</v>
      </c>
      <c r="S543" t="s">
        <v>12</v>
      </c>
      <c r="T543" t="s">
        <v>12</v>
      </c>
      <c r="U543" t="s">
        <v>12</v>
      </c>
      <c r="V543" t="s">
        <v>12</v>
      </c>
      <c r="W543" t="s">
        <v>12</v>
      </c>
      <c r="X543" t="s">
        <v>12</v>
      </c>
      <c r="Y543" t="s">
        <v>12</v>
      </c>
      <c r="Z543" t="s">
        <v>12</v>
      </c>
      <c r="AA543" t="s">
        <v>12</v>
      </c>
      <c r="AB543" t="s">
        <v>12</v>
      </c>
      <c r="AC543" t="s">
        <v>12</v>
      </c>
      <c r="AD543" t="s">
        <v>12</v>
      </c>
    </row>
    <row r="544" spans="1:30">
      <c r="A544" t="s">
        <v>282</v>
      </c>
      <c r="B544" t="str">
        <f>Master_Data_Productivity[[#This Row],[Uniq-ID]]&amp;"-"&amp;Master_Data_Productivity[[#This Row],[Period]]</f>
        <v>DC-Document_Controller-073-M2</v>
      </c>
      <c r="C544" t="s">
        <v>283</v>
      </c>
      <c r="D544" t="s">
        <v>48</v>
      </c>
      <c r="E544" t="s">
        <v>18</v>
      </c>
      <c r="F544" t="s">
        <v>285</v>
      </c>
      <c r="G544" t="s">
        <v>225</v>
      </c>
      <c r="H544" t="s">
        <v>44</v>
      </c>
      <c r="I544">
        <v>0</v>
      </c>
      <c r="K544" t="s">
        <v>12</v>
      </c>
      <c r="L544" t="s">
        <v>12</v>
      </c>
      <c r="M544" t="s">
        <v>12</v>
      </c>
      <c r="Q544" t="s">
        <v>8</v>
      </c>
      <c r="R544" t="s">
        <v>12</v>
      </c>
      <c r="S544" t="s">
        <v>12</v>
      </c>
      <c r="T544" t="s">
        <v>12</v>
      </c>
      <c r="U544" t="s">
        <v>12</v>
      </c>
      <c r="V544" t="s">
        <v>12</v>
      </c>
      <c r="W544" t="s">
        <v>12</v>
      </c>
      <c r="X544" t="s">
        <v>12</v>
      </c>
      <c r="Y544" t="s">
        <v>12</v>
      </c>
      <c r="Z544" t="s">
        <v>12</v>
      </c>
      <c r="AA544" t="s">
        <v>12</v>
      </c>
      <c r="AB544" t="s">
        <v>12</v>
      </c>
      <c r="AC544" t="s">
        <v>12</v>
      </c>
      <c r="AD544" t="s">
        <v>12</v>
      </c>
    </row>
    <row r="545" spans="1:30">
      <c r="A545" t="s">
        <v>286</v>
      </c>
      <c r="B545" t="str">
        <f>Master_Data_Productivity[[#This Row],[Uniq-ID]]&amp;"-"&amp;Master_Data_Productivity[[#This Row],[Period]]</f>
        <v>DC-Document_Controller-002-M1</v>
      </c>
      <c r="C545" t="s">
        <v>287</v>
      </c>
      <c r="D545" t="s">
        <v>76</v>
      </c>
      <c r="E545" t="s">
        <v>13</v>
      </c>
      <c r="F545" t="s">
        <v>49</v>
      </c>
      <c r="G545" t="s">
        <v>15</v>
      </c>
      <c r="H545" t="s">
        <v>44</v>
      </c>
      <c r="I545">
        <v>0</v>
      </c>
      <c r="K545" t="s">
        <v>12</v>
      </c>
      <c r="L545" t="s">
        <v>12</v>
      </c>
      <c r="M545" t="s">
        <v>12</v>
      </c>
      <c r="Q545" t="s">
        <v>8</v>
      </c>
      <c r="R545" t="s">
        <v>12</v>
      </c>
      <c r="S545" t="s">
        <v>12</v>
      </c>
      <c r="T545" t="s">
        <v>12</v>
      </c>
      <c r="U545" t="s">
        <v>12</v>
      </c>
      <c r="V545" t="s">
        <v>12</v>
      </c>
      <c r="W545" t="s">
        <v>12</v>
      </c>
      <c r="X545" t="s">
        <v>12</v>
      </c>
      <c r="Y545" t="s">
        <v>12</v>
      </c>
      <c r="Z545" t="s">
        <v>12</v>
      </c>
      <c r="AA545" t="s">
        <v>12</v>
      </c>
      <c r="AB545" t="s">
        <v>12</v>
      </c>
      <c r="AC545" t="s">
        <v>12</v>
      </c>
      <c r="AD545" t="s">
        <v>12</v>
      </c>
    </row>
    <row r="546" spans="1:30">
      <c r="A546" t="s">
        <v>286</v>
      </c>
      <c r="B546" t="str">
        <f>Master_Data_Productivity[[#This Row],[Uniq-ID]]&amp;"-"&amp;Master_Data_Productivity[[#This Row],[Period]]</f>
        <v>DC-Document_Controller-002-M2</v>
      </c>
      <c r="C546" t="s">
        <v>287</v>
      </c>
      <c r="D546" t="s">
        <v>76</v>
      </c>
      <c r="E546" t="s">
        <v>18</v>
      </c>
      <c r="F546" t="s">
        <v>51</v>
      </c>
      <c r="G546" t="s">
        <v>15</v>
      </c>
      <c r="H546" t="s">
        <v>44</v>
      </c>
      <c r="I546">
        <v>0</v>
      </c>
      <c r="K546" t="s">
        <v>12</v>
      </c>
      <c r="L546" t="s">
        <v>12</v>
      </c>
      <c r="M546" t="s">
        <v>12</v>
      </c>
      <c r="Q546" t="s">
        <v>8</v>
      </c>
      <c r="R546" t="s">
        <v>12</v>
      </c>
      <c r="S546" t="s">
        <v>12</v>
      </c>
      <c r="T546" t="s">
        <v>12</v>
      </c>
      <c r="U546" t="s">
        <v>12</v>
      </c>
      <c r="V546" t="s">
        <v>12</v>
      </c>
      <c r="W546" t="s">
        <v>12</v>
      </c>
      <c r="X546" t="s">
        <v>12</v>
      </c>
      <c r="Y546" t="s">
        <v>12</v>
      </c>
      <c r="Z546" t="s">
        <v>12</v>
      </c>
      <c r="AA546" t="s">
        <v>12</v>
      </c>
      <c r="AB546" t="s">
        <v>12</v>
      </c>
      <c r="AC546" t="s">
        <v>12</v>
      </c>
      <c r="AD546" t="s">
        <v>12</v>
      </c>
    </row>
    <row r="547" spans="1:30">
      <c r="A547" t="s">
        <v>286</v>
      </c>
      <c r="B547" t="str">
        <f>Master_Data_Productivity[[#This Row],[Uniq-ID]]&amp;"-"&amp;Master_Data_Productivity[[#This Row],[Period]]</f>
        <v>DC-Document_Controller-002-M3</v>
      </c>
      <c r="C547" t="s">
        <v>287</v>
      </c>
      <c r="D547" t="s">
        <v>76</v>
      </c>
      <c r="E547" t="s">
        <v>22</v>
      </c>
      <c r="F547" t="s">
        <v>52</v>
      </c>
      <c r="G547" t="s">
        <v>15</v>
      </c>
      <c r="H547" t="s">
        <v>44</v>
      </c>
      <c r="I547">
        <v>0</v>
      </c>
      <c r="K547" t="s">
        <v>12</v>
      </c>
      <c r="L547" t="s">
        <v>12</v>
      </c>
      <c r="M547" t="s">
        <v>12</v>
      </c>
      <c r="Q547" t="s">
        <v>8</v>
      </c>
      <c r="R547" t="s">
        <v>12</v>
      </c>
      <c r="S547" t="s">
        <v>12</v>
      </c>
      <c r="T547" t="s">
        <v>12</v>
      </c>
      <c r="U547" t="s">
        <v>12</v>
      </c>
      <c r="V547" t="s">
        <v>12</v>
      </c>
      <c r="W547" t="s">
        <v>12</v>
      </c>
      <c r="X547" t="s">
        <v>12</v>
      </c>
      <c r="Y547" t="s">
        <v>12</v>
      </c>
      <c r="Z547" t="s">
        <v>12</v>
      </c>
      <c r="AA547" t="s">
        <v>12</v>
      </c>
      <c r="AB547" t="s">
        <v>12</v>
      </c>
      <c r="AC547" t="s">
        <v>12</v>
      </c>
      <c r="AD547" t="s">
        <v>12</v>
      </c>
    </row>
    <row r="548" spans="1:30">
      <c r="A548" t="s">
        <v>286</v>
      </c>
      <c r="B548" t="str">
        <f>Master_Data_Productivity[[#This Row],[Uniq-ID]]&amp;"-"&amp;Master_Data_Productivity[[#This Row],[Period]]</f>
        <v>DC-Document_Controller-002-M4</v>
      </c>
      <c r="C548" t="s">
        <v>287</v>
      </c>
      <c r="D548" t="s">
        <v>76</v>
      </c>
      <c r="E548" t="s">
        <v>25</v>
      </c>
      <c r="F548" t="s">
        <v>54</v>
      </c>
      <c r="G548" t="s">
        <v>15</v>
      </c>
      <c r="H548" t="s">
        <v>44</v>
      </c>
      <c r="I548">
        <v>1.4999999999999999E-2</v>
      </c>
      <c r="J548">
        <v>0.5</v>
      </c>
      <c r="K548" t="s">
        <v>2871</v>
      </c>
      <c r="L548" t="s">
        <v>3061</v>
      </c>
      <c r="M548" t="s">
        <v>2873</v>
      </c>
      <c r="N548">
        <v>66</v>
      </c>
      <c r="O548">
        <v>1</v>
      </c>
      <c r="P548">
        <v>1.52E-2</v>
      </c>
      <c r="Q548" t="s">
        <v>8</v>
      </c>
      <c r="R548" t="s">
        <v>12</v>
      </c>
      <c r="S548" t="s">
        <v>12</v>
      </c>
      <c r="T548" t="s">
        <v>12</v>
      </c>
      <c r="U548" t="s">
        <v>12</v>
      </c>
      <c r="V548" t="s">
        <v>12</v>
      </c>
      <c r="W548" t="s">
        <v>12</v>
      </c>
      <c r="X548" t="s">
        <v>12</v>
      </c>
      <c r="Y548" t="s">
        <v>12</v>
      </c>
      <c r="Z548" t="s">
        <v>12</v>
      </c>
      <c r="AA548" t="s">
        <v>12</v>
      </c>
      <c r="AB548" t="s">
        <v>12</v>
      </c>
      <c r="AC548" t="s">
        <v>12</v>
      </c>
      <c r="AD548" t="s">
        <v>12</v>
      </c>
    </row>
    <row r="549" spans="1:30">
      <c r="A549" t="s">
        <v>286</v>
      </c>
      <c r="B549" t="str">
        <f>Master_Data_Productivity[[#This Row],[Uniq-ID]]&amp;"-"&amp;Master_Data_Productivity[[#This Row],[Period]]</f>
        <v>DC-Document_Controller-002-M5</v>
      </c>
      <c r="C549" t="s">
        <v>287</v>
      </c>
      <c r="D549" t="s">
        <v>76</v>
      </c>
      <c r="E549" t="s">
        <v>28</v>
      </c>
      <c r="F549" t="s">
        <v>56</v>
      </c>
      <c r="G549" t="s">
        <v>15</v>
      </c>
      <c r="H549" t="s">
        <v>44</v>
      </c>
      <c r="I549">
        <v>0</v>
      </c>
      <c r="K549" t="s">
        <v>12</v>
      </c>
      <c r="L549" t="s">
        <v>12</v>
      </c>
      <c r="M549" t="s">
        <v>12</v>
      </c>
      <c r="Q549" t="s">
        <v>8</v>
      </c>
      <c r="R549" t="s">
        <v>12</v>
      </c>
      <c r="S549" t="s">
        <v>12</v>
      </c>
      <c r="T549" t="s">
        <v>12</v>
      </c>
      <c r="U549" t="s">
        <v>12</v>
      </c>
      <c r="V549" t="s">
        <v>12</v>
      </c>
      <c r="W549" t="s">
        <v>12</v>
      </c>
      <c r="X549" t="s">
        <v>12</v>
      </c>
      <c r="Y549" t="s">
        <v>12</v>
      </c>
      <c r="Z549" t="s">
        <v>12</v>
      </c>
      <c r="AA549" t="s">
        <v>12</v>
      </c>
      <c r="AB549" t="s">
        <v>12</v>
      </c>
      <c r="AC549" t="s">
        <v>12</v>
      </c>
      <c r="AD549" t="s">
        <v>12</v>
      </c>
    </row>
    <row r="550" spans="1:30">
      <c r="A550" t="s">
        <v>286</v>
      </c>
      <c r="B550" t="str">
        <f>Master_Data_Productivity[[#This Row],[Uniq-ID]]&amp;"-"&amp;Master_Data_Productivity[[#This Row],[Period]]</f>
        <v>DC-Document_Controller-002-M6</v>
      </c>
      <c r="C550" t="s">
        <v>287</v>
      </c>
      <c r="D550" t="s">
        <v>76</v>
      </c>
      <c r="E550" t="s">
        <v>31</v>
      </c>
      <c r="F550" t="s">
        <v>57</v>
      </c>
      <c r="G550" t="s">
        <v>33</v>
      </c>
      <c r="H550" t="s">
        <v>44</v>
      </c>
      <c r="I550">
        <v>0</v>
      </c>
      <c r="K550" t="s">
        <v>12</v>
      </c>
      <c r="L550" t="s">
        <v>12</v>
      </c>
      <c r="M550" t="s">
        <v>12</v>
      </c>
      <c r="Q550" t="s">
        <v>8</v>
      </c>
      <c r="R550" t="s">
        <v>12</v>
      </c>
      <c r="S550" t="s">
        <v>12</v>
      </c>
      <c r="T550" t="s">
        <v>12</v>
      </c>
      <c r="U550" t="s">
        <v>12</v>
      </c>
      <c r="V550" t="s">
        <v>12</v>
      </c>
      <c r="W550" t="s">
        <v>12</v>
      </c>
      <c r="X550" t="s">
        <v>12</v>
      </c>
      <c r="Y550" t="s">
        <v>12</v>
      </c>
      <c r="Z550" t="s">
        <v>12</v>
      </c>
      <c r="AA550" t="s">
        <v>12</v>
      </c>
      <c r="AB550" t="s">
        <v>12</v>
      </c>
      <c r="AC550" t="s">
        <v>12</v>
      </c>
      <c r="AD550" t="s">
        <v>12</v>
      </c>
    </row>
    <row r="551" spans="1:30">
      <c r="A551" t="s">
        <v>366</v>
      </c>
      <c r="B551" t="str">
        <f>Master_Data_Productivity[[#This Row],[Uniq-ID]]&amp;"-"&amp;Master_Data_Productivity[[#This Row],[Period]]</f>
        <v>DC-Document_Controller-079-M1</v>
      </c>
      <c r="C551" t="s">
        <v>367</v>
      </c>
      <c r="D551" t="s">
        <v>76</v>
      </c>
      <c r="E551" t="s">
        <v>13</v>
      </c>
      <c r="F551" t="s">
        <v>348</v>
      </c>
      <c r="G551" t="s">
        <v>33</v>
      </c>
      <c r="H551" t="s">
        <v>44</v>
      </c>
      <c r="I551">
        <v>0</v>
      </c>
      <c r="K551" t="s">
        <v>12</v>
      </c>
      <c r="L551" t="s">
        <v>12</v>
      </c>
      <c r="M551" t="s">
        <v>12</v>
      </c>
      <c r="Q551" t="s">
        <v>8</v>
      </c>
      <c r="R551" t="s">
        <v>12</v>
      </c>
      <c r="S551" t="s">
        <v>12</v>
      </c>
      <c r="T551" t="s">
        <v>12</v>
      </c>
      <c r="U551" t="s">
        <v>12</v>
      </c>
      <c r="V551" t="s">
        <v>12</v>
      </c>
      <c r="W551" t="s">
        <v>12</v>
      </c>
      <c r="X551" t="s">
        <v>12</v>
      </c>
      <c r="Y551" t="s">
        <v>12</v>
      </c>
      <c r="Z551" t="s">
        <v>12</v>
      </c>
      <c r="AA551" t="s">
        <v>12</v>
      </c>
      <c r="AB551" t="s">
        <v>12</v>
      </c>
      <c r="AC551" t="s">
        <v>12</v>
      </c>
      <c r="AD551" t="s">
        <v>12</v>
      </c>
    </row>
    <row r="552" spans="1:30">
      <c r="A552" t="s">
        <v>288</v>
      </c>
      <c r="B552" t="str">
        <f>Master_Data_Productivity[[#This Row],[Uniq-ID]]&amp;"-"&amp;Master_Data_Productivity[[#This Row],[Period]]</f>
        <v>DC-Document_Controller-072-M1</v>
      </c>
      <c r="C552" t="s">
        <v>289</v>
      </c>
      <c r="D552" t="s">
        <v>290</v>
      </c>
      <c r="E552" t="s">
        <v>13</v>
      </c>
      <c r="F552" t="s">
        <v>230</v>
      </c>
      <c r="G552" t="s">
        <v>15</v>
      </c>
      <c r="H552" t="s">
        <v>44</v>
      </c>
      <c r="I552">
        <v>0</v>
      </c>
      <c r="K552" t="s">
        <v>12</v>
      </c>
      <c r="L552" t="s">
        <v>12</v>
      </c>
      <c r="M552" t="s">
        <v>12</v>
      </c>
      <c r="Q552" t="s">
        <v>8</v>
      </c>
      <c r="R552" t="s">
        <v>12</v>
      </c>
      <c r="S552" t="s">
        <v>12</v>
      </c>
      <c r="T552" t="s">
        <v>12</v>
      </c>
      <c r="U552" t="s">
        <v>12</v>
      </c>
      <c r="V552" t="s">
        <v>12</v>
      </c>
      <c r="W552" t="s">
        <v>12</v>
      </c>
      <c r="X552" t="s">
        <v>12</v>
      </c>
      <c r="Y552" t="s">
        <v>12</v>
      </c>
      <c r="Z552" t="s">
        <v>12</v>
      </c>
      <c r="AA552" t="s">
        <v>12</v>
      </c>
      <c r="AB552" t="s">
        <v>12</v>
      </c>
      <c r="AC552" t="s">
        <v>12</v>
      </c>
      <c r="AD552" t="s">
        <v>12</v>
      </c>
    </row>
    <row r="553" spans="1:30">
      <c r="A553" t="s">
        <v>288</v>
      </c>
      <c r="B553" t="str">
        <f>Master_Data_Productivity[[#This Row],[Uniq-ID]]&amp;"-"&amp;Master_Data_Productivity[[#This Row],[Period]]</f>
        <v>DC-Document_Controller-072-M2</v>
      </c>
      <c r="C553" t="s">
        <v>289</v>
      </c>
      <c r="D553" t="s">
        <v>290</v>
      </c>
      <c r="E553" t="s">
        <v>18</v>
      </c>
      <c r="F553" t="s">
        <v>231</v>
      </c>
      <c r="G553" t="s">
        <v>33</v>
      </c>
      <c r="H553" t="s">
        <v>44</v>
      </c>
      <c r="I553">
        <v>0</v>
      </c>
      <c r="K553" t="s">
        <v>12</v>
      </c>
      <c r="L553" t="s">
        <v>12</v>
      </c>
      <c r="M553" t="s">
        <v>12</v>
      </c>
      <c r="Q553" t="s">
        <v>8</v>
      </c>
      <c r="R553" t="s">
        <v>12</v>
      </c>
      <c r="S553" t="s">
        <v>12</v>
      </c>
      <c r="T553" t="s">
        <v>12</v>
      </c>
      <c r="U553" t="s">
        <v>12</v>
      </c>
      <c r="V553" t="s">
        <v>12</v>
      </c>
      <c r="W553" t="s">
        <v>12</v>
      </c>
      <c r="X553" t="s">
        <v>12</v>
      </c>
      <c r="Y553" t="s">
        <v>12</v>
      </c>
      <c r="Z553" t="s">
        <v>12</v>
      </c>
      <c r="AA553" t="s">
        <v>12</v>
      </c>
      <c r="AB553" t="s">
        <v>12</v>
      </c>
      <c r="AC553" t="s">
        <v>12</v>
      </c>
      <c r="AD553" t="s">
        <v>12</v>
      </c>
    </row>
    <row r="554" spans="1:30">
      <c r="A554" t="s">
        <v>291</v>
      </c>
      <c r="B554" t="str">
        <f>Master_Data_Productivity[[#This Row],[Uniq-ID]]&amp;"-"&amp;Master_Data_Productivity[[#This Row],[Period]]</f>
        <v>DC-Document_Controller-071-M1</v>
      </c>
      <c r="C554" t="s">
        <v>292</v>
      </c>
      <c r="D554" t="s">
        <v>76</v>
      </c>
      <c r="E554" t="s">
        <v>13</v>
      </c>
      <c r="F554" t="s">
        <v>293</v>
      </c>
      <c r="G554" t="s">
        <v>15</v>
      </c>
      <c r="H554" t="s">
        <v>44</v>
      </c>
      <c r="I554">
        <v>0</v>
      </c>
      <c r="K554" t="s">
        <v>12</v>
      </c>
      <c r="L554" t="s">
        <v>12</v>
      </c>
      <c r="M554" t="s">
        <v>12</v>
      </c>
      <c r="Q554" t="s">
        <v>8</v>
      </c>
      <c r="R554" t="s">
        <v>12</v>
      </c>
      <c r="S554" t="s">
        <v>12</v>
      </c>
      <c r="T554" t="s">
        <v>12</v>
      </c>
      <c r="U554" t="s">
        <v>12</v>
      </c>
      <c r="V554" t="s">
        <v>12</v>
      </c>
      <c r="W554" t="s">
        <v>12</v>
      </c>
      <c r="X554" t="s">
        <v>12</v>
      </c>
      <c r="Y554" t="s">
        <v>12</v>
      </c>
      <c r="Z554" t="s">
        <v>12</v>
      </c>
      <c r="AA554" t="s">
        <v>12</v>
      </c>
      <c r="AB554" t="s">
        <v>12</v>
      </c>
      <c r="AC554" t="s">
        <v>12</v>
      </c>
      <c r="AD554" t="s">
        <v>12</v>
      </c>
    </row>
    <row r="555" spans="1:30">
      <c r="A555" t="s">
        <v>291</v>
      </c>
      <c r="B555" t="str">
        <f>Master_Data_Productivity[[#This Row],[Uniq-ID]]&amp;"-"&amp;Master_Data_Productivity[[#This Row],[Period]]</f>
        <v>DC-Document_Controller-071-M2</v>
      </c>
      <c r="C555" t="s">
        <v>292</v>
      </c>
      <c r="D555" t="s">
        <v>76</v>
      </c>
      <c r="E555" t="s">
        <v>18</v>
      </c>
      <c r="F555" t="s">
        <v>294</v>
      </c>
      <c r="G555" t="s">
        <v>33</v>
      </c>
      <c r="H555" t="s">
        <v>44</v>
      </c>
      <c r="I555">
        <v>0</v>
      </c>
      <c r="K555" t="s">
        <v>12</v>
      </c>
      <c r="L555" t="s">
        <v>12</v>
      </c>
      <c r="M555" t="s">
        <v>12</v>
      </c>
      <c r="Q555" t="s">
        <v>8</v>
      </c>
      <c r="R555" t="s">
        <v>12</v>
      </c>
      <c r="S555" t="s">
        <v>12</v>
      </c>
      <c r="T555" t="s">
        <v>12</v>
      </c>
      <c r="U555" t="s">
        <v>12</v>
      </c>
      <c r="V555" t="s">
        <v>12</v>
      </c>
      <c r="W555" t="s">
        <v>12</v>
      </c>
      <c r="X555" t="s">
        <v>12</v>
      </c>
      <c r="Y555" t="s">
        <v>12</v>
      </c>
      <c r="Z555" t="s">
        <v>12</v>
      </c>
      <c r="AA555" t="s">
        <v>12</v>
      </c>
      <c r="AB555" t="s">
        <v>12</v>
      </c>
      <c r="AC555" t="s">
        <v>12</v>
      </c>
      <c r="AD555" t="s">
        <v>12</v>
      </c>
    </row>
    <row r="556" spans="1:30">
      <c r="A556" t="s">
        <v>295</v>
      </c>
      <c r="B556" t="str">
        <f>Master_Data_Productivity[[#This Row],[Uniq-ID]]&amp;"-"&amp;Master_Data_Productivity[[#This Row],[Period]]</f>
        <v>DC-Document_Controller-070-M1</v>
      </c>
      <c r="C556" t="s">
        <v>296</v>
      </c>
      <c r="D556" t="s">
        <v>112</v>
      </c>
      <c r="E556" t="s">
        <v>13</v>
      </c>
      <c r="F556" t="s">
        <v>71</v>
      </c>
      <c r="G556" t="s">
        <v>15</v>
      </c>
      <c r="H556" t="s">
        <v>44</v>
      </c>
      <c r="I556">
        <v>0</v>
      </c>
      <c r="K556" t="s">
        <v>12</v>
      </c>
      <c r="L556" t="s">
        <v>12</v>
      </c>
      <c r="M556" t="s">
        <v>12</v>
      </c>
      <c r="Q556" t="s">
        <v>8</v>
      </c>
      <c r="R556" t="s">
        <v>12</v>
      </c>
      <c r="S556" t="s">
        <v>12</v>
      </c>
      <c r="T556" t="s">
        <v>12</v>
      </c>
      <c r="U556" t="s">
        <v>12</v>
      </c>
      <c r="V556" t="s">
        <v>12</v>
      </c>
      <c r="W556" t="s">
        <v>12</v>
      </c>
      <c r="X556" t="s">
        <v>12</v>
      </c>
      <c r="Y556" t="s">
        <v>12</v>
      </c>
      <c r="Z556" t="s">
        <v>12</v>
      </c>
      <c r="AA556" t="s">
        <v>12</v>
      </c>
      <c r="AB556" t="s">
        <v>12</v>
      </c>
      <c r="AC556" t="s">
        <v>12</v>
      </c>
      <c r="AD556" t="s">
        <v>12</v>
      </c>
    </row>
    <row r="557" spans="1:30">
      <c r="A557" t="s">
        <v>295</v>
      </c>
      <c r="B557" t="str">
        <f>Master_Data_Productivity[[#This Row],[Uniq-ID]]&amp;"-"&amp;Master_Data_Productivity[[#This Row],[Period]]</f>
        <v>DC-Document_Controller-070-M2</v>
      </c>
      <c r="C557" t="s">
        <v>296</v>
      </c>
      <c r="D557" t="s">
        <v>112</v>
      </c>
      <c r="E557" t="s">
        <v>18</v>
      </c>
      <c r="F557" t="s">
        <v>73</v>
      </c>
      <c r="G557" t="s">
        <v>33</v>
      </c>
      <c r="H557" t="s">
        <v>44</v>
      </c>
      <c r="I557">
        <v>0</v>
      </c>
      <c r="K557" t="s">
        <v>12</v>
      </c>
      <c r="L557" t="s">
        <v>12</v>
      </c>
      <c r="M557" t="s">
        <v>12</v>
      </c>
      <c r="Q557" t="s">
        <v>8</v>
      </c>
      <c r="R557" t="s">
        <v>12</v>
      </c>
      <c r="S557" t="s">
        <v>12</v>
      </c>
      <c r="T557" t="s">
        <v>12</v>
      </c>
      <c r="U557" t="s">
        <v>12</v>
      </c>
      <c r="V557" t="s">
        <v>12</v>
      </c>
      <c r="W557" t="s">
        <v>12</v>
      </c>
      <c r="X557" t="s">
        <v>12</v>
      </c>
      <c r="Y557" t="s">
        <v>12</v>
      </c>
      <c r="Z557" t="s">
        <v>12</v>
      </c>
      <c r="AA557" t="s">
        <v>12</v>
      </c>
      <c r="AB557" t="s">
        <v>12</v>
      </c>
      <c r="AC557" t="s">
        <v>12</v>
      </c>
      <c r="AD557" t="s">
        <v>12</v>
      </c>
    </row>
    <row r="558" spans="1:30">
      <c r="A558" t="s">
        <v>297</v>
      </c>
      <c r="B558" t="str">
        <f>Master_Data_Productivity[[#This Row],[Uniq-ID]]&amp;"-"&amp;Master_Data_Productivity[[#This Row],[Period]]</f>
        <v>DC-Document_Controller-069-M1</v>
      </c>
      <c r="C558" t="s">
        <v>298</v>
      </c>
      <c r="D558" t="s">
        <v>48</v>
      </c>
      <c r="E558" t="s">
        <v>13</v>
      </c>
      <c r="F558" t="s">
        <v>71</v>
      </c>
      <c r="G558" t="s">
        <v>15</v>
      </c>
      <c r="H558" t="s">
        <v>44</v>
      </c>
      <c r="I558">
        <v>0</v>
      </c>
      <c r="K558" t="s">
        <v>12</v>
      </c>
      <c r="L558" t="s">
        <v>12</v>
      </c>
      <c r="M558" t="s">
        <v>12</v>
      </c>
      <c r="Q558" t="s">
        <v>8</v>
      </c>
      <c r="R558" t="s">
        <v>12</v>
      </c>
      <c r="S558" t="s">
        <v>12</v>
      </c>
      <c r="T558" t="s">
        <v>12</v>
      </c>
      <c r="U558" t="s">
        <v>12</v>
      </c>
      <c r="V558" t="s">
        <v>12</v>
      </c>
      <c r="W558" t="s">
        <v>12</v>
      </c>
      <c r="X558" t="s">
        <v>12</v>
      </c>
      <c r="Y558" t="s">
        <v>12</v>
      </c>
      <c r="Z558" t="s">
        <v>12</v>
      </c>
      <c r="AA558" t="s">
        <v>12</v>
      </c>
      <c r="AB558" t="s">
        <v>12</v>
      </c>
      <c r="AC558" t="s">
        <v>12</v>
      </c>
      <c r="AD558" t="s">
        <v>12</v>
      </c>
    </row>
    <row r="559" spans="1:30">
      <c r="A559" t="s">
        <v>297</v>
      </c>
      <c r="B559" t="str">
        <f>Master_Data_Productivity[[#This Row],[Uniq-ID]]&amp;"-"&amp;Master_Data_Productivity[[#This Row],[Period]]</f>
        <v>DC-Document_Controller-069-M2</v>
      </c>
      <c r="C559" t="s">
        <v>298</v>
      </c>
      <c r="D559" t="s">
        <v>48</v>
      </c>
      <c r="E559" t="s">
        <v>18</v>
      </c>
      <c r="F559" t="s">
        <v>73</v>
      </c>
      <c r="G559" t="s">
        <v>33</v>
      </c>
      <c r="H559" t="s">
        <v>44</v>
      </c>
      <c r="I559">
        <v>0</v>
      </c>
      <c r="K559" t="s">
        <v>12</v>
      </c>
      <c r="L559" t="s">
        <v>12</v>
      </c>
      <c r="M559" t="s">
        <v>12</v>
      </c>
      <c r="Q559" t="s">
        <v>8</v>
      </c>
      <c r="R559" t="s">
        <v>12</v>
      </c>
      <c r="S559" t="s">
        <v>12</v>
      </c>
      <c r="T559" t="s">
        <v>12</v>
      </c>
      <c r="U559" t="s">
        <v>12</v>
      </c>
      <c r="V559" t="s">
        <v>12</v>
      </c>
      <c r="W559" t="s">
        <v>12</v>
      </c>
      <c r="X559" t="s">
        <v>12</v>
      </c>
      <c r="Y559" t="s">
        <v>12</v>
      </c>
      <c r="Z559" t="s">
        <v>12</v>
      </c>
      <c r="AA559" t="s">
        <v>12</v>
      </c>
      <c r="AB559" t="s">
        <v>12</v>
      </c>
      <c r="AC559" t="s">
        <v>12</v>
      </c>
      <c r="AD559" t="s">
        <v>12</v>
      </c>
    </row>
    <row r="560" spans="1:30">
      <c r="A560" t="s">
        <v>328</v>
      </c>
      <c r="B560" t="str">
        <f>Master_Data_Productivity[[#This Row],[Uniq-ID]]&amp;"-"&amp;Master_Data_Productivity[[#This Row],[Period]]</f>
        <v>DC-Document_Controller-059-M1</v>
      </c>
      <c r="C560" t="s">
        <v>329</v>
      </c>
      <c r="D560" t="s">
        <v>76</v>
      </c>
      <c r="E560" t="s">
        <v>13</v>
      </c>
      <c r="F560" t="s">
        <v>26</v>
      </c>
      <c r="G560" t="s">
        <v>15</v>
      </c>
      <c r="H560" t="s">
        <v>44</v>
      </c>
      <c r="I560">
        <v>0</v>
      </c>
      <c r="K560" t="s">
        <v>12</v>
      </c>
      <c r="L560" t="s">
        <v>12</v>
      </c>
      <c r="M560" t="s">
        <v>12</v>
      </c>
      <c r="Q560" t="s">
        <v>8</v>
      </c>
      <c r="R560" t="s">
        <v>12</v>
      </c>
      <c r="S560" t="s">
        <v>12</v>
      </c>
      <c r="T560" t="s">
        <v>12</v>
      </c>
      <c r="U560" t="s">
        <v>12</v>
      </c>
      <c r="V560" t="s">
        <v>12</v>
      </c>
      <c r="W560" t="s">
        <v>12</v>
      </c>
      <c r="X560" t="s">
        <v>12</v>
      </c>
      <c r="Y560" t="s">
        <v>12</v>
      </c>
      <c r="Z560" t="s">
        <v>12</v>
      </c>
      <c r="AA560" t="s">
        <v>12</v>
      </c>
      <c r="AB560" t="s">
        <v>12</v>
      </c>
      <c r="AC560" t="s">
        <v>12</v>
      </c>
      <c r="AD560" t="s">
        <v>12</v>
      </c>
    </row>
    <row r="561" spans="1:30">
      <c r="A561" t="s">
        <v>328</v>
      </c>
      <c r="B561" t="str">
        <f>Master_Data_Productivity[[#This Row],[Uniq-ID]]&amp;"-"&amp;Master_Data_Productivity[[#This Row],[Period]]</f>
        <v>DC-Document_Controller-059-M2</v>
      </c>
      <c r="C561" t="s">
        <v>329</v>
      </c>
      <c r="D561" t="s">
        <v>76</v>
      </c>
      <c r="E561" t="s">
        <v>18</v>
      </c>
      <c r="F561" t="s">
        <v>29</v>
      </c>
      <c r="G561" t="s">
        <v>15</v>
      </c>
      <c r="H561" t="s">
        <v>44</v>
      </c>
      <c r="I561">
        <v>0</v>
      </c>
      <c r="K561" t="s">
        <v>12</v>
      </c>
      <c r="L561" t="s">
        <v>12</v>
      </c>
      <c r="M561" t="s">
        <v>12</v>
      </c>
      <c r="Q561" t="s">
        <v>8</v>
      </c>
      <c r="R561" t="s">
        <v>12</v>
      </c>
      <c r="S561" t="s">
        <v>12</v>
      </c>
      <c r="T561" t="s">
        <v>12</v>
      </c>
      <c r="U561" t="s">
        <v>12</v>
      </c>
      <c r="V561" t="s">
        <v>12</v>
      </c>
      <c r="W561" t="s">
        <v>12</v>
      </c>
      <c r="X561" t="s">
        <v>12</v>
      </c>
      <c r="Y561" t="s">
        <v>12</v>
      </c>
      <c r="Z561" t="s">
        <v>12</v>
      </c>
      <c r="AA561" t="s">
        <v>12</v>
      </c>
      <c r="AB561" t="s">
        <v>12</v>
      </c>
      <c r="AC561" t="s">
        <v>12</v>
      </c>
      <c r="AD561" t="s">
        <v>12</v>
      </c>
    </row>
    <row r="562" spans="1:30">
      <c r="A562" t="s">
        <v>328</v>
      </c>
      <c r="B562" t="str">
        <f>Master_Data_Productivity[[#This Row],[Uniq-ID]]&amp;"-"&amp;Master_Data_Productivity[[#This Row],[Period]]</f>
        <v>DC-Document_Controller-059-M3</v>
      </c>
      <c r="C562" t="s">
        <v>329</v>
      </c>
      <c r="D562" t="s">
        <v>76</v>
      </c>
      <c r="E562" t="s">
        <v>22</v>
      </c>
      <c r="F562" t="s">
        <v>32</v>
      </c>
      <c r="G562" t="s">
        <v>33</v>
      </c>
      <c r="H562" t="s">
        <v>44</v>
      </c>
      <c r="I562">
        <v>0</v>
      </c>
      <c r="K562" t="s">
        <v>12</v>
      </c>
      <c r="L562" t="s">
        <v>12</v>
      </c>
      <c r="M562" t="s">
        <v>12</v>
      </c>
      <c r="Q562" t="s">
        <v>8</v>
      </c>
      <c r="R562" t="s">
        <v>12</v>
      </c>
      <c r="S562" t="s">
        <v>12</v>
      </c>
      <c r="T562" t="s">
        <v>12</v>
      </c>
      <c r="U562" t="s">
        <v>12</v>
      </c>
      <c r="V562" t="s">
        <v>12</v>
      </c>
      <c r="W562" t="s">
        <v>12</v>
      </c>
      <c r="X562" t="s">
        <v>12</v>
      </c>
      <c r="Y562" t="s">
        <v>12</v>
      </c>
      <c r="Z562" t="s">
        <v>12</v>
      </c>
      <c r="AA562" t="s">
        <v>12</v>
      </c>
      <c r="AB562" t="s">
        <v>12</v>
      </c>
      <c r="AC562" t="s">
        <v>12</v>
      </c>
      <c r="AD562" t="s">
        <v>12</v>
      </c>
    </row>
    <row r="563" spans="1:30">
      <c r="A563" t="s">
        <v>326</v>
      </c>
      <c r="B563" t="str">
        <f>Master_Data_Productivity[[#This Row],[Uniq-ID]]&amp;"-"&amp;Master_Data_Productivity[[#This Row],[Period]]</f>
        <v>DC-Document_Controller-060-M1</v>
      </c>
      <c r="C563" t="s">
        <v>327</v>
      </c>
      <c r="D563" t="s">
        <v>76</v>
      </c>
      <c r="E563" t="s">
        <v>13</v>
      </c>
      <c r="F563" t="s">
        <v>26</v>
      </c>
      <c r="G563" t="s">
        <v>15</v>
      </c>
      <c r="H563" t="s">
        <v>44</v>
      </c>
      <c r="I563">
        <v>0</v>
      </c>
      <c r="K563" t="s">
        <v>12</v>
      </c>
      <c r="L563" t="s">
        <v>12</v>
      </c>
      <c r="M563" t="s">
        <v>12</v>
      </c>
      <c r="Q563" t="s">
        <v>8</v>
      </c>
      <c r="R563" t="s">
        <v>12</v>
      </c>
      <c r="S563" t="s">
        <v>12</v>
      </c>
      <c r="T563" t="s">
        <v>12</v>
      </c>
      <c r="U563" t="s">
        <v>12</v>
      </c>
      <c r="V563" t="s">
        <v>12</v>
      </c>
      <c r="W563" t="s">
        <v>12</v>
      </c>
      <c r="X563" t="s">
        <v>12</v>
      </c>
      <c r="Y563" t="s">
        <v>12</v>
      </c>
      <c r="Z563" t="s">
        <v>12</v>
      </c>
      <c r="AA563" t="s">
        <v>12</v>
      </c>
      <c r="AB563" t="s">
        <v>12</v>
      </c>
      <c r="AC563" t="s">
        <v>12</v>
      </c>
      <c r="AD563" t="s">
        <v>12</v>
      </c>
    </row>
    <row r="564" spans="1:30">
      <c r="A564" t="s">
        <v>326</v>
      </c>
      <c r="B564" t="str">
        <f>Master_Data_Productivity[[#This Row],[Uniq-ID]]&amp;"-"&amp;Master_Data_Productivity[[#This Row],[Period]]</f>
        <v>DC-Document_Controller-060-M2</v>
      </c>
      <c r="C564" t="s">
        <v>327</v>
      </c>
      <c r="D564" t="s">
        <v>76</v>
      </c>
      <c r="E564" t="s">
        <v>18</v>
      </c>
      <c r="F564" t="s">
        <v>29</v>
      </c>
      <c r="G564" t="s">
        <v>15</v>
      </c>
      <c r="H564" t="s">
        <v>44</v>
      </c>
      <c r="I564">
        <v>0</v>
      </c>
      <c r="K564" t="s">
        <v>12</v>
      </c>
      <c r="L564" t="s">
        <v>12</v>
      </c>
      <c r="M564" t="s">
        <v>12</v>
      </c>
      <c r="Q564" t="s">
        <v>8</v>
      </c>
      <c r="R564" t="s">
        <v>12</v>
      </c>
      <c r="S564" t="s">
        <v>12</v>
      </c>
      <c r="T564" t="s">
        <v>12</v>
      </c>
      <c r="U564" t="s">
        <v>12</v>
      </c>
      <c r="V564" t="s">
        <v>12</v>
      </c>
      <c r="W564" t="s">
        <v>12</v>
      </c>
      <c r="X564" t="s">
        <v>12</v>
      </c>
      <c r="Y564" t="s">
        <v>12</v>
      </c>
      <c r="Z564" t="s">
        <v>12</v>
      </c>
      <c r="AA564" t="s">
        <v>12</v>
      </c>
      <c r="AB564" t="s">
        <v>12</v>
      </c>
      <c r="AC564" t="s">
        <v>12</v>
      </c>
      <c r="AD564" t="s">
        <v>12</v>
      </c>
    </row>
    <row r="565" spans="1:30">
      <c r="A565" t="s">
        <v>326</v>
      </c>
      <c r="B565" t="str">
        <f>Master_Data_Productivity[[#This Row],[Uniq-ID]]&amp;"-"&amp;Master_Data_Productivity[[#This Row],[Period]]</f>
        <v>DC-Document_Controller-060-M3</v>
      </c>
      <c r="C565" t="s">
        <v>327</v>
      </c>
      <c r="D565" t="s">
        <v>76</v>
      </c>
      <c r="E565" t="s">
        <v>22</v>
      </c>
      <c r="F565" t="s">
        <v>32</v>
      </c>
      <c r="G565" t="s">
        <v>33</v>
      </c>
      <c r="H565" t="s">
        <v>44</v>
      </c>
      <c r="I565">
        <v>0</v>
      </c>
      <c r="K565" t="s">
        <v>12</v>
      </c>
      <c r="L565" t="s">
        <v>12</v>
      </c>
      <c r="M565" t="s">
        <v>12</v>
      </c>
      <c r="Q565" t="s">
        <v>8</v>
      </c>
      <c r="R565" t="s">
        <v>12</v>
      </c>
      <c r="S565" t="s">
        <v>12</v>
      </c>
      <c r="T565" t="s">
        <v>12</v>
      </c>
      <c r="U565" t="s">
        <v>12</v>
      </c>
      <c r="V565" t="s">
        <v>12</v>
      </c>
      <c r="W565" t="s">
        <v>12</v>
      </c>
      <c r="X565" t="s">
        <v>12</v>
      </c>
      <c r="Y565" t="s">
        <v>12</v>
      </c>
      <c r="Z565" t="s">
        <v>12</v>
      </c>
      <c r="AA565" t="s">
        <v>12</v>
      </c>
      <c r="AB565" t="s">
        <v>12</v>
      </c>
      <c r="AC565" t="s">
        <v>12</v>
      </c>
      <c r="AD565" t="s">
        <v>12</v>
      </c>
    </row>
    <row r="566" spans="1:30">
      <c r="A566" t="s">
        <v>299</v>
      </c>
      <c r="B566" t="str">
        <f>Master_Data_Productivity[[#This Row],[Uniq-ID]]&amp;"-"&amp;Master_Data_Productivity[[#This Row],[Period]]</f>
        <v>DC-Document_Controller-067-M1</v>
      </c>
      <c r="C566" t="s">
        <v>300</v>
      </c>
      <c r="D566" t="s">
        <v>301</v>
      </c>
      <c r="E566" t="s">
        <v>13</v>
      </c>
      <c r="F566" t="s">
        <v>302</v>
      </c>
      <c r="G566" t="s">
        <v>15</v>
      </c>
      <c r="H566" t="s">
        <v>44</v>
      </c>
      <c r="I566">
        <v>0</v>
      </c>
      <c r="K566" t="s">
        <v>12</v>
      </c>
      <c r="L566" t="s">
        <v>12</v>
      </c>
      <c r="M566" t="s">
        <v>12</v>
      </c>
      <c r="Q566" t="s">
        <v>8</v>
      </c>
      <c r="R566" t="s">
        <v>12</v>
      </c>
      <c r="S566" t="s">
        <v>12</v>
      </c>
      <c r="T566" t="s">
        <v>12</v>
      </c>
      <c r="U566" t="s">
        <v>12</v>
      </c>
      <c r="V566" t="s">
        <v>12</v>
      </c>
      <c r="W566" t="s">
        <v>12</v>
      </c>
      <c r="X566" t="s">
        <v>12</v>
      </c>
      <c r="Y566" t="s">
        <v>12</v>
      </c>
      <c r="Z566" t="s">
        <v>12</v>
      </c>
      <c r="AA566" t="s">
        <v>12</v>
      </c>
      <c r="AB566" t="s">
        <v>12</v>
      </c>
      <c r="AC566" t="s">
        <v>12</v>
      </c>
      <c r="AD566" t="s">
        <v>12</v>
      </c>
    </row>
    <row r="567" spans="1:30">
      <c r="A567" t="s">
        <v>299</v>
      </c>
      <c r="B567" t="str">
        <f>Master_Data_Productivity[[#This Row],[Uniq-ID]]&amp;"-"&amp;Master_Data_Productivity[[#This Row],[Period]]</f>
        <v>DC-Document_Controller-067-M2</v>
      </c>
      <c r="C567" t="s">
        <v>300</v>
      </c>
      <c r="D567" t="s">
        <v>301</v>
      </c>
      <c r="E567" t="s">
        <v>18</v>
      </c>
      <c r="F567" t="s">
        <v>303</v>
      </c>
      <c r="G567" t="s">
        <v>33</v>
      </c>
      <c r="H567" t="s">
        <v>44</v>
      </c>
      <c r="I567">
        <v>0</v>
      </c>
      <c r="K567" t="s">
        <v>12</v>
      </c>
      <c r="L567" t="s">
        <v>12</v>
      </c>
      <c r="M567" t="s">
        <v>12</v>
      </c>
      <c r="Q567" t="s">
        <v>8</v>
      </c>
      <c r="R567" t="s">
        <v>12</v>
      </c>
      <c r="S567" t="s">
        <v>12</v>
      </c>
      <c r="T567" t="s">
        <v>12</v>
      </c>
      <c r="U567" t="s">
        <v>12</v>
      </c>
      <c r="V567" t="s">
        <v>12</v>
      </c>
      <c r="W567" t="s">
        <v>12</v>
      </c>
      <c r="X567" t="s">
        <v>12</v>
      </c>
      <c r="Y567" t="s">
        <v>12</v>
      </c>
      <c r="Z567" t="s">
        <v>12</v>
      </c>
      <c r="AA567" t="s">
        <v>12</v>
      </c>
      <c r="AB567" t="s">
        <v>12</v>
      </c>
      <c r="AC567" t="s">
        <v>12</v>
      </c>
      <c r="AD567" t="s">
        <v>12</v>
      </c>
    </row>
    <row r="568" spans="1:30">
      <c r="A568" t="s">
        <v>371</v>
      </c>
      <c r="B568" t="str">
        <f>Master_Data_Productivity[[#This Row],[Uniq-ID]]&amp;"-"&amp;Master_Data_Productivity[[#This Row],[Period]]</f>
        <v>DC-Document_Controller-078-M1</v>
      </c>
      <c r="C568" t="s">
        <v>372</v>
      </c>
      <c r="D568" t="s">
        <v>76</v>
      </c>
      <c r="E568" t="s">
        <v>13</v>
      </c>
      <c r="F568" t="s">
        <v>373</v>
      </c>
      <c r="G568" t="s">
        <v>33</v>
      </c>
      <c r="H568" t="s">
        <v>44</v>
      </c>
      <c r="I568">
        <v>0</v>
      </c>
      <c r="K568" t="s">
        <v>12</v>
      </c>
      <c r="L568" t="s">
        <v>12</v>
      </c>
      <c r="M568" t="s">
        <v>12</v>
      </c>
      <c r="Q568" t="s">
        <v>8</v>
      </c>
      <c r="R568" t="s">
        <v>12</v>
      </c>
      <c r="S568" t="s">
        <v>12</v>
      </c>
      <c r="T568" t="s">
        <v>12</v>
      </c>
      <c r="U568" t="s">
        <v>12</v>
      </c>
      <c r="V568" t="s">
        <v>12</v>
      </c>
      <c r="W568" t="s">
        <v>12</v>
      </c>
      <c r="X568" t="s">
        <v>12</v>
      </c>
      <c r="Y568" t="s">
        <v>12</v>
      </c>
      <c r="Z568" t="s">
        <v>12</v>
      </c>
      <c r="AA568" t="s">
        <v>12</v>
      </c>
      <c r="AB568" t="s">
        <v>12</v>
      </c>
      <c r="AC568" t="s">
        <v>12</v>
      </c>
      <c r="AD568" t="s">
        <v>12</v>
      </c>
    </row>
    <row r="569" spans="1:30">
      <c r="A569" t="s">
        <v>381</v>
      </c>
      <c r="B569" t="str">
        <f>Master_Data_Productivity[[#This Row],[Uniq-ID]]&amp;"-"&amp;Master_Data_Productivity[[#This Row],[Period]]</f>
        <v>DC-Document_Controller-047-M1</v>
      </c>
      <c r="C569" t="s">
        <v>382</v>
      </c>
      <c r="D569" t="s">
        <v>76</v>
      </c>
      <c r="E569" t="s">
        <v>13</v>
      </c>
      <c r="F569" t="s">
        <v>37</v>
      </c>
      <c r="G569" t="s">
        <v>15</v>
      </c>
      <c r="H569" t="s">
        <v>44</v>
      </c>
      <c r="I569">
        <v>0.307</v>
      </c>
      <c r="J569">
        <v>0.5</v>
      </c>
      <c r="K569" t="s">
        <v>2947</v>
      </c>
      <c r="L569" t="s">
        <v>3264</v>
      </c>
      <c r="M569" t="s">
        <v>2916</v>
      </c>
      <c r="N569">
        <v>1027</v>
      </c>
      <c r="O569">
        <v>315</v>
      </c>
      <c r="P569">
        <v>0.30669999999999997</v>
      </c>
      <c r="Q569" t="s">
        <v>8</v>
      </c>
      <c r="R569" t="s">
        <v>12</v>
      </c>
      <c r="S569" t="s">
        <v>12</v>
      </c>
      <c r="T569" t="s">
        <v>12</v>
      </c>
      <c r="U569" t="s">
        <v>12</v>
      </c>
      <c r="V569" t="s">
        <v>12</v>
      </c>
      <c r="W569" t="s">
        <v>12</v>
      </c>
      <c r="X569" t="s">
        <v>12</v>
      </c>
      <c r="Y569" t="s">
        <v>12</v>
      </c>
      <c r="Z569" t="s">
        <v>12</v>
      </c>
      <c r="AA569" t="s">
        <v>12</v>
      </c>
      <c r="AB569" t="s">
        <v>12</v>
      </c>
      <c r="AC569" t="s">
        <v>12</v>
      </c>
      <c r="AD569" t="s">
        <v>12</v>
      </c>
    </row>
    <row r="570" spans="1:30">
      <c r="A570" t="s">
        <v>381</v>
      </c>
      <c r="B570" t="str">
        <f>Master_Data_Productivity[[#This Row],[Uniq-ID]]&amp;"-"&amp;Master_Data_Productivity[[#This Row],[Period]]</f>
        <v>DC-Document_Controller-047-M2</v>
      </c>
      <c r="C570" t="s">
        <v>382</v>
      </c>
      <c r="D570" t="s">
        <v>76</v>
      </c>
      <c r="E570" t="s">
        <v>18</v>
      </c>
      <c r="F570" t="s">
        <v>39</v>
      </c>
      <c r="G570" t="s">
        <v>15</v>
      </c>
      <c r="H570" t="s">
        <v>44</v>
      </c>
      <c r="I570">
        <v>0</v>
      </c>
      <c r="K570" t="s">
        <v>12</v>
      </c>
      <c r="L570" t="s">
        <v>12</v>
      </c>
      <c r="M570" t="s">
        <v>12</v>
      </c>
      <c r="Q570" t="s">
        <v>8</v>
      </c>
      <c r="R570" t="s">
        <v>12</v>
      </c>
      <c r="S570" t="s">
        <v>12</v>
      </c>
      <c r="T570" t="s">
        <v>12</v>
      </c>
      <c r="U570" t="s">
        <v>12</v>
      </c>
      <c r="V570" t="s">
        <v>12</v>
      </c>
      <c r="W570" t="s">
        <v>12</v>
      </c>
      <c r="X570" t="s">
        <v>12</v>
      </c>
      <c r="Y570" t="s">
        <v>12</v>
      </c>
      <c r="Z570" t="s">
        <v>12</v>
      </c>
      <c r="AA570" t="s">
        <v>12</v>
      </c>
      <c r="AB570" t="s">
        <v>12</v>
      </c>
      <c r="AC570" t="s">
        <v>12</v>
      </c>
      <c r="AD570" t="s">
        <v>12</v>
      </c>
    </row>
    <row r="571" spans="1:30">
      <c r="A571" t="s">
        <v>381</v>
      </c>
      <c r="B571" t="str">
        <f>Master_Data_Productivity[[#This Row],[Uniq-ID]]&amp;"-"&amp;Master_Data_Productivity[[#This Row],[Period]]</f>
        <v>DC-Document_Controller-047-M3</v>
      </c>
      <c r="C571" t="s">
        <v>382</v>
      </c>
      <c r="D571" t="s">
        <v>76</v>
      </c>
      <c r="E571" t="s">
        <v>22</v>
      </c>
      <c r="F571" t="s">
        <v>41</v>
      </c>
      <c r="G571" t="s">
        <v>15</v>
      </c>
      <c r="H571" t="s">
        <v>44</v>
      </c>
      <c r="I571">
        <v>0</v>
      </c>
      <c r="K571" t="s">
        <v>12</v>
      </c>
      <c r="L571" t="s">
        <v>12</v>
      </c>
      <c r="M571" t="s">
        <v>12</v>
      </c>
      <c r="Q571" t="s">
        <v>8</v>
      </c>
      <c r="R571" t="s">
        <v>12</v>
      </c>
      <c r="S571" t="s">
        <v>12</v>
      </c>
      <c r="T571" t="s">
        <v>12</v>
      </c>
      <c r="U571" t="s">
        <v>12</v>
      </c>
      <c r="V571" t="s">
        <v>12</v>
      </c>
      <c r="W571" t="s">
        <v>12</v>
      </c>
      <c r="X571" t="s">
        <v>12</v>
      </c>
      <c r="Y571" t="s">
        <v>12</v>
      </c>
      <c r="Z571" t="s">
        <v>12</v>
      </c>
      <c r="AA571" t="s">
        <v>12</v>
      </c>
      <c r="AB571" t="s">
        <v>12</v>
      </c>
      <c r="AC571" t="s">
        <v>12</v>
      </c>
      <c r="AD571" t="s">
        <v>12</v>
      </c>
    </row>
    <row r="572" spans="1:30">
      <c r="A572" t="s">
        <v>381</v>
      </c>
      <c r="B572" t="str">
        <f>Master_Data_Productivity[[#This Row],[Uniq-ID]]&amp;"-"&amp;Master_Data_Productivity[[#This Row],[Period]]</f>
        <v>DC-Document_Controller-047-M4</v>
      </c>
      <c r="C572" t="s">
        <v>382</v>
      </c>
      <c r="D572" t="s">
        <v>76</v>
      </c>
      <c r="E572" t="s">
        <v>25</v>
      </c>
      <c r="F572" t="s">
        <v>43</v>
      </c>
      <c r="G572" t="s">
        <v>33</v>
      </c>
      <c r="H572" t="s">
        <v>44</v>
      </c>
      <c r="I572">
        <v>0</v>
      </c>
      <c r="K572" t="s">
        <v>12</v>
      </c>
      <c r="L572" t="s">
        <v>12</v>
      </c>
      <c r="M572" t="s">
        <v>12</v>
      </c>
      <c r="Q572" t="s">
        <v>8</v>
      </c>
      <c r="R572" t="s">
        <v>12</v>
      </c>
      <c r="S572" t="s">
        <v>12</v>
      </c>
      <c r="T572" t="s">
        <v>12</v>
      </c>
      <c r="U572" t="s">
        <v>12</v>
      </c>
      <c r="V572" t="s">
        <v>12</v>
      </c>
      <c r="W572" t="s">
        <v>12</v>
      </c>
      <c r="X572" t="s">
        <v>12</v>
      </c>
      <c r="Y572" t="s">
        <v>12</v>
      </c>
      <c r="Z572" t="s">
        <v>12</v>
      </c>
      <c r="AA572" t="s">
        <v>12</v>
      </c>
      <c r="AB572" t="s">
        <v>12</v>
      </c>
      <c r="AC572" t="s">
        <v>12</v>
      </c>
      <c r="AD572" t="s">
        <v>12</v>
      </c>
    </row>
    <row r="573" spans="1:30">
      <c r="A573" t="s">
        <v>377</v>
      </c>
      <c r="B573" t="str">
        <f>Master_Data_Productivity[[#This Row],[Uniq-ID]]&amp;"-"&amp;Master_Data_Productivity[[#This Row],[Period]]</f>
        <v>DC-Document_Controller-031-M1</v>
      </c>
      <c r="C573" t="s">
        <v>378</v>
      </c>
      <c r="D573" t="s">
        <v>250</v>
      </c>
      <c r="E573" t="s">
        <v>13</v>
      </c>
      <c r="F573" t="s">
        <v>14</v>
      </c>
      <c r="G573" t="s">
        <v>15</v>
      </c>
      <c r="H573" t="s">
        <v>44</v>
      </c>
      <c r="I573">
        <v>0</v>
      </c>
      <c r="K573" t="s">
        <v>12</v>
      </c>
      <c r="L573" t="s">
        <v>12</v>
      </c>
      <c r="M573" t="s">
        <v>12</v>
      </c>
      <c r="Q573" t="s">
        <v>8</v>
      </c>
      <c r="R573" t="s">
        <v>12</v>
      </c>
      <c r="S573" t="s">
        <v>12</v>
      </c>
      <c r="T573" t="s">
        <v>12</v>
      </c>
      <c r="U573" t="s">
        <v>12</v>
      </c>
      <c r="V573" t="s">
        <v>12</v>
      </c>
      <c r="W573" t="s">
        <v>12</v>
      </c>
      <c r="X573" t="s">
        <v>12</v>
      </c>
      <c r="Y573" t="s">
        <v>12</v>
      </c>
      <c r="Z573" t="s">
        <v>12</v>
      </c>
      <c r="AA573" t="s">
        <v>12</v>
      </c>
      <c r="AB573" t="s">
        <v>12</v>
      </c>
      <c r="AC573" t="s">
        <v>12</v>
      </c>
      <c r="AD573" t="s">
        <v>12</v>
      </c>
    </row>
    <row r="574" spans="1:30">
      <c r="A574" t="s">
        <v>377</v>
      </c>
      <c r="B574" t="str">
        <f>Master_Data_Productivity[[#This Row],[Uniq-ID]]&amp;"-"&amp;Master_Data_Productivity[[#This Row],[Period]]</f>
        <v>DC-Document_Controller-031-M2</v>
      </c>
      <c r="C574" t="s">
        <v>378</v>
      </c>
      <c r="D574" t="s">
        <v>250</v>
      </c>
      <c r="E574" t="s">
        <v>18</v>
      </c>
      <c r="F574" t="s">
        <v>19</v>
      </c>
      <c r="G574" t="s">
        <v>15</v>
      </c>
      <c r="H574" t="s">
        <v>44</v>
      </c>
      <c r="I574">
        <v>0</v>
      </c>
      <c r="K574" t="s">
        <v>12</v>
      </c>
      <c r="L574" t="s">
        <v>12</v>
      </c>
      <c r="M574" t="s">
        <v>12</v>
      </c>
      <c r="Q574" t="s">
        <v>8</v>
      </c>
      <c r="R574" t="s">
        <v>12</v>
      </c>
      <c r="S574" t="s">
        <v>12</v>
      </c>
      <c r="T574" t="s">
        <v>12</v>
      </c>
      <c r="U574" t="s">
        <v>12</v>
      </c>
      <c r="V574" t="s">
        <v>12</v>
      </c>
      <c r="W574" t="s">
        <v>12</v>
      </c>
      <c r="X574" t="s">
        <v>12</v>
      </c>
      <c r="Y574" t="s">
        <v>12</v>
      </c>
      <c r="Z574" t="s">
        <v>12</v>
      </c>
      <c r="AA574" t="s">
        <v>12</v>
      </c>
      <c r="AB574" t="s">
        <v>12</v>
      </c>
      <c r="AC574" t="s">
        <v>12</v>
      </c>
      <c r="AD574" t="s">
        <v>12</v>
      </c>
    </row>
    <row r="575" spans="1:30">
      <c r="A575" t="s">
        <v>377</v>
      </c>
      <c r="B575" t="str">
        <f>Master_Data_Productivity[[#This Row],[Uniq-ID]]&amp;"-"&amp;Master_Data_Productivity[[#This Row],[Period]]</f>
        <v>DC-Document_Controller-031-M3</v>
      </c>
      <c r="C575" t="s">
        <v>378</v>
      </c>
      <c r="D575" t="s">
        <v>250</v>
      </c>
      <c r="E575" t="s">
        <v>22</v>
      </c>
      <c r="F575" t="s">
        <v>23</v>
      </c>
      <c r="G575" t="s">
        <v>15</v>
      </c>
      <c r="H575" t="s">
        <v>20</v>
      </c>
      <c r="I575">
        <v>1.08</v>
      </c>
      <c r="J575">
        <v>1</v>
      </c>
      <c r="K575" t="s">
        <v>2887</v>
      </c>
      <c r="L575" t="s">
        <v>3244</v>
      </c>
      <c r="M575" t="s">
        <v>2873</v>
      </c>
      <c r="N575">
        <v>50</v>
      </c>
      <c r="O575">
        <v>54</v>
      </c>
      <c r="P575">
        <v>1.08</v>
      </c>
      <c r="Q575" t="s">
        <v>8</v>
      </c>
      <c r="R575" t="s">
        <v>12</v>
      </c>
      <c r="S575" t="s">
        <v>12</v>
      </c>
      <c r="T575" t="s">
        <v>12</v>
      </c>
      <c r="U575" t="s">
        <v>12</v>
      </c>
      <c r="V575" t="s">
        <v>12</v>
      </c>
      <c r="W575" t="s">
        <v>12</v>
      </c>
      <c r="X575" t="s">
        <v>12</v>
      </c>
      <c r="Y575" t="s">
        <v>12</v>
      </c>
      <c r="Z575" t="s">
        <v>12</v>
      </c>
      <c r="AA575" t="s">
        <v>12</v>
      </c>
      <c r="AB575" t="s">
        <v>12</v>
      </c>
      <c r="AC575" t="s">
        <v>12</v>
      </c>
      <c r="AD575" t="s">
        <v>12</v>
      </c>
    </row>
    <row r="576" spans="1:30">
      <c r="A576" t="s">
        <v>377</v>
      </c>
      <c r="B576" t="str">
        <f>Master_Data_Productivity[[#This Row],[Uniq-ID]]&amp;"-"&amp;Master_Data_Productivity[[#This Row],[Period]]</f>
        <v>DC-Document_Controller-031-M4</v>
      </c>
      <c r="C576" t="s">
        <v>378</v>
      </c>
      <c r="D576" t="s">
        <v>250</v>
      </c>
      <c r="E576" t="s">
        <v>25</v>
      </c>
      <c r="F576" t="s">
        <v>26</v>
      </c>
      <c r="G576" t="s">
        <v>15</v>
      </c>
      <c r="H576" t="s">
        <v>20</v>
      </c>
      <c r="I576">
        <v>1.54</v>
      </c>
      <c r="J576">
        <v>1</v>
      </c>
      <c r="K576" t="s">
        <v>2887</v>
      </c>
      <c r="L576" t="s">
        <v>3244</v>
      </c>
      <c r="M576" t="s">
        <v>2873</v>
      </c>
      <c r="N576">
        <v>50</v>
      </c>
      <c r="O576">
        <v>77</v>
      </c>
      <c r="P576">
        <v>1.54</v>
      </c>
      <c r="Q576" t="s">
        <v>8</v>
      </c>
      <c r="R576" t="s">
        <v>12</v>
      </c>
      <c r="S576" t="s">
        <v>12</v>
      </c>
      <c r="T576" t="s">
        <v>12</v>
      </c>
      <c r="U576" t="s">
        <v>12</v>
      </c>
      <c r="V576" t="s">
        <v>12</v>
      </c>
      <c r="W576" t="s">
        <v>12</v>
      </c>
      <c r="X576" t="s">
        <v>12</v>
      </c>
      <c r="Y576" t="s">
        <v>12</v>
      </c>
      <c r="Z576" t="s">
        <v>12</v>
      </c>
      <c r="AA576" t="s">
        <v>12</v>
      </c>
      <c r="AB576" t="s">
        <v>12</v>
      </c>
      <c r="AC576" t="s">
        <v>12</v>
      </c>
      <c r="AD576" t="s">
        <v>12</v>
      </c>
    </row>
    <row r="577" spans="1:30">
      <c r="A577" t="s">
        <v>377</v>
      </c>
      <c r="B577" t="str">
        <f>Master_Data_Productivity[[#This Row],[Uniq-ID]]&amp;"-"&amp;Master_Data_Productivity[[#This Row],[Period]]</f>
        <v>DC-Document_Controller-031-M5</v>
      </c>
      <c r="C577" t="s">
        <v>378</v>
      </c>
      <c r="D577" t="s">
        <v>250</v>
      </c>
      <c r="E577" t="s">
        <v>28</v>
      </c>
      <c r="F577" t="s">
        <v>29</v>
      </c>
      <c r="G577" t="s">
        <v>15</v>
      </c>
      <c r="H577" t="s">
        <v>20</v>
      </c>
      <c r="I577">
        <v>1.04</v>
      </c>
      <c r="J577">
        <v>1</v>
      </c>
      <c r="K577" t="s">
        <v>2887</v>
      </c>
      <c r="L577" t="s">
        <v>3244</v>
      </c>
      <c r="M577" t="s">
        <v>2873</v>
      </c>
      <c r="N577">
        <v>50</v>
      </c>
      <c r="O577">
        <v>52</v>
      </c>
      <c r="P577">
        <v>1.04</v>
      </c>
      <c r="Q577" t="s">
        <v>8</v>
      </c>
      <c r="R577" t="s">
        <v>12</v>
      </c>
      <c r="S577" t="s">
        <v>12</v>
      </c>
      <c r="T577" t="s">
        <v>12</v>
      </c>
      <c r="U577" t="s">
        <v>12</v>
      </c>
      <c r="V577" t="s">
        <v>12</v>
      </c>
      <c r="W577" t="s">
        <v>12</v>
      </c>
      <c r="X577" t="s">
        <v>12</v>
      </c>
      <c r="Y577" t="s">
        <v>12</v>
      </c>
      <c r="Z577" t="s">
        <v>12</v>
      </c>
      <c r="AA577" t="s">
        <v>12</v>
      </c>
      <c r="AB577" t="s">
        <v>12</v>
      </c>
      <c r="AC577" t="s">
        <v>12</v>
      </c>
      <c r="AD577" t="s">
        <v>12</v>
      </c>
    </row>
    <row r="578" spans="1:30">
      <c r="A578" t="s">
        <v>377</v>
      </c>
      <c r="B578" t="str">
        <f>Master_Data_Productivity[[#This Row],[Uniq-ID]]&amp;"-"&amp;Master_Data_Productivity[[#This Row],[Period]]</f>
        <v>DC-Document_Controller-031-M6</v>
      </c>
      <c r="C578" t="s">
        <v>378</v>
      </c>
      <c r="D578" t="s">
        <v>250</v>
      </c>
      <c r="E578" t="s">
        <v>31</v>
      </c>
      <c r="F578" t="s">
        <v>32</v>
      </c>
      <c r="G578" t="s">
        <v>33</v>
      </c>
      <c r="H578" t="s">
        <v>44</v>
      </c>
      <c r="I578">
        <v>0</v>
      </c>
      <c r="K578" t="s">
        <v>12</v>
      </c>
      <c r="L578" t="s">
        <v>12</v>
      </c>
      <c r="M578" t="s">
        <v>12</v>
      </c>
      <c r="Q578" t="s">
        <v>8</v>
      </c>
      <c r="R578" t="s">
        <v>12</v>
      </c>
      <c r="S578" t="s">
        <v>12</v>
      </c>
      <c r="T578" t="s">
        <v>12</v>
      </c>
      <c r="U578" t="s">
        <v>12</v>
      </c>
      <c r="V578" t="s">
        <v>12</v>
      </c>
      <c r="W578" t="s">
        <v>12</v>
      </c>
      <c r="X578" t="s">
        <v>12</v>
      </c>
      <c r="Y578" t="s">
        <v>12</v>
      </c>
      <c r="Z578" t="s">
        <v>12</v>
      </c>
      <c r="AA578" t="s">
        <v>12</v>
      </c>
      <c r="AB578" t="s">
        <v>12</v>
      </c>
      <c r="AC578" t="s">
        <v>12</v>
      </c>
      <c r="AD578" t="s">
        <v>12</v>
      </c>
    </row>
    <row r="579" spans="1:30">
      <c r="A579" t="s">
        <v>405</v>
      </c>
      <c r="B579" t="str">
        <f>Master_Data_Productivity[[#This Row],[Uniq-ID]]&amp;"-"&amp;Master_Data_Productivity[[#This Row],[Period]]</f>
        <v>DC-Document_Controller-020-M1</v>
      </c>
      <c r="C579" t="s">
        <v>406</v>
      </c>
      <c r="D579" t="s">
        <v>48</v>
      </c>
      <c r="E579" t="s">
        <v>13</v>
      </c>
      <c r="F579" t="s">
        <v>200</v>
      </c>
      <c r="G579" t="s">
        <v>15</v>
      </c>
      <c r="H579" t="s">
        <v>44</v>
      </c>
      <c r="I579">
        <v>0.73899999999999999</v>
      </c>
      <c r="J579">
        <v>0.74</v>
      </c>
      <c r="K579" t="s">
        <v>2871</v>
      </c>
      <c r="L579" t="s">
        <v>3192</v>
      </c>
      <c r="M579" t="s">
        <v>2873</v>
      </c>
      <c r="N579">
        <v>154</v>
      </c>
      <c r="O579">
        <v>19</v>
      </c>
      <c r="P579">
        <v>0.1234</v>
      </c>
      <c r="Q579" t="s">
        <v>8</v>
      </c>
      <c r="R579" t="s">
        <v>12</v>
      </c>
      <c r="S579" t="s">
        <v>12</v>
      </c>
      <c r="T579" t="s">
        <v>12</v>
      </c>
      <c r="U579" t="s">
        <v>12</v>
      </c>
      <c r="V579" t="s">
        <v>12</v>
      </c>
      <c r="W579" t="s">
        <v>12</v>
      </c>
      <c r="X579" t="s">
        <v>12</v>
      </c>
      <c r="Y579" t="s">
        <v>12</v>
      </c>
      <c r="Z579" t="s">
        <v>12</v>
      </c>
      <c r="AA579" t="s">
        <v>12</v>
      </c>
      <c r="AB579" t="s">
        <v>12</v>
      </c>
      <c r="AC579" t="s">
        <v>12</v>
      </c>
      <c r="AD579" t="s">
        <v>12</v>
      </c>
    </row>
    <row r="580" spans="1:30">
      <c r="A580" t="s">
        <v>405</v>
      </c>
      <c r="B580" t="str">
        <f>Master_Data_Productivity[[#This Row],[Uniq-ID]]&amp;"-"&amp;Master_Data_Productivity[[#This Row],[Period]]</f>
        <v>DC-Document_Controller-020-M1</v>
      </c>
      <c r="C580" t="s">
        <v>406</v>
      </c>
      <c r="D580" t="s">
        <v>48</v>
      </c>
      <c r="E580" t="s">
        <v>13</v>
      </c>
      <c r="F580" t="s">
        <v>200</v>
      </c>
      <c r="G580" t="s">
        <v>15</v>
      </c>
      <c r="H580" t="s">
        <v>44</v>
      </c>
      <c r="I580">
        <v>0.73899999999999999</v>
      </c>
      <c r="J580">
        <v>0.74</v>
      </c>
      <c r="K580" t="s">
        <v>2871</v>
      </c>
      <c r="L580" t="s">
        <v>3190</v>
      </c>
      <c r="M580" t="s">
        <v>2873</v>
      </c>
      <c r="N580">
        <v>168</v>
      </c>
      <c r="O580">
        <v>81</v>
      </c>
      <c r="P580">
        <v>0.48209999999999997</v>
      </c>
      <c r="Q580" t="s">
        <v>8</v>
      </c>
      <c r="R580" t="s">
        <v>12</v>
      </c>
      <c r="S580" t="s">
        <v>12</v>
      </c>
      <c r="T580" t="s">
        <v>12</v>
      </c>
      <c r="U580" t="s">
        <v>12</v>
      </c>
      <c r="V580" t="s">
        <v>12</v>
      </c>
      <c r="W580" t="s">
        <v>12</v>
      </c>
      <c r="X580" t="s">
        <v>12</v>
      </c>
      <c r="Y580" t="s">
        <v>12</v>
      </c>
      <c r="Z580" t="s">
        <v>12</v>
      </c>
      <c r="AA580" t="s">
        <v>12</v>
      </c>
      <c r="AB580" t="s">
        <v>12</v>
      </c>
      <c r="AC580" t="s">
        <v>12</v>
      </c>
      <c r="AD580" t="s">
        <v>12</v>
      </c>
    </row>
    <row r="581" spans="1:30">
      <c r="A581" t="s">
        <v>405</v>
      </c>
      <c r="B581" t="str">
        <f>Master_Data_Productivity[[#This Row],[Uniq-ID]]&amp;"-"&amp;Master_Data_Productivity[[#This Row],[Period]]</f>
        <v>DC-Document_Controller-020-M1</v>
      </c>
      <c r="C581" t="s">
        <v>406</v>
      </c>
      <c r="D581" t="s">
        <v>48</v>
      </c>
      <c r="E581" t="s">
        <v>13</v>
      </c>
      <c r="F581" t="s">
        <v>200</v>
      </c>
      <c r="G581" t="s">
        <v>15</v>
      </c>
      <c r="H581" t="s">
        <v>44</v>
      </c>
      <c r="I581">
        <v>0.73899999999999999</v>
      </c>
      <c r="J581">
        <v>0.74</v>
      </c>
      <c r="K581" t="s">
        <v>2887</v>
      </c>
      <c r="L581" t="s">
        <v>3194</v>
      </c>
      <c r="M581" t="s">
        <v>2873</v>
      </c>
      <c r="N581">
        <v>616</v>
      </c>
      <c r="O581">
        <v>82</v>
      </c>
      <c r="P581">
        <v>0.1331</v>
      </c>
      <c r="Q581" t="s">
        <v>8</v>
      </c>
      <c r="R581" t="s">
        <v>12</v>
      </c>
      <c r="S581" t="s">
        <v>12</v>
      </c>
      <c r="T581" t="s">
        <v>12</v>
      </c>
      <c r="U581" t="s">
        <v>12</v>
      </c>
      <c r="V581" t="s">
        <v>12</v>
      </c>
      <c r="W581" t="s">
        <v>12</v>
      </c>
      <c r="X581" t="s">
        <v>12</v>
      </c>
      <c r="Y581" t="s">
        <v>12</v>
      </c>
      <c r="Z581" t="s">
        <v>12</v>
      </c>
      <c r="AA581" t="s">
        <v>12</v>
      </c>
      <c r="AB581" t="s">
        <v>12</v>
      </c>
      <c r="AC581" t="s">
        <v>12</v>
      </c>
      <c r="AD581" t="s">
        <v>12</v>
      </c>
    </row>
    <row r="582" spans="1:30">
      <c r="A582" t="s">
        <v>405</v>
      </c>
      <c r="B582" t="str">
        <f>Master_Data_Productivity[[#This Row],[Uniq-ID]]&amp;"-"&amp;Master_Data_Productivity[[#This Row],[Period]]</f>
        <v>DC-Document_Controller-020-M2</v>
      </c>
      <c r="C582" t="s">
        <v>406</v>
      </c>
      <c r="D582" t="s">
        <v>48</v>
      </c>
      <c r="E582" t="s">
        <v>18</v>
      </c>
      <c r="F582" t="s">
        <v>202</v>
      </c>
      <c r="G582" t="s">
        <v>15</v>
      </c>
      <c r="H582" t="s">
        <v>44</v>
      </c>
      <c r="I582">
        <v>0.95799999999999996</v>
      </c>
      <c r="J582">
        <v>0.96</v>
      </c>
      <c r="K582" t="s">
        <v>2887</v>
      </c>
      <c r="L582" t="s">
        <v>3194</v>
      </c>
      <c r="M582" t="s">
        <v>2873</v>
      </c>
      <c r="N582">
        <v>616</v>
      </c>
      <c r="O582">
        <v>182</v>
      </c>
      <c r="P582">
        <v>0.29549999999999998</v>
      </c>
      <c r="Q582" t="s">
        <v>8</v>
      </c>
      <c r="R582" t="s">
        <v>12</v>
      </c>
      <c r="S582" t="s">
        <v>12</v>
      </c>
      <c r="T582" t="s">
        <v>12</v>
      </c>
      <c r="U582" t="s">
        <v>12</v>
      </c>
      <c r="V582" t="s">
        <v>12</v>
      </c>
      <c r="W582" t="s">
        <v>12</v>
      </c>
      <c r="X582" t="s">
        <v>12</v>
      </c>
      <c r="Y582" t="s">
        <v>12</v>
      </c>
      <c r="Z582" t="s">
        <v>12</v>
      </c>
      <c r="AA582" t="s">
        <v>12</v>
      </c>
      <c r="AB582" t="s">
        <v>12</v>
      </c>
      <c r="AC582" t="s">
        <v>12</v>
      </c>
      <c r="AD582" t="s">
        <v>12</v>
      </c>
    </row>
    <row r="583" spans="1:30">
      <c r="A583" t="s">
        <v>405</v>
      </c>
      <c r="B583" t="str">
        <f>Master_Data_Productivity[[#This Row],[Uniq-ID]]&amp;"-"&amp;Master_Data_Productivity[[#This Row],[Period]]</f>
        <v>DC-Document_Controller-020-M2</v>
      </c>
      <c r="C583" t="s">
        <v>406</v>
      </c>
      <c r="D583" t="s">
        <v>48</v>
      </c>
      <c r="E583" t="s">
        <v>18</v>
      </c>
      <c r="F583" t="s">
        <v>202</v>
      </c>
      <c r="G583" t="s">
        <v>15</v>
      </c>
      <c r="H583" t="s">
        <v>44</v>
      </c>
      <c r="I583">
        <v>0.95799999999999996</v>
      </c>
      <c r="J583">
        <v>0.96</v>
      </c>
      <c r="K583" t="s">
        <v>2871</v>
      </c>
      <c r="L583" t="s">
        <v>3192</v>
      </c>
      <c r="M583" t="s">
        <v>2873</v>
      </c>
      <c r="N583">
        <v>154</v>
      </c>
      <c r="O583">
        <v>25</v>
      </c>
      <c r="P583">
        <v>0.1623</v>
      </c>
      <c r="Q583" t="s">
        <v>8</v>
      </c>
      <c r="R583" t="s">
        <v>12</v>
      </c>
      <c r="S583" t="s">
        <v>12</v>
      </c>
      <c r="T583" t="s">
        <v>12</v>
      </c>
      <c r="U583" t="s">
        <v>12</v>
      </c>
      <c r="V583" t="s">
        <v>12</v>
      </c>
      <c r="W583" t="s">
        <v>12</v>
      </c>
      <c r="X583" t="s">
        <v>12</v>
      </c>
      <c r="Y583" t="s">
        <v>12</v>
      </c>
      <c r="Z583" t="s">
        <v>12</v>
      </c>
      <c r="AA583" t="s">
        <v>12</v>
      </c>
      <c r="AB583" t="s">
        <v>12</v>
      </c>
      <c r="AC583" t="s">
        <v>12</v>
      </c>
      <c r="AD583" t="s">
        <v>12</v>
      </c>
    </row>
    <row r="584" spans="1:30">
      <c r="A584" t="s">
        <v>405</v>
      </c>
      <c r="B584" t="str">
        <f>Master_Data_Productivity[[#This Row],[Uniq-ID]]&amp;"-"&amp;Master_Data_Productivity[[#This Row],[Period]]</f>
        <v>DC-Document_Controller-020-M2</v>
      </c>
      <c r="C584" t="s">
        <v>406</v>
      </c>
      <c r="D584" t="s">
        <v>48</v>
      </c>
      <c r="E584" t="s">
        <v>18</v>
      </c>
      <c r="F584" t="s">
        <v>202</v>
      </c>
      <c r="G584" t="s">
        <v>15</v>
      </c>
      <c r="H584" t="s">
        <v>44</v>
      </c>
      <c r="I584">
        <v>0.95799999999999996</v>
      </c>
      <c r="J584">
        <v>0.96</v>
      </c>
      <c r="K584" t="s">
        <v>2871</v>
      </c>
      <c r="L584" t="s">
        <v>3190</v>
      </c>
      <c r="M584" t="s">
        <v>2873</v>
      </c>
      <c r="N584">
        <v>168</v>
      </c>
      <c r="O584">
        <v>84</v>
      </c>
      <c r="P584">
        <v>0.5</v>
      </c>
      <c r="Q584" t="s">
        <v>8</v>
      </c>
      <c r="R584" t="s">
        <v>12</v>
      </c>
      <c r="S584" t="s">
        <v>12</v>
      </c>
      <c r="T584" t="s">
        <v>12</v>
      </c>
      <c r="U584" t="s">
        <v>12</v>
      </c>
      <c r="V584" t="s">
        <v>12</v>
      </c>
      <c r="W584" t="s">
        <v>12</v>
      </c>
      <c r="X584" t="s">
        <v>12</v>
      </c>
      <c r="Y584" t="s">
        <v>12</v>
      </c>
      <c r="Z584" t="s">
        <v>12</v>
      </c>
      <c r="AA584" t="s">
        <v>12</v>
      </c>
      <c r="AB584" t="s">
        <v>12</v>
      </c>
      <c r="AC584" t="s">
        <v>12</v>
      </c>
      <c r="AD584" t="s">
        <v>12</v>
      </c>
    </row>
    <row r="585" spans="1:30">
      <c r="A585" t="s">
        <v>405</v>
      </c>
      <c r="B585" t="str">
        <f>Master_Data_Productivity[[#This Row],[Uniq-ID]]&amp;"-"&amp;Master_Data_Productivity[[#This Row],[Period]]</f>
        <v>DC-Document_Controller-020-M3</v>
      </c>
      <c r="C585" t="s">
        <v>406</v>
      </c>
      <c r="D585" t="s">
        <v>48</v>
      </c>
      <c r="E585" t="s">
        <v>22</v>
      </c>
      <c r="F585" t="s">
        <v>204</v>
      </c>
      <c r="G585" t="s">
        <v>15</v>
      </c>
      <c r="H585" t="s">
        <v>16</v>
      </c>
      <c r="I585">
        <v>3.794</v>
      </c>
      <c r="J585">
        <v>1.5</v>
      </c>
      <c r="K585" t="s">
        <v>2887</v>
      </c>
      <c r="L585" t="s">
        <v>3194</v>
      </c>
      <c r="M585" t="s">
        <v>2873</v>
      </c>
      <c r="N585">
        <v>616</v>
      </c>
      <c r="O585">
        <v>313</v>
      </c>
      <c r="P585">
        <v>0.5081</v>
      </c>
      <c r="Q585" t="s">
        <v>8</v>
      </c>
      <c r="R585" t="s">
        <v>12</v>
      </c>
      <c r="S585" t="s">
        <v>12</v>
      </c>
      <c r="T585" t="s">
        <v>12</v>
      </c>
      <c r="U585" t="s">
        <v>12</v>
      </c>
      <c r="V585" t="s">
        <v>12</v>
      </c>
      <c r="W585" t="s">
        <v>12</v>
      </c>
      <c r="X585" t="s">
        <v>12</v>
      </c>
      <c r="Y585" t="s">
        <v>12</v>
      </c>
      <c r="Z585" t="s">
        <v>12</v>
      </c>
      <c r="AA585" t="s">
        <v>12</v>
      </c>
      <c r="AB585" t="s">
        <v>12</v>
      </c>
      <c r="AC585" t="s">
        <v>12</v>
      </c>
      <c r="AD585" t="s">
        <v>12</v>
      </c>
    </row>
    <row r="586" spans="1:30">
      <c r="A586" t="s">
        <v>405</v>
      </c>
      <c r="B586" t="str">
        <f>Master_Data_Productivity[[#This Row],[Uniq-ID]]&amp;"-"&amp;Master_Data_Productivity[[#This Row],[Period]]</f>
        <v>DC-Document_Controller-020-M3</v>
      </c>
      <c r="C586" t="s">
        <v>406</v>
      </c>
      <c r="D586" t="s">
        <v>48</v>
      </c>
      <c r="E586" t="s">
        <v>22</v>
      </c>
      <c r="F586" t="s">
        <v>204</v>
      </c>
      <c r="G586" t="s">
        <v>15</v>
      </c>
      <c r="H586" t="s">
        <v>16</v>
      </c>
      <c r="I586">
        <v>3.794</v>
      </c>
      <c r="J586">
        <v>1.5</v>
      </c>
      <c r="K586" t="s">
        <v>2887</v>
      </c>
      <c r="L586" t="s">
        <v>3199</v>
      </c>
      <c r="M586" t="s">
        <v>2916</v>
      </c>
      <c r="O586">
        <v>39</v>
      </c>
      <c r="Q586" t="s">
        <v>8</v>
      </c>
      <c r="R586" t="s">
        <v>12</v>
      </c>
      <c r="S586" t="s">
        <v>12</v>
      </c>
      <c r="T586" t="s">
        <v>12</v>
      </c>
      <c r="U586" t="s">
        <v>12</v>
      </c>
      <c r="V586" t="s">
        <v>12</v>
      </c>
      <c r="W586" t="s">
        <v>12</v>
      </c>
      <c r="X586" t="s">
        <v>12</v>
      </c>
      <c r="Y586" t="s">
        <v>12</v>
      </c>
      <c r="Z586" t="s">
        <v>12</v>
      </c>
      <c r="AA586" t="s">
        <v>12</v>
      </c>
      <c r="AB586" t="s">
        <v>12</v>
      </c>
      <c r="AC586" t="s">
        <v>12</v>
      </c>
      <c r="AD586" t="s">
        <v>12</v>
      </c>
    </row>
    <row r="587" spans="1:30">
      <c r="A587" t="s">
        <v>405</v>
      </c>
      <c r="B587" t="str">
        <f>Master_Data_Productivity[[#This Row],[Uniq-ID]]&amp;"-"&amp;Master_Data_Productivity[[#This Row],[Period]]</f>
        <v>DC-Document_Controller-020-M3</v>
      </c>
      <c r="C587" t="s">
        <v>406</v>
      </c>
      <c r="D587" t="s">
        <v>48</v>
      </c>
      <c r="E587" t="s">
        <v>22</v>
      </c>
      <c r="F587" t="s">
        <v>204</v>
      </c>
      <c r="G587" t="s">
        <v>15</v>
      </c>
      <c r="H587" t="s">
        <v>16</v>
      </c>
      <c r="I587">
        <v>3.794</v>
      </c>
      <c r="J587">
        <v>1.5</v>
      </c>
      <c r="K587" t="s">
        <v>2887</v>
      </c>
      <c r="L587" t="s">
        <v>3200</v>
      </c>
      <c r="M587" t="s">
        <v>2916</v>
      </c>
      <c r="N587">
        <v>308</v>
      </c>
      <c r="O587">
        <v>35</v>
      </c>
      <c r="P587">
        <v>0.11360000000000001</v>
      </c>
      <c r="Q587" t="s">
        <v>8</v>
      </c>
      <c r="R587" t="s">
        <v>12</v>
      </c>
      <c r="S587" t="s">
        <v>12</v>
      </c>
      <c r="T587" t="s">
        <v>12</v>
      </c>
      <c r="U587" t="s">
        <v>12</v>
      </c>
      <c r="V587" t="s">
        <v>12</v>
      </c>
      <c r="W587" t="s">
        <v>12</v>
      </c>
      <c r="X587" t="s">
        <v>12</v>
      </c>
      <c r="Y587" t="s">
        <v>12</v>
      </c>
      <c r="Z587" t="s">
        <v>12</v>
      </c>
      <c r="AA587" t="s">
        <v>12</v>
      </c>
      <c r="AB587" t="s">
        <v>12</v>
      </c>
      <c r="AC587" t="s">
        <v>12</v>
      </c>
      <c r="AD587" t="s">
        <v>12</v>
      </c>
    </row>
    <row r="588" spans="1:30">
      <c r="A588" t="s">
        <v>405</v>
      </c>
      <c r="B588" t="str">
        <f>Master_Data_Productivity[[#This Row],[Uniq-ID]]&amp;"-"&amp;Master_Data_Productivity[[#This Row],[Period]]</f>
        <v>DC-Document_Controller-020-M3</v>
      </c>
      <c r="C588" t="s">
        <v>406</v>
      </c>
      <c r="D588" t="s">
        <v>48</v>
      </c>
      <c r="E588" t="s">
        <v>22</v>
      </c>
      <c r="F588" t="s">
        <v>204</v>
      </c>
      <c r="G588" t="s">
        <v>15</v>
      </c>
      <c r="H588" t="s">
        <v>16</v>
      </c>
      <c r="I588">
        <v>3.794</v>
      </c>
      <c r="J588">
        <v>1.5</v>
      </c>
      <c r="K588" t="s">
        <v>2871</v>
      </c>
      <c r="L588" t="s">
        <v>3192</v>
      </c>
      <c r="M588" t="s">
        <v>2873</v>
      </c>
      <c r="N588">
        <v>154</v>
      </c>
      <c r="O588">
        <v>65</v>
      </c>
      <c r="P588">
        <v>0.42209999999999998</v>
      </c>
      <c r="Q588" t="s">
        <v>8</v>
      </c>
      <c r="R588" t="s">
        <v>12</v>
      </c>
      <c r="S588" t="s">
        <v>12</v>
      </c>
      <c r="T588" t="s">
        <v>12</v>
      </c>
      <c r="U588" t="s">
        <v>12</v>
      </c>
      <c r="V588" t="s">
        <v>12</v>
      </c>
      <c r="W588" t="s">
        <v>12</v>
      </c>
      <c r="X588" t="s">
        <v>12</v>
      </c>
      <c r="Y588" t="s">
        <v>12</v>
      </c>
      <c r="Z588" t="s">
        <v>12</v>
      </c>
      <c r="AA588" t="s">
        <v>12</v>
      </c>
      <c r="AB588" t="s">
        <v>12</v>
      </c>
      <c r="AC588" t="s">
        <v>12</v>
      </c>
      <c r="AD588" t="s">
        <v>12</v>
      </c>
    </row>
    <row r="589" spans="1:30">
      <c r="A589" t="s">
        <v>405</v>
      </c>
      <c r="B589" t="str">
        <f>Master_Data_Productivity[[#This Row],[Uniq-ID]]&amp;"-"&amp;Master_Data_Productivity[[#This Row],[Period]]</f>
        <v>DC-Document_Controller-020-M3</v>
      </c>
      <c r="C589" t="s">
        <v>406</v>
      </c>
      <c r="D589" t="s">
        <v>48</v>
      </c>
      <c r="E589" t="s">
        <v>22</v>
      </c>
      <c r="F589" t="s">
        <v>204</v>
      </c>
      <c r="G589" t="s">
        <v>15</v>
      </c>
      <c r="H589" t="s">
        <v>16</v>
      </c>
      <c r="I589">
        <v>3.794</v>
      </c>
      <c r="J589">
        <v>1.5</v>
      </c>
      <c r="K589" t="s">
        <v>2871</v>
      </c>
      <c r="L589" t="s">
        <v>3190</v>
      </c>
      <c r="M589" t="s">
        <v>2873</v>
      </c>
      <c r="N589">
        <v>168</v>
      </c>
      <c r="O589">
        <v>462</v>
      </c>
      <c r="P589">
        <v>2.75</v>
      </c>
      <c r="Q589" t="s">
        <v>8</v>
      </c>
      <c r="R589" t="s">
        <v>12</v>
      </c>
      <c r="S589" t="s">
        <v>12</v>
      </c>
      <c r="T589" t="s">
        <v>12</v>
      </c>
      <c r="U589" t="s">
        <v>12</v>
      </c>
      <c r="V589" t="s">
        <v>12</v>
      </c>
      <c r="W589" t="s">
        <v>12</v>
      </c>
      <c r="X589" t="s">
        <v>12</v>
      </c>
      <c r="Y589" t="s">
        <v>12</v>
      </c>
      <c r="Z589" t="s">
        <v>12</v>
      </c>
      <c r="AA589" t="s">
        <v>12</v>
      </c>
      <c r="AB589" t="s">
        <v>12</v>
      </c>
      <c r="AC589" t="s">
        <v>12</v>
      </c>
      <c r="AD589" t="s">
        <v>12</v>
      </c>
    </row>
    <row r="590" spans="1:30">
      <c r="A590" t="s">
        <v>405</v>
      </c>
      <c r="B590" t="str">
        <f>Master_Data_Productivity[[#This Row],[Uniq-ID]]&amp;"-"&amp;Master_Data_Productivity[[#This Row],[Period]]</f>
        <v>DC-Document_Controller-020-M4</v>
      </c>
      <c r="C590" t="s">
        <v>406</v>
      </c>
      <c r="D590" t="s">
        <v>48</v>
      </c>
      <c r="E590" t="s">
        <v>25</v>
      </c>
      <c r="F590" t="s">
        <v>206</v>
      </c>
      <c r="G590" t="s">
        <v>15</v>
      </c>
      <c r="H590" t="s">
        <v>16</v>
      </c>
      <c r="I590">
        <v>6.9790000000000001</v>
      </c>
      <c r="J590">
        <v>1.5</v>
      </c>
      <c r="K590" t="s">
        <v>2887</v>
      </c>
      <c r="L590" t="s">
        <v>3199</v>
      </c>
      <c r="M590" t="s">
        <v>2873</v>
      </c>
      <c r="N590">
        <v>462</v>
      </c>
      <c r="O590">
        <v>592</v>
      </c>
      <c r="P590">
        <v>1.2814000000000001</v>
      </c>
      <c r="Q590" t="s">
        <v>8</v>
      </c>
      <c r="R590" t="s">
        <v>12</v>
      </c>
      <c r="S590" t="s">
        <v>12</v>
      </c>
      <c r="T590" t="s">
        <v>12</v>
      </c>
      <c r="U590" t="s">
        <v>12</v>
      </c>
      <c r="V590" t="s">
        <v>12</v>
      </c>
      <c r="W590" t="s">
        <v>12</v>
      </c>
      <c r="X590" t="s">
        <v>12</v>
      </c>
      <c r="Y590" t="s">
        <v>12</v>
      </c>
      <c r="Z590" t="s">
        <v>12</v>
      </c>
      <c r="AA590" t="s">
        <v>12</v>
      </c>
      <c r="AB590" t="s">
        <v>12</v>
      </c>
      <c r="AC590" t="s">
        <v>12</v>
      </c>
      <c r="AD590" t="s">
        <v>12</v>
      </c>
    </row>
    <row r="591" spans="1:30">
      <c r="A591" t="s">
        <v>405</v>
      </c>
      <c r="B591" t="str">
        <f>Master_Data_Productivity[[#This Row],[Uniq-ID]]&amp;"-"&amp;Master_Data_Productivity[[#This Row],[Period]]</f>
        <v>DC-Document_Controller-020-M4</v>
      </c>
      <c r="C591" t="s">
        <v>406</v>
      </c>
      <c r="D591" t="s">
        <v>48</v>
      </c>
      <c r="E591" t="s">
        <v>25</v>
      </c>
      <c r="F591" t="s">
        <v>206</v>
      </c>
      <c r="G591" t="s">
        <v>15</v>
      </c>
      <c r="H591" t="s">
        <v>16</v>
      </c>
      <c r="I591">
        <v>6.9790000000000001</v>
      </c>
      <c r="J591">
        <v>1.5</v>
      </c>
      <c r="K591" t="s">
        <v>2887</v>
      </c>
      <c r="L591" t="s">
        <v>3199</v>
      </c>
      <c r="M591" t="s">
        <v>2916</v>
      </c>
      <c r="O591">
        <v>592</v>
      </c>
      <c r="Q591" t="s">
        <v>8</v>
      </c>
      <c r="R591" t="s">
        <v>12</v>
      </c>
      <c r="S591" t="s">
        <v>12</v>
      </c>
      <c r="T591" t="s">
        <v>12</v>
      </c>
      <c r="U591" t="s">
        <v>12</v>
      </c>
      <c r="V591" t="s">
        <v>12</v>
      </c>
      <c r="W591" t="s">
        <v>12</v>
      </c>
      <c r="X591" t="s">
        <v>12</v>
      </c>
      <c r="Y591" t="s">
        <v>12</v>
      </c>
      <c r="Z591" t="s">
        <v>12</v>
      </c>
      <c r="AA591" t="s">
        <v>12</v>
      </c>
      <c r="AB591" t="s">
        <v>12</v>
      </c>
      <c r="AC591" t="s">
        <v>12</v>
      </c>
      <c r="AD591" t="s">
        <v>12</v>
      </c>
    </row>
    <row r="592" spans="1:30">
      <c r="A592" t="s">
        <v>405</v>
      </c>
      <c r="B592" t="str">
        <f>Master_Data_Productivity[[#This Row],[Uniq-ID]]&amp;"-"&amp;Master_Data_Productivity[[#This Row],[Period]]</f>
        <v>DC-Document_Controller-020-M4</v>
      </c>
      <c r="C592" t="s">
        <v>406</v>
      </c>
      <c r="D592" t="s">
        <v>48</v>
      </c>
      <c r="E592" t="s">
        <v>25</v>
      </c>
      <c r="F592" t="s">
        <v>206</v>
      </c>
      <c r="G592" t="s">
        <v>15</v>
      </c>
      <c r="H592" t="s">
        <v>16</v>
      </c>
      <c r="I592">
        <v>6.9790000000000001</v>
      </c>
      <c r="J592">
        <v>1.5</v>
      </c>
      <c r="K592" t="s">
        <v>2887</v>
      </c>
      <c r="L592" t="s">
        <v>3194</v>
      </c>
      <c r="M592" t="s">
        <v>2873</v>
      </c>
      <c r="N592">
        <v>616</v>
      </c>
      <c r="O592">
        <v>327</v>
      </c>
      <c r="P592">
        <v>0.53080000000000005</v>
      </c>
      <c r="Q592" t="s">
        <v>8</v>
      </c>
      <c r="R592" t="s">
        <v>12</v>
      </c>
      <c r="S592" t="s">
        <v>12</v>
      </c>
      <c r="T592" t="s">
        <v>12</v>
      </c>
      <c r="U592" t="s">
        <v>12</v>
      </c>
      <c r="V592" t="s">
        <v>12</v>
      </c>
      <c r="W592" t="s">
        <v>12</v>
      </c>
      <c r="X592" t="s">
        <v>12</v>
      </c>
      <c r="Y592" t="s">
        <v>12</v>
      </c>
      <c r="Z592" t="s">
        <v>12</v>
      </c>
      <c r="AA592" t="s">
        <v>12</v>
      </c>
      <c r="AB592" t="s">
        <v>12</v>
      </c>
      <c r="AC592" t="s">
        <v>12</v>
      </c>
      <c r="AD592" t="s">
        <v>12</v>
      </c>
    </row>
    <row r="593" spans="1:30">
      <c r="A593" t="s">
        <v>405</v>
      </c>
      <c r="B593" t="str">
        <f>Master_Data_Productivity[[#This Row],[Uniq-ID]]&amp;"-"&amp;Master_Data_Productivity[[#This Row],[Period]]</f>
        <v>DC-Document_Controller-020-M4</v>
      </c>
      <c r="C593" t="s">
        <v>406</v>
      </c>
      <c r="D593" t="s">
        <v>48</v>
      </c>
      <c r="E593" t="s">
        <v>25</v>
      </c>
      <c r="F593" t="s">
        <v>206</v>
      </c>
      <c r="G593" t="s">
        <v>15</v>
      </c>
      <c r="H593" t="s">
        <v>16</v>
      </c>
      <c r="I593">
        <v>6.9790000000000001</v>
      </c>
      <c r="J593">
        <v>1.5</v>
      </c>
      <c r="K593" t="s">
        <v>2879</v>
      </c>
      <c r="L593" t="s">
        <v>3014</v>
      </c>
      <c r="M593" t="s">
        <v>2916</v>
      </c>
      <c r="N593">
        <v>31</v>
      </c>
      <c r="O593">
        <v>75</v>
      </c>
      <c r="P593">
        <v>2.4194</v>
      </c>
      <c r="Q593" t="s">
        <v>8</v>
      </c>
      <c r="R593" t="s">
        <v>12</v>
      </c>
      <c r="S593" t="s">
        <v>12</v>
      </c>
      <c r="T593" t="s">
        <v>12</v>
      </c>
      <c r="U593" t="s">
        <v>12</v>
      </c>
      <c r="V593" t="s">
        <v>12</v>
      </c>
      <c r="W593" t="s">
        <v>12</v>
      </c>
      <c r="X593" t="s">
        <v>12</v>
      </c>
      <c r="Y593" t="s">
        <v>12</v>
      </c>
      <c r="Z593" t="s">
        <v>12</v>
      </c>
      <c r="AA593" t="s">
        <v>12</v>
      </c>
      <c r="AB593" t="s">
        <v>12</v>
      </c>
      <c r="AC593" t="s">
        <v>12</v>
      </c>
      <c r="AD593" t="s">
        <v>12</v>
      </c>
    </row>
    <row r="594" spans="1:30">
      <c r="A594" t="s">
        <v>405</v>
      </c>
      <c r="B594" t="str">
        <f>Master_Data_Productivity[[#This Row],[Uniq-ID]]&amp;"-"&amp;Master_Data_Productivity[[#This Row],[Period]]</f>
        <v>DC-Document_Controller-020-M4</v>
      </c>
      <c r="C594" t="s">
        <v>406</v>
      </c>
      <c r="D594" t="s">
        <v>48</v>
      </c>
      <c r="E594" t="s">
        <v>25</v>
      </c>
      <c r="F594" t="s">
        <v>206</v>
      </c>
      <c r="G594" t="s">
        <v>15</v>
      </c>
      <c r="H594" t="s">
        <v>16</v>
      </c>
      <c r="I594">
        <v>6.9790000000000001</v>
      </c>
      <c r="J594">
        <v>1.5</v>
      </c>
      <c r="K594" t="s">
        <v>2879</v>
      </c>
      <c r="L594" t="s">
        <v>3200</v>
      </c>
      <c r="M594" t="s">
        <v>2916</v>
      </c>
      <c r="N594">
        <v>308</v>
      </c>
      <c r="O594">
        <v>6</v>
      </c>
      <c r="P594">
        <v>1.95E-2</v>
      </c>
      <c r="Q594" t="s">
        <v>8</v>
      </c>
      <c r="R594" t="s">
        <v>12</v>
      </c>
      <c r="S594" t="s">
        <v>12</v>
      </c>
      <c r="T594" t="s">
        <v>12</v>
      </c>
      <c r="U594" t="s">
        <v>12</v>
      </c>
      <c r="V594" t="s">
        <v>12</v>
      </c>
      <c r="W594" t="s">
        <v>12</v>
      </c>
      <c r="X594" t="s">
        <v>12</v>
      </c>
      <c r="Y594" t="s">
        <v>12</v>
      </c>
      <c r="Z594" t="s">
        <v>12</v>
      </c>
      <c r="AA594" t="s">
        <v>12</v>
      </c>
      <c r="AB594" t="s">
        <v>12</v>
      </c>
      <c r="AC594" t="s">
        <v>12</v>
      </c>
      <c r="AD594" t="s">
        <v>12</v>
      </c>
    </row>
    <row r="595" spans="1:30">
      <c r="A595" t="s">
        <v>405</v>
      </c>
      <c r="B595" t="str">
        <f>Master_Data_Productivity[[#This Row],[Uniq-ID]]&amp;"-"&amp;Master_Data_Productivity[[#This Row],[Period]]</f>
        <v>DC-Document_Controller-020-M4</v>
      </c>
      <c r="C595" t="s">
        <v>406</v>
      </c>
      <c r="D595" t="s">
        <v>48</v>
      </c>
      <c r="E595" t="s">
        <v>25</v>
      </c>
      <c r="F595" t="s">
        <v>206</v>
      </c>
      <c r="G595" t="s">
        <v>15</v>
      </c>
      <c r="H595" t="s">
        <v>16</v>
      </c>
      <c r="I595">
        <v>6.9790000000000001</v>
      </c>
      <c r="J595">
        <v>1.5</v>
      </c>
      <c r="K595" t="s">
        <v>2871</v>
      </c>
      <c r="L595" t="s">
        <v>3190</v>
      </c>
      <c r="M595" t="s">
        <v>2873</v>
      </c>
      <c r="N595">
        <v>168</v>
      </c>
      <c r="O595">
        <v>251</v>
      </c>
      <c r="P595">
        <v>1.494</v>
      </c>
      <c r="Q595" t="s">
        <v>8</v>
      </c>
      <c r="R595" t="s">
        <v>12</v>
      </c>
      <c r="S595" t="s">
        <v>12</v>
      </c>
      <c r="T595" t="s">
        <v>12</v>
      </c>
      <c r="U595" t="s">
        <v>12</v>
      </c>
      <c r="V595" t="s">
        <v>12</v>
      </c>
      <c r="W595" t="s">
        <v>12</v>
      </c>
      <c r="X595" t="s">
        <v>12</v>
      </c>
      <c r="Y595" t="s">
        <v>12</v>
      </c>
      <c r="Z595" t="s">
        <v>12</v>
      </c>
      <c r="AA595" t="s">
        <v>12</v>
      </c>
      <c r="AB595" t="s">
        <v>12</v>
      </c>
      <c r="AC595" t="s">
        <v>12</v>
      </c>
      <c r="AD595" t="s">
        <v>12</v>
      </c>
    </row>
    <row r="596" spans="1:30">
      <c r="A596" t="s">
        <v>405</v>
      </c>
      <c r="B596" t="str">
        <f>Master_Data_Productivity[[#This Row],[Uniq-ID]]&amp;"-"&amp;Master_Data_Productivity[[#This Row],[Period]]</f>
        <v>DC-Document_Controller-020-M4</v>
      </c>
      <c r="C596" t="s">
        <v>406</v>
      </c>
      <c r="D596" t="s">
        <v>48</v>
      </c>
      <c r="E596" t="s">
        <v>25</v>
      </c>
      <c r="F596" t="s">
        <v>206</v>
      </c>
      <c r="G596" t="s">
        <v>15</v>
      </c>
      <c r="H596" t="s">
        <v>16</v>
      </c>
      <c r="I596">
        <v>6.9790000000000001</v>
      </c>
      <c r="J596">
        <v>1.5</v>
      </c>
      <c r="K596" t="s">
        <v>2871</v>
      </c>
      <c r="L596" t="s">
        <v>3192</v>
      </c>
      <c r="M596" t="s">
        <v>2873</v>
      </c>
      <c r="N596">
        <v>154</v>
      </c>
      <c r="O596">
        <v>190</v>
      </c>
      <c r="P596">
        <v>1.2338</v>
      </c>
      <c r="Q596" t="s">
        <v>8</v>
      </c>
      <c r="R596" t="s">
        <v>12</v>
      </c>
      <c r="S596" t="s">
        <v>12</v>
      </c>
      <c r="T596" t="s">
        <v>12</v>
      </c>
      <c r="U596" t="s">
        <v>12</v>
      </c>
      <c r="V596" t="s">
        <v>12</v>
      </c>
      <c r="W596" t="s">
        <v>12</v>
      </c>
      <c r="X596" t="s">
        <v>12</v>
      </c>
      <c r="Y596" t="s">
        <v>12</v>
      </c>
      <c r="Z596" t="s">
        <v>12</v>
      </c>
      <c r="AA596" t="s">
        <v>12</v>
      </c>
      <c r="AB596" t="s">
        <v>12</v>
      </c>
      <c r="AC596" t="s">
        <v>12</v>
      </c>
      <c r="AD596" t="s">
        <v>12</v>
      </c>
    </row>
    <row r="597" spans="1:30">
      <c r="A597" t="s">
        <v>405</v>
      </c>
      <c r="B597" t="str">
        <f>Master_Data_Productivity[[#This Row],[Uniq-ID]]&amp;"-"&amp;Master_Data_Productivity[[#This Row],[Period]]</f>
        <v>DC-Document_Controller-020-M5</v>
      </c>
      <c r="C597" t="s">
        <v>406</v>
      </c>
      <c r="D597" t="s">
        <v>48</v>
      </c>
      <c r="E597" t="s">
        <v>28</v>
      </c>
      <c r="F597" t="s">
        <v>208</v>
      </c>
      <c r="G597" t="s">
        <v>15</v>
      </c>
      <c r="H597" t="s">
        <v>20</v>
      </c>
      <c r="I597">
        <v>1.5609999999999999</v>
      </c>
      <c r="J597">
        <v>1</v>
      </c>
      <c r="K597" t="s">
        <v>2871</v>
      </c>
      <c r="L597" t="s">
        <v>3192</v>
      </c>
      <c r="M597" t="s">
        <v>2873</v>
      </c>
      <c r="N597">
        <v>154</v>
      </c>
      <c r="O597">
        <v>26</v>
      </c>
      <c r="P597">
        <v>0.16880000000000001</v>
      </c>
      <c r="Q597" t="s">
        <v>8</v>
      </c>
      <c r="R597" t="s">
        <v>12</v>
      </c>
      <c r="S597" t="s">
        <v>12</v>
      </c>
      <c r="T597" t="s">
        <v>12</v>
      </c>
      <c r="U597" t="s">
        <v>12</v>
      </c>
      <c r="V597" t="s">
        <v>12</v>
      </c>
      <c r="W597" t="s">
        <v>12</v>
      </c>
      <c r="X597" t="s">
        <v>12</v>
      </c>
      <c r="Y597" t="s">
        <v>12</v>
      </c>
      <c r="Z597" t="s">
        <v>12</v>
      </c>
      <c r="AA597" t="s">
        <v>12</v>
      </c>
      <c r="AB597" t="s">
        <v>12</v>
      </c>
      <c r="AC597" t="s">
        <v>12</v>
      </c>
      <c r="AD597" t="s">
        <v>12</v>
      </c>
    </row>
    <row r="598" spans="1:30">
      <c r="A598" t="s">
        <v>405</v>
      </c>
      <c r="B598" t="str">
        <f>Master_Data_Productivity[[#This Row],[Uniq-ID]]&amp;"-"&amp;Master_Data_Productivity[[#This Row],[Period]]</f>
        <v>DC-Document_Controller-020-M5</v>
      </c>
      <c r="C598" t="s">
        <v>406</v>
      </c>
      <c r="D598" t="s">
        <v>48</v>
      </c>
      <c r="E598" t="s">
        <v>28</v>
      </c>
      <c r="F598" t="s">
        <v>208</v>
      </c>
      <c r="G598" t="s">
        <v>15</v>
      </c>
      <c r="H598" t="s">
        <v>20</v>
      </c>
      <c r="I598">
        <v>1.5609999999999999</v>
      </c>
      <c r="J598">
        <v>1</v>
      </c>
      <c r="K598" t="s">
        <v>2887</v>
      </c>
      <c r="L598" t="s">
        <v>3199</v>
      </c>
      <c r="M598" t="s">
        <v>2873</v>
      </c>
      <c r="N598">
        <v>462</v>
      </c>
      <c r="O598">
        <v>599</v>
      </c>
      <c r="P598">
        <v>1.2965</v>
      </c>
      <c r="Q598" t="s">
        <v>8</v>
      </c>
      <c r="R598" t="s">
        <v>12</v>
      </c>
      <c r="S598" t="s">
        <v>12</v>
      </c>
      <c r="T598" t="s">
        <v>12</v>
      </c>
      <c r="U598" t="s">
        <v>12</v>
      </c>
      <c r="V598" t="s">
        <v>12</v>
      </c>
      <c r="W598" t="s">
        <v>12</v>
      </c>
      <c r="X598" t="s">
        <v>12</v>
      </c>
      <c r="Y598" t="s">
        <v>12</v>
      </c>
      <c r="Z598" t="s">
        <v>12</v>
      </c>
      <c r="AA598" t="s">
        <v>12</v>
      </c>
      <c r="AB598" t="s">
        <v>12</v>
      </c>
      <c r="AC598" t="s">
        <v>12</v>
      </c>
      <c r="AD598" t="s">
        <v>12</v>
      </c>
    </row>
    <row r="599" spans="1:30">
      <c r="A599" t="s">
        <v>405</v>
      </c>
      <c r="B599" t="str">
        <f>Master_Data_Productivity[[#This Row],[Uniq-ID]]&amp;"-"&amp;Master_Data_Productivity[[#This Row],[Period]]</f>
        <v>DC-Document_Controller-020-M5</v>
      </c>
      <c r="C599" t="s">
        <v>406</v>
      </c>
      <c r="D599" t="s">
        <v>48</v>
      </c>
      <c r="E599" t="s">
        <v>28</v>
      </c>
      <c r="F599" t="s">
        <v>208</v>
      </c>
      <c r="G599" t="s">
        <v>15</v>
      </c>
      <c r="H599" t="s">
        <v>20</v>
      </c>
      <c r="I599">
        <v>1.5609999999999999</v>
      </c>
      <c r="J599">
        <v>1</v>
      </c>
      <c r="K599" t="s">
        <v>2887</v>
      </c>
      <c r="L599" t="s">
        <v>3194</v>
      </c>
      <c r="M599" t="s">
        <v>2873</v>
      </c>
      <c r="N599">
        <v>616</v>
      </c>
      <c r="O599">
        <v>33</v>
      </c>
      <c r="P599">
        <v>5.3600000000000002E-2</v>
      </c>
      <c r="Q599" t="s">
        <v>8</v>
      </c>
      <c r="R599" t="s">
        <v>12</v>
      </c>
      <c r="S599" t="s">
        <v>12</v>
      </c>
      <c r="T599" t="s">
        <v>12</v>
      </c>
      <c r="U599" t="s">
        <v>12</v>
      </c>
      <c r="V599" t="s">
        <v>12</v>
      </c>
      <c r="W599" t="s">
        <v>12</v>
      </c>
      <c r="X599" t="s">
        <v>12</v>
      </c>
      <c r="Y599" t="s">
        <v>12</v>
      </c>
      <c r="Z599" t="s">
        <v>12</v>
      </c>
      <c r="AA599" t="s">
        <v>12</v>
      </c>
      <c r="AB599" t="s">
        <v>12</v>
      </c>
      <c r="AC599" t="s">
        <v>12</v>
      </c>
      <c r="AD599" t="s">
        <v>12</v>
      </c>
    </row>
    <row r="600" spans="1:30">
      <c r="A600" t="s">
        <v>405</v>
      </c>
      <c r="B600" t="str">
        <f>Master_Data_Productivity[[#This Row],[Uniq-ID]]&amp;"-"&amp;Master_Data_Productivity[[#This Row],[Period]]</f>
        <v>DC-Document_Controller-020-M5</v>
      </c>
      <c r="C600" t="s">
        <v>406</v>
      </c>
      <c r="D600" t="s">
        <v>48</v>
      </c>
      <c r="E600" t="s">
        <v>28</v>
      </c>
      <c r="F600" t="s">
        <v>208</v>
      </c>
      <c r="G600" t="s">
        <v>15</v>
      </c>
      <c r="H600" t="s">
        <v>20</v>
      </c>
      <c r="I600">
        <v>1.5609999999999999</v>
      </c>
      <c r="J600">
        <v>1</v>
      </c>
      <c r="K600" t="s">
        <v>2879</v>
      </c>
      <c r="L600" t="s">
        <v>3200</v>
      </c>
      <c r="M600" t="s">
        <v>2916</v>
      </c>
      <c r="N600">
        <v>308</v>
      </c>
      <c r="O600">
        <v>13</v>
      </c>
      <c r="P600">
        <v>4.2200000000000001E-2</v>
      </c>
      <c r="Q600" t="s">
        <v>8</v>
      </c>
      <c r="R600" t="s">
        <v>12</v>
      </c>
      <c r="S600" t="s">
        <v>12</v>
      </c>
      <c r="T600" t="s">
        <v>12</v>
      </c>
      <c r="U600" t="s">
        <v>12</v>
      </c>
      <c r="V600" t="s">
        <v>12</v>
      </c>
      <c r="W600" t="s">
        <v>12</v>
      </c>
      <c r="X600" t="s">
        <v>12</v>
      </c>
      <c r="Y600" t="s">
        <v>12</v>
      </c>
      <c r="Z600" t="s">
        <v>12</v>
      </c>
      <c r="AA600" t="s">
        <v>12</v>
      </c>
      <c r="AB600" t="s">
        <v>12</v>
      </c>
      <c r="AC600" t="s">
        <v>12</v>
      </c>
      <c r="AD600" t="s">
        <v>12</v>
      </c>
    </row>
    <row r="601" spans="1:30">
      <c r="A601" t="s">
        <v>405</v>
      </c>
      <c r="B601" t="str">
        <f>Master_Data_Productivity[[#This Row],[Uniq-ID]]&amp;"-"&amp;Master_Data_Productivity[[#This Row],[Period]]</f>
        <v>DC-Document_Controller-020-M6</v>
      </c>
      <c r="C601" t="s">
        <v>406</v>
      </c>
      <c r="D601" t="s">
        <v>48</v>
      </c>
      <c r="E601" t="s">
        <v>31</v>
      </c>
      <c r="F601" t="s">
        <v>210</v>
      </c>
      <c r="G601" t="s">
        <v>33</v>
      </c>
      <c r="H601" t="s">
        <v>44</v>
      </c>
      <c r="I601">
        <v>6.0000000000000001E-3</v>
      </c>
      <c r="J601">
        <v>0.5</v>
      </c>
      <c r="K601" t="s">
        <v>2871</v>
      </c>
      <c r="L601" t="s">
        <v>3192</v>
      </c>
      <c r="M601" t="s">
        <v>2873</v>
      </c>
      <c r="N601">
        <v>154</v>
      </c>
      <c r="O601">
        <v>1</v>
      </c>
      <c r="P601">
        <v>6.4999999999999997E-3</v>
      </c>
      <c r="Q601" t="s">
        <v>8</v>
      </c>
      <c r="R601" t="s">
        <v>12</v>
      </c>
      <c r="S601" t="s">
        <v>12</v>
      </c>
      <c r="T601" t="s">
        <v>12</v>
      </c>
      <c r="U601" t="s">
        <v>12</v>
      </c>
      <c r="V601" t="s">
        <v>12</v>
      </c>
      <c r="W601" t="s">
        <v>12</v>
      </c>
      <c r="X601" t="s">
        <v>12</v>
      </c>
      <c r="Y601" t="s">
        <v>12</v>
      </c>
      <c r="Z601" t="s">
        <v>12</v>
      </c>
      <c r="AA601" t="s">
        <v>12</v>
      </c>
      <c r="AB601" t="s">
        <v>12</v>
      </c>
      <c r="AC601" t="s">
        <v>12</v>
      </c>
      <c r="AD601" t="s">
        <v>12</v>
      </c>
    </row>
    <row r="602" spans="1:30">
      <c r="A602" t="s">
        <v>312</v>
      </c>
      <c r="B602" t="str">
        <f>Master_Data_Productivity[[#This Row],[Uniq-ID]]&amp;"-"&amp;Master_Data_Productivity[[#This Row],[Period]]</f>
        <v>DC-Document_Controller-065-M1</v>
      </c>
      <c r="C602" t="s">
        <v>313</v>
      </c>
      <c r="D602" t="s">
        <v>76</v>
      </c>
      <c r="E602" t="s">
        <v>13</v>
      </c>
      <c r="F602" t="s">
        <v>37</v>
      </c>
      <c r="G602" t="s">
        <v>15</v>
      </c>
      <c r="H602" t="s">
        <v>44</v>
      </c>
      <c r="I602">
        <v>0.55900000000000005</v>
      </c>
      <c r="J602">
        <v>0.56000000000000005</v>
      </c>
      <c r="K602" t="s">
        <v>2947</v>
      </c>
      <c r="L602" t="s">
        <v>2948</v>
      </c>
      <c r="M602" t="s">
        <v>2873</v>
      </c>
      <c r="N602">
        <v>110</v>
      </c>
      <c r="O602">
        <v>38</v>
      </c>
      <c r="P602">
        <v>0.34549999999999997</v>
      </c>
      <c r="Q602" t="s">
        <v>8</v>
      </c>
      <c r="R602" t="s">
        <v>12</v>
      </c>
      <c r="S602" t="s">
        <v>12</v>
      </c>
      <c r="T602" t="s">
        <v>12</v>
      </c>
      <c r="U602" t="s">
        <v>12</v>
      </c>
      <c r="V602" t="s">
        <v>12</v>
      </c>
      <c r="W602" t="s">
        <v>12</v>
      </c>
      <c r="X602" t="s">
        <v>12</v>
      </c>
      <c r="Y602" t="s">
        <v>12</v>
      </c>
      <c r="Z602" t="s">
        <v>12</v>
      </c>
      <c r="AA602" t="s">
        <v>12</v>
      </c>
      <c r="AB602" t="s">
        <v>12</v>
      </c>
      <c r="AC602" t="s">
        <v>12</v>
      </c>
      <c r="AD602" t="s">
        <v>12</v>
      </c>
    </row>
    <row r="603" spans="1:30">
      <c r="A603" t="s">
        <v>312</v>
      </c>
      <c r="B603" t="str">
        <f>Master_Data_Productivity[[#This Row],[Uniq-ID]]&amp;"-"&amp;Master_Data_Productivity[[#This Row],[Period]]</f>
        <v>DC-Document_Controller-065-M1</v>
      </c>
      <c r="C603" t="s">
        <v>313</v>
      </c>
      <c r="D603" t="s">
        <v>76</v>
      </c>
      <c r="E603" t="s">
        <v>13</v>
      </c>
      <c r="F603" t="s">
        <v>37</v>
      </c>
      <c r="G603" t="s">
        <v>15</v>
      </c>
      <c r="H603" t="s">
        <v>44</v>
      </c>
      <c r="I603">
        <v>0.55900000000000005</v>
      </c>
      <c r="J603">
        <v>0.56000000000000005</v>
      </c>
      <c r="K603" t="s">
        <v>2871</v>
      </c>
      <c r="L603" t="s">
        <v>2950</v>
      </c>
      <c r="M603" t="s">
        <v>2873</v>
      </c>
      <c r="N603">
        <v>88</v>
      </c>
      <c r="O603">
        <v>12</v>
      </c>
      <c r="P603">
        <v>0.13639999999999999</v>
      </c>
      <c r="Q603" t="s">
        <v>8</v>
      </c>
      <c r="R603" t="s">
        <v>12</v>
      </c>
      <c r="S603" t="s">
        <v>12</v>
      </c>
      <c r="T603" t="s">
        <v>12</v>
      </c>
      <c r="U603" t="s">
        <v>12</v>
      </c>
      <c r="V603" t="s">
        <v>12</v>
      </c>
      <c r="W603" t="s">
        <v>12</v>
      </c>
      <c r="X603" t="s">
        <v>12</v>
      </c>
      <c r="Y603" t="s">
        <v>12</v>
      </c>
      <c r="Z603" t="s">
        <v>12</v>
      </c>
      <c r="AA603" t="s">
        <v>12</v>
      </c>
      <c r="AB603" t="s">
        <v>12</v>
      </c>
      <c r="AC603" t="s">
        <v>12</v>
      </c>
      <c r="AD603" t="s">
        <v>12</v>
      </c>
    </row>
    <row r="604" spans="1:30">
      <c r="A604" t="s">
        <v>312</v>
      </c>
      <c r="B604" t="str">
        <f>Master_Data_Productivity[[#This Row],[Uniq-ID]]&amp;"-"&amp;Master_Data_Productivity[[#This Row],[Period]]</f>
        <v>DC-Document_Controller-065-M1</v>
      </c>
      <c r="C604" t="s">
        <v>313</v>
      </c>
      <c r="D604" t="s">
        <v>76</v>
      </c>
      <c r="E604" t="s">
        <v>13</v>
      </c>
      <c r="F604" t="s">
        <v>37</v>
      </c>
      <c r="G604" t="s">
        <v>15</v>
      </c>
      <c r="H604" t="s">
        <v>44</v>
      </c>
      <c r="I604">
        <v>0.55900000000000005</v>
      </c>
      <c r="J604">
        <v>0.56000000000000005</v>
      </c>
      <c r="K604" t="s">
        <v>2871</v>
      </c>
      <c r="L604" t="s">
        <v>2952</v>
      </c>
      <c r="M604" t="s">
        <v>2873</v>
      </c>
      <c r="N604">
        <v>257</v>
      </c>
      <c r="O604">
        <v>7</v>
      </c>
      <c r="P604">
        <v>2.7199999999999998E-2</v>
      </c>
      <c r="Q604" t="s">
        <v>8</v>
      </c>
      <c r="R604" t="s">
        <v>12</v>
      </c>
      <c r="S604" t="s">
        <v>12</v>
      </c>
      <c r="T604" t="s">
        <v>12</v>
      </c>
      <c r="U604" t="s">
        <v>12</v>
      </c>
      <c r="V604" t="s">
        <v>12</v>
      </c>
      <c r="W604" t="s">
        <v>12</v>
      </c>
      <c r="X604" t="s">
        <v>12</v>
      </c>
      <c r="Y604" t="s">
        <v>12</v>
      </c>
      <c r="Z604" t="s">
        <v>12</v>
      </c>
      <c r="AA604" t="s">
        <v>12</v>
      </c>
      <c r="AB604" t="s">
        <v>12</v>
      </c>
      <c r="AC604" t="s">
        <v>12</v>
      </c>
      <c r="AD604" t="s">
        <v>12</v>
      </c>
    </row>
    <row r="605" spans="1:30">
      <c r="A605" t="s">
        <v>312</v>
      </c>
      <c r="B605" t="str">
        <f>Master_Data_Productivity[[#This Row],[Uniq-ID]]&amp;"-"&amp;Master_Data_Productivity[[#This Row],[Period]]</f>
        <v>DC-Document_Controller-065-M1</v>
      </c>
      <c r="C605" t="s">
        <v>313</v>
      </c>
      <c r="D605" t="s">
        <v>76</v>
      </c>
      <c r="E605" t="s">
        <v>13</v>
      </c>
      <c r="F605" t="s">
        <v>37</v>
      </c>
      <c r="G605" t="s">
        <v>15</v>
      </c>
      <c r="H605" t="s">
        <v>44</v>
      </c>
      <c r="I605">
        <v>0.55900000000000005</v>
      </c>
      <c r="J605">
        <v>0.56000000000000005</v>
      </c>
      <c r="K605" t="s">
        <v>2871</v>
      </c>
      <c r="L605" t="s">
        <v>2954</v>
      </c>
      <c r="M605" t="s">
        <v>2873</v>
      </c>
      <c r="N605">
        <v>220</v>
      </c>
      <c r="O605">
        <v>11</v>
      </c>
      <c r="P605">
        <v>0.05</v>
      </c>
      <c r="Q605" t="s">
        <v>8</v>
      </c>
      <c r="R605" t="s">
        <v>12</v>
      </c>
      <c r="S605" t="s">
        <v>12</v>
      </c>
      <c r="T605" t="s">
        <v>12</v>
      </c>
      <c r="U605" t="s">
        <v>12</v>
      </c>
      <c r="V605" t="s">
        <v>12</v>
      </c>
      <c r="W605" t="s">
        <v>12</v>
      </c>
      <c r="X605" t="s">
        <v>12</v>
      </c>
      <c r="Y605" t="s">
        <v>12</v>
      </c>
      <c r="Z605" t="s">
        <v>12</v>
      </c>
      <c r="AA605" t="s">
        <v>12</v>
      </c>
      <c r="AB605" t="s">
        <v>12</v>
      </c>
      <c r="AC605" t="s">
        <v>12</v>
      </c>
      <c r="AD605" t="s">
        <v>12</v>
      </c>
    </row>
    <row r="606" spans="1:30">
      <c r="A606" t="s">
        <v>312</v>
      </c>
      <c r="B606" t="str">
        <f>Master_Data_Productivity[[#This Row],[Uniq-ID]]&amp;"-"&amp;Master_Data_Productivity[[#This Row],[Period]]</f>
        <v>DC-Document_Controller-065-M2</v>
      </c>
      <c r="C606" t="s">
        <v>313</v>
      </c>
      <c r="D606" t="s">
        <v>76</v>
      </c>
      <c r="E606" t="s">
        <v>18</v>
      </c>
      <c r="F606" t="s">
        <v>39</v>
      </c>
      <c r="G606" t="s">
        <v>15</v>
      </c>
      <c r="H606" t="s">
        <v>16</v>
      </c>
      <c r="I606">
        <v>2.0139999999999998</v>
      </c>
      <c r="J606">
        <v>1.01</v>
      </c>
      <c r="K606" t="s">
        <v>2947</v>
      </c>
      <c r="L606" t="s">
        <v>2948</v>
      </c>
      <c r="M606" t="s">
        <v>2873</v>
      </c>
      <c r="N606">
        <v>110</v>
      </c>
      <c r="O606">
        <v>3</v>
      </c>
      <c r="P606">
        <v>2.7300000000000001E-2</v>
      </c>
      <c r="Q606" t="s">
        <v>8</v>
      </c>
      <c r="R606" t="s">
        <v>12</v>
      </c>
      <c r="S606" t="s">
        <v>12</v>
      </c>
      <c r="T606" t="s">
        <v>12</v>
      </c>
      <c r="U606" t="s">
        <v>12</v>
      </c>
      <c r="V606" t="s">
        <v>12</v>
      </c>
      <c r="W606" t="s">
        <v>12</v>
      </c>
      <c r="X606" t="s">
        <v>12</v>
      </c>
      <c r="Y606" t="s">
        <v>12</v>
      </c>
      <c r="Z606" t="s">
        <v>12</v>
      </c>
      <c r="AA606" t="s">
        <v>12</v>
      </c>
      <c r="AB606" t="s">
        <v>12</v>
      </c>
      <c r="AC606" t="s">
        <v>12</v>
      </c>
      <c r="AD606" t="s">
        <v>12</v>
      </c>
    </row>
    <row r="607" spans="1:30">
      <c r="A607" t="s">
        <v>312</v>
      </c>
      <c r="B607" t="str">
        <f>Master_Data_Productivity[[#This Row],[Uniq-ID]]&amp;"-"&amp;Master_Data_Productivity[[#This Row],[Period]]</f>
        <v>DC-Document_Controller-065-M2</v>
      </c>
      <c r="C607" t="s">
        <v>313</v>
      </c>
      <c r="D607" t="s">
        <v>76</v>
      </c>
      <c r="E607" t="s">
        <v>18</v>
      </c>
      <c r="F607" t="s">
        <v>39</v>
      </c>
      <c r="G607" t="s">
        <v>15</v>
      </c>
      <c r="H607" t="s">
        <v>16</v>
      </c>
      <c r="I607">
        <v>2.0139999999999998</v>
      </c>
      <c r="J607">
        <v>1.01</v>
      </c>
      <c r="K607" t="s">
        <v>2871</v>
      </c>
      <c r="L607" t="s">
        <v>2950</v>
      </c>
      <c r="M607" t="s">
        <v>2873</v>
      </c>
      <c r="N607">
        <v>88</v>
      </c>
      <c r="O607">
        <v>112</v>
      </c>
      <c r="P607">
        <v>1.2726999999999999</v>
      </c>
      <c r="Q607" t="s">
        <v>8</v>
      </c>
      <c r="R607" t="s">
        <v>12</v>
      </c>
      <c r="S607" t="s">
        <v>12</v>
      </c>
      <c r="T607" t="s">
        <v>12</v>
      </c>
      <c r="U607" t="s">
        <v>12</v>
      </c>
      <c r="V607" t="s">
        <v>12</v>
      </c>
      <c r="W607" t="s">
        <v>12</v>
      </c>
      <c r="X607" t="s">
        <v>12</v>
      </c>
      <c r="Y607" t="s">
        <v>12</v>
      </c>
      <c r="Z607" t="s">
        <v>12</v>
      </c>
      <c r="AA607" t="s">
        <v>12</v>
      </c>
      <c r="AB607" t="s">
        <v>12</v>
      </c>
      <c r="AC607" t="s">
        <v>12</v>
      </c>
      <c r="AD607" t="s">
        <v>12</v>
      </c>
    </row>
    <row r="608" spans="1:30">
      <c r="A608" t="s">
        <v>312</v>
      </c>
      <c r="B608" t="str">
        <f>Master_Data_Productivity[[#This Row],[Uniq-ID]]&amp;"-"&amp;Master_Data_Productivity[[#This Row],[Period]]</f>
        <v>DC-Document_Controller-065-M2</v>
      </c>
      <c r="C608" t="s">
        <v>313</v>
      </c>
      <c r="D608" t="s">
        <v>76</v>
      </c>
      <c r="E608" t="s">
        <v>18</v>
      </c>
      <c r="F608" t="s">
        <v>39</v>
      </c>
      <c r="G608" t="s">
        <v>15</v>
      </c>
      <c r="H608" t="s">
        <v>16</v>
      </c>
      <c r="I608">
        <v>2.0139999999999998</v>
      </c>
      <c r="J608">
        <v>1.01</v>
      </c>
      <c r="K608" t="s">
        <v>2871</v>
      </c>
      <c r="L608" t="s">
        <v>2952</v>
      </c>
      <c r="M608" t="s">
        <v>2873</v>
      </c>
      <c r="N608">
        <v>257</v>
      </c>
      <c r="O608">
        <v>110</v>
      </c>
      <c r="P608">
        <v>0.42799999999999999</v>
      </c>
      <c r="Q608" t="s">
        <v>8</v>
      </c>
      <c r="R608" t="s">
        <v>12</v>
      </c>
      <c r="S608" t="s">
        <v>12</v>
      </c>
      <c r="T608" t="s">
        <v>12</v>
      </c>
      <c r="U608" t="s">
        <v>12</v>
      </c>
      <c r="V608" t="s">
        <v>12</v>
      </c>
      <c r="W608" t="s">
        <v>12</v>
      </c>
      <c r="X608" t="s">
        <v>12</v>
      </c>
      <c r="Y608" t="s">
        <v>12</v>
      </c>
      <c r="Z608" t="s">
        <v>12</v>
      </c>
      <c r="AA608" t="s">
        <v>12</v>
      </c>
      <c r="AB608" t="s">
        <v>12</v>
      </c>
      <c r="AC608" t="s">
        <v>12</v>
      </c>
      <c r="AD608" t="s">
        <v>12</v>
      </c>
    </row>
    <row r="609" spans="1:30">
      <c r="A609" t="s">
        <v>312</v>
      </c>
      <c r="B609" t="str">
        <f>Master_Data_Productivity[[#This Row],[Uniq-ID]]&amp;"-"&amp;Master_Data_Productivity[[#This Row],[Period]]</f>
        <v>DC-Document_Controller-065-M2</v>
      </c>
      <c r="C609" t="s">
        <v>313</v>
      </c>
      <c r="D609" t="s">
        <v>76</v>
      </c>
      <c r="E609" t="s">
        <v>18</v>
      </c>
      <c r="F609" t="s">
        <v>39</v>
      </c>
      <c r="G609" t="s">
        <v>15</v>
      </c>
      <c r="H609" t="s">
        <v>16</v>
      </c>
      <c r="I609">
        <v>2.0139999999999998</v>
      </c>
      <c r="J609">
        <v>1.01</v>
      </c>
      <c r="K609" t="s">
        <v>2871</v>
      </c>
      <c r="L609" t="s">
        <v>2954</v>
      </c>
      <c r="M609" t="s">
        <v>2873</v>
      </c>
      <c r="N609">
        <v>220</v>
      </c>
      <c r="O609">
        <v>63</v>
      </c>
      <c r="P609">
        <v>0.28639999999999999</v>
      </c>
      <c r="Q609" t="s">
        <v>8</v>
      </c>
      <c r="R609" t="s">
        <v>12</v>
      </c>
      <c r="S609" t="s">
        <v>12</v>
      </c>
      <c r="T609" t="s">
        <v>12</v>
      </c>
      <c r="U609" t="s">
        <v>12</v>
      </c>
      <c r="V609" t="s">
        <v>12</v>
      </c>
      <c r="W609" t="s">
        <v>12</v>
      </c>
      <c r="X609" t="s">
        <v>12</v>
      </c>
      <c r="Y609" t="s">
        <v>12</v>
      </c>
      <c r="Z609" t="s">
        <v>12</v>
      </c>
      <c r="AA609" t="s">
        <v>12</v>
      </c>
      <c r="AB609" t="s">
        <v>12</v>
      </c>
      <c r="AC609" t="s">
        <v>12</v>
      </c>
      <c r="AD609" t="s">
        <v>12</v>
      </c>
    </row>
    <row r="610" spans="1:30">
      <c r="A610" t="s">
        <v>312</v>
      </c>
      <c r="B610" t="str">
        <f>Master_Data_Productivity[[#This Row],[Uniq-ID]]&amp;"-"&amp;Master_Data_Productivity[[#This Row],[Period]]</f>
        <v>DC-Document_Controller-065-M3</v>
      </c>
      <c r="C610" t="s">
        <v>313</v>
      </c>
      <c r="D610" t="s">
        <v>76</v>
      </c>
      <c r="E610" t="s">
        <v>22</v>
      </c>
      <c r="F610" t="s">
        <v>41</v>
      </c>
      <c r="G610" t="s">
        <v>15</v>
      </c>
      <c r="H610" t="s">
        <v>16</v>
      </c>
      <c r="I610">
        <v>3.7629999999999999</v>
      </c>
      <c r="J610">
        <v>1.5</v>
      </c>
      <c r="K610" t="s">
        <v>2871</v>
      </c>
      <c r="L610" t="s">
        <v>2950</v>
      </c>
      <c r="M610" t="s">
        <v>2873</v>
      </c>
      <c r="N610">
        <v>88</v>
      </c>
      <c r="O610">
        <v>177</v>
      </c>
      <c r="P610">
        <v>2.0114000000000001</v>
      </c>
      <c r="Q610" t="s">
        <v>8</v>
      </c>
      <c r="R610" t="s">
        <v>12</v>
      </c>
      <c r="S610" t="s">
        <v>12</v>
      </c>
      <c r="T610" t="s">
        <v>12</v>
      </c>
      <c r="U610" t="s">
        <v>12</v>
      </c>
      <c r="V610" t="s">
        <v>12</v>
      </c>
      <c r="W610" t="s">
        <v>12</v>
      </c>
      <c r="X610" t="s">
        <v>12</v>
      </c>
      <c r="Y610" t="s">
        <v>12</v>
      </c>
      <c r="Z610" t="s">
        <v>12</v>
      </c>
      <c r="AA610" t="s">
        <v>12</v>
      </c>
      <c r="AB610" t="s">
        <v>12</v>
      </c>
      <c r="AC610" t="s">
        <v>12</v>
      </c>
      <c r="AD610" t="s">
        <v>12</v>
      </c>
    </row>
    <row r="611" spans="1:30">
      <c r="A611" t="s">
        <v>312</v>
      </c>
      <c r="B611" t="str">
        <f>Master_Data_Productivity[[#This Row],[Uniq-ID]]&amp;"-"&amp;Master_Data_Productivity[[#This Row],[Period]]</f>
        <v>DC-Document_Controller-065-M3</v>
      </c>
      <c r="C611" t="s">
        <v>313</v>
      </c>
      <c r="D611" t="s">
        <v>76</v>
      </c>
      <c r="E611" t="s">
        <v>22</v>
      </c>
      <c r="F611" t="s">
        <v>41</v>
      </c>
      <c r="G611" t="s">
        <v>15</v>
      </c>
      <c r="H611" t="s">
        <v>16</v>
      </c>
      <c r="I611">
        <v>3.7629999999999999</v>
      </c>
      <c r="J611">
        <v>1.5</v>
      </c>
      <c r="K611" t="s">
        <v>2871</v>
      </c>
      <c r="L611" t="s">
        <v>2958</v>
      </c>
      <c r="M611" t="s">
        <v>2873</v>
      </c>
      <c r="N611">
        <v>154</v>
      </c>
      <c r="O611">
        <v>88</v>
      </c>
      <c r="P611">
        <v>0.57140000000000002</v>
      </c>
      <c r="Q611" t="s">
        <v>8</v>
      </c>
      <c r="R611" t="s">
        <v>12</v>
      </c>
      <c r="S611" t="s">
        <v>12</v>
      </c>
      <c r="T611" t="s">
        <v>12</v>
      </c>
      <c r="U611" t="s">
        <v>12</v>
      </c>
      <c r="V611" t="s">
        <v>12</v>
      </c>
      <c r="W611" t="s">
        <v>12</v>
      </c>
      <c r="X611" t="s">
        <v>12</v>
      </c>
      <c r="Y611" t="s">
        <v>12</v>
      </c>
      <c r="Z611" t="s">
        <v>12</v>
      </c>
      <c r="AA611" t="s">
        <v>12</v>
      </c>
      <c r="AB611" t="s">
        <v>12</v>
      </c>
      <c r="AC611" t="s">
        <v>12</v>
      </c>
      <c r="AD611" t="s">
        <v>12</v>
      </c>
    </row>
    <row r="612" spans="1:30">
      <c r="A612" t="s">
        <v>312</v>
      </c>
      <c r="B612" t="str">
        <f>Master_Data_Productivity[[#This Row],[Uniq-ID]]&amp;"-"&amp;Master_Data_Productivity[[#This Row],[Period]]</f>
        <v>DC-Document_Controller-065-M3</v>
      </c>
      <c r="C612" t="s">
        <v>313</v>
      </c>
      <c r="D612" t="s">
        <v>76</v>
      </c>
      <c r="E612" t="s">
        <v>22</v>
      </c>
      <c r="F612" t="s">
        <v>41</v>
      </c>
      <c r="G612" t="s">
        <v>15</v>
      </c>
      <c r="H612" t="s">
        <v>16</v>
      </c>
      <c r="I612">
        <v>3.7629999999999999</v>
      </c>
      <c r="J612">
        <v>1.5</v>
      </c>
      <c r="K612" t="s">
        <v>2871</v>
      </c>
      <c r="L612" t="s">
        <v>2956</v>
      </c>
      <c r="M612" t="s">
        <v>2873</v>
      </c>
      <c r="N612">
        <v>298</v>
      </c>
      <c r="O612">
        <v>1</v>
      </c>
      <c r="P612">
        <v>3.3999999999999998E-3</v>
      </c>
      <c r="Q612" t="s">
        <v>8</v>
      </c>
      <c r="R612" t="s">
        <v>12</v>
      </c>
      <c r="S612" t="s">
        <v>12</v>
      </c>
      <c r="T612" t="s">
        <v>12</v>
      </c>
      <c r="U612" t="s">
        <v>12</v>
      </c>
      <c r="V612" t="s">
        <v>12</v>
      </c>
      <c r="W612" t="s">
        <v>12</v>
      </c>
      <c r="X612" t="s">
        <v>12</v>
      </c>
      <c r="Y612" t="s">
        <v>12</v>
      </c>
      <c r="Z612" t="s">
        <v>12</v>
      </c>
      <c r="AA612" t="s">
        <v>12</v>
      </c>
      <c r="AB612" t="s">
        <v>12</v>
      </c>
      <c r="AC612" t="s">
        <v>12</v>
      </c>
      <c r="AD612" t="s">
        <v>12</v>
      </c>
    </row>
    <row r="613" spans="1:30">
      <c r="A613" t="s">
        <v>312</v>
      </c>
      <c r="B613" t="str">
        <f>Master_Data_Productivity[[#This Row],[Uniq-ID]]&amp;"-"&amp;Master_Data_Productivity[[#This Row],[Period]]</f>
        <v>DC-Document_Controller-065-M3</v>
      </c>
      <c r="C613" t="s">
        <v>313</v>
      </c>
      <c r="D613" t="s">
        <v>76</v>
      </c>
      <c r="E613" t="s">
        <v>22</v>
      </c>
      <c r="F613" t="s">
        <v>41</v>
      </c>
      <c r="G613" t="s">
        <v>15</v>
      </c>
      <c r="H613" t="s">
        <v>16</v>
      </c>
      <c r="I613">
        <v>3.7629999999999999</v>
      </c>
      <c r="J613">
        <v>1.5</v>
      </c>
      <c r="K613" t="s">
        <v>2871</v>
      </c>
      <c r="L613" t="s">
        <v>2954</v>
      </c>
      <c r="M613" t="s">
        <v>2873</v>
      </c>
      <c r="N613">
        <v>220</v>
      </c>
      <c r="O613">
        <v>110</v>
      </c>
      <c r="P613">
        <v>0.5</v>
      </c>
      <c r="Q613" t="s">
        <v>8</v>
      </c>
      <c r="R613" t="s">
        <v>12</v>
      </c>
      <c r="S613" t="s">
        <v>12</v>
      </c>
      <c r="T613" t="s">
        <v>12</v>
      </c>
      <c r="U613" t="s">
        <v>12</v>
      </c>
      <c r="V613" t="s">
        <v>12</v>
      </c>
      <c r="W613" t="s">
        <v>12</v>
      </c>
      <c r="X613" t="s">
        <v>12</v>
      </c>
      <c r="Y613" t="s">
        <v>12</v>
      </c>
      <c r="Z613" t="s">
        <v>12</v>
      </c>
      <c r="AA613" t="s">
        <v>12</v>
      </c>
      <c r="AB613" t="s">
        <v>12</v>
      </c>
      <c r="AC613" t="s">
        <v>12</v>
      </c>
      <c r="AD613" t="s">
        <v>12</v>
      </c>
    </row>
    <row r="614" spans="1:30">
      <c r="A614" t="s">
        <v>312</v>
      </c>
      <c r="B614" t="str">
        <f>Master_Data_Productivity[[#This Row],[Uniq-ID]]&amp;"-"&amp;Master_Data_Productivity[[#This Row],[Period]]</f>
        <v>DC-Document_Controller-065-M3</v>
      </c>
      <c r="C614" t="s">
        <v>313</v>
      </c>
      <c r="D614" t="s">
        <v>76</v>
      </c>
      <c r="E614" t="s">
        <v>22</v>
      </c>
      <c r="F614" t="s">
        <v>41</v>
      </c>
      <c r="G614" t="s">
        <v>15</v>
      </c>
      <c r="H614" t="s">
        <v>16</v>
      </c>
      <c r="I614">
        <v>3.7629999999999999</v>
      </c>
      <c r="J614">
        <v>1.5</v>
      </c>
      <c r="K614" t="s">
        <v>2871</v>
      </c>
      <c r="L614" t="s">
        <v>2952</v>
      </c>
      <c r="M614" t="s">
        <v>2873</v>
      </c>
      <c r="N614">
        <v>257</v>
      </c>
      <c r="O614">
        <v>174</v>
      </c>
      <c r="P614">
        <v>0.67700000000000005</v>
      </c>
      <c r="Q614" t="s">
        <v>8</v>
      </c>
      <c r="R614" t="s">
        <v>12</v>
      </c>
      <c r="S614" t="s">
        <v>12</v>
      </c>
      <c r="T614" t="s">
        <v>12</v>
      </c>
      <c r="U614" t="s">
        <v>12</v>
      </c>
      <c r="V614" t="s">
        <v>12</v>
      </c>
      <c r="W614" t="s">
        <v>12</v>
      </c>
      <c r="X614" t="s">
        <v>12</v>
      </c>
      <c r="Y614" t="s">
        <v>12</v>
      </c>
      <c r="Z614" t="s">
        <v>12</v>
      </c>
      <c r="AA614" t="s">
        <v>12</v>
      </c>
      <c r="AB614" t="s">
        <v>12</v>
      </c>
      <c r="AC614" t="s">
        <v>12</v>
      </c>
      <c r="AD614" t="s">
        <v>12</v>
      </c>
    </row>
    <row r="615" spans="1:30">
      <c r="A615" t="s">
        <v>312</v>
      </c>
      <c r="B615" t="str">
        <f>Master_Data_Productivity[[#This Row],[Uniq-ID]]&amp;"-"&amp;Master_Data_Productivity[[#This Row],[Period]]</f>
        <v>DC-Document_Controller-065-M4</v>
      </c>
      <c r="C615" t="s">
        <v>313</v>
      </c>
      <c r="D615" t="s">
        <v>76</v>
      </c>
      <c r="E615" t="s">
        <v>25</v>
      </c>
      <c r="F615" t="s">
        <v>43</v>
      </c>
      <c r="G615" t="s">
        <v>33</v>
      </c>
      <c r="H615" t="s">
        <v>44</v>
      </c>
      <c r="I615">
        <v>0.55100000000000005</v>
      </c>
      <c r="J615">
        <v>0.55000000000000004</v>
      </c>
      <c r="K615" t="s">
        <v>2871</v>
      </c>
      <c r="L615" t="s">
        <v>2958</v>
      </c>
      <c r="M615" t="s">
        <v>2873</v>
      </c>
      <c r="N615">
        <v>154</v>
      </c>
      <c r="O615">
        <v>13</v>
      </c>
      <c r="P615">
        <v>8.4400000000000003E-2</v>
      </c>
      <c r="Q615" t="s">
        <v>8</v>
      </c>
      <c r="R615" t="s">
        <v>12</v>
      </c>
      <c r="S615" t="s">
        <v>12</v>
      </c>
      <c r="T615" t="s">
        <v>12</v>
      </c>
      <c r="U615" t="s">
        <v>12</v>
      </c>
      <c r="V615" t="s">
        <v>12</v>
      </c>
      <c r="W615" t="s">
        <v>12</v>
      </c>
      <c r="X615" t="s">
        <v>12</v>
      </c>
      <c r="Y615" t="s">
        <v>12</v>
      </c>
      <c r="Z615" t="s">
        <v>12</v>
      </c>
      <c r="AA615" t="s">
        <v>12</v>
      </c>
      <c r="AB615" t="s">
        <v>12</v>
      </c>
      <c r="AC615" t="s">
        <v>12</v>
      </c>
      <c r="AD615" t="s">
        <v>12</v>
      </c>
    </row>
    <row r="616" spans="1:30">
      <c r="A616" t="s">
        <v>312</v>
      </c>
      <c r="B616" t="str">
        <f>Master_Data_Productivity[[#This Row],[Uniq-ID]]&amp;"-"&amp;Master_Data_Productivity[[#This Row],[Period]]</f>
        <v>DC-Document_Controller-065-M4</v>
      </c>
      <c r="C616" t="s">
        <v>313</v>
      </c>
      <c r="D616" t="s">
        <v>76</v>
      </c>
      <c r="E616" t="s">
        <v>25</v>
      </c>
      <c r="F616" t="s">
        <v>43</v>
      </c>
      <c r="G616" t="s">
        <v>33</v>
      </c>
      <c r="H616" t="s">
        <v>44</v>
      </c>
      <c r="I616">
        <v>0.55100000000000005</v>
      </c>
      <c r="J616">
        <v>0.55000000000000004</v>
      </c>
      <c r="K616" t="s">
        <v>2871</v>
      </c>
      <c r="L616" t="s">
        <v>2952</v>
      </c>
      <c r="M616" t="s">
        <v>2873</v>
      </c>
      <c r="N616">
        <v>257</v>
      </c>
      <c r="O616">
        <v>13</v>
      </c>
      <c r="P616">
        <v>5.0599999999999999E-2</v>
      </c>
      <c r="Q616" t="s">
        <v>8</v>
      </c>
      <c r="R616" t="s">
        <v>12</v>
      </c>
      <c r="S616" t="s">
        <v>12</v>
      </c>
      <c r="T616" t="s">
        <v>12</v>
      </c>
      <c r="U616" t="s">
        <v>12</v>
      </c>
      <c r="V616" t="s">
        <v>12</v>
      </c>
      <c r="W616" t="s">
        <v>12</v>
      </c>
      <c r="X616" t="s">
        <v>12</v>
      </c>
      <c r="Y616" t="s">
        <v>12</v>
      </c>
      <c r="Z616" t="s">
        <v>12</v>
      </c>
      <c r="AA616" t="s">
        <v>12</v>
      </c>
      <c r="AB616" t="s">
        <v>12</v>
      </c>
      <c r="AC616" t="s">
        <v>12</v>
      </c>
      <c r="AD616" t="s">
        <v>12</v>
      </c>
    </row>
    <row r="617" spans="1:30">
      <c r="A617" t="s">
        <v>312</v>
      </c>
      <c r="B617" t="str">
        <f>Master_Data_Productivity[[#This Row],[Uniq-ID]]&amp;"-"&amp;Master_Data_Productivity[[#This Row],[Period]]</f>
        <v>DC-Document_Controller-065-M4</v>
      </c>
      <c r="C617" t="s">
        <v>313</v>
      </c>
      <c r="D617" t="s">
        <v>76</v>
      </c>
      <c r="E617" t="s">
        <v>25</v>
      </c>
      <c r="F617" t="s">
        <v>43</v>
      </c>
      <c r="G617" t="s">
        <v>33</v>
      </c>
      <c r="H617" t="s">
        <v>44</v>
      </c>
      <c r="I617">
        <v>0.55100000000000005</v>
      </c>
      <c r="J617">
        <v>0.55000000000000004</v>
      </c>
      <c r="K617" t="s">
        <v>2871</v>
      </c>
      <c r="L617" t="s">
        <v>2954</v>
      </c>
      <c r="M617" t="s">
        <v>2873</v>
      </c>
      <c r="N617">
        <v>220</v>
      </c>
      <c r="O617">
        <v>69</v>
      </c>
      <c r="P617">
        <v>0.31359999999999999</v>
      </c>
      <c r="Q617" t="s">
        <v>8</v>
      </c>
      <c r="R617" t="s">
        <v>12</v>
      </c>
      <c r="S617" t="s">
        <v>12</v>
      </c>
      <c r="T617" t="s">
        <v>12</v>
      </c>
      <c r="U617" t="s">
        <v>12</v>
      </c>
      <c r="V617" t="s">
        <v>12</v>
      </c>
      <c r="W617" t="s">
        <v>12</v>
      </c>
      <c r="X617" t="s">
        <v>12</v>
      </c>
      <c r="Y617" t="s">
        <v>12</v>
      </c>
      <c r="Z617" t="s">
        <v>12</v>
      </c>
      <c r="AA617" t="s">
        <v>12</v>
      </c>
      <c r="AB617" t="s">
        <v>12</v>
      </c>
      <c r="AC617" t="s">
        <v>12</v>
      </c>
      <c r="AD617" t="s">
        <v>12</v>
      </c>
    </row>
    <row r="618" spans="1:30">
      <c r="A618" t="s">
        <v>312</v>
      </c>
      <c r="B618" t="str">
        <f>Master_Data_Productivity[[#This Row],[Uniq-ID]]&amp;"-"&amp;Master_Data_Productivity[[#This Row],[Period]]</f>
        <v>DC-Document_Controller-065-M4</v>
      </c>
      <c r="C618" t="s">
        <v>313</v>
      </c>
      <c r="D618" t="s">
        <v>76</v>
      </c>
      <c r="E618" t="s">
        <v>25</v>
      </c>
      <c r="F618" t="s">
        <v>43</v>
      </c>
      <c r="G618" t="s">
        <v>33</v>
      </c>
      <c r="H618" t="s">
        <v>44</v>
      </c>
      <c r="I618">
        <v>0.55100000000000005</v>
      </c>
      <c r="J618">
        <v>0.55000000000000004</v>
      </c>
      <c r="K618" t="s">
        <v>2871</v>
      </c>
      <c r="L618" t="s">
        <v>2950</v>
      </c>
      <c r="M618" t="s">
        <v>2873</v>
      </c>
      <c r="N618">
        <v>88</v>
      </c>
      <c r="O618">
        <v>9</v>
      </c>
      <c r="P618">
        <v>0.1023</v>
      </c>
      <c r="Q618" t="s">
        <v>8</v>
      </c>
      <c r="R618" t="s">
        <v>12</v>
      </c>
      <c r="S618" t="s">
        <v>12</v>
      </c>
      <c r="T618" t="s">
        <v>12</v>
      </c>
      <c r="U618" t="s">
        <v>12</v>
      </c>
      <c r="V618" t="s">
        <v>12</v>
      </c>
      <c r="W618" t="s">
        <v>12</v>
      </c>
      <c r="X618" t="s">
        <v>12</v>
      </c>
      <c r="Y618" t="s">
        <v>12</v>
      </c>
      <c r="Z618" t="s">
        <v>12</v>
      </c>
      <c r="AA618" t="s">
        <v>12</v>
      </c>
      <c r="AB618" t="s">
        <v>12</v>
      </c>
      <c r="AC618" t="s">
        <v>12</v>
      </c>
      <c r="AD618" t="s">
        <v>12</v>
      </c>
    </row>
    <row r="619" spans="1:30">
      <c r="A619" t="s">
        <v>320</v>
      </c>
      <c r="B619" t="str">
        <f>Master_Data_Productivity[[#This Row],[Uniq-ID]]&amp;"-"&amp;Master_Data_Productivity[[#This Row],[Period]]</f>
        <v>DC-Document_Controller-061-M1</v>
      </c>
      <c r="C619" t="s">
        <v>321</v>
      </c>
      <c r="D619" t="s">
        <v>76</v>
      </c>
      <c r="E619" t="s">
        <v>13</v>
      </c>
      <c r="F619" t="s">
        <v>322</v>
      </c>
      <c r="G619" t="s">
        <v>15</v>
      </c>
      <c r="H619" t="s">
        <v>44</v>
      </c>
      <c r="I619">
        <v>0.127</v>
      </c>
      <c r="J619">
        <v>0.5</v>
      </c>
      <c r="K619" t="s">
        <v>2887</v>
      </c>
      <c r="L619" t="s">
        <v>2992</v>
      </c>
      <c r="M619" t="s">
        <v>2873</v>
      </c>
      <c r="N619">
        <v>220</v>
      </c>
      <c r="O619">
        <v>28</v>
      </c>
      <c r="P619">
        <v>0.1273</v>
      </c>
      <c r="Q619" t="s">
        <v>8</v>
      </c>
      <c r="R619" t="s">
        <v>12</v>
      </c>
      <c r="S619" t="s">
        <v>12</v>
      </c>
      <c r="T619" t="s">
        <v>12</v>
      </c>
      <c r="U619" t="s">
        <v>12</v>
      </c>
      <c r="V619" t="s">
        <v>12</v>
      </c>
      <c r="W619" t="s">
        <v>12</v>
      </c>
      <c r="X619" t="s">
        <v>12</v>
      </c>
      <c r="Y619" t="s">
        <v>12</v>
      </c>
      <c r="Z619" t="s">
        <v>12</v>
      </c>
      <c r="AA619" t="s">
        <v>12</v>
      </c>
      <c r="AB619" t="s">
        <v>12</v>
      </c>
      <c r="AC619" t="s">
        <v>12</v>
      </c>
      <c r="AD619" t="s">
        <v>12</v>
      </c>
    </row>
    <row r="620" spans="1:30">
      <c r="A620" t="s">
        <v>320</v>
      </c>
      <c r="B620" t="str">
        <f>Master_Data_Productivity[[#This Row],[Uniq-ID]]&amp;"-"&amp;Master_Data_Productivity[[#This Row],[Period]]</f>
        <v>DC-Document_Controller-061-M2</v>
      </c>
      <c r="C620" t="s">
        <v>321</v>
      </c>
      <c r="D620" t="s">
        <v>76</v>
      </c>
      <c r="E620" t="s">
        <v>18</v>
      </c>
      <c r="F620" t="s">
        <v>293</v>
      </c>
      <c r="G620" t="s">
        <v>15</v>
      </c>
      <c r="H620" t="s">
        <v>44</v>
      </c>
      <c r="I620">
        <v>7.2999999999999995E-2</v>
      </c>
      <c r="J620">
        <v>0.5</v>
      </c>
      <c r="K620" t="s">
        <v>2887</v>
      </c>
      <c r="L620" t="s">
        <v>2992</v>
      </c>
      <c r="M620" t="s">
        <v>2873</v>
      </c>
      <c r="N620">
        <v>220</v>
      </c>
      <c r="O620">
        <v>15</v>
      </c>
      <c r="P620">
        <v>6.8199999999999997E-2</v>
      </c>
      <c r="Q620" t="s">
        <v>8</v>
      </c>
      <c r="R620" t="s">
        <v>12</v>
      </c>
      <c r="S620" t="s">
        <v>12</v>
      </c>
      <c r="T620" t="s">
        <v>12</v>
      </c>
      <c r="U620" t="s">
        <v>12</v>
      </c>
      <c r="V620" t="s">
        <v>12</v>
      </c>
      <c r="W620" t="s">
        <v>12</v>
      </c>
      <c r="X620" t="s">
        <v>12</v>
      </c>
      <c r="Y620" t="s">
        <v>12</v>
      </c>
      <c r="Z620" t="s">
        <v>12</v>
      </c>
      <c r="AA620" t="s">
        <v>12</v>
      </c>
      <c r="AB620" t="s">
        <v>12</v>
      </c>
      <c r="AC620" t="s">
        <v>12</v>
      </c>
      <c r="AD620" t="s">
        <v>12</v>
      </c>
    </row>
    <row r="621" spans="1:30">
      <c r="A621" t="s">
        <v>320</v>
      </c>
      <c r="B621" t="str">
        <f>Master_Data_Productivity[[#This Row],[Uniq-ID]]&amp;"-"&amp;Master_Data_Productivity[[#This Row],[Period]]</f>
        <v>DC-Document_Controller-061-M2</v>
      </c>
      <c r="C621" t="s">
        <v>321</v>
      </c>
      <c r="D621" t="s">
        <v>76</v>
      </c>
      <c r="E621" t="s">
        <v>18</v>
      </c>
      <c r="F621" t="s">
        <v>293</v>
      </c>
      <c r="G621" t="s">
        <v>15</v>
      </c>
      <c r="H621" t="s">
        <v>44</v>
      </c>
      <c r="I621">
        <v>7.2999999999999995E-2</v>
      </c>
      <c r="J621">
        <v>0.5</v>
      </c>
      <c r="K621" t="s">
        <v>2871</v>
      </c>
      <c r="L621" t="s">
        <v>2954</v>
      </c>
      <c r="M621" t="s">
        <v>2873</v>
      </c>
      <c r="N621">
        <v>220</v>
      </c>
      <c r="O621">
        <v>1</v>
      </c>
      <c r="P621">
        <v>4.4999999999999997E-3</v>
      </c>
      <c r="Q621" t="s">
        <v>8</v>
      </c>
      <c r="R621" t="s">
        <v>12</v>
      </c>
      <c r="S621" t="s">
        <v>12</v>
      </c>
      <c r="T621" t="s">
        <v>12</v>
      </c>
      <c r="U621" t="s">
        <v>12</v>
      </c>
      <c r="V621" t="s">
        <v>12</v>
      </c>
      <c r="W621" t="s">
        <v>12</v>
      </c>
      <c r="X621" t="s">
        <v>12</v>
      </c>
      <c r="Y621" t="s">
        <v>12</v>
      </c>
      <c r="Z621" t="s">
        <v>12</v>
      </c>
      <c r="AA621" t="s">
        <v>12</v>
      </c>
      <c r="AB621" t="s">
        <v>12</v>
      </c>
      <c r="AC621" t="s">
        <v>12</v>
      </c>
      <c r="AD621" t="s">
        <v>12</v>
      </c>
    </row>
    <row r="622" spans="1:30">
      <c r="A622" t="s">
        <v>320</v>
      </c>
      <c r="B622" t="str">
        <f>Master_Data_Productivity[[#This Row],[Uniq-ID]]&amp;"-"&amp;Master_Data_Productivity[[#This Row],[Period]]</f>
        <v>DC-Document_Controller-061-M3</v>
      </c>
      <c r="C622" t="s">
        <v>321</v>
      </c>
      <c r="D622" t="s">
        <v>76</v>
      </c>
      <c r="E622" t="s">
        <v>22</v>
      </c>
      <c r="F622" t="s">
        <v>294</v>
      </c>
      <c r="G622" t="s">
        <v>33</v>
      </c>
      <c r="H622" t="s">
        <v>44</v>
      </c>
      <c r="I622">
        <v>0.186</v>
      </c>
      <c r="J622">
        <v>0.5</v>
      </c>
      <c r="K622" t="s">
        <v>2887</v>
      </c>
      <c r="L622" t="s">
        <v>2992</v>
      </c>
      <c r="M622" t="s">
        <v>2873</v>
      </c>
      <c r="N622">
        <v>220</v>
      </c>
      <c r="O622">
        <v>37</v>
      </c>
      <c r="P622">
        <v>0.16819999999999999</v>
      </c>
      <c r="Q622" t="s">
        <v>8</v>
      </c>
      <c r="R622" t="s">
        <v>12</v>
      </c>
      <c r="S622" t="s">
        <v>12</v>
      </c>
      <c r="T622" t="s">
        <v>12</v>
      </c>
      <c r="U622" t="s">
        <v>12</v>
      </c>
      <c r="V622" t="s">
        <v>12</v>
      </c>
      <c r="W622" t="s">
        <v>12</v>
      </c>
      <c r="X622" t="s">
        <v>12</v>
      </c>
      <c r="Y622" t="s">
        <v>12</v>
      </c>
      <c r="Z622" t="s">
        <v>12</v>
      </c>
      <c r="AA622" t="s">
        <v>12</v>
      </c>
      <c r="AB622" t="s">
        <v>12</v>
      </c>
      <c r="AC622" t="s">
        <v>12</v>
      </c>
      <c r="AD622" t="s">
        <v>12</v>
      </c>
    </row>
    <row r="623" spans="1:30">
      <c r="A623" t="s">
        <v>320</v>
      </c>
      <c r="B623" t="str">
        <f>Master_Data_Productivity[[#This Row],[Uniq-ID]]&amp;"-"&amp;Master_Data_Productivity[[#This Row],[Period]]</f>
        <v>DC-Document_Controller-061-M3</v>
      </c>
      <c r="C623" t="s">
        <v>321</v>
      </c>
      <c r="D623" t="s">
        <v>76</v>
      </c>
      <c r="E623" t="s">
        <v>22</v>
      </c>
      <c r="F623" t="s">
        <v>294</v>
      </c>
      <c r="G623" t="s">
        <v>33</v>
      </c>
      <c r="H623" t="s">
        <v>44</v>
      </c>
      <c r="I623">
        <v>0.186</v>
      </c>
      <c r="J623">
        <v>0.5</v>
      </c>
      <c r="K623" t="s">
        <v>2871</v>
      </c>
      <c r="L623" t="s">
        <v>2954</v>
      </c>
      <c r="M623" t="s">
        <v>2873</v>
      </c>
      <c r="N623">
        <v>220</v>
      </c>
      <c r="O623">
        <v>4</v>
      </c>
      <c r="P623">
        <v>1.8200000000000001E-2</v>
      </c>
      <c r="Q623" t="s">
        <v>8</v>
      </c>
      <c r="R623" t="s">
        <v>12</v>
      </c>
      <c r="S623" t="s">
        <v>12</v>
      </c>
      <c r="T623" t="s">
        <v>12</v>
      </c>
      <c r="U623" t="s">
        <v>12</v>
      </c>
      <c r="V623" t="s">
        <v>12</v>
      </c>
      <c r="W623" t="s">
        <v>12</v>
      </c>
      <c r="X623" t="s">
        <v>12</v>
      </c>
      <c r="Y623" t="s">
        <v>12</v>
      </c>
      <c r="Z623" t="s">
        <v>12</v>
      </c>
      <c r="AA623" t="s">
        <v>12</v>
      </c>
      <c r="AB623" t="s">
        <v>12</v>
      </c>
      <c r="AC623" t="s">
        <v>12</v>
      </c>
      <c r="AD623" t="s">
        <v>12</v>
      </c>
    </row>
    <row r="624" spans="1:30">
      <c r="A624" t="s">
        <v>318</v>
      </c>
      <c r="B624" t="str">
        <f>Master_Data_Productivity[[#This Row],[Uniq-ID]]&amp;"-"&amp;Master_Data_Productivity[[#This Row],[Period]]</f>
        <v>DC-Document_Controller-062-M1</v>
      </c>
      <c r="C624" t="s">
        <v>319</v>
      </c>
      <c r="D624" t="s">
        <v>48</v>
      </c>
      <c r="E624" t="s">
        <v>13</v>
      </c>
      <c r="F624" t="s">
        <v>128</v>
      </c>
      <c r="G624" t="s">
        <v>15</v>
      </c>
      <c r="H624" t="s">
        <v>44</v>
      </c>
      <c r="I624">
        <v>0</v>
      </c>
      <c r="K624" t="s">
        <v>12</v>
      </c>
      <c r="L624" t="s">
        <v>12</v>
      </c>
      <c r="M624" t="s">
        <v>12</v>
      </c>
      <c r="Q624" t="s">
        <v>8</v>
      </c>
      <c r="R624" t="s">
        <v>12</v>
      </c>
      <c r="S624" t="s">
        <v>12</v>
      </c>
      <c r="T624" t="s">
        <v>12</v>
      </c>
      <c r="U624" t="s">
        <v>12</v>
      </c>
      <c r="V624" t="s">
        <v>12</v>
      </c>
      <c r="W624" t="s">
        <v>12</v>
      </c>
      <c r="X624" t="s">
        <v>12</v>
      </c>
      <c r="Y624" t="s">
        <v>12</v>
      </c>
      <c r="Z624" t="s">
        <v>12</v>
      </c>
      <c r="AA624" t="s">
        <v>12</v>
      </c>
      <c r="AB624" t="s">
        <v>12</v>
      </c>
      <c r="AC624" t="s">
        <v>12</v>
      </c>
      <c r="AD624" t="s">
        <v>12</v>
      </c>
    </row>
    <row r="625" spans="1:30">
      <c r="A625" t="s">
        <v>318</v>
      </c>
      <c r="B625" t="str">
        <f>Master_Data_Productivity[[#This Row],[Uniq-ID]]&amp;"-"&amp;Master_Data_Productivity[[#This Row],[Period]]</f>
        <v>DC-Document_Controller-062-M2</v>
      </c>
      <c r="C625" t="s">
        <v>319</v>
      </c>
      <c r="D625" t="s">
        <v>48</v>
      </c>
      <c r="E625" t="s">
        <v>18</v>
      </c>
      <c r="F625" t="s">
        <v>130</v>
      </c>
      <c r="G625" t="s">
        <v>15</v>
      </c>
      <c r="H625" t="s">
        <v>44</v>
      </c>
      <c r="I625">
        <v>0</v>
      </c>
      <c r="K625" t="s">
        <v>12</v>
      </c>
      <c r="L625" t="s">
        <v>12</v>
      </c>
      <c r="M625" t="s">
        <v>12</v>
      </c>
      <c r="Q625" t="s">
        <v>8</v>
      </c>
      <c r="R625" t="s">
        <v>12</v>
      </c>
      <c r="S625" t="s">
        <v>12</v>
      </c>
      <c r="T625" t="s">
        <v>12</v>
      </c>
      <c r="U625" t="s">
        <v>12</v>
      </c>
      <c r="V625" t="s">
        <v>12</v>
      </c>
      <c r="W625" t="s">
        <v>12</v>
      </c>
      <c r="X625" t="s">
        <v>12</v>
      </c>
      <c r="Y625" t="s">
        <v>12</v>
      </c>
      <c r="Z625" t="s">
        <v>12</v>
      </c>
      <c r="AA625" t="s">
        <v>12</v>
      </c>
      <c r="AB625" t="s">
        <v>12</v>
      </c>
      <c r="AC625" t="s">
        <v>12</v>
      </c>
      <c r="AD625" t="s">
        <v>12</v>
      </c>
    </row>
    <row r="626" spans="1:30">
      <c r="A626" t="s">
        <v>318</v>
      </c>
      <c r="B626" t="str">
        <f>Master_Data_Productivity[[#This Row],[Uniq-ID]]&amp;"-"&amp;Master_Data_Productivity[[#This Row],[Period]]</f>
        <v>DC-Document_Controller-062-M3</v>
      </c>
      <c r="C626" t="s">
        <v>319</v>
      </c>
      <c r="D626" t="s">
        <v>48</v>
      </c>
      <c r="E626" t="s">
        <v>22</v>
      </c>
      <c r="F626" t="s">
        <v>132</v>
      </c>
      <c r="G626" t="s">
        <v>33</v>
      </c>
      <c r="H626" t="s">
        <v>44</v>
      </c>
      <c r="I626">
        <v>0</v>
      </c>
      <c r="K626" t="s">
        <v>12</v>
      </c>
      <c r="L626" t="s">
        <v>12</v>
      </c>
      <c r="M626" t="s">
        <v>12</v>
      </c>
      <c r="Q626" t="s">
        <v>8</v>
      </c>
      <c r="R626" t="s">
        <v>12</v>
      </c>
      <c r="S626" t="s">
        <v>12</v>
      </c>
      <c r="T626" t="s">
        <v>12</v>
      </c>
      <c r="U626" t="s">
        <v>12</v>
      </c>
      <c r="V626" t="s">
        <v>12</v>
      </c>
      <c r="W626" t="s">
        <v>12</v>
      </c>
      <c r="X626" t="s">
        <v>12</v>
      </c>
      <c r="Y626" t="s">
        <v>12</v>
      </c>
      <c r="Z626" t="s">
        <v>12</v>
      </c>
      <c r="AA626" t="s">
        <v>12</v>
      </c>
      <c r="AB626" t="s">
        <v>12</v>
      </c>
      <c r="AC626" t="s">
        <v>12</v>
      </c>
      <c r="AD626" t="s">
        <v>12</v>
      </c>
    </row>
    <row r="627" spans="1:30">
      <c r="A627" t="s">
        <v>435</v>
      </c>
      <c r="B627" t="str">
        <f>Master_Data_Productivity[[#This Row],[Uniq-ID]]&amp;"-"&amp;Master_Data_Productivity[[#This Row],[Period]]</f>
        <v>DC-Document_Controller-016-M1</v>
      </c>
      <c r="C627" t="s">
        <v>436</v>
      </c>
      <c r="D627" t="s">
        <v>48</v>
      </c>
      <c r="E627" t="s">
        <v>13</v>
      </c>
      <c r="F627" t="s">
        <v>200</v>
      </c>
      <c r="G627" t="s">
        <v>15</v>
      </c>
      <c r="H627" t="s">
        <v>44</v>
      </c>
      <c r="I627">
        <v>0</v>
      </c>
      <c r="K627" t="s">
        <v>12</v>
      </c>
      <c r="L627" t="s">
        <v>12</v>
      </c>
      <c r="M627" t="s">
        <v>12</v>
      </c>
      <c r="Q627" t="s">
        <v>8</v>
      </c>
      <c r="R627" t="s">
        <v>12</v>
      </c>
      <c r="S627" t="s">
        <v>12</v>
      </c>
      <c r="T627" t="s">
        <v>12</v>
      </c>
      <c r="U627" t="s">
        <v>12</v>
      </c>
      <c r="V627" t="s">
        <v>12</v>
      </c>
      <c r="W627" t="s">
        <v>12</v>
      </c>
      <c r="X627" t="s">
        <v>12</v>
      </c>
      <c r="Y627" t="s">
        <v>12</v>
      </c>
      <c r="Z627" t="s">
        <v>12</v>
      </c>
      <c r="AA627" t="s">
        <v>12</v>
      </c>
      <c r="AB627" t="s">
        <v>12</v>
      </c>
      <c r="AC627" t="s">
        <v>12</v>
      </c>
      <c r="AD627" t="s">
        <v>12</v>
      </c>
    </row>
    <row r="628" spans="1:30">
      <c r="A628" t="s">
        <v>435</v>
      </c>
      <c r="B628" t="str">
        <f>Master_Data_Productivity[[#This Row],[Uniq-ID]]&amp;"-"&amp;Master_Data_Productivity[[#This Row],[Period]]</f>
        <v>DC-Document_Controller-016-M2</v>
      </c>
      <c r="C628" t="s">
        <v>436</v>
      </c>
      <c r="D628" t="s">
        <v>48</v>
      </c>
      <c r="E628" t="s">
        <v>18</v>
      </c>
      <c r="F628" t="s">
        <v>202</v>
      </c>
      <c r="G628" t="s">
        <v>15</v>
      </c>
      <c r="H628" t="s">
        <v>44</v>
      </c>
      <c r="I628">
        <v>0</v>
      </c>
      <c r="K628" t="s">
        <v>12</v>
      </c>
      <c r="L628" t="s">
        <v>12</v>
      </c>
      <c r="M628" t="s">
        <v>12</v>
      </c>
      <c r="Q628" t="s">
        <v>8</v>
      </c>
      <c r="R628" t="s">
        <v>12</v>
      </c>
      <c r="S628" t="s">
        <v>12</v>
      </c>
      <c r="T628" t="s">
        <v>12</v>
      </c>
      <c r="U628" t="s">
        <v>12</v>
      </c>
      <c r="V628" t="s">
        <v>12</v>
      </c>
      <c r="W628" t="s">
        <v>12</v>
      </c>
      <c r="X628" t="s">
        <v>12</v>
      </c>
      <c r="Y628" t="s">
        <v>12</v>
      </c>
      <c r="Z628" t="s">
        <v>12</v>
      </c>
      <c r="AA628" t="s">
        <v>12</v>
      </c>
      <c r="AB628" t="s">
        <v>12</v>
      </c>
      <c r="AC628" t="s">
        <v>12</v>
      </c>
      <c r="AD628" t="s">
        <v>12</v>
      </c>
    </row>
    <row r="629" spans="1:30">
      <c r="A629" t="s">
        <v>435</v>
      </c>
      <c r="B629" t="str">
        <f>Master_Data_Productivity[[#This Row],[Uniq-ID]]&amp;"-"&amp;Master_Data_Productivity[[#This Row],[Period]]</f>
        <v>DC-Document_Controller-016-M3</v>
      </c>
      <c r="C629" t="s">
        <v>436</v>
      </c>
      <c r="D629" t="s">
        <v>48</v>
      </c>
      <c r="E629" t="s">
        <v>22</v>
      </c>
      <c r="F629" t="s">
        <v>204</v>
      </c>
      <c r="G629" t="s">
        <v>15</v>
      </c>
      <c r="H629" t="s">
        <v>44</v>
      </c>
      <c r="I629">
        <v>0</v>
      </c>
      <c r="K629" t="s">
        <v>12</v>
      </c>
      <c r="L629" t="s">
        <v>12</v>
      </c>
      <c r="M629" t="s">
        <v>12</v>
      </c>
      <c r="Q629" t="s">
        <v>8</v>
      </c>
      <c r="R629" t="s">
        <v>12</v>
      </c>
      <c r="S629" t="s">
        <v>12</v>
      </c>
      <c r="T629" t="s">
        <v>12</v>
      </c>
      <c r="U629" t="s">
        <v>12</v>
      </c>
      <c r="V629" t="s">
        <v>12</v>
      </c>
      <c r="W629" t="s">
        <v>12</v>
      </c>
      <c r="X629" t="s">
        <v>12</v>
      </c>
      <c r="Y629" t="s">
        <v>12</v>
      </c>
      <c r="Z629" t="s">
        <v>12</v>
      </c>
      <c r="AA629" t="s">
        <v>12</v>
      </c>
      <c r="AB629" t="s">
        <v>12</v>
      </c>
      <c r="AC629" t="s">
        <v>12</v>
      </c>
      <c r="AD629" t="s">
        <v>12</v>
      </c>
    </row>
    <row r="630" spans="1:30">
      <c r="A630" t="s">
        <v>435</v>
      </c>
      <c r="B630" t="str">
        <f>Master_Data_Productivity[[#This Row],[Uniq-ID]]&amp;"-"&amp;Master_Data_Productivity[[#This Row],[Period]]</f>
        <v>DC-Document_Controller-016-M4</v>
      </c>
      <c r="C630" t="s">
        <v>436</v>
      </c>
      <c r="D630" t="s">
        <v>48</v>
      </c>
      <c r="E630" t="s">
        <v>25</v>
      </c>
      <c r="F630" t="s">
        <v>206</v>
      </c>
      <c r="G630" t="s">
        <v>15</v>
      </c>
      <c r="H630" t="s">
        <v>44</v>
      </c>
      <c r="I630">
        <v>0</v>
      </c>
      <c r="K630" t="s">
        <v>12</v>
      </c>
      <c r="L630" t="s">
        <v>12</v>
      </c>
      <c r="M630" t="s">
        <v>12</v>
      </c>
      <c r="Q630" t="s">
        <v>8</v>
      </c>
      <c r="R630" t="s">
        <v>12</v>
      </c>
      <c r="S630" t="s">
        <v>12</v>
      </c>
      <c r="T630" t="s">
        <v>12</v>
      </c>
      <c r="U630" t="s">
        <v>12</v>
      </c>
      <c r="V630" t="s">
        <v>12</v>
      </c>
      <c r="W630" t="s">
        <v>12</v>
      </c>
      <c r="X630" t="s">
        <v>12</v>
      </c>
      <c r="Y630" t="s">
        <v>12</v>
      </c>
      <c r="Z630" t="s">
        <v>12</v>
      </c>
      <c r="AA630" t="s">
        <v>12</v>
      </c>
      <c r="AB630" t="s">
        <v>12</v>
      </c>
      <c r="AC630" t="s">
        <v>12</v>
      </c>
      <c r="AD630" t="s">
        <v>12</v>
      </c>
    </row>
    <row r="631" spans="1:30">
      <c r="A631" t="s">
        <v>435</v>
      </c>
      <c r="B631" t="str">
        <f>Master_Data_Productivity[[#This Row],[Uniq-ID]]&amp;"-"&amp;Master_Data_Productivity[[#This Row],[Period]]</f>
        <v>DC-Document_Controller-016-M5</v>
      </c>
      <c r="C631" t="s">
        <v>436</v>
      </c>
      <c r="D631" t="s">
        <v>48</v>
      </c>
      <c r="E631" t="s">
        <v>28</v>
      </c>
      <c r="F631" t="s">
        <v>208</v>
      </c>
      <c r="G631" t="s">
        <v>15</v>
      </c>
      <c r="H631" t="s">
        <v>44</v>
      </c>
      <c r="I631">
        <v>0.54200000000000004</v>
      </c>
      <c r="J631">
        <v>0.54</v>
      </c>
      <c r="K631" t="s">
        <v>2887</v>
      </c>
      <c r="L631" t="s">
        <v>3354</v>
      </c>
      <c r="M631" t="s">
        <v>2916</v>
      </c>
      <c r="N631">
        <v>924</v>
      </c>
      <c r="O631">
        <v>501</v>
      </c>
      <c r="P631">
        <v>0.54220000000000002</v>
      </c>
      <c r="Q631" t="s">
        <v>8</v>
      </c>
      <c r="R631" t="s">
        <v>12</v>
      </c>
      <c r="S631" t="s">
        <v>12</v>
      </c>
      <c r="T631" t="s">
        <v>12</v>
      </c>
      <c r="U631" t="s">
        <v>12</v>
      </c>
      <c r="V631" t="s">
        <v>12</v>
      </c>
      <c r="W631" t="s">
        <v>12</v>
      </c>
      <c r="X631" t="s">
        <v>12</v>
      </c>
      <c r="Y631" t="s">
        <v>12</v>
      </c>
      <c r="Z631" t="s">
        <v>12</v>
      </c>
      <c r="AA631" t="s">
        <v>12</v>
      </c>
      <c r="AB631" t="s">
        <v>12</v>
      </c>
      <c r="AC631" t="s">
        <v>12</v>
      </c>
      <c r="AD631" t="s">
        <v>12</v>
      </c>
    </row>
    <row r="632" spans="1:30">
      <c r="A632" t="s">
        <v>435</v>
      </c>
      <c r="B632" t="str">
        <f>Master_Data_Productivity[[#This Row],[Uniq-ID]]&amp;"-"&amp;Master_Data_Productivity[[#This Row],[Period]]</f>
        <v>DC-Document_Controller-016-M6</v>
      </c>
      <c r="C632" t="s">
        <v>436</v>
      </c>
      <c r="D632" t="s">
        <v>48</v>
      </c>
      <c r="E632" t="s">
        <v>31</v>
      </c>
      <c r="F632" t="s">
        <v>210</v>
      </c>
      <c r="G632" t="s">
        <v>33</v>
      </c>
      <c r="H632" t="s">
        <v>44</v>
      </c>
      <c r="I632">
        <v>0</v>
      </c>
      <c r="K632" t="s">
        <v>12</v>
      </c>
      <c r="L632" t="s">
        <v>12</v>
      </c>
      <c r="M632" t="s">
        <v>12</v>
      </c>
      <c r="Q632" t="s">
        <v>8</v>
      </c>
      <c r="R632" t="s">
        <v>12</v>
      </c>
      <c r="S632" t="s">
        <v>12</v>
      </c>
      <c r="T632" t="s">
        <v>12</v>
      </c>
      <c r="U632" t="s">
        <v>12</v>
      </c>
      <c r="V632" t="s">
        <v>12</v>
      </c>
      <c r="W632" t="s">
        <v>12</v>
      </c>
      <c r="X632" t="s">
        <v>12</v>
      </c>
      <c r="Y632" t="s">
        <v>12</v>
      </c>
      <c r="Z632" t="s">
        <v>12</v>
      </c>
      <c r="AA632" t="s">
        <v>12</v>
      </c>
      <c r="AB632" t="s">
        <v>12</v>
      </c>
      <c r="AC632" t="s">
        <v>12</v>
      </c>
      <c r="AD632" t="s">
        <v>12</v>
      </c>
    </row>
    <row r="633" spans="1:30">
      <c r="A633" t="s">
        <v>374</v>
      </c>
      <c r="B633" t="str">
        <f>Master_Data_Productivity[[#This Row],[Uniq-ID]]&amp;"-"&amp;Master_Data_Productivity[[#This Row],[Period]]</f>
        <v>DC-Document_Controller-077-M1</v>
      </c>
      <c r="C633" t="s">
        <v>375</v>
      </c>
      <c r="D633" t="s">
        <v>76</v>
      </c>
      <c r="E633" t="s">
        <v>13</v>
      </c>
      <c r="F633" t="s">
        <v>376</v>
      </c>
      <c r="G633" t="s">
        <v>33</v>
      </c>
      <c r="H633" t="s">
        <v>44</v>
      </c>
      <c r="I633">
        <v>0</v>
      </c>
      <c r="K633" t="s">
        <v>12</v>
      </c>
      <c r="L633" t="s">
        <v>12</v>
      </c>
      <c r="M633" t="s">
        <v>12</v>
      </c>
      <c r="Q633" t="s">
        <v>8</v>
      </c>
      <c r="R633" t="s">
        <v>12</v>
      </c>
      <c r="S633" t="s">
        <v>12</v>
      </c>
      <c r="T633" t="s">
        <v>12</v>
      </c>
      <c r="U633" t="s">
        <v>12</v>
      </c>
      <c r="V633" t="s">
        <v>12</v>
      </c>
      <c r="W633" t="s">
        <v>12</v>
      </c>
      <c r="X633" t="s">
        <v>12</v>
      </c>
      <c r="Y633" t="s">
        <v>12</v>
      </c>
      <c r="Z633" t="s">
        <v>12</v>
      </c>
      <c r="AA633" t="s">
        <v>12</v>
      </c>
      <c r="AB633" t="s">
        <v>12</v>
      </c>
      <c r="AC633" t="s">
        <v>12</v>
      </c>
      <c r="AD633" t="s">
        <v>12</v>
      </c>
    </row>
    <row r="634" spans="1:30">
      <c r="A634" t="s">
        <v>398</v>
      </c>
      <c r="B634" t="str">
        <f>Master_Data_Productivity[[#This Row],[Uniq-ID]]&amp;"-"&amp;Master_Data_Productivity[[#This Row],[Period]]</f>
        <v>DC-Document_Controller-076-M1</v>
      </c>
      <c r="C634" t="s">
        <v>399</v>
      </c>
      <c r="D634" t="s">
        <v>76</v>
      </c>
      <c r="E634" t="s">
        <v>13</v>
      </c>
      <c r="F634" t="s">
        <v>376</v>
      </c>
      <c r="G634" t="s">
        <v>33</v>
      </c>
      <c r="H634" t="s">
        <v>44</v>
      </c>
      <c r="I634">
        <v>0</v>
      </c>
      <c r="K634" t="s">
        <v>12</v>
      </c>
      <c r="L634" t="s">
        <v>12</v>
      </c>
      <c r="M634" t="s">
        <v>12</v>
      </c>
      <c r="Q634" t="s">
        <v>8</v>
      </c>
      <c r="R634" t="s">
        <v>12</v>
      </c>
      <c r="S634" t="s">
        <v>12</v>
      </c>
      <c r="T634" t="s">
        <v>12</v>
      </c>
      <c r="U634" t="s">
        <v>12</v>
      </c>
      <c r="V634" t="s">
        <v>12</v>
      </c>
      <c r="W634" t="s">
        <v>12</v>
      </c>
      <c r="X634" t="s">
        <v>12</v>
      </c>
      <c r="Y634" t="s">
        <v>12</v>
      </c>
      <c r="Z634" t="s">
        <v>12</v>
      </c>
      <c r="AA634" t="s">
        <v>12</v>
      </c>
      <c r="AB634" t="s">
        <v>12</v>
      </c>
      <c r="AC634" t="s">
        <v>12</v>
      </c>
      <c r="AD634" t="s">
        <v>12</v>
      </c>
    </row>
    <row r="635" spans="1:30">
      <c r="A635" t="s">
        <v>402</v>
      </c>
      <c r="B635" t="str">
        <f>Master_Data_Productivity[[#This Row],[Uniq-ID]]&amp;"-"&amp;Master_Data_Productivity[[#This Row],[Period]]</f>
        <v>DC-Document_Controller-075-M1</v>
      </c>
      <c r="C635" t="s">
        <v>403</v>
      </c>
      <c r="D635" t="s">
        <v>76</v>
      </c>
      <c r="E635" t="s">
        <v>13</v>
      </c>
      <c r="F635" t="s">
        <v>404</v>
      </c>
      <c r="G635" t="s">
        <v>33</v>
      </c>
      <c r="H635" t="s">
        <v>44</v>
      </c>
      <c r="I635">
        <v>0</v>
      </c>
      <c r="K635" t="s">
        <v>12</v>
      </c>
      <c r="L635" t="s">
        <v>12</v>
      </c>
      <c r="M635" t="s">
        <v>12</v>
      </c>
      <c r="Q635" t="s">
        <v>8</v>
      </c>
      <c r="R635" t="s">
        <v>12</v>
      </c>
      <c r="S635" t="s">
        <v>12</v>
      </c>
      <c r="T635" t="s">
        <v>12</v>
      </c>
      <c r="U635" t="s">
        <v>12</v>
      </c>
      <c r="V635" t="s">
        <v>12</v>
      </c>
      <c r="W635" t="s">
        <v>12</v>
      </c>
      <c r="X635" t="s">
        <v>12</v>
      </c>
      <c r="Y635" t="s">
        <v>12</v>
      </c>
      <c r="Z635" t="s">
        <v>12</v>
      </c>
      <c r="AA635" t="s">
        <v>12</v>
      </c>
      <c r="AB635" t="s">
        <v>12</v>
      </c>
      <c r="AC635" t="s">
        <v>12</v>
      </c>
      <c r="AD635" t="s">
        <v>12</v>
      </c>
    </row>
    <row r="636" spans="1:30">
      <c r="A636" t="s">
        <v>402</v>
      </c>
      <c r="B636" t="str">
        <f>Master_Data_Productivity[[#This Row],[Uniq-ID]]&amp;"-"&amp;Master_Data_Productivity[[#This Row],[Period]]</f>
        <v>DC-Document_Controller-075-M2</v>
      </c>
      <c r="C636" t="s">
        <v>403</v>
      </c>
      <c r="D636" t="s">
        <v>76</v>
      </c>
      <c r="E636" t="s">
        <v>18</v>
      </c>
      <c r="F636" t="s">
        <v>3405</v>
      </c>
      <c r="G636" t="s">
        <v>225</v>
      </c>
      <c r="H636" t="s">
        <v>44</v>
      </c>
      <c r="I636">
        <v>0</v>
      </c>
      <c r="K636" t="s">
        <v>12</v>
      </c>
      <c r="L636" t="s">
        <v>12</v>
      </c>
      <c r="M636" t="s">
        <v>12</v>
      </c>
      <c r="Q636" t="s">
        <v>8</v>
      </c>
      <c r="R636" t="s">
        <v>12</v>
      </c>
      <c r="S636" t="s">
        <v>12</v>
      </c>
      <c r="T636" t="s">
        <v>12</v>
      </c>
      <c r="U636" t="s">
        <v>12</v>
      </c>
      <c r="V636" t="s">
        <v>12</v>
      </c>
      <c r="W636" t="s">
        <v>12</v>
      </c>
      <c r="X636" t="s">
        <v>12</v>
      </c>
      <c r="Y636" t="s">
        <v>12</v>
      </c>
      <c r="Z636" t="s">
        <v>12</v>
      </c>
      <c r="AA636" t="s">
        <v>12</v>
      </c>
      <c r="AB636" t="s">
        <v>12</v>
      </c>
      <c r="AC636" t="s">
        <v>12</v>
      </c>
      <c r="AD636" t="s">
        <v>12</v>
      </c>
    </row>
    <row r="637" spans="1:30">
      <c r="A637" t="s">
        <v>425</v>
      </c>
      <c r="B637" t="str">
        <f>Master_Data_Productivity[[#This Row],[Uniq-ID]]&amp;"-"&amp;Master_Data_Productivity[[#This Row],[Period]]</f>
        <v>DC-Document_Controller-074-M1</v>
      </c>
      <c r="C637" t="s">
        <v>426</v>
      </c>
      <c r="D637" t="s">
        <v>48</v>
      </c>
      <c r="E637" t="s">
        <v>13</v>
      </c>
      <c r="F637" t="s">
        <v>230</v>
      </c>
      <c r="G637" t="s">
        <v>15</v>
      </c>
      <c r="H637" t="s">
        <v>44</v>
      </c>
      <c r="I637">
        <v>0</v>
      </c>
      <c r="K637" t="s">
        <v>12</v>
      </c>
      <c r="L637" t="s">
        <v>12</v>
      </c>
      <c r="M637" t="s">
        <v>12</v>
      </c>
      <c r="Q637" t="s">
        <v>8</v>
      </c>
      <c r="R637" t="s">
        <v>12</v>
      </c>
      <c r="S637" t="s">
        <v>12</v>
      </c>
      <c r="T637" t="s">
        <v>12</v>
      </c>
      <c r="U637" t="s">
        <v>12</v>
      </c>
      <c r="V637" t="s">
        <v>12</v>
      </c>
      <c r="W637" t="s">
        <v>12</v>
      </c>
      <c r="X637" t="s">
        <v>12</v>
      </c>
      <c r="Y637" t="s">
        <v>12</v>
      </c>
      <c r="Z637" t="s">
        <v>12</v>
      </c>
      <c r="AA637" t="s">
        <v>12</v>
      </c>
      <c r="AB637" t="s">
        <v>12</v>
      </c>
      <c r="AC637" t="s">
        <v>12</v>
      </c>
      <c r="AD637" t="s">
        <v>12</v>
      </c>
    </row>
    <row r="638" spans="1:30">
      <c r="A638" t="s">
        <v>425</v>
      </c>
      <c r="B638" t="str">
        <f>Master_Data_Productivity[[#This Row],[Uniq-ID]]&amp;"-"&amp;Master_Data_Productivity[[#This Row],[Period]]</f>
        <v>DC-Document_Controller-074-M2</v>
      </c>
      <c r="C638" t="s">
        <v>426</v>
      </c>
      <c r="D638" t="s">
        <v>48</v>
      </c>
      <c r="E638" t="s">
        <v>18</v>
      </c>
      <c r="F638" t="s">
        <v>231</v>
      </c>
      <c r="G638" t="s">
        <v>33</v>
      </c>
      <c r="H638" t="s">
        <v>44</v>
      </c>
      <c r="I638">
        <v>0</v>
      </c>
      <c r="K638" t="s">
        <v>12</v>
      </c>
      <c r="L638" t="s">
        <v>12</v>
      </c>
      <c r="M638" t="s">
        <v>12</v>
      </c>
      <c r="Q638" t="s">
        <v>8</v>
      </c>
      <c r="R638" t="s">
        <v>12</v>
      </c>
      <c r="S638" t="s">
        <v>12</v>
      </c>
      <c r="T638" t="s">
        <v>12</v>
      </c>
      <c r="U638" t="s">
        <v>12</v>
      </c>
      <c r="V638" t="s">
        <v>12</v>
      </c>
      <c r="W638" t="s">
        <v>12</v>
      </c>
      <c r="X638" t="s">
        <v>12</v>
      </c>
      <c r="Y638" t="s">
        <v>12</v>
      </c>
      <c r="Z638" t="s">
        <v>12</v>
      </c>
      <c r="AA638" t="s">
        <v>12</v>
      </c>
      <c r="AB638" t="s">
        <v>12</v>
      </c>
      <c r="AC638" t="s">
        <v>12</v>
      </c>
      <c r="AD638" t="s">
        <v>12</v>
      </c>
    </row>
    <row r="639" spans="1:30">
      <c r="A639" t="s">
        <v>340</v>
      </c>
      <c r="B639" t="str">
        <f>Master_Data_Productivity[[#This Row],[Uniq-ID]]&amp;"-"&amp;Master_Data_Productivity[[#This Row],[Period]]</f>
        <v>DC-Document_Controller-044-M1</v>
      </c>
      <c r="C639" t="s">
        <v>341</v>
      </c>
      <c r="D639" t="s">
        <v>76</v>
      </c>
      <c r="E639" t="s">
        <v>13</v>
      </c>
      <c r="F639" t="s">
        <v>336</v>
      </c>
      <c r="G639" t="s">
        <v>15</v>
      </c>
      <c r="H639" t="s">
        <v>44</v>
      </c>
      <c r="I639">
        <v>0.872</v>
      </c>
      <c r="J639">
        <v>0.87</v>
      </c>
      <c r="K639" t="s">
        <v>2947</v>
      </c>
      <c r="L639" t="s">
        <v>2948</v>
      </c>
      <c r="M639" t="s">
        <v>2873</v>
      </c>
      <c r="N639">
        <v>110</v>
      </c>
      <c r="O639">
        <v>8</v>
      </c>
      <c r="P639">
        <v>7.2700000000000001E-2</v>
      </c>
      <c r="Q639" t="s">
        <v>8</v>
      </c>
      <c r="R639" t="s">
        <v>12</v>
      </c>
      <c r="S639" t="s">
        <v>12</v>
      </c>
      <c r="T639" t="s">
        <v>12</v>
      </c>
      <c r="U639" t="s">
        <v>12</v>
      </c>
      <c r="V639" t="s">
        <v>12</v>
      </c>
      <c r="W639" t="s">
        <v>12</v>
      </c>
      <c r="X639" t="s">
        <v>12</v>
      </c>
      <c r="Y639" t="s">
        <v>12</v>
      </c>
      <c r="Z639" t="s">
        <v>12</v>
      </c>
      <c r="AA639" t="s">
        <v>12</v>
      </c>
      <c r="AB639" t="s">
        <v>12</v>
      </c>
      <c r="AC639" t="s">
        <v>12</v>
      </c>
      <c r="AD639" t="s">
        <v>12</v>
      </c>
    </row>
    <row r="640" spans="1:30">
      <c r="A640" t="s">
        <v>340</v>
      </c>
      <c r="B640" t="str">
        <f>Master_Data_Productivity[[#This Row],[Uniq-ID]]&amp;"-"&amp;Master_Data_Productivity[[#This Row],[Period]]</f>
        <v>DC-Document_Controller-044-M1</v>
      </c>
      <c r="C640" t="s">
        <v>341</v>
      </c>
      <c r="D640" t="s">
        <v>76</v>
      </c>
      <c r="E640" t="s">
        <v>13</v>
      </c>
      <c r="F640" t="s">
        <v>336</v>
      </c>
      <c r="G640" t="s">
        <v>15</v>
      </c>
      <c r="H640" t="s">
        <v>44</v>
      </c>
      <c r="I640">
        <v>0.872</v>
      </c>
      <c r="J640">
        <v>0.87</v>
      </c>
      <c r="K640" t="s">
        <v>2871</v>
      </c>
      <c r="L640" t="s">
        <v>2950</v>
      </c>
      <c r="M640" t="s">
        <v>2873</v>
      </c>
      <c r="N640">
        <v>88</v>
      </c>
      <c r="O640">
        <v>39</v>
      </c>
      <c r="P640">
        <v>0.44319999999999998</v>
      </c>
      <c r="Q640" t="s">
        <v>8</v>
      </c>
      <c r="R640" t="s">
        <v>12</v>
      </c>
      <c r="S640" t="s">
        <v>12</v>
      </c>
      <c r="T640" t="s">
        <v>12</v>
      </c>
      <c r="U640" t="s">
        <v>12</v>
      </c>
      <c r="V640" t="s">
        <v>12</v>
      </c>
      <c r="W640" t="s">
        <v>12</v>
      </c>
      <c r="X640" t="s">
        <v>12</v>
      </c>
      <c r="Y640" t="s">
        <v>12</v>
      </c>
      <c r="Z640" t="s">
        <v>12</v>
      </c>
      <c r="AA640" t="s">
        <v>12</v>
      </c>
      <c r="AB640" t="s">
        <v>12</v>
      </c>
      <c r="AC640" t="s">
        <v>12</v>
      </c>
      <c r="AD640" t="s">
        <v>12</v>
      </c>
    </row>
    <row r="641" spans="1:30">
      <c r="A641" t="s">
        <v>340</v>
      </c>
      <c r="B641" t="str">
        <f>Master_Data_Productivity[[#This Row],[Uniq-ID]]&amp;"-"&amp;Master_Data_Productivity[[#This Row],[Period]]</f>
        <v>DC-Document_Controller-044-M1</v>
      </c>
      <c r="C641" t="s">
        <v>341</v>
      </c>
      <c r="D641" t="s">
        <v>76</v>
      </c>
      <c r="E641" t="s">
        <v>13</v>
      </c>
      <c r="F641" t="s">
        <v>336</v>
      </c>
      <c r="G641" t="s">
        <v>15</v>
      </c>
      <c r="H641" t="s">
        <v>44</v>
      </c>
      <c r="I641">
        <v>0.872</v>
      </c>
      <c r="J641">
        <v>0.87</v>
      </c>
      <c r="K641" t="s">
        <v>2871</v>
      </c>
      <c r="L641" t="s">
        <v>2952</v>
      </c>
      <c r="M641" t="s">
        <v>2873</v>
      </c>
      <c r="N641">
        <v>257</v>
      </c>
      <c r="O641">
        <v>40</v>
      </c>
      <c r="P641">
        <v>0.15559999999999999</v>
      </c>
      <c r="Q641" t="s">
        <v>8</v>
      </c>
      <c r="R641" t="s">
        <v>12</v>
      </c>
      <c r="S641" t="s">
        <v>12</v>
      </c>
      <c r="T641" t="s">
        <v>12</v>
      </c>
      <c r="U641" t="s">
        <v>12</v>
      </c>
      <c r="V641" t="s">
        <v>12</v>
      </c>
      <c r="W641" t="s">
        <v>12</v>
      </c>
      <c r="X641" t="s">
        <v>12</v>
      </c>
      <c r="Y641" t="s">
        <v>12</v>
      </c>
      <c r="Z641" t="s">
        <v>12</v>
      </c>
      <c r="AA641" t="s">
        <v>12</v>
      </c>
      <c r="AB641" t="s">
        <v>12</v>
      </c>
      <c r="AC641" t="s">
        <v>12</v>
      </c>
      <c r="AD641" t="s">
        <v>12</v>
      </c>
    </row>
    <row r="642" spans="1:30">
      <c r="A642" t="s">
        <v>340</v>
      </c>
      <c r="B642" t="str">
        <f>Master_Data_Productivity[[#This Row],[Uniq-ID]]&amp;"-"&amp;Master_Data_Productivity[[#This Row],[Period]]</f>
        <v>DC-Document_Controller-044-M1</v>
      </c>
      <c r="C642" t="s">
        <v>341</v>
      </c>
      <c r="D642" t="s">
        <v>76</v>
      </c>
      <c r="E642" t="s">
        <v>13</v>
      </c>
      <c r="F642" t="s">
        <v>336</v>
      </c>
      <c r="G642" t="s">
        <v>15</v>
      </c>
      <c r="H642" t="s">
        <v>44</v>
      </c>
      <c r="I642">
        <v>0.872</v>
      </c>
      <c r="J642">
        <v>0.87</v>
      </c>
      <c r="K642" t="s">
        <v>2871</v>
      </c>
      <c r="L642" t="s">
        <v>2954</v>
      </c>
      <c r="M642" t="s">
        <v>2873</v>
      </c>
      <c r="N642">
        <v>220</v>
      </c>
      <c r="O642">
        <v>44</v>
      </c>
      <c r="P642">
        <v>0.2</v>
      </c>
      <c r="Q642" t="s">
        <v>8</v>
      </c>
      <c r="R642" t="s">
        <v>12</v>
      </c>
      <c r="S642" t="s">
        <v>12</v>
      </c>
      <c r="T642" t="s">
        <v>12</v>
      </c>
      <c r="U642" t="s">
        <v>12</v>
      </c>
      <c r="V642" t="s">
        <v>12</v>
      </c>
      <c r="W642" t="s">
        <v>12</v>
      </c>
      <c r="X642" t="s">
        <v>12</v>
      </c>
      <c r="Y642" t="s">
        <v>12</v>
      </c>
      <c r="Z642" t="s">
        <v>12</v>
      </c>
      <c r="AA642" t="s">
        <v>12</v>
      </c>
      <c r="AB642" t="s">
        <v>12</v>
      </c>
      <c r="AC642" t="s">
        <v>12</v>
      </c>
      <c r="AD642" t="s">
        <v>12</v>
      </c>
    </row>
    <row r="643" spans="1:30">
      <c r="A643" t="s">
        <v>340</v>
      </c>
      <c r="B643" t="str">
        <f>Master_Data_Productivity[[#This Row],[Uniq-ID]]&amp;"-"&amp;Master_Data_Productivity[[#This Row],[Period]]</f>
        <v>DC-Document_Controller-044-M2</v>
      </c>
      <c r="C643" t="s">
        <v>341</v>
      </c>
      <c r="D643" t="s">
        <v>76</v>
      </c>
      <c r="E643" t="s">
        <v>18</v>
      </c>
      <c r="F643" t="s">
        <v>337</v>
      </c>
      <c r="G643" t="s">
        <v>15</v>
      </c>
      <c r="H643" t="s">
        <v>44</v>
      </c>
      <c r="I643">
        <v>0.77700000000000002</v>
      </c>
      <c r="J643">
        <v>0.78</v>
      </c>
      <c r="K643" t="s">
        <v>2871</v>
      </c>
      <c r="L643" t="s">
        <v>2954</v>
      </c>
      <c r="M643" t="s">
        <v>2873</v>
      </c>
      <c r="N643">
        <v>220</v>
      </c>
      <c r="O643">
        <v>27</v>
      </c>
      <c r="P643">
        <v>0.1227</v>
      </c>
      <c r="Q643" t="s">
        <v>8</v>
      </c>
      <c r="R643" t="s">
        <v>12</v>
      </c>
      <c r="S643" t="s">
        <v>12</v>
      </c>
      <c r="T643" t="s">
        <v>12</v>
      </c>
      <c r="U643" t="s">
        <v>12</v>
      </c>
      <c r="V643" t="s">
        <v>12</v>
      </c>
      <c r="W643" t="s">
        <v>12</v>
      </c>
      <c r="X643" t="s">
        <v>12</v>
      </c>
      <c r="Y643" t="s">
        <v>12</v>
      </c>
      <c r="Z643" t="s">
        <v>12</v>
      </c>
      <c r="AA643" t="s">
        <v>12</v>
      </c>
      <c r="AB643" t="s">
        <v>12</v>
      </c>
      <c r="AC643" t="s">
        <v>12</v>
      </c>
      <c r="AD643" t="s">
        <v>12</v>
      </c>
    </row>
    <row r="644" spans="1:30">
      <c r="A644" t="s">
        <v>340</v>
      </c>
      <c r="B644" t="str">
        <f>Master_Data_Productivity[[#This Row],[Uniq-ID]]&amp;"-"&amp;Master_Data_Productivity[[#This Row],[Period]]</f>
        <v>DC-Document_Controller-044-M2</v>
      </c>
      <c r="C644" t="s">
        <v>341</v>
      </c>
      <c r="D644" t="s">
        <v>76</v>
      </c>
      <c r="E644" t="s">
        <v>18</v>
      </c>
      <c r="F644" t="s">
        <v>337</v>
      </c>
      <c r="G644" t="s">
        <v>15</v>
      </c>
      <c r="H644" t="s">
        <v>44</v>
      </c>
      <c r="I644">
        <v>0.77700000000000002</v>
      </c>
      <c r="J644">
        <v>0.78</v>
      </c>
      <c r="K644" t="s">
        <v>2871</v>
      </c>
      <c r="L644" t="s">
        <v>2952</v>
      </c>
      <c r="M644" t="s">
        <v>2873</v>
      </c>
      <c r="N644">
        <v>257</v>
      </c>
      <c r="O644">
        <v>46</v>
      </c>
      <c r="P644">
        <v>0.17899999999999999</v>
      </c>
      <c r="Q644" t="s">
        <v>8</v>
      </c>
      <c r="R644" t="s">
        <v>12</v>
      </c>
      <c r="S644" t="s">
        <v>12</v>
      </c>
      <c r="T644" t="s">
        <v>12</v>
      </c>
      <c r="U644" t="s">
        <v>12</v>
      </c>
      <c r="V644" t="s">
        <v>12</v>
      </c>
      <c r="W644" t="s">
        <v>12</v>
      </c>
      <c r="X644" t="s">
        <v>12</v>
      </c>
      <c r="Y644" t="s">
        <v>12</v>
      </c>
      <c r="Z644" t="s">
        <v>12</v>
      </c>
      <c r="AA644" t="s">
        <v>12</v>
      </c>
      <c r="AB644" t="s">
        <v>12</v>
      </c>
      <c r="AC644" t="s">
        <v>12</v>
      </c>
      <c r="AD644" t="s">
        <v>12</v>
      </c>
    </row>
    <row r="645" spans="1:30">
      <c r="A645" t="s">
        <v>340</v>
      </c>
      <c r="B645" t="str">
        <f>Master_Data_Productivity[[#This Row],[Uniq-ID]]&amp;"-"&amp;Master_Data_Productivity[[#This Row],[Period]]</f>
        <v>DC-Document_Controller-044-M2</v>
      </c>
      <c r="C645" t="s">
        <v>341</v>
      </c>
      <c r="D645" t="s">
        <v>76</v>
      </c>
      <c r="E645" t="s">
        <v>18</v>
      </c>
      <c r="F645" t="s">
        <v>337</v>
      </c>
      <c r="G645" t="s">
        <v>15</v>
      </c>
      <c r="H645" t="s">
        <v>44</v>
      </c>
      <c r="I645">
        <v>0.77700000000000002</v>
      </c>
      <c r="J645">
        <v>0.78</v>
      </c>
      <c r="K645" t="s">
        <v>2871</v>
      </c>
      <c r="L645" t="s">
        <v>2950</v>
      </c>
      <c r="M645" t="s">
        <v>2873</v>
      </c>
      <c r="N645">
        <v>88</v>
      </c>
      <c r="O645">
        <v>41</v>
      </c>
      <c r="P645">
        <v>0.46589999999999998</v>
      </c>
      <c r="Q645" t="s">
        <v>8</v>
      </c>
      <c r="R645" t="s">
        <v>12</v>
      </c>
      <c r="S645" t="s">
        <v>12</v>
      </c>
      <c r="T645" t="s">
        <v>12</v>
      </c>
      <c r="U645" t="s">
        <v>12</v>
      </c>
      <c r="V645" t="s">
        <v>12</v>
      </c>
      <c r="W645" t="s">
        <v>12</v>
      </c>
      <c r="X645" t="s">
        <v>12</v>
      </c>
      <c r="Y645" t="s">
        <v>12</v>
      </c>
      <c r="Z645" t="s">
        <v>12</v>
      </c>
      <c r="AA645" t="s">
        <v>12</v>
      </c>
      <c r="AB645" t="s">
        <v>12</v>
      </c>
      <c r="AC645" t="s">
        <v>12</v>
      </c>
      <c r="AD645" t="s">
        <v>12</v>
      </c>
    </row>
    <row r="646" spans="1:30">
      <c r="A646" t="s">
        <v>340</v>
      </c>
      <c r="B646" t="str">
        <f>Master_Data_Productivity[[#This Row],[Uniq-ID]]&amp;"-"&amp;Master_Data_Productivity[[#This Row],[Period]]</f>
        <v>DC-Document_Controller-044-M2</v>
      </c>
      <c r="C646" t="s">
        <v>341</v>
      </c>
      <c r="D646" t="s">
        <v>76</v>
      </c>
      <c r="E646" t="s">
        <v>18</v>
      </c>
      <c r="F646" t="s">
        <v>337</v>
      </c>
      <c r="G646" t="s">
        <v>15</v>
      </c>
      <c r="H646" t="s">
        <v>44</v>
      </c>
      <c r="I646">
        <v>0.77700000000000002</v>
      </c>
      <c r="J646">
        <v>0.78</v>
      </c>
      <c r="K646" t="s">
        <v>2947</v>
      </c>
      <c r="L646" t="s">
        <v>2948</v>
      </c>
      <c r="M646" t="s">
        <v>2873</v>
      </c>
      <c r="N646">
        <v>110</v>
      </c>
      <c r="O646">
        <v>1</v>
      </c>
      <c r="P646">
        <v>9.1000000000000004E-3</v>
      </c>
      <c r="Q646" t="s">
        <v>8</v>
      </c>
      <c r="R646" t="s">
        <v>12</v>
      </c>
      <c r="S646" t="s">
        <v>12</v>
      </c>
      <c r="T646" t="s">
        <v>12</v>
      </c>
      <c r="U646" t="s">
        <v>12</v>
      </c>
      <c r="V646" t="s">
        <v>12</v>
      </c>
      <c r="W646" t="s">
        <v>12</v>
      </c>
      <c r="X646" t="s">
        <v>12</v>
      </c>
      <c r="Y646" t="s">
        <v>12</v>
      </c>
      <c r="Z646" t="s">
        <v>12</v>
      </c>
      <c r="AA646" t="s">
        <v>12</v>
      </c>
      <c r="AB646" t="s">
        <v>12</v>
      </c>
      <c r="AC646" t="s">
        <v>12</v>
      </c>
      <c r="AD646" t="s">
        <v>12</v>
      </c>
    </row>
    <row r="647" spans="1:30">
      <c r="A647" t="s">
        <v>340</v>
      </c>
      <c r="B647" t="str">
        <f>Master_Data_Productivity[[#This Row],[Uniq-ID]]&amp;"-"&amp;Master_Data_Productivity[[#This Row],[Period]]</f>
        <v>DC-Document_Controller-044-M3</v>
      </c>
      <c r="C647" t="s">
        <v>341</v>
      </c>
      <c r="D647" t="s">
        <v>76</v>
      </c>
      <c r="E647" t="s">
        <v>22</v>
      </c>
      <c r="F647" t="s">
        <v>338</v>
      </c>
      <c r="G647" t="s">
        <v>15</v>
      </c>
      <c r="H647" t="s">
        <v>44</v>
      </c>
      <c r="I647">
        <v>0.35599999999999998</v>
      </c>
      <c r="J647">
        <v>0.5</v>
      </c>
      <c r="K647" t="s">
        <v>2871</v>
      </c>
      <c r="L647" t="s">
        <v>2954</v>
      </c>
      <c r="M647" t="s">
        <v>2873</v>
      </c>
      <c r="N647">
        <v>220</v>
      </c>
      <c r="O647">
        <v>31</v>
      </c>
      <c r="P647">
        <v>0.1409</v>
      </c>
      <c r="Q647" t="s">
        <v>8</v>
      </c>
      <c r="R647" t="s">
        <v>12</v>
      </c>
      <c r="S647" t="s">
        <v>12</v>
      </c>
      <c r="T647" t="s">
        <v>12</v>
      </c>
      <c r="U647" t="s">
        <v>12</v>
      </c>
      <c r="V647" t="s">
        <v>12</v>
      </c>
      <c r="W647" t="s">
        <v>12</v>
      </c>
      <c r="X647" t="s">
        <v>12</v>
      </c>
      <c r="Y647" t="s">
        <v>12</v>
      </c>
      <c r="Z647" t="s">
        <v>12</v>
      </c>
      <c r="AA647" t="s">
        <v>12</v>
      </c>
      <c r="AB647" t="s">
        <v>12</v>
      </c>
      <c r="AC647" t="s">
        <v>12</v>
      </c>
      <c r="AD647" t="s">
        <v>12</v>
      </c>
    </row>
    <row r="648" spans="1:30">
      <c r="A648" t="s">
        <v>340</v>
      </c>
      <c r="B648" t="str">
        <f>Master_Data_Productivity[[#This Row],[Uniq-ID]]&amp;"-"&amp;Master_Data_Productivity[[#This Row],[Period]]</f>
        <v>DC-Document_Controller-044-M3</v>
      </c>
      <c r="C648" t="s">
        <v>341</v>
      </c>
      <c r="D648" t="s">
        <v>76</v>
      </c>
      <c r="E648" t="s">
        <v>22</v>
      </c>
      <c r="F648" t="s">
        <v>338</v>
      </c>
      <c r="G648" t="s">
        <v>15</v>
      </c>
      <c r="H648" t="s">
        <v>44</v>
      </c>
      <c r="I648">
        <v>0.35599999999999998</v>
      </c>
      <c r="J648">
        <v>0.5</v>
      </c>
      <c r="K648" t="s">
        <v>2871</v>
      </c>
      <c r="L648" t="s">
        <v>2952</v>
      </c>
      <c r="M648" t="s">
        <v>2873</v>
      </c>
      <c r="N648">
        <v>257</v>
      </c>
      <c r="O648">
        <v>1</v>
      </c>
      <c r="P648">
        <v>3.8999999999999998E-3</v>
      </c>
      <c r="Q648" t="s">
        <v>8</v>
      </c>
      <c r="R648" t="s">
        <v>12</v>
      </c>
      <c r="S648" t="s">
        <v>12</v>
      </c>
      <c r="T648" t="s">
        <v>12</v>
      </c>
      <c r="U648" t="s">
        <v>12</v>
      </c>
      <c r="V648" t="s">
        <v>12</v>
      </c>
      <c r="W648" t="s">
        <v>12</v>
      </c>
      <c r="X648" t="s">
        <v>12</v>
      </c>
      <c r="Y648" t="s">
        <v>12</v>
      </c>
      <c r="Z648" t="s">
        <v>12</v>
      </c>
      <c r="AA648" t="s">
        <v>12</v>
      </c>
      <c r="AB648" t="s">
        <v>12</v>
      </c>
      <c r="AC648" t="s">
        <v>12</v>
      </c>
      <c r="AD648" t="s">
        <v>12</v>
      </c>
    </row>
    <row r="649" spans="1:30">
      <c r="A649" t="s">
        <v>340</v>
      </c>
      <c r="B649" t="str">
        <f>Master_Data_Productivity[[#This Row],[Uniq-ID]]&amp;"-"&amp;Master_Data_Productivity[[#This Row],[Period]]</f>
        <v>DC-Document_Controller-044-M3</v>
      </c>
      <c r="C649" t="s">
        <v>341</v>
      </c>
      <c r="D649" t="s">
        <v>76</v>
      </c>
      <c r="E649" t="s">
        <v>22</v>
      </c>
      <c r="F649" t="s">
        <v>338</v>
      </c>
      <c r="G649" t="s">
        <v>15</v>
      </c>
      <c r="H649" t="s">
        <v>44</v>
      </c>
      <c r="I649">
        <v>0.35599999999999998</v>
      </c>
      <c r="J649">
        <v>0.5</v>
      </c>
      <c r="K649" t="s">
        <v>2871</v>
      </c>
      <c r="L649" t="s">
        <v>2950</v>
      </c>
      <c r="M649" t="s">
        <v>2873</v>
      </c>
      <c r="N649">
        <v>88</v>
      </c>
      <c r="O649">
        <v>14</v>
      </c>
      <c r="P649">
        <v>0.15909999999999999</v>
      </c>
      <c r="Q649" t="s">
        <v>8</v>
      </c>
      <c r="R649" t="s">
        <v>12</v>
      </c>
      <c r="S649" t="s">
        <v>12</v>
      </c>
      <c r="T649" t="s">
        <v>12</v>
      </c>
      <c r="U649" t="s">
        <v>12</v>
      </c>
      <c r="V649" t="s">
        <v>12</v>
      </c>
      <c r="W649" t="s">
        <v>12</v>
      </c>
      <c r="X649" t="s">
        <v>12</v>
      </c>
      <c r="Y649" t="s">
        <v>12</v>
      </c>
      <c r="Z649" t="s">
        <v>12</v>
      </c>
      <c r="AA649" t="s">
        <v>12</v>
      </c>
      <c r="AB649" t="s">
        <v>12</v>
      </c>
      <c r="AC649" t="s">
        <v>12</v>
      </c>
      <c r="AD649" t="s">
        <v>12</v>
      </c>
    </row>
    <row r="650" spans="1:30">
      <c r="A650" t="s">
        <v>340</v>
      </c>
      <c r="B650" t="str">
        <f>Master_Data_Productivity[[#This Row],[Uniq-ID]]&amp;"-"&amp;Master_Data_Productivity[[#This Row],[Period]]</f>
        <v>DC-Document_Controller-044-M3</v>
      </c>
      <c r="C650" t="s">
        <v>341</v>
      </c>
      <c r="D650" t="s">
        <v>76</v>
      </c>
      <c r="E650" t="s">
        <v>22</v>
      </c>
      <c r="F650" t="s">
        <v>338</v>
      </c>
      <c r="G650" t="s">
        <v>15</v>
      </c>
      <c r="H650" t="s">
        <v>44</v>
      </c>
      <c r="I650">
        <v>0.35599999999999998</v>
      </c>
      <c r="J650">
        <v>0.5</v>
      </c>
      <c r="K650" t="s">
        <v>2871</v>
      </c>
      <c r="L650" t="s">
        <v>2958</v>
      </c>
      <c r="M650" t="s">
        <v>2873</v>
      </c>
      <c r="N650">
        <v>154</v>
      </c>
      <c r="O650">
        <v>8</v>
      </c>
      <c r="P650">
        <v>5.1900000000000002E-2</v>
      </c>
      <c r="Q650" t="s">
        <v>8</v>
      </c>
      <c r="R650" t="s">
        <v>12</v>
      </c>
      <c r="S650" t="s">
        <v>12</v>
      </c>
      <c r="T650" t="s">
        <v>12</v>
      </c>
      <c r="U650" t="s">
        <v>12</v>
      </c>
      <c r="V650" t="s">
        <v>12</v>
      </c>
      <c r="W650" t="s">
        <v>12</v>
      </c>
      <c r="X650" t="s">
        <v>12</v>
      </c>
      <c r="Y650" t="s">
        <v>12</v>
      </c>
      <c r="Z650" t="s">
        <v>12</v>
      </c>
      <c r="AA650" t="s">
        <v>12</v>
      </c>
      <c r="AB650" t="s">
        <v>12</v>
      </c>
      <c r="AC650" t="s">
        <v>12</v>
      </c>
      <c r="AD650" t="s">
        <v>12</v>
      </c>
    </row>
    <row r="651" spans="1:30">
      <c r="A651" t="s">
        <v>340</v>
      </c>
      <c r="B651" t="str">
        <f>Master_Data_Productivity[[#This Row],[Uniq-ID]]&amp;"-"&amp;Master_Data_Productivity[[#This Row],[Period]]</f>
        <v>DC-Document_Controller-044-M4</v>
      </c>
      <c r="C651" t="s">
        <v>341</v>
      </c>
      <c r="D651" t="s">
        <v>76</v>
      </c>
      <c r="E651" t="s">
        <v>25</v>
      </c>
      <c r="F651" t="s">
        <v>339</v>
      </c>
      <c r="G651" t="s">
        <v>33</v>
      </c>
      <c r="H651" t="s">
        <v>44</v>
      </c>
      <c r="I651">
        <v>0.245</v>
      </c>
      <c r="J651">
        <v>0.5</v>
      </c>
      <c r="K651" t="s">
        <v>2871</v>
      </c>
      <c r="L651" t="s">
        <v>2956</v>
      </c>
      <c r="M651" t="s">
        <v>2873</v>
      </c>
      <c r="N651">
        <v>298</v>
      </c>
      <c r="O651">
        <v>1</v>
      </c>
      <c r="P651">
        <v>3.3999999999999998E-3</v>
      </c>
      <c r="Q651" t="s">
        <v>8</v>
      </c>
      <c r="R651" t="s">
        <v>12</v>
      </c>
      <c r="S651" t="s">
        <v>12</v>
      </c>
      <c r="T651" t="s">
        <v>12</v>
      </c>
      <c r="U651" t="s">
        <v>12</v>
      </c>
      <c r="V651" t="s">
        <v>12</v>
      </c>
      <c r="W651" t="s">
        <v>12</v>
      </c>
      <c r="X651" t="s">
        <v>12</v>
      </c>
      <c r="Y651" t="s">
        <v>12</v>
      </c>
      <c r="Z651" t="s">
        <v>12</v>
      </c>
      <c r="AA651" t="s">
        <v>12</v>
      </c>
      <c r="AB651" t="s">
        <v>12</v>
      </c>
      <c r="AC651" t="s">
        <v>12</v>
      </c>
      <c r="AD651" t="s">
        <v>12</v>
      </c>
    </row>
    <row r="652" spans="1:30">
      <c r="A652" t="s">
        <v>340</v>
      </c>
      <c r="B652" t="str">
        <f>Master_Data_Productivity[[#This Row],[Uniq-ID]]&amp;"-"&amp;Master_Data_Productivity[[#This Row],[Period]]</f>
        <v>DC-Document_Controller-044-M4</v>
      </c>
      <c r="C652" t="s">
        <v>341</v>
      </c>
      <c r="D652" t="s">
        <v>76</v>
      </c>
      <c r="E652" t="s">
        <v>25</v>
      </c>
      <c r="F652" t="s">
        <v>339</v>
      </c>
      <c r="G652" t="s">
        <v>33</v>
      </c>
      <c r="H652" t="s">
        <v>44</v>
      </c>
      <c r="I652">
        <v>0.245</v>
      </c>
      <c r="J652">
        <v>0.5</v>
      </c>
      <c r="K652" t="s">
        <v>2871</v>
      </c>
      <c r="L652" t="s">
        <v>2954</v>
      </c>
      <c r="M652" t="s">
        <v>2873</v>
      </c>
      <c r="N652">
        <v>220</v>
      </c>
      <c r="O652">
        <v>15</v>
      </c>
      <c r="P652">
        <v>6.8199999999999997E-2</v>
      </c>
      <c r="Q652" t="s">
        <v>8</v>
      </c>
      <c r="R652" t="s">
        <v>12</v>
      </c>
      <c r="S652" t="s">
        <v>12</v>
      </c>
      <c r="T652" t="s">
        <v>12</v>
      </c>
      <c r="U652" t="s">
        <v>12</v>
      </c>
      <c r="V652" t="s">
        <v>12</v>
      </c>
      <c r="W652" t="s">
        <v>12</v>
      </c>
      <c r="X652" t="s">
        <v>12</v>
      </c>
      <c r="Y652" t="s">
        <v>12</v>
      </c>
      <c r="Z652" t="s">
        <v>12</v>
      </c>
      <c r="AA652" t="s">
        <v>12</v>
      </c>
      <c r="AB652" t="s">
        <v>12</v>
      </c>
      <c r="AC652" t="s">
        <v>12</v>
      </c>
      <c r="AD652" t="s">
        <v>12</v>
      </c>
    </row>
    <row r="653" spans="1:30">
      <c r="A653" t="s">
        <v>340</v>
      </c>
      <c r="B653" t="str">
        <f>Master_Data_Productivity[[#This Row],[Uniq-ID]]&amp;"-"&amp;Master_Data_Productivity[[#This Row],[Period]]</f>
        <v>DC-Document_Controller-044-M4</v>
      </c>
      <c r="C653" t="s">
        <v>341</v>
      </c>
      <c r="D653" t="s">
        <v>76</v>
      </c>
      <c r="E653" t="s">
        <v>25</v>
      </c>
      <c r="F653" t="s">
        <v>339</v>
      </c>
      <c r="G653" t="s">
        <v>33</v>
      </c>
      <c r="H653" t="s">
        <v>44</v>
      </c>
      <c r="I653">
        <v>0.245</v>
      </c>
      <c r="J653">
        <v>0.5</v>
      </c>
      <c r="K653" t="s">
        <v>2871</v>
      </c>
      <c r="L653" t="s">
        <v>2952</v>
      </c>
      <c r="M653" t="s">
        <v>2873</v>
      </c>
      <c r="N653">
        <v>257</v>
      </c>
      <c r="O653">
        <v>13</v>
      </c>
      <c r="P653">
        <v>5.0599999999999999E-2</v>
      </c>
      <c r="Q653" t="s">
        <v>8</v>
      </c>
      <c r="R653" t="s">
        <v>12</v>
      </c>
      <c r="S653" t="s">
        <v>12</v>
      </c>
      <c r="T653" t="s">
        <v>12</v>
      </c>
      <c r="U653" t="s">
        <v>12</v>
      </c>
      <c r="V653" t="s">
        <v>12</v>
      </c>
      <c r="W653" t="s">
        <v>12</v>
      </c>
      <c r="X653" t="s">
        <v>12</v>
      </c>
      <c r="Y653" t="s">
        <v>12</v>
      </c>
      <c r="Z653" t="s">
        <v>12</v>
      </c>
      <c r="AA653" t="s">
        <v>12</v>
      </c>
      <c r="AB653" t="s">
        <v>12</v>
      </c>
      <c r="AC653" t="s">
        <v>12</v>
      </c>
      <c r="AD653" t="s">
        <v>12</v>
      </c>
    </row>
    <row r="654" spans="1:30">
      <c r="A654" t="s">
        <v>340</v>
      </c>
      <c r="B654" t="str">
        <f>Master_Data_Productivity[[#This Row],[Uniq-ID]]&amp;"-"&amp;Master_Data_Productivity[[#This Row],[Period]]</f>
        <v>DC-Document_Controller-044-M4</v>
      </c>
      <c r="C654" t="s">
        <v>341</v>
      </c>
      <c r="D654" t="s">
        <v>76</v>
      </c>
      <c r="E654" t="s">
        <v>25</v>
      </c>
      <c r="F654" t="s">
        <v>339</v>
      </c>
      <c r="G654" t="s">
        <v>33</v>
      </c>
      <c r="H654" t="s">
        <v>44</v>
      </c>
      <c r="I654">
        <v>0.245</v>
      </c>
      <c r="J654">
        <v>0.5</v>
      </c>
      <c r="K654" t="s">
        <v>2871</v>
      </c>
      <c r="L654" t="s">
        <v>2950</v>
      </c>
      <c r="M654" t="s">
        <v>2873</v>
      </c>
      <c r="N654">
        <v>88</v>
      </c>
      <c r="O654">
        <v>4</v>
      </c>
      <c r="P654">
        <v>4.5499999999999999E-2</v>
      </c>
      <c r="Q654" t="s">
        <v>8</v>
      </c>
      <c r="R654" t="s">
        <v>12</v>
      </c>
      <c r="S654" t="s">
        <v>12</v>
      </c>
      <c r="T654" t="s">
        <v>12</v>
      </c>
      <c r="U654" t="s">
        <v>12</v>
      </c>
      <c r="V654" t="s">
        <v>12</v>
      </c>
      <c r="W654" t="s">
        <v>12</v>
      </c>
      <c r="X654" t="s">
        <v>12</v>
      </c>
      <c r="Y654" t="s">
        <v>12</v>
      </c>
      <c r="Z654" t="s">
        <v>12</v>
      </c>
      <c r="AA654" t="s">
        <v>12</v>
      </c>
      <c r="AB654" t="s">
        <v>12</v>
      </c>
      <c r="AC654" t="s">
        <v>12</v>
      </c>
      <c r="AD654" t="s">
        <v>12</v>
      </c>
    </row>
    <row r="655" spans="1:30">
      <c r="A655" t="s">
        <v>340</v>
      </c>
      <c r="B655" t="str">
        <f>Master_Data_Productivity[[#This Row],[Uniq-ID]]&amp;"-"&amp;Master_Data_Productivity[[#This Row],[Period]]</f>
        <v>DC-Document_Controller-044-M4</v>
      </c>
      <c r="C655" t="s">
        <v>341</v>
      </c>
      <c r="D655" t="s">
        <v>76</v>
      </c>
      <c r="E655" t="s">
        <v>25</v>
      </c>
      <c r="F655" t="s">
        <v>339</v>
      </c>
      <c r="G655" t="s">
        <v>33</v>
      </c>
      <c r="H655" t="s">
        <v>44</v>
      </c>
      <c r="I655">
        <v>0.245</v>
      </c>
      <c r="J655">
        <v>0.5</v>
      </c>
      <c r="K655" t="s">
        <v>2871</v>
      </c>
      <c r="L655" t="s">
        <v>2958</v>
      </c>
      <c r="M655" t="s">
        <v>2873</v>
      </c>
      <c r="N655">
        <v>154</v>
      </c>
      <c r="O655">
        <v>12</v>
      </c>
      <c r="P655">
        <v>7.7899999999999997E-2</v>
      </c>
      <c r="Q655" t="s">
        <v>8</v>
      </c>
      <c r="R655" t="s">
        <v>12</v>
      </c>
      <c r="S655" t="s">
        <v>12</v>
      </c>
      <c r="T655" t="s">
        <v>12</v>
      </c>
      <c r="U655" t="s">
        <v>12</v>
      </c>
      <c r="V655" t="s">
        <v>12</v>
      </c>
      <c r="W655" t="s">
        <v>12</v>
      </c>
      <c r="X655" t="s">
        <v>12</v>
      </c>
      <c r="Y655" t="s">
        <v>12</v>
      </c>
      <c r="Z655" t="s">
        <v>12</v>
      </c>
      <c r="AA655" t="s">
        <v>12</v>
      </c>
      <c r="AB655" t="s">
        <v>12</v>
      </c>
      <c r="AC655" t="s">
        <v>12</v>
      </c>
      <c r="AD655" t="s">
        <v>12</v>
      </c>
    </row>
    <row r="656" spans="1:30">
      <c r="A656" t="s">
        <v>349</v>
      </c>
      <c r="B656" t="str">
        <f>Master_Data_Productivity[[#This Row],[Uniq-ID]]&amp;"-"&amp;Master_Data_Productivity[[#This Row],[Period]]</f>
        <v>DC-Document_Controller-041-M1</v>
      </c>
      <c r="C656" t="s">
        <v>350</v>
      </c>
      <c r="D656" t="s">
        <v>76</v>
      </c>
      <c r="E656" t="s">
        <v>13</v>
      </c>
      <c r="F656" t="s">
        <v>37</v>
      </c>
      <c r="G656" t="s">
        <v>15</v>
      </c>
      <c r="H656" t="s">
        <v>44</v>
      </c>
      <c r="I656">
        <v>0</v>
      </c>
      <c r="K656" t="s">
        <v>12</v>
      </c>
      <c r="L656" t="s">
        <v>12</v>
      </c>
      <c r="M656" t="s">
        <v>12</v>
      </c>
      <c r="Q656" t="s">
        <v>8</v>
      </c>
      <c r="R656" t="s">
        <v>12</v>
      </c>
      <c r="S656" t="s">
        <v>12</v>
      </c>
      <c r="T656" t="s">
        <v>12</v>
      </c>
      <c r="U656" t="s">
        <v>12</v>
      </c>
      <c r="V656" t="s">
        <v>12</v>
      </c>
      <c r="W656" t="s">
        <v>12</v>
      </c>
      <c r="X656" t="s">
        <v>12</v>
      </c>
      <c r="Y656" t="s">
        <v>12</v>
      </c>
      <c r="Z656" t="s">
        <v>12</v>
      </c>
      <c r="AA656" t="s">
        <v>12</v>
      </c>
      <c r="AB656" t="s">
        <v>12</v>
      </c>
      <c r="AC656" t="s">
        <v>12</v>
      </c>
      <c r="AD656" t="s">
        <v>12</v>
      </c>
    </row>
    <row r="657" spans="1:30">
      <c r="A657" t="s">
        <v>349</v>
      </c>
      <c r="B657" t="str">
        <f>Master_Data_Productivity[[#This Row],[Uniq-ID]]&amp;"-"&amp;Master_Data_Productivity[[#This Row],[Period]]</f>
        <v>DC-Document_Controller-041-M2</v>
      </c>
      <c r="C657" t="s">
        <v>350</v>
      </c>
      <c r="D657" t="s">
        <v>76</v>
      </c>
      <c r="E657" t="s">
        <v>18</v>
      </c>
      <c r="F657" t="s">
        <v>39</v>
      </c>
      <c r="G657" t="s">
        <v>15</v>
      </c>
      <c r="H657" t="s">
        <v>44</v>
      </c>
      <c r="I657">
        <v>0</v>
      </c>
      <c r="K657" t="s">
        <v>12</v>
      </c>
      <c r="L657" t="s">
        <v>12</v>
      </c>
      <c r="M657" t="s">
        <v>12</v>
      </c>
      <c r="Q657" t="s">
        <v>8</v>
      </c>
      <c r="R657" t="s">
        <v>12</v>
      </c>
      <c r="S657" t="s">
        <v>12</v>
      </c>
      <c r="T657" t="s">
        <v>12</v>
      </c>
      <c r="U657" t="s">
        <v>12</v>
      </c>
      <c r="V657" t="s">
        <v>12</v>
      </c>
      <c r="W657" t="s">
        <v>12</v>
      </c>
      <c r="X657" t="s">
        <v>12</v>
      </c>
      <c r="Y657" t="s">
        <v>12</v>
      </c>
      <c r="Z657" t="s">
        <v>12</v>
      </c>
      <c r="AA657" t="s">
        <v>12</v>
      </c>
      <c r="AB657" t="s">
        <v>12</v>
      </c>
      <c r="AC657" t="s">
        <v>12</v>
      </c>
      <c r="AD657" t="s">
        <v>12</v>
      </c>
    </row>
    <row r="658" spans="1:30">
      <c r="A658" t="s">
        <v>349</v>
      </c>
      <c r="B658" t="str">
        <f>Master_Data_Productivity[[#This Row],[Uniq-ID]]&amp;"-"&amp;Master_Data_Productivity[[#This Row],[Period]]</f>
        <v>DC-Document_Controller-041-M3</v>
      </c>
      <c r="C658" t="s">
        <v>350</v>
      </c>
      <c r="D658" t="s">
        <v>76</v>
      </c>
      <c r="E658" t="s">
        <v>22</v>
      </c>
      <c r="F658" t="s">
        <v>41</v>
      </c>
      <c r="G658" t="s">
        <v>15</v>
      </c>
      <c r="H658" t="s">
        <v>44</v>
      </c>
      <c r="I658">
        <v>0</v>
      </c>
      <c r="K658" t="s">
        <v>12</v>
      </c>
      <c r="L658" t="s">
        <v>12</v>
      </c>
      <c r="M658" t="s">
        <v>12</v>
      </c>
      <c r="Q658" t="s">
        <v>8</v>
      </c>
      <c r="R658" t="s">
        <v>12</v>
      </c>
      <c r="S658" t="s">
        <v>12</v>
      </c>
      <c r="T658" t="s">
        <v>12</v>
      </c>
      <c r="U658" t="s">
        <v>12</v>
      </c>
      <c r="V658" t="s">
        <v>12</v>
      </c>
      <c r="W658" t="s">
        <v>12</v>
      </c>
      <c r="X658" t="s">
        <v>12</v>
      </c>
      <c r="Y658" t="s">
        <v>12</v>
      </c>
      <c r="Z658" t="s">
        <v>12</v>
      </c>
      <c r="AA658" t="s">
        <v>12</v>
      </c>
      <c r="AB658" t="s">
        <v>12</v>
      </c>
      <c r="AC658" t="s">
        <v>12</v>
      </c>
      <c r="AD658" t="s">
        <v>12</v>
      </c>
    </row>
    <row r="659" spans="1:30">
      <c r="A659" t="s">
        <v>349</v>
      </c>
      <c r="B659" t="str">
        <f>Master_Data_Productivity[[#This Row],[Uniq-ID]]&amp;"-"&amp;Master_Data_Productivity[[#This Row],[Period]]</f>
        <v>DC-Document_Controller-041-M4</v>
      </c>
      <c r="C659" t="s">
        <v>350</v>
      </c>
      <c r="D659" t="s">
        <v>76</v>
      </c>
      <c r="E659" t="s">
        <v>25</v>
      </c>
      <c r="F659" t="s">
        <v>43</v>
      </c>
      <c r="G659" t="s">
        <v>33</v>
      </c>
      <c r="H659" t="s">
        <v>44</v>
      </c>
      <c r="I659">
        <v>0</v>
      </c>
      <c r="K659" t="s">
        <v>12</v>
      </c>
      <c r="L659" t="s">
        <v>12</v>
      </c>
      <c r="M659" t="s">
        <v>12</v>
      </c>
      <c r="Q659" t="s">
        <v>8</v>
      </c>
      <c r="R659" t="s">
        <v>12</v>
      </c>
      <c r="S659" t="s">
        <v>12</v>
      </c>
      <c r="T659" t="s">
        <v>12</v>
      </c>
      <c r="U659" t="s">
        <v>12</v>
      </c>
      <c r="V659" t="s">
        <v>12</v>
      </c>
      <c r="W659" t="s">
        <v>12</v>
      </c>
      <c r="X659" t="s">
        <v>12</v>
      </c>
      <c r="Y659" t="s">
        <v>12</v>
      </c>
      <c r="Z659" t="s">
        <v>12</v>
      </c>
      <c r="AA659" t="s">
        <v>12</v>
      </c>
      <c r="AB659" t="s">
        <v>12</v>
      </c>
      <c r="AC659" t="s">
        <v>12</v>
      </c>
      <c r="AD659" t="s">
        <v>12</v>
      </c>
    </row>
    <row r="660" spans="1:30">
      <c r="A660" t="s">
        <v>351</v>
      </c>
      <c r="B660" t="str">
        <f>Master_Data_Productivity[[#This Row],[Uniq-ID]]&amp;"-"&amp;Master_Data_Productivity[[#This Row],[Period]]</f>
        <v>DC-Document_Controller-039-M1</v>
      </c>
      <c r="C660" t="s">
        <v>352</v>
      </c>
      <c r="D660" t="s">
        <v>48</v>
      </c>
      <c r="E660" t="s">
        <v>13</v>
      </c>
      <c r="F660" t="s">
        <v>23</v>
      </c>
      <c r="G660" t="s">
        <v>15</v>
      </c>
      <c r="H660" t="s">
        <v>44</v>
      </c>
      <c r="I660">
        <v>0</v>
      </c>
      <c r="K660" t="s">
        <v>12</v>
      </c>
      <c r="L660" t="s">
        <v>12</v>
      </c>
      <c r="M660" t="s">
        <v>12</v>
      </c>
      <c r="Q660" t="s">
        <v>8</v>
      </c>
      <c r="R660" t="s">
        <v>12</v>
      </c>
      <c r="S660" t="s">
        <v>12</v>
      </c>
      <c r="T660" t="s">
        <v>12</v>
      </c>
      <c r="U660" t="s">
        <v>12</v>
      </c>
      <c r="V660" t="s">
        <v>12</v>
      </c>
      <c r="W660" t="s">
        <v>12</v>
      </c>
      <c r="X660" t="s">
        <v>12</v>
      </c>
      <c r="Y660" t="s">
        <v>12</v>
      </c>
      <c r="Z660" t="s">
        <v>12</v>
      </c>
      <c r="AA660" t="s">
        <v>12</v>
      </c>
      <c r="AB660" t="s">
        <v>12</v>
      </c>
      <c r="AC660" t="s">
        <v>12</v>
      </c>
      <c r="AD660" t="s">
        <v>12</v>
      </c>
    </row>
    <row r="661" spans="1:30">
      <c r="A661" t="s">
        <v>351</v>
      </c>
      <c r="B661" t="str">
        <f>Master_Data_Productivity[[#This Row],[Uniq-ID]]&amp;"-"&amp;Master_Data_Productivity[[#This Row],[Period]]</f>
        <v>DC-Document_Controller-039-M2</v>
      </c>
      <c r="C661" t="s">
        <v>352</v>
      </c>
      <c r="D661" t="s">
        <v>48</v>
      </c>
      <c r="E661" t="s">
        <v>18</v>
      </c>
      <c r="F661" t="s">
        <v>26</v>
      </c>
      <c r="G661" t="s">
        <v>15</v>
      </c>
      <c r="H661" t="s">
        <v>44</v>
      </c>
      <c r="I661">
        <v>0</v>
      </c>
      <c r="K661" t="s">
        <v>12</v>
      </c>
      <c r="L661" t="s">
        <v>12</v>
      </c>
      <c r="M661" t="s">
        <v>12</v>
      </c>
      <c r="Q661" t="s">
        <v>8</v>
      </c>
      <c r="R661" t="s">
        <v>12</v>
      </c>
      <c r="S661" t="s">
        <v>12</v>
      </c>
      <c r="T661" t="s">
        <v>12</v>
      </c>
      <c r="U661" t="s">
        <v>12</v>
      </c>
      <c r="V661" t="s">
        <v>12</v>
      </c>
      <c r="W661" t="s">
        <v>12</v>
      </c>
      <c r="X661" t="s">
        <v>12</v>
      </c>
      <c r="Y661" t="s">
        <v>12</v>
      </c>
      <c r="Z661" t="s">
        <v>12</v>
      </c>
      <c r="AA661" t="s">
        <v>12</v>
      </c>
      <c r="AB661" t="s">
        <v>12</v>
      </c>
      <c r="AC661" t="s">
        <v>12</v>
      </c>
      <c r="AD661" t="s">
        <v>12</v>
      </c>
    </row>
    <row r="662" spans="1:30">
      <c r="A662" t="s">
        <v>351</v>
      </c>
      <c r="B662" t="str">
        <f>Master_Data_Productivity[[#This Row],[Uniq-ID]]&amp;"-"&amp;Master_Data_Productivity[[#This Row],[Period]]</f>
        <v>DC-Document_Controller-039-M3</v>
      </c>
      <c r="C662" t="s">
        <v>352</v>
      </c>
      <c r="D662" t="s">
        <v>48</v>
      </c>
      <c r="E662" t="s">
        <v>22</v>
      </c>
      <c r="F662" t="s">
        <v>29</v>
      </c>
      <c r="G662" t="s">
        <v>15</v>
      </c>
      <c r="H662" t="s">
        <v>44</v>
      </c>
      <c r="I662">
        <v>0</v>
      </c>
      <c r="K662" t="s">
        <v>12</v>
      </c>
      <c r="L662" t="s">
        <v>12</v>
      </c>
      <c r="M662" t="s">
        <v>12</v>
      </c>
      <c r="Q662" t="s">
        <v>8</v>
      </c>
      <c r="R662" t="s">
        <v>12</v>
      </c>
      <c r="S662" t="s">
        <v>12</v>
      </c>
      <c r="T662" t="s">
        <v>12</v>
      </c>
      <c r="U662" t="s">
        <v>12</v>
      </c>
      <c r="V662" t="s">
        <v>12</v>
      </c>
      <c r="W662" t="s">
        <v>12</v>
      </c>
      <c r="X662" t="s">
        <v>12</v>
      </c>
      <c r="Y662" t="s">
        <v>12</v>
      </c>
      <c r="Z662" t="s">
        <v>12</v>
      </c>
      <c r="AA662" t="s">
        <v>12</v>
      </c>
      <c r="AB662" t="s">
        <v>12</v>
      </c>
      <c r="AC662" t="s">
        <v>12</v>
      </c>
      <c r="AD662" t="s">
        <v>12</v>
      </c>
    </row>
    <row r="663" spans="1:30">
      <c r="A663" t="s">
        <v>351</v>
      </c>
      <c r="B663" t="str">
        <f>Master_Data_Productivity[[#This Row],[Uniq-ID]]&amp;"-"&amp;Master_Data_Productivity[[#This Row],[Period]]</f>
        <v>DC-Document_Controller-039-M4</v>
      </c>
      <c r="C663" t="s">
        <v>352</v>
      </c>
      <c r="D663" t="s">
        <v>48</v>
      </c>
      <c r="E663" t="s">
        <v>25</v>
      </c>
      <c r="F663" t="s">
        <v>32</v>
      </c>
      <c r="G663" t="s">
        <v>33</v>
      </c>
      <c r="H663" t="s">
        <v>44</v>
      </c>
      <c r="I663">
        <v>0</v>
      </c>
      <c r="K663" t="s">
        <v>12</v>
      </c>
      <c r="L663" t="s">
        <v>12</v>
      </c>
      <c r="M663" t="s">
        <v>12</v>
      </c>
      <c r="Q663" t="s">
        <v>8</v>
      </c>
      <c r="R663" t="s">
        <v>12</v>
      </c>
      <c r="S663" t="s">
        <v>12</v>
      </c>
      <c r="T663" t="s">
        <v>12</v>
      </c>
      <c r="U663" t="s">
        <v>12</v>
      </c>
      <c r="V663" t="s">
        <v>12</v>
      </c>
      <c r="W663" t="s">
        <v>12</v>
      </c>
      <c r="X663" t="s">
        <v>12</v>
      </c>
      <c r="Y663" t="s">
        <v>12</v>
      </c>
      <c r="Z663" t="s">
        <v>12</v>
      </c>
      <c r="AA663" t="s">
        <v>12</v>
      </c>
      <c r="AB663" t="s">
        <v>12</v>
      </c>
      <c r="AC663" t="s">
        <v>12</v>
      </c>
      <c r="AD663" t="s">
        <v>12</v>
      </c>
    </row>
    <row r="664" spans="1:30">
      <c r="A664" t="s">
        <v>388</v>
      </c>
      <c r="B664" t="str">
        <f>Master_Data_Productivity[[#This Row],[Uniq-ID]]&amp;"-"&amp;Master_Data_Productivity[[#This Row],[Period]]</f>
        <v>DC-Document_Controller-006-M1</v>
      </c>
      <c r="C664" t="s">
        <v>389</v>
      </c>
      <c r="D664" t="s">
        <v>48</v>
      </c>
      <c r="E664" t="s">
        <v>13</v>
      </c>
      <c r="F664" t="s">
        <v>49</v>
      </c>
      <c r="G664" t="s">
        <v>15</v>
      </c>
      <c r="H664" t="s">
        <v>44</v>
      </c>
      <c r="I664">
        <v>0</v>
      </c>
      <c r="K664" t="s">
        <v>12</v>
      </c>
      <c r="L664" t="s">
        <v>12</v>
      </c>
      <c r="M664" t="s">
        <v>12</v>
      </c>
      <c r="Q664" t="s">
        <v>8</v>
      </c>
      <c r="R664" t="s">
        <v>12</v>
      </c>
      <c r="S664" t="s">
        <v>12</v>
      </c>
      <c r="T664" t="s">
        <v>12</v>
      </c>
      <c r="U664" t="s">
        <v>12</v>
      </c>
      <c r="V664" t="s">
        <v>12</v>
      </c>
      <c r="W664" t="s">
        <v>12</v>
      </c>
      <c r="X664" t="s">
        <v>12</v>
      </c>
      <c r="Y664" t="s">
        <v>12</v>
      </c>
      <c r="Z664" t="s">
        <v>12</v>
      </c>
      <c r="AA664" t="s">
        <v>12</v>
      </c>
      <c r="AB664" t="s">
        <v>12</v>
      </c>
      <c r="AC664" t="s">
        <v>12</v>
      </c>
      <c r="AD664" t="s">
        <v>12</v>
      </c>
    </row>
    <row r="665" spans="1:30">
      <c r="A665" t="s">
        <v>388</v>
      </c>
      <c r="B665" t="str">
        <f>Master_Data_Productivity[[#This Row],[Uniq-ID]]&amp;"-"&amp;Master_Data_Productivity[[#This Row],[Period]]</f>
        <v>DC-Document_Controller-006-M2</v>
      </c>
      <c r="C665" t="s">
        <v>389</v>
      </c>
      <c r="D665" t="s">
        <v>48</v>
      </c>
      <c r="E665" t="s">
        <v>18</v>
      </c>
      <c r="F665" t="s">
        <v>51</v>
      </c>
      <c r="G665" t="s">
        <v>15</v>
      </c>
      <c r="H665" t="s">
        <v>44</v>
      </c>
      <c r="I665">
        <v>0</v>
      </c>
      <c r="K665" t="s">
        <v>12</v>
      </c>
      <c r="L665" t="s">
        <v>12</v>
      </c>
      <c r="M665" t="s">
        <v>12</v>
      </c>
      <c r="Q665" t="s">
        <v>8</v>
      </c>
      <c r="R665" t="s">
        <v>12</v>
      </c>
      <c r="S665" t="s">
        <v>12</v>
      </c>
      <c r="T665" t="s">
        <v>12</v>
      </c>
      <c r="U665" t="s">
        <v>12</v>
      </c>
      <c r="V665" t="s">
        <v>12</v>
      </c>
      <c r="W665" t="s">
        <v>12</v>
      </c>
      <c r="X665" t="s">
        <v>12</v>
      </c>
      <c r="Y665" t="s">
        <v>12</v>
      </c>
      <c r="Z665" t="s">
        <v>12</v>
      </c>
      <c r="AA665" t="s">
        <v>12</v>
      </c>
      <c r="AB665" t="s">
        <v>12</v>
      </c>
      <c r="AC665" t="s">
        <v>12</v>
      </c>
      <c r="AD665" t="s">
        <v>12</v>
      </c>
    </row>
    <row r="666" spans="1:30">
      <c r="A666" t="s">
        <v>388</v>
      </c>
      <c r="B666" t="str">
        <f>Master_Data_Productivity[[#This Row],[Uniq-ID]]&amp;"-"&amp;Master_Data_Productivity[[#This Row],[Period]]</f>
        <v>DC-Document_Controller-006-M3</v>
      </c>
      <c r="C666" t="s">
        <v>389</v>
      </c>
      <c r="D666" t="s">
        <v>48</v>
      </c>
      <c r="E666" t="s">
        <v>22</v>
      </c>
      <c r="F666" t="s">
        <v>52</v>
      </c>
      <c r="G666" t="s">
        <v>15</v>
      </c>
      <c r="H666" t="s">
        <v>44</v>
      </c>
      <c r="I666">
        <v>0</v>
      </c>
      <c r="K666" t="s">
        <v>12</v>
      </c>
      <c r="L666" t="s">
        <v>12</v>
      </c>
      <c r="M666" t="s">
        <v>12</v>
      </c>
      <c r="Q666" t="s">
        <v>8</v>
      </c>
      <c r="R666" t="s">
        <v>12</v>
      </c>
      <c r="S666" t="s">
        <v>12</v>
      </c>
      <c r="T666" t="s">
        <v>12</v>
      </c>
      <c r="U666" t="s">
        <v>12</v>
      </c>
      <c r="V666" t="s">
        <v>12</v>
      </c>
      <c r="W666" t="s">
        <v>12</v>
      </c>
      <c r="X666" t="s">
        <v>12</v>
      </c>
      <c r="Y666" t="s">
        <v>12</v>
      </c>
      <c r="Z666" t="s">
        <v>12</v>
      </c>
      <c r="AA666" t="s">
        <v>12</v>
      </c>
      <c r="AB666" t="s">
        <v>12</v>
      </c>
      <c r="AC666" t="s">
        <v>12</v>
      </c>
      <c r="AD666" t="s">
        <v>12</v>
      </c>
    </row>
    <row r="667" spans="1:30">
      <c r="A667" t="s">
        <v>388</v>
      </c>
      <c r="B667" t="str">
        <f>Master_Data_Productivity[[#This Row],[Uniq-ID]]&amp;"-"&amp;Master_Data_Productivity[[#This Row],[Period]]</f>
        <v>DC-Document_Controller-006-M4</v>
      </c>
      <c r="C667" t="s">
        <v>389</v>
      </c>
      <c r="D667" t="s">
        <v>48</v>
      </c>
      <c r="E667" t="s">
        <v>25</v>
      </c>
      <c r="F667" t="s">
        <v>54</v>
      </c>
      <c r="G667" t="s">
        <v>15</v>
      </c>
      <c r="H667" t="s">
        <v>16</v>
      </c>
      <c r="I667">
        <v>12.289</v>
      </c>
      <c r="J667">
        <v>1.5</v>
      </c>
      <c r="K667" t="s">
        <v>2879</v>
      </c>
      <c r="L667" t="s">
        <v>2915</v>
      </c>
      <c r="M667" t="s">
        <v>2916</v>
      </c>
      <c r="N667">
        <v>308</v>
      </c>
      <c r="O667">
        <v>134</v>
      </c>
      <c r="P667">
        <v>0.43509999999999999</v>
      </c>
      <c r="Q667" t="s">
        <v>8</v>
      </c>
      <c r="R667" t="s">
        <v>12</v>
      </c>
      <c r="S667" t="s">
        <v>12</v>
      </c>
      <c r="T667" t="s">
        <v>12</v>
      </c>
      <c r="U667" t="s">
        <v>12</v>
      </c>
      <c r="V667" t="s">
        <v>12</v>
      </c>
      <c r="W667" t="s">
        <v>12</v>
      </c>
      <c r="X667" t="s">
        <v>12</v>
      </c>
      <c r="Y667" t="s">
        <v>12</v>
      </c>
      <c r="Z667" t="s">
        <v>12</v>
      </c>
      <c r="AA667" t="s">
        <v>12</v>
      </c>
      <c r="AB667" t="s">
        <v>12</v>
      </c>
      <c r="AC667" t="s">
        <v>12</v>
      </c>
      <c r="AD667" t="s">
        <v>12</v>
      </c>
    </row>
    <row r="668" spans="1:30">
      <c r="A668" t="s">
        <v>388</v>
      </c>
      <c r="B668" t="str">
        <f>Master_Data_Productivity[[#This Row],[Uniq-ID]]&amp;"-"&amp;Master_Data_Productivity[[#This Row],[Period]]</f>
        <v>DC-Document_Controller-006-M4</v>
      </c>
      <c r="C668" t="s">
        <v>389</v>
      </c>
      <c r="D668" t="s">
        <v>48</v>
      </c>
      <c r="E668" t="s">
        <v>25</v>
      </c>
      <c r="F668" t="s">
        <v>54</v>
      </c>
      <c r="G668" t="s">
        <v>15</v>
      </c>
      <c r="H668" t="s">
        <v>16</v>
      </c>
      <c r="I668">
        <v>12.289</v>
      </c>
      <c r="J668">
        <v>1.5</v>
      </c>
      <c r="K668" t="s">
        <v>2879</v>
      </c>
      <c r="L668" t="s">
        <v>2915</v>
      </c>
      <c r="M668" t="s">
        <v>2916</v>
      </c>
      <c r="N668">
        <v>26</v>
      </c>
      <c r="O668">
        <v>134</v>
      </c>
      <c r="P668">
        <v>5.1538000000000004</v>
      </c>
      <c r="Q668" t="s">
        <v>8</v>
      </c>
      <c r="R668" t="s">
        <v>12</v>
      </c>
      <c r="S668" t="s">
        <v>12</v>
      </c>
      <c r="T668" t="s">
        <v>12</v>
      </c>
      <c r="U668" t="s">
        <v>12</v>
      </c>
      <c r="V668" t="s">
        <v>12</v>
      </c>
      <c r="W668" t="s">
        <v>12</v>
      </c>
      <c r="X668" t="s">
        <v>12</v>
      </c>
      <c r="Y668" t="s">
        <v>12</v>
      </c>
      <c r="Z668" t="s">
        <v>12</v>
      </c>
      <c r="AA668" t="s">
        <v>12</v>
      </c>
      <c r="AB668" t="s">
        <v>12</v>
      </c>
      <c r="AC668" t="s">
        <v>12</v>
      </c>
      <c r="AD668" t="s">
        <v>12</v>
      </c>
    </row>
    <row r="669" spans="1:30">
      <c r="A669" t="s">
        <v>388</v>
      </c>
      <c r="B669" t="str">
        <f>Master_Data_Productivity[[#This Row],[Uniq-ID]]&amp;"-"&amp;Master_Data_Productivity[[#This Row],[Period]]</f>
        <v>DC-Document_Controller-006-M4</v>
      </c>
      <c r="C669" t="s">
        <v>389</v>
      </c>
      <c r="D669" t="s">
        <v>48</v>
      </c>
      <c r="E669" t="s">
        <v>25</v>
      </c>
      <c r="F669" t="s">
        <v>54</v>
      </c>
      <c r="G669" t="s">
        <v>15</v>
      </c>
      <c r="H669" t="s">
        <v>16</v>
      </c>
      <c r="I669">
        <v>12.289</v>
      </c>
      <c r="J669">
        <v>1.5</v>
      </c>
      <c r="K669" t="s">
        <v>2879</v>
      </c>
      <c r="L669" t="s">
        <v>2915</v>
      </c>
      <c r="M669" t="s">
        <v>2916</v>
      </c>
      <c r="N669">
        <v>20</v>
      </c>
      <c r="O669">
        <v>134</v>
      </c>
      <c r="P669">
        <v>6.7</v>
      </c>
      <c r="Q669" t="s">
        <v>8</v>
      </c>
      <c r="R669" t="s">
        <v>12</v>
      </c>
      <c r="S669" t="s">
        <v>12</v>
      </c>
      <c r="T669" t="s">
        <v>12</v>
      </c>
      <c r="U669" t="s">
        <v>12</v>
      </c>
      <c r="V669" t="s">
        <v>12</v>
      </c>
      <c r="W669" t="s">
        <v>12</v>
      </c>
      <c r="X669" t="s">
        <v>12</v>
      </c>
      <c r="Y669" t="s">
        <v>12</v>
      </c>
      <c r="Z669" t="s">
        <v>12</v>
      </c>
      <c r="AA669" t="s">
        <v>12</v>
      </c>
      <c r="AB669" t="s">
        <v>12</v>
      </c>
      <c r="AC669" t="s">
        <v>12</v>
      </c>
      <c r="AD669" t="s">
        <v>12</v>
      </c>
    </row>
    <row r="670" spans="1:30">
      <c r="A670" t="s">
        <v>388</v>
      </c>
      <c r="B670" t="str">
        <f>Master_Data_Productivity[[#This Row],[Uniq-ID]]&amp;"-"&amp;Master_Data_Productivity[[#This Row],[Period]]</f>
        <v>DC-Document_Controller-006-M5</v>
      </c>
      <c r="C670" t="s">
        <v>389</v>
      </c>
      <c r="D670" t="s">
        <v>48</v>
      </c>
      <c r="E670" t="s">
        <v>28</v>
      </c>
      <c r="F670" t="s">
        <v>56</v>
      </c>
      <c r="G670" t="s">
        <v>15</v>
      </c>
      <c r="H670" t="s">
        <v>16</v>
      </c>
      <c r="I670">
        <v>10.087999999999999</v>
      </c>
      <c r="J670">
        <v>1.5</v>
      </c>
      <c r="K670" t="s">
        <v>2879</v>
      </c>
      <c r="L670" t="s">
        <v>2915</v>
      </c>
      <c r="M670" t="s">
        <v>2916</v>
      </c>
      <c r="N670">
        <v>308</v>
      </c>
      <c r="O670">
        <v>110</v>
      </c>
      <c r="P670">
        <v>0.35709999999999997</v>
      </c>
      <c r="Q670" t="s">
        <v>8</v>
      </c>
      <c r="R670" t="s">
        <v>12</v>
      </c>
      <c r="S670" t="s">
        <v>12</v>
      </c>
      <c r="T670" t="s">
        <v>12</v>
      </c>
      <c r="U670" t="s">
        <v>12</v>
      </c>
      <c r="V670" t="s">
        <v>12</v>
      </c>
      <c r="W670" t="s">
        <v>12</v>
      </c>
      <c r="X670" t="s">
        <v>12</v>
      </c>
      <c r="Y670" t="s">
        <v>12</v>
      </c>
      <c r="Z670" t="s">
        <v>12</v>
      </c>
      <c r="AA670" t="s">
        <v>12</v>
      </c>
      <c r="AB670" t="s">
        <v>12</v>
      </c>
      <c r="AC670" t="s">
        <v>12</v>
      </c>
      <c r="AD670" t="s">
        <v>12</v>
      </c>
    </row>
    <row r="671" spans="1:30">
      <c r="A671" t="s">
        <v>388</v>
      </c>
      <c r="B671" t="str">
        <f>Master_Data_Productivity[[#This Row],[Uniq-ID]]&amp;"-"&amp;Master_Data_Productivity[[#This Row],[Period]]</f>
        <v>DC-Document_Controller-006-M5</v>
      </c>
      <c r="C671" t="s">
        <v>389</v>
      </c>
      <c r="D671" t="s">
        <v>48</v>
      </c>
      <c r="E671" t="s">
        <v>28</v>
      </c>
      <c r="F671" t="s">
        <v>56</v>
      </c>
      <c r="G671" t="s">
        <v>15</v>
      </c>
      <c r="H671" t="s">
        <v>16</v>
      </c>
      <c r="I671">
        <v>10.087999999999999</v>
      </c>
      <c r="J671">
        <v>1.5</v>
      </c>
      <c r="K671" t="s">
        <v>2879</v>
      </c>
      <c r="L671" t="s">
        <v>2915</v>
      </c>
      <c r="M671" t="s">
        <v>2916</v>
      </c>
      <c r="N671">
        <v>26</v>
      </c>
      <c r="O671">
        <v>110</v>
      </c>
      <c r="P671">
        <v>4.2308000000000003</v>
      </c>
      <c r="Q671" t="s">
        <v>8</v>
      </c>
      <c r="R671" t="s">
        <v>12</v>
      </c>
      <c r="S671" t="s">
        <v>12</v>
      </c>
      <c r="T671" t="s">
        <v>12</v>
      </c>
      <c r="U671" t="s">
        <v>12</v>
      </c>
      <c r="V671" t="s">
        <v>12</v>
      </c>
      <c r="W671" t="s">
        <v>12</v>
      </c>
      <c r="X671" t="s">
        <v>12</v>
      </c>
      <c r="Y671" t="s">
        <v>12</v>
      </c>
      <c r="Z671" t="s">
        <v>12</v>
      </c>
      <c r="AA671" t="s">
        <v>12</v>
      </c>
      <c r="AB671" t="s">
        <v>12</v>
      </c>
      <c r="AC671" t="s">
        <v>12</v>
      </c>
      <c r="AD671" t="s">
        <v>12</v>
      </c>
    </row>
    <row r="672" spans="1:30">
      <c r="A672" t="s">
        <v>388</v>
      </c>
      <c r="B672" t="str">
        <f>Master_Data_Productivity[[#This Row],[Uniq-ID]]&amp;"-"&amp;Master_Data_Productivity[[#This Row],[Period]]</f>
        <v>DC-Document_Controller-006-M5</v>
      </c>
      <c r="C672" t="s">
        <v>389</v>
      </c>
      <c r="D672" t="s">
        <v>48</v>
      </c>
      <c r="E672" t="s">
        <v>28</v>
      </c>
      <c r="F672" t="s">
        <v>56</v>
      </c>
      <c r="G672" t="s">
        <v>15</v>
      </c>
      <c r="H672" t="s">
        <v>16</v>
      </c>
      <c r="I672">
        <v>10.087999999999999</v>
      </c>
      <c r="J672">
        <v>1.5</v>
      </c>
      <c r="K672" t="s">
        <v>2879</v>
      </c>
      <c r="L672" t="s">
        <v>2915</v>
      </c>
      <c r="M672" t="s">
        <v>2916</v>
      </c>
      <c r="N672">
        <v>20</v>
      </c>
      <c r="O672">
        <v>110</v>
      </c>
      <c r="P672">
        <v>5.5</v>
      </c>
      <c r="Q672" t="s">
        <v>8</v>
      </c>
      <c r="R672" t="s">
        <v>12</v>
      </c>
      <c r="S672" t="s">
        <v>12</v>
      </c>
      <c r="T672" t="s">
        <v>12</v>
      </c>
      <c r="U672" t="s">
        <v>12</v>
      </c>
      <c r="V672" t="s">
        <v>12</v>
      </c>
      <c r="W672" t="s">
        <v>12</v>
      </c>
      <c r="X672" t="s">
        <v>12</v>
      </c>
      <c r="Y672" t="s">
        <v>12</v>
      </c>
      <c r="Z672" t="s">
        <v>12</v>
      </c>
      <c r="AA672" t="s">
        <v>12</v>
      </c>
      <c r="AB672" t="s">
        <v>12</v>
      </c>
      <c r="AC672" t="s">
        <v>12</v>
      </c>
      <c r="AD672" t="s">
        <v>12</v>
      </c>
    </row>
    <row r="673" spans="1:30">
      <c r="A673" t="s">
        <v>388</v>
      </c>
      <c r="B673" t="str">
        <f>Master_Data_Productivity[[#This Row],[Uniq-ID]]&amp;"-"&amp;Master_Data_Productivity[[#This Row],[Period]]</f>
        <v>DC-Document_Controller-006-M6</v>
      </c>
      <c r="C673" t="s">
        <v>389</v>
      </c>
      <c r="D673" t="s">
        <v>48</v>
      </c>
      <c r="E673" t="s">
        <v>31</v>
      </c>
      <c r="F673" t="s">
        <v>57</v>
      </c>
      <c r="G673" t="s">
        <v>33</v>
      </c>
      <c r="H673" t="s">
        <v>44</v>
      </c>
      <c r="I673">
        <v>0</v>
      </c>
      <c r="K673" t="s">
        <v>12</v>
      </c>
      <c r="L673" t="s">
        <v>12</v>
      </c>
      <c r="M673" t="s">
        <v>12</v>
      </c>
      <c r="Q673" t="s">
        <v>8</v>
      </c>
      <c r="R673" t="s">
        <v>12</v>
      </c>
      <c r="S673" t="s">
        <v>12</v>
      </c>
      <c r="T673" t="s">
        <v>12</v>
      </c>
      <c r="U673" t="s">
        <v>12</v>
      </c>
      <c r="V673" t="s">
        <v>12</v>
      </c>
      <c r="W673" t="s">
        <v>12</v>
      </c>
      <c r="X673" t="s">
        <v>12</v>
      </c>
      <c r="Y673" t="s">
        <v>12</v>
      </c>
      <c r="Z673" t="s">
        <v>12</v>
      </c>
      <c r="AA673" t="s">
        <v>12</v>
      </c>
      <c r="AB673" t="s">
        <v>12</v>
      </c>
      <c r="AC673" t="s">
        <v>12</v>
      </c>
      <c r="AD673" t="s">
        <v>12</v>
      </c>
    </row>
    <row r="674" spans="1:30">
      <c r="A674" t="s">
        <v>433</v>
      </c>
      <c r="B674" t="str">
        <f>Master_Data_Productivity[[#This Row],[Uniq-ID]]&amp;"-"&amp;Master_Data_Productivity[[#This Row],[Period]]</f>
        <v>DC-Document_Controller-028-M1</v>
      </c>
      <c r="C674" t="s">
        <v>434</v>
      </c>
      <c r="D674" t="s">
        <v>76</v>
      </c>
      <c r="E674" t="s">
        <v>13</v>
      </c>
      <c r="F674" t="s">
        <v>14</v>
      </c>
      <c r="G674" t="s">
        <v>15</v>
      </c>
      <c r="H674" t="s">
        <v>44</v>
      </c>
      <c r="I674">
        <v>0</v>
      </c>
      <c r="K674" t="s">
        <v>12</v>
      </c>
      <c r="L674" t="s">
        <v>12</v>
      </c>
      <c r="M674" t="s">
        <v>12</v>
      </c>
      <c r="Q674" t="s">
        <v>8</v>
      </c>
      <c r="R674" t="s">
        <v>12</v>
      </c>
      <c r="S674" t="s">
        <v>12</v>
      </c>
      <c r="T674" t="s">
        <v>12</v>
      </c>
      <c r="U674" t="s">
        <v>12</v>
      </c>
      <c r="V674" t="s">
        <v>12</v>
      </c>
      <c r="W674" t="s">
        <v>12</v>
      </c>
      <c r="X674" t="s">
        <v>12</v>
      </c>
      <c r="Y674" t="s">
        <v>12</v>
      </c>
      <c r="Z674" t="s">
        <v>12</v>
      </c>
      <c r="AA674" t="s">
        <v>12</v>
      </c>
      <c r="AB674" t="s">
        <v>12</v>
      </c>
      <c r="AC674" t="s">
        <v>12</v>
      </c>
      <c r="AD674" t="s">
        <v>12</v>
      </c>
    </row>
    <row r="675" spans="1:30">
      <c r="A675" t="s">
        <v>433</v>
      </c>
      <c r="B675" t="str">
        <f>Master_Data_Productivity[[#This Row],[Uniq-ID]]&amp;"-"&amp;Master_Data_Productivity[[#This Row],[Period]]</f>
        <v>DC-Document_Controller-028-M2</v>
      </c>
      <c r="C675" t="s">
        <v>434</v>
      </c>
      <c r="D675" t="s">
        <v>76</v>
      </c>
      <c r="E675" t="s">
        <v>18</v>
      </c>
      <c r="F675" t="s">
        <v>19</v>
      </c>
      <c r="G675" t="s">
        <v>15</v>
      </c>
      <c r="H675" t="s">
        <v>44</v>
      </c>
      <c r="I675">
        <v>0</v>
      </c>
      <c r="K675" t="s">
        <v>12</v>
      </c>
      <c r="L675" t="s">
        <v>12</v>
      </c>
      <c r="M675" t="s">
        <v>12</v>
      </c>
      <c r="Q675" t="s">
        <v>8</v>
      </c>
      <c r="R675" t="s">
        <v>12</v>
      </c>
      <c r="S675" t="s">
        <v>12</v>
      </c>
      <c r="T675" t="s">
        <v>12</v>
      </c>
      <c r="U675" t="s">
        <v>12</v>
      </c>
      <c r="V675" t="s">
        <v>12</v>
      </c>
      <c r="W675" t="s">
        <v>12</v>
      </c>
      <c r="X675" t="s">
        <v>12</v>
      </c>
      <c r="Y675" t="s">
        <v>12</v>
      </c>
      <c r="Z675" t="s">
        <v>12</v>
      </c>
      <c r="AA675" t="s">
        <v>12</v>
      </c>
      <c r="AB675" t="s">
        <v>12</v>
      </c>
      <c r="AC675" t="s">
        <v>12</v>
      </c>
      <c r="AD675" t="s">
        <v>12</v>
      </c>
    </row>
    <row r="676" spans="1:30">
      <c r="A676" t="s">
        <v>433</v>
      </c>
      <c r="B676" t="str">
        <f>Master_Data_Productivity[[#This Row],[Uniq-ID]]&amp;"-"&amp;Master_Data_Productivity[[#This Row],[Period]]</f>
        <v>DC-Document_Controller-028-M3</v>
      </c>
      <c r="C676" t="s">
        <v>434</v>
      </c>
      <c r="D676" t="s">
        <v>76</v>
      </c>
      <c r="E676" t="s">
        <v>22</v>
      </c>
      <c r="F676" t="s">
        <v>23</v>
      </c>
      <c r="G676" t="s">
        <v>15</v>
      </c>
      <c r="H676" t="s">
        <v>44</v>
      </c>
      <c r="I676">
        <v>0</v>
      </c>
      <c r="K676" t="s">
        <v>12</v>
      </c>
      <c r="L676" t="s">
        <v>12</v>
      </c>
      <c r="M676" t="s">
        <v>12</v>
      </c>
      <c r="Q676" t="s">
        <v>8</v>
      </c>
      <c r="R676" t="s">
        <v>12</v>
      </c>
      <c r="S676" t="s">
        <v>12</v>
      </c>
      <c r="T676" t="s">
        <v>12</v>
      </c>
      <c r="U676" t="s">
        <v>12</v>
      </c>
      <c r="V676" t="s">
        <v>12</v>
      </c>
      <c r="W676" t="s">
        <v>12</v>
      </c>
      <c r="X676" t="s">
        <v>12</v>
      </c>
      <c r="Y676" t="s">
        <v>12</v>
      </c>
      <c r="Z676" t="s">
        <v>12</v>
      </c>
      <c r="AA676" t="s">
        <v>12</v>
      </c>
      <c r="AB676" t="s">
        <v>12</v>
      </c>
      <c r="AC676" t="s">
        <v>12</v>
      </c>
      <c r="AD676" t="s">
        <v>12</v>
      </c>
    </row>
    <row r="677" spans="1:30">
      <c r="A677" t="s">
        <v>433</v>
      </c>
      <c r="B677" t="str">
        <f>Master_Data_Productivity[[#This Row],[Uniq-ID]]&amp;"-"&amp;Master_Data_Productivity[[#This Row],[Period]]</f>
        <v>DC-Document_Controller-028-M4</v>
      </c>
      <c r="C677" t="s">
        <v>434</v>
      </c>
      <c r="D677" t="s">
        <v>76</v>
      </c>
      <c r="E677" t="s">
        <v>25</v>
      </c>
      <c r="F677" t="s">
        <v>26</v>
      </c>
      <c r="G677" t="s">
        <v>15</v>
      </c>
      <c r="H677" t="s">
        <v>44</v>
      </c>
      <c r="I677">
        <v>0</v>
      </c>
      <c r="K677" t="s">
        <v>12</v>
      </c>
      <c r="L677" t="s">
        <v>12</v>
      </c>
      <c r="M677" t="s">
        <v>12</v>
      </c>
      <c r="Q677" t="s">
        <v>8</v>
      </c>
      <c r="R677" t="s">
        <v>12</v>
      </c>
      <c r="S677" t="s">
        <v>12</v>
      </c>
      <c r="T677" t="s">
        <v>12</v>
      </c>
      <c r="U677" t="s">
        <v>12</v>
      </c>
      <c r="V677" t="s">
        <v>12</v>
      </c>
      <c r="W677" t="s">
        <v>12</v>
      </c>
      <c r="X677" t="s">
        <v>12</v>
      </c>
      <c r="Y677" t="s">
        <v>12</v>
      </c>
      <c r="Z677" t="s">
        <v>12</v>
      </c>
      <c r="AA677" t="s">
        <v>12</v>
      </c>
      <c r="AB677" t="s">
        <v>12</v>
      </c>
      <c r="AC677" t="s">
        <v>12</v>
      </c>
      <c r="AD677" t="s">
        <v>12</v>
      </c>
    </row>
    <row r="678" spans="1:30">
      <c r="A678" t="s">
        <v>433</v>
      </c>
      <c r="B678" t="str">
        <f>Master_Data_Productivity[[#This Row],[Uniq-ID]]&amp;"-"&amp;Master_Data_Productivity[[#This Row],[Period]]</f>
        <v>DC-Document_Controller-028-M5</v>
      </c>
      <c r="C678" t="s">
        <v>434</v>
      </c>
      <c r="D678" t="s">
        <v>76</v>
      </c>
      <c r="E678" t="s">
        <v>28</v>
      </c>
      <c r="F678" t="s">
        <v>29</v>
      </c>
      <c r="G678" t="s">
        <v>15</v>
      </c>
      <c r="H678" t="s">
        <v>44</v>
      </c>
      <c r="I678">
        <v>0</v>
      </c>
      <c r="K678" t="s">
        <v>12</v>
      </c>
      <c r="L678" t="s">
        <v>12</v>
      </c>
      <c r="M678" t="s">
        <v>12</v>
      </c>
      <c r="Q678" t="s">
        <v>8</v>
      </c>
      <c r="R678" t="s">
        <v>12</v>
      </c>
      <c r="S678" t="s">
        <v>12</v>
      </c>
      <c r="T678" t="s">
        <v>12</v>
      </c>
      <c r="U678" t="s">
        <v>12</v>
      </c>
      <c r="V678" t="s">
        <v>12</v>
      </c>
      <c r="W678" t="s">
        <v>12</v>
      </c>
      <c r="X678" t="s">
        <v>12</v>
      </c>
      <c r="Y678" t="s">
        <v>12</v>
      </c>
      <c r="Z678" t="s">
        <v>12</v>
      </c>
      <c r="AA678" t="s">
        <v>12</v>
      </c>
      <c r="AB678" t="s">
        <v>12</v>
      </c>
      <c r="AC678" t="s">
        <v>12</v>
      </c>
      <c r="AD678" t="s">
        <v>12</v>
      </c>
    </row>
    <row r="679" spans="1:30">
      <c r="A679" t="s">
        <v>433</v>
      </c>
      <c r="B679" t="str">
        <f>Master_Data_Productivity[[#This Row],[Uniq-ID]]&amp;"-"&amp;Master_Data_Productivity[[#This Row],[Period]]</f>
        <v>DC-Document_Controller-028-M6</v>
      </c>
      <c r="C679" t="s">
        <v>434</v>
      </c>
      <c r="D679" t="s">
        <v>76</v>
      </c>
      <c r="E679" t="s">
        <v>31</v>
      </c>
      <c r="F679" t="s">
        <v>32</v>
      </c>
      <c r="G679" t="s">
        <v>33</v>
      </c>
      <c r="H679" t="s">
        <v>44</v>
      </c>
      <c r="I679">
        <v>0</v>
      </c>
      <c r="K679" t="s">
        <v>12</v>
      </c>
      <c r="L679" t="s">
        <v>12</v>
      </c>
      <c r="M679" t="s">
        <v>12</v>
      </c>
      <c r="Q679" t="s">
        <v>8</v>
      </c>
      <c r="R679" t="s">
        <v>12</v>
      </c>
      <c r="S679" t="s">
        <v>12</v>
      </c>
      <c r="T679" t="s">
        <v>12</v>
      </c>
      <c r="U679" t="s">
        <v>12</v>
      </c>
      <c r="V679" t="s">
        <v>12</v>
      </c>
      <c r="W679" t="s">
        <v>12</v>
      </c>
      <c r="X679" t="s">
        <v>12</v>
      </c>
      <c r="Y679" t="s">
        <v>12</v>
      </c>
      <c r="Z679" t="s">
        <v>12</v>
      </c>
      <c r="AA679" t="s">
        <v>12</v>
      </c>
      <c r="AB679" t="s">
        <v>12</v>
      </c>
      <c r="AC679" t="s">
        <v>12</v>
      </c>
      <c r="AD679" t="s">
        <v>12</v>
      </c>
    </row>
    <row r="680" spans="1:30">
      <c r="A680" t="s">
        <v>346</v>
      </c>
      <c r="B680" t="str">
        <f>Master_Data_Productivity[[#This Row],[Uniq-ID]]&amp;"-"&amp;Master_Data_Productivity[[#This Row],[Period]]</f>
        <v>DC-Document_Controller-082-M1</v>
      </c>
      <c r="C680" t="s">
        <v>347</v>
      </c>
      <c r="D680" t="s">
        <v>76</v>
      </c>
      <c r="E680" t="s">
        <v>13</v>
      </c>
      <c r="F680" t="s">
        <v>348</v>
      </c>
      <c r="G680" t="s">
        <v>33</v>
      </c>
      <c r="H680" t="s">
        <v>44</v>
      </c>
      <c r="I680">
        <v>0</v>
      </c>
      <c r="K680" t="s">
        <v>12</v>
      </c>
      <c r="L680" t="s">
        <v>12</v>
      </c>
      <c r="M680" t="s">
        <v>12</v>
      </c>
      <c r="Q680" t="s">
        <v>8</v>
      </c>
      <c r="R680" t="s">
        <v>12</v>
      </c>
      <c r="S680" t="s">
        <v>12</v>
      </c>
      <c r="T680" t="s">
        <v>12</v>
      </c>
      <c r="U680" t="s">
        <v>12</v>
      </c>
      <c r="V680" t="s">
        <v>12</v>
      </c>
      <c r="W680" t="s">
        <v>12</v>
      </c>
      <c r="X680" t="s">
        <v>12</v>
      </c>
      <c r="Y680" t="s">
        <v>12</v>
      </c>
      <c r="Z680" t="s">
        <v>12</v>
      </c>
      <c r="AA680" t="s">
        <v>12</v>
      </c>
      <c r="AB680" t="s">
        <v>12</v>
      </c>
      <c r="AC680" t="s">
        <v>12</v>
      </c>
      <c r="AD680" t="s">
        <v>12</v>
      </c>
    </row>
    <row r="681" spans="1:30">
      <c r="A681" t="s">
        <v>362</v>
      </c>
      <c r="B681" t="str">
        <f>Master_Data_Productivity[[#This Row],[Uniq-ID]]&amp;"-"&amp;Master_Data_Productivity[[#This Row],[Period]]</f>
        <v>DC-Document_Controller-081-M1</v>
      </c>
      <c r="C681" t="s">
        <v>363</v>
      </c>
      <c r="D681" t="s">
        <v>76</v>
      </c>
      <c r="E681" t="s">
        <v>13</v>
      </c>
      <c r="F681" t="s">
        <v>348</v>
      </c>
      <c r="G681" t="s">
        <v>33</v>
      </c>
      <c r="H681" t="s">
        <v>44</v>
      </c>
      <c r="I681">
        <v>0</v>
      </c>
      <c r="K681" t="s">
        <v>12</v>
      </c>
      <c r="L681" t="s">
        <v>12</v>
      </c>
      <c r="M681" t="s">
        <v>12</v>
      </c>
      <c r="Q681" t="s">
        <v>8</v>
      </c>
      <c r="R681" t="s">
        <v>12</v>
      </c>
      <c r="S681" t="s">
        <v>12</v>
      </c>
      <c r="T681" t="s">
        <v>12</v>
      </c>
      <c r="U681" t="s">
        <v>12</v>
      </c>
      <c r="V681" t="s">
        <v>12</v>
      </c>
      <c r="W681" t="s">
        <v>12</v>
      </c>
      <c r="X681" t="s">
        <v>12</v>
      </c>
      <c r="Y681" t="s">
        <v>12</v>
      </c>
      <c r="Z681" t="s">
        <v>12</v>
      </c>
      <c r="AA681" t="s">
        <v>12</v>
      </c>
      <c r="AB681" t="s">
        <v>12</v>
      </c>
      <c r="AC681" t="s">
        <v>12</v>
      </c>
      <c r="AD681" t="s">
        <v>12</v>
      </c>
    </row>
    <row r="682" spans="1:30">
      <c r="A682" t="s">
        <v>400</v>
      </c>
      <c r="B682" t="str">
        <f>Master_Data_Productivity[[#This Row],[Uniq-ID]]&amp;"-"&amp;Master_Data_Productivity[[#This Row],[Period]]</f>
        <v>DC-Document_Controller-013-M1</v>
      </c>
      <c r="C682" t="s">
        <v>401</v>
      </c>
      <c r="D682" t="s">
        <v>48</v>
      </c>
      <c r="E682" t="s">
        <v>13</v>
      </c>
      <c r="F682" t="s">
        <v>122</v>
      </c>
      <c r="G682" t="s">
        <v>15</v>
      </c>
      <c r="H682" t="s">
        <v>44</v>
      </c>
      <c r="I682">
        <v>0</v>
      </c>
      <c r="K682" t="s">
        <v>12</v>
      </c>
      <c r="L682" t="s">
        <v>12</v>
      </c>
      <c r="M682" t="s">
        <v>12</v>
      </c>
      <c r="Q682" t="s">
        <v>8</v>
      </c>
      <c r="R682" t="s">
        <v>12</v>
      </c>
      <c r="S682" t="s">
        <v>12</v>
      </c>
      <c r="T682" t="s">
        <v>12</v>
      </c>
      <c r="U682" t="s">
        <v>12</v>
      </c>
      <c r="V682" t="s">
        <v>12</v>
      </c>
      <c r="W682" t="s">
        <v>12</v>
      </c>
      <c r="X682" t="s">
        <v>12</v>
      </c>
      <c r="Y682" t="s">
        <v>12</v>
      </c>
      <c r="Z682" t="s">
        <v>12</v>
      </c>
      <c r="AA682" t="s">
        <v>12</v>
      </c>
      <c r="AB682" t="s">
        <v>12</v>
      </c>
      <c r="AC682" t="s">
        <v>12</v>
      </c>
      <c r="AD682" t="s">
        <v>12</v>
      </c>
    </row>
    <row r="683" spans="1:30">
      <c r="A683" t="s">
        <v>400</v>
      </c>
      <c r="B683" t="str">
        <f>Master_Data_Productivity[[#This Row],[Uniq-ID]]&amp;"-"&amp;Master_Data_Productivity[[#This Row],[Period]]</f>
        <v>DC-Document_Controller-013-M2</v>
      </c>
      <c r="C683" t="s">
        <v>401</v>
      </c>
      <c r="D683" t="s">
        <v>48</v>
      </c>
      <c r="E683" t="s">
        <v>18</v>
      </c>
      <c r="F683" t="s">
        <v>124</v>
      </c>
      <c r="G683" t="s">
        <v>15</v>
      </c>
      <c r="H683" t="s">
        <v>44</v>
      </c>
      <c r="I683">
        <v>0</v>
      </c>
      <c r="K683" t="s">
        <v>12</v>
      </c>
      <c r="L683" t="s">
        <v>12</v>
      </c>
      <c r="M683" t="s">
        <v>12</v>
      </c>
      <c r="Q683" t="s">
        <v>8</v>
      </c>
      <c r="R683" t="s">
        <v>12</v>
      </c>
      <c r="S683" t="s">
        <v>12</v>
      </c>
      <c r="T683" t="s">
        <v>12</v>
      </c>
      <c r="U683" t="s">
        <v>12</v>
      </c>
      <c r="V683" t="s">
        <v>12</v>
      </c>
      <c r="W683" t="s">
        <v>12</v>
      </c>
      <c r="X683" t="s">
        <v>12</v>
      </c>
      <c r="Y683" t="s">
        <v>12</v>
      </c>
      <c r="Z683" t="s">
        <v>12</v>
      </c>
      <c r="AA683" t="s">
        <v>12</v>
      </c>
      <c r="AB683" t="s">
        <v>12</v>
      </c>
      <c r="AC683" t="s">
        <v>12</v>
      </c>
      <c r="AD683" t="s">
        <v>12</v>
      </c>
    </row>
    <row r="684" spans="1:30">
      <c r="A684" t="s">
        <v>400</v>
      </c>
      <c r="B684" t="str">
        <f>Master_Data_Productivity[[#This Row],[Uniq-ID]]&amp;"-"&amp;Master_Data_Productivity[[#This Row],[Period]]</f>
        <v>DC-Document_Controller-013-M3</v>
      </c>
      <c r="C684" t="s">
        <v>401</v>
      </c>
      <c r="D684" t="s">
        <v>48</v>
      </c>
      <c r="E684" t="s">
        <v>22</v>
      </c>
      <c r="F684" t="s">
        <v>126</v>
      </c>
      <c r="G684" t="s">
        <v>15</v>
      </c>
      <c r="H684" t="s">
        <v>44</v>
      </c>
      <c r="I684">
        <v>0</v>
      </c>
      <c r="K684" t="s">
        <v>12</v>
      </c>
      <c r="L684" t="s">
        <v>12</v>
      </c>
      <c r="M684" t="s">
        <v>12</v>
      </c>
      <c r="Q684" t="s">
        <v>8</v>
      </c>
      <c r="R684" t="s">
        <v>12</v>
      </c>
      <c r="S684" t="s">
        <v>12</v>
      </c>
      <c r="T684" t="s">
        <v>12</v>
      </c>
      <c r="U684" t="s">
        <v>12</v>
      </c>
      <c r="V684" t="s">
        <v>12</v>
      </c>
      <c r="W684" t="s">
        <v>12</v>
      </c>
      <c r="X684" t="s">
        <v>12</v>
      </c>
      <c r="Y684" t="s">
        <v>12</v>
      </c>
      <c r="Z684" t="s">
        <v>12</v>
      </c>
      <c r="AA684" t="s">
        <v>12</v>
      </c>
      <c r="AB684" t="s">
        <v>12</v>
      </c>
      <c r="AC684" t="s">
        <v>12</v>
      </c>
      <c r="AD684" t="s">
        <v>12</v>
      </c>
    </row>
    <row r="685" spans="1:30">
      <c r="A685" t="s">
        <v>400</v>
      </c>
      <c r="B685" t="str">
        <f>Master_Data_Productivity[[#This Row],[Uniq-ID]]&amp;"-"&amp;Master_Data_Productivity[[#This Row],[Period]]</f>
        <v>DC-Document_Controller-013-M4</v>
      </c>
      <c r="C685" t="s">
        <v>401</v>
      </c>
      <c r="D685" t="s">
        <v>48</v>
      </c>
      <c r="E685" t="s">
        <v>25</v>
      </c>
      <c r="F685" t="s">
        <v>128</v>
      </c>
      <c r="G685" t="s">
        <v>15</v>
      </c>
      <c r="H685" t="s">
        <v>44</v>
      </c>
      <c r="I685">
        <v>0</v>
      </c>
      <c r="K685" t="s">
        <v>12</v>
      </c>
      <c r="L685" t="s">
        <v>12</v>
      </c>
      <c r="M685" t="s">
        <v>12</v>
      </c>
      <c r="Q685" t="s">
        <v>8</v>
      </c>
      <c r="R685" t="s">
        <v>12</v>
      </c>
      <c r="S685" t="s">
        <v>12</v>
      </c>
      <c r="T685" t="s">
        <v>12</v>
      </c>
      <c r="U685" t="s">
        <v>12</v>
      </c>
      <c r="V685" t="s">
        <v>12</v>
      </c>
      <c r="W685" t="s">
        <v>12</v>
      </c>
      <c r="X685" t="s">
        <v>12</v>
      </c>
      <c r="Y685" t="s">
        <v>12</v>
      </c>
      <c r="Z685" t="s">
        <v>12</v>
      </c>
      <c r="AA685" t="s">
        <v>12</v>
      </c>
      <c r="AB685" t="s">
        <v>12</v>
      </c>
      <c r="AC685" t="s">
        <v>12</v>
      </c>
      <c r="AD685" t="s">
        <v>12</v>
      </c>
    </row>
    <row r="686" spans="1:30">
      <c r="A686" t="s">
        <v>400</v>
      </c>
      <c r="B686" t="str">
        <f>Master_Data_Productivity[[#This Row],[Uniq-ID]]&amp;"-"&amp;Master_Data_Productivity[[#This Row],[Period]]</f>
        <v>DC-Document_Controller-013-M5</v>
      </c>
      <c r="C686" t="s">
        <v>401</v>
      </c>
      <c r="D686" t="s">
        <v>48</v>
      </c>
      <c r="E686" t="s">
        <v>28</v>
      </c>
      <c r="F686" t="s">
        <v>130</v>
      </c>
      <c r="G686" t="s">
        <v>15</v>
      </c>
      <c r="H686" t="s">
        <v>44</v>
      </c>
      <c r="I686">
        <v>0</v>
      </c>
      <c r="K686" t="s">
        <v>12</v>
      </c>
      <c r="L686" t="s">
        <v>12</v>
      </c>
      <c r="M686" t="s">
        <v>12</v>
      </c>
      <c r="Q686" t="s">
        <v>8</v>
      </c>
      <c r="R686" t="s">
        <v>12</v>
      </c>
      <c r="S686" t="s">
        <v>12</v>
      </c>
      <c r="T686" t="s">
        <v>12</v>
      </c>
      <c r="U686" t="s">
        <v>12</v>
      </c>
      <c r="V686" t="s">
        <v>12</v>
      </c>
      <c r="W686" t="s">
        <v>12</v>
      </c>
      <c r="X686" t="s">
        <v>12</v>
      </c>
      <c r="Y686" t="s">
        <v>12</v>
      </c>
      <c r="Z686" t="s">
        <v>12</v>
      </c>
      <c r="AA686" t="s">
        <v>12</v>
      </c>
      <c r="AB686" t="s">
        <v>12</v>
      </c>
      <c r="AC686" t="s">
        <v>12</v>
      </c>
      <c r="AD686" t="s">
        <v>12</v>
      </c>
    </row>
    <row r="687" spans="1:30">
      <c r="A687" t="s">
        <v>400</v>
      </c>
      <c r="B687" t="str">
        <f>Master_Data_Productivity[[#This Row],[Uniq-ID]]&amp;"-"&amp;Master_Data_Productivity[[#This Row],[Period]]</f>
        <v>DC-Document_Controller-013-M6</v>
      </c>
      <c r="C687" t="s">
        <v>401</v>
      </c>
      <c r="D687" t="s">
        <v>48</v>
      </c>
      <c r="E687" t="s">
        <v>31</v>
      </c>
      <c r="F687" t="s">
        <v>132</v>
      </c>
      <c r="G687" t="s">
        <v>33</v>
      </c>
      <c r="H687" t="s">
        <v>44</v>
      </c>
      <c r="I687">
        <v>0</v>
      </c>
      <c r="K687" t="s">
        <v>12</v>
      </c>
      <c r="L687" t="s">
        <v>12</v>
      </c>
      <c r="M687" t="s">
        <v>12</v>
      </c>
      <c r="Q687" t="s">
        <v>8</v>
      </c>
      <c r="R687" t="s">
        <v>12</v>
      </c>
      <c r="S687" t="s">
        <v>12</v>
      </c>
      <c r="T687" t="s">
        <v>12</v>
      </c>
      <c r="U687" t="s">
        <v>12</v>
      </c>
      <c r="V687" t="s">
        <v>12</v>
      </c>
      <c r="W687" t="s">
        <v>12</v>
      </c>
      <c r="X687" t="s">
        <v>12</v>
      </c>
      <c r="Y687" t="s">
        <v>12</v>
      </c>
      <c r="Z687" t="s">
        <v>12</v>
      </c>
      <c r="AA687" t="s">
        <v>12</v>
      </c>
      <c r="AB687" t="s">
        <v>12</v>
      </c>
      <c r="AC687" t="s">
        <v>12</v>
      </c>
      <c r="AD687" t="s">
        <v>12</v>
      </c>
    </row>
    <row r="688" spans="1:30">
      <c r="A688" t="s">
        <v>364</v>
      </c>
      <c r="B688" t="str">
        <f>Master_Data_Productivity[[#This Row],[Uniq-ID]]&amp;"-"&amp;Master_Data_Productivity[[#This Row],[Period]]</f>
        <v>DC-Document_Controller-080-M1</v>
      </c>
      <c r="C688" t="s">
        <v>365</v>
      </c>
      <c r="D688" t="s">
        <v>48</v>
      </c>
      <c r="E688" t="s">
        <v>13</v>
      </c>
      <c r="F688" t="s">
        <v>348</v>
      </c>
      <c r="G688" t="s">
        <v>33</v>
      </c>
      <c r="H688" t="s">
        <v>44</v>
      </c>
      <c r="I688">
        <v>0</v>
      </c>
      <c r="K688" t="s">
        <v>12</v>
      </c>
      <c r="L688" t="s">
        <v>12</v>
      </c>
      <c r="M688" t="s">
        <v>12</v>
      </c>
      <c r="Q688" t="s">
        <v>8</v>
      </c>
      <c r="R688" t="s">
        <v>12</v>
      </c>
      <c r="S688" t="s">
        <v>12</v>
      </c>
      <c r="T688" t="s">
        <v>12</v>
      </c>
      <c r="U688" t="s">
        <v>12</v>
      </c>
      <c r="V688" t="s">
        <v>12</v>
      </c>
      <c r="W688" t="s">
        <v>12</v>
      </c>
      <c r="X688" t="s">
        <v>12</v>
      </c>
      <c r="Y688" t="s">
        <v>12</v>
      </c>
      <c r="Z688" t="s">
        <v>12</v>
      </c>
      <c r="AA688" t="s">
        <v>12</v>
      </c>
      <c r="AB688" t="s">
        <v>12</v>
      </c>
      <c r="AC688" t="s">
        <v>12</v>
      </c>
      <c r="AD688" t="s">
        <v>12</v>
      </c>
    </row>
    <row r="689" spans="1:30">
      <c r="A689" t="s">
        <v>419</v>
      </c>
      <c r="B689" t="str">
        <f>Master_Data_Productivity[[#This Row],[Uniq-ID]]&amp;"-"&amp;Master_Data_Productivity[[#This Row],[Period]]</f>
        <v>DC-Document_Controller-014-M1</v>
      </c>
      <c r="C689" t="s">
        <v>420</v>
      </c>
      <c r="D689" t="s">
        <v>76</v>
      </c>
      <c r="E689" t="s">
        <v>13</v>
      </c>
      <c r="F689" t="s">
        <v>122</v>
      </c>
      <c r="G689" t="s">
        <v>15</v>
      </c>
      <c r="H689" t="s">
        <v>44</v>
      </c>
      <c r="I689">
        <v>3.2000000000000001E-2</v>
      </c>
      <c r="J689">
        <v>0.5</v>
      </c>
      <c r="K689" t="s">
        <v>2887</v>
      </c>
      <c r="L689" t="s">
        <v>3294</v>
      </c>
      <c r="M689" t="s">
        <v>2916</v>
      </c>
      <c r="N689">
        <v>250</v>
      </c>
      <c r="O689">
        <v>8</v>
      </c>
      <c r="P689">
        <v>3.2000000000000001E-2</v>
      </c>
      <c r="Q689" t="s">
        <v>8</v>
      </c>
      <c r="R689" t="s">
        <v>12</v>
      </c>
      <c r="S689" t="s">
        <v>12</v>
      </c>
      <c r="T689" t="s">
        <v>12</v>
      </c>
      <c r="U689" t="s">
        <v>12</v>
      </c>
      <c r="V689" t="s">
        <v>12</v>
      </c>
      <c r="W689" t="s">
        <v>12</v>
      </c>
      <c r="X689" t="s">
        <v>12</v>
      </c>
      <c r="Y689" t="s">
        <v>12</v>
      </c>
      <c r="Z689" t="s">
        <v>12</v>
      </c>
      <c r="AA689" t="s">
        <v>12</v>
      </c>
      <c r="AB689" t="s">
        <v>12</v>
      </c>
      <c r="AC689" t="s">
        <v>12</v>
      </c>
      <c r="AD689" t="s">
        <v>12</v>
      </c>
    </row>
    <row r="690" spans="1:30">
      <c r="A690" t="s">
        <v>419</v>
      </c>
      <c r="B690" t="str">
        <f>Master_Data_Productivity[[#This Row],[Uniq-ID]]&amp;"-"&amp;Master_Data_Productivity[[#This Row],[Period]]</f>
        <v>DC-Document_Controller-014-M2</v>
      </c>
      <c r="C690" t="s">
        <v>420</v>
      </c>
      <c r="D690" t="s">
        <v>76</v>
      </c>
      <c r="E690" t="s">
        <v>18</v>
      </c>
      <c r="F690" t="s">
        <v>124</v>
      </c>
      <c r="G690" t="s">
        <v>15</v>
      </c>
      <c r="H690" t="s">
        <v>20</v>
      </c>
      <c r="I690">
        <v>1.4179999999999999</v>
      </c>
      <c r="J690">
        <v>1</v>
      </c>
      <c r="K690" t="s">
        <v>2887</v>
      </c>
      <c r="L690" t="s">
        <v>3154</v>
      </c>
      <c r="M690" t="s">
        <v>2916</v>
      </c>
      <c r="N690">
        <v>110</v>
      </c>
      <c r="O690">
        <v>156</v>
      </c>
      <c r="P690">
        <v>1.4181999999999999</v>
      </c>
      <c r="Q690" t="s">
        <v>8</v>
      </c>
      <c r="R690" t="s">
        <v>12</v>
      </c>
      <c r="S690" t="s">
        <v>12</v>
      </c>
      <c r="T690" t="s">
        <v>12</v>
      </c>
      <c r="U690" t="s">
        <v>12</v>
      </c>
      <c r="V690" t="s">
        <v>12</v>
      </c>
      <c r="W690" t="s">
        <v>12</v>
      </c>
      <c r="X690" t="s">
        <v>12</v>
      </c>
      <c r="Y690" t="s">
        <v>12</v>
      </c>
      <c r="Z690" t="s">
        <v>12</v>
      </c>
      <c r="AA690" t="s">
        <v>12</v>
      </c>
      <c r="AB690" t="s">
        <v>12</v>
      </c>
      <c r="AC690" t="s">
        <v>12</v>
      </c>
      <c r="AD690" t="s">
        <v>12</v>
      </c>
    </row>
    <row r="691" spans="1:30">
      <c r="A691" t="s">
        <v>419</v>
      </c>
      <c r="B691" t="str">
        <f>Master_Data_Productivity[[#This Row],[Uniq-ID]]&amp;"-"&amp;Master_Data_Productivity[[#This Row],[Period]]</f>
        <v>DC-Document_Controller-014-M3</v>
      </c>
      <c r="C691" t="s">
        <v>420</v>
      </c>
      <c r="D691" t="s">
        <v>76</v>
      </c>
      <c r="E691" t="s">
        <v>22</v>
      </c>
      <c r="F691" t="s">
        <v>126</v>
      </c>
      <c r="G691" t="s">
        <v>15</v>
      </c>
      <c r="H691" t="s">
        <v>20</v>
      </c>
      <c r="I691">
        <v>1.1819999999999999</v>
      </c>
      <c r="J691">
        <v>1</v>
      </c>
      <c r="K691" t="s">
        <v>2887</v>
      </c>
      <c r="L691" t="s">
        <v>3154</v>
      </c>
      <c r="M691" t="s">
        <v>2916</v>
      </c>
      <c r="N691">
        <v>110</v>
      </c>
      <c r="O691">
        <v>130</v>
      </c>
      <c r="P691">
        <v>1.1818</v>
      </c>
      <c r="Q691" t="s">
        <v>8</v>
      </c>
      <c r="R691" t="s">
        <v>12</v>
      </c>
      <c r="S691" t="s">
        <v>12</v>
      </c>
      <c r="T691" t="s">
        <v>12</v>
      </c>
      <c r="U691" t="s">
        <v>12</v>
      </c>
      <c r="V691" t="s">
        <v>12</v>
      </c>
      <c r="W691" t="s">
        <v>12</v>
      </c>
      <c r="X691" t="s">
        <v>12</v>
      </c>
      <c r="Y691" t="s">
        <v>12</v>
      </c>
      <c r="Z691" t="s">
        <v>12</v>
      </c>
      <c r="AA691" t="s">
        <v>12</v>
      </c>
      <c r="AB691" t="s">
        <v>12</v>
      </c>
      <c r="AC691" t="s">
        <v>12</v>
      </c>
      <c r="AD691" t="s">
        <v>12</v>
      </c>
    </row>
    <row r="692" spans="1:30">
      <c r="A692" t="s">
        <v>419</v>
      </c>
      <c r="B692" t="str">
        <f>Master_Data_Productivity[[#This Row],[Uniq-ID]]&amp;"-"&amp;Master_Data_Productivity[[#This Row],[Period]]</f>
        <v>DC-Document_Controller-014-M4</v>
      </c>
      <c r="C692" t="s">
        <v>420</v>
      </c>
      <c r="D692" t="s">
        <v>76</v>
      </c>
      <c r="E692" t="s">
        <v>25</v>
      </c>
      <c r="F692" t="s">
        <v>128</v>
      </c>
      <c r="G692" t="s">
        <v>15</v>
      </c>
      <c r="H692" t="s">
        <v>20</v>
      </c>
      <c r="I692">
        <v>1</v>
      </c>
      <c r="J692">
        <v>1</v>
      </c>
      <c r="K692" t="s">
        <v>2887</v>
      </c>
      <c r="L692" t="s">
        <v>3294</v>
      </c>
      <c r="M692" t="s">
        <v>2916</v>
      </c>
      <c r="N692">
        <v>250</v>
      </c>
      <c r="O692">
        <v>250</v>
      </c>
      <c r="P692">
        <v>1</v>
      </c>
      <c r="Q692" t="s">
        <v>8</v>
      </c>
      <c r="R692" t="s">
        <v>12</v>
      </c>
      <c r="S692" t="s">
        <v>12</v>
      </c>
      <c r="T692" t="s">
        <v>12</v>
      </c>
      <c r="U692" t="s">
        <v>12</v>
      </c>
      <c r="V692" t="s">
        <v>12</v>
      </c>
      <c r="W692" t="s">
        <v>12</v>
      </c>
      <c r="X692" t="s">
        <v>12</v>
      </c>
      <c r="Y692" t="s">
        <v>12</v>
      </c>
      <c r="Z692" t="s">
        <v>12</v>
      </c>
      <c r="AA692" t="s">
        <v>12</v>
      </c>
      <c r="AB692" t="s">
        <v>12</v>
      </c>
      <c r="AC692" t="s">
        <v>12</v>
      </c>
      <c r="AD692" t="s">
        <v>12</v>
      </c>
    </row>
    <row r="693" spans="1:30">
      <c r="A693" t="s">
        <v>419</v>
      </c>
      <c r="B693" t="str">
        <f>Master_Data_Productivity[[#This Row],[Uniq-ID]]&amp;"-"&amp;Master_Data_Productivity[[#This Row],[Period]]</f>
        <v>DC-Document_Controller-014-M5</v>
      </c>
      <c r="C693" t="s">
        <v>420</v>
      </c>
      <c r="D693" t="s">
        <v>76</v>
      </c>
      <c r="E693" t="s">
        <v>28</v>
      </c>
      <c r="F693" t="s">
        <v>130</v>
      </c>
      <c r="G693" t="s">
        <v>15</v>
      </c>
      <c r="H693" t="s">
        <v>20</v>
      </c>
      <c r="I693">
        <v>1.0820000000000001</v>
      </c>
      <c r="J693">
        <v>1</v>
      </c>
      <c r="K693" t="s">
        <v>2887</v>
      </c>
      <c r="L693" t="s">
        <v>3154</v>
      </c>
      <c r="M693" t="s">
        <v>2916</v>
      </c>
      <c r="N693">
        <v>110</v>
      </c>
      <c r="O693">
        <v>20</v>
      </c>
      <c r="P693">
        <v>0.18179999999999999</v>
      </c>
      <c r="Q693" t="s">
        <v>8</v>
      </c>
      <c r="R693" t="s">
        <v>12</v>
      </c>
      <c r="S693" t="s">
        <v>12</v>
      </c>
      <c r="T693" t="s">
        <v>12</v>
      </c>
      <c r="U693" t="s">
        <v>12</v>
      </c>
      <c r="V693" t="s">
        <v>12</v>
      </c>
      <c r="W693" t="s">
        <v>12</v>
      </c>
      <c r="X693" t="s">
        <v>12</v>
      </c>
      <c r="Y693" t="s">
        <v>12</v>
      </c>
      <c r="Z693" t="s">
        <v>12</v>
      </c>
      <c r="AA693" t="s">
        <v>12</v>
      </c>
      <c r="AB693" t="s">
        <v>12</v>
      </c>
      <c r="AC693" t="s">
        <v>12</v>
      </c>
      <c r="AD693" t="s">
        <v>12</v>
      </c>
    </row>
    <row r="694" spans="1:30">
      <c r="A694" t="s">
        <v>419</v>
      </c>
      <c r="B694" t="str">
        <f>Master_Data_Productivity[[#This Row],[Uniq-ID]]&amp;"-"&amp;Master_Data_Productivity[[#This Row],[Period]]</f>
        <v>DC-Document_Controller-014-M5</v>
      </c>
      <c r="C694" t="s">
        <v>420</v>
      </c>
      <c r="D694" t="s">
        <v>76</v>
      </c>
      <c r="E694" t="s">
        <v>28</v>
      </c>
      <c r="F694" t="s">
        <v>130</v>
      </c>
      <c r="G694" t="s">
        <v>15</v>
      </c>
      <c r="H694" t="s">
        <v>20</v>
      </c>
      <c r="I694">
        <v>1.0820000000000001</v>
      </c>
      <c r="J694">
        <v>1</v>
      </c>
      <c r="K694" t="s">
        <v>2887</v>
      </c>
      <c r="L694" t="s">
        <v>3348</v>
      </c>
      <c r="M694" t="s">
        <v>2916</v>
      </c>
      <c r="N694">
        <v>149</v>
      </c>
      <c r="O694">
        <v>28</v>
      </c>
      <c r="P694">
        <v>0.18790000000000001</v>
      </c>
      <c r="Q694" t="s">
        <v>8</v>
      </c>
      <c r="R694" t="s">
        <v>12</v>
      </c>
      <c r="S694" t="s">
        <v>12</v>
      </c>
      <c r="T694" t="s">
        <v>12</v>
      </c>
      <c r="U694" t="s">
        <v>12</v>
      </c>
      <c r="V694" t="s">
        <v>12</v>
      </c>
      <c r="W694" t="s">
        <v>12</v>
      </c>
      <c r="X694" t="s">
        <v>12</v>
      </c>
      <c r="Y694" t="s">
        <v>12</v>
      </c>
      <c r="Z694" t="s">
        <v>12</v>
      </c>
      <c r="AA694" t="s">
        <v>12</v>
      </c>
      <c r="AB694" t="s">
        <v>12</v>
      </c>
      <c r="AC694" t="s">
        <v>12</v>
      </c>
      <c r="AD694" t="s">
        <v>12</v>
      </c>
    </row>
    <row r="695" spans="1:30">
      <c r="A695" t="s">
        <v>419</v>
      </c>
      <c r="B695" t="str">
        <f>Master_Data_Productivity[[#This Row],[Uniq-ID]]&amp;"-"&amp;Master_Data_Productivity[[#This Row],[Period]]</f>
        <v>DC-Document_Controller-014-M5</v>
      </c>
      <c r="C695" t="s">
        <v>420</v>
      </c>
      <c r="D695" t="s">
        <v>76</v>
      </c>
      <c r="E695" t="s">
        <v>28</v>
      </c>
      <c r="F695" t="s">
        <v>130</v>
      </c>
      <c r="G695" t="s">
        <v>15</v>
      </c>
      <c r="H695" t="s">
        <v>20</v>
      </c>
      <c r="I695">
        <v>1.0820000000000001</v>
      </c>
      <c r="J695">
        <v>1</v>
      </c>
      <c r="K695" t="s">
        <v>2887</v>
      </c>
      <c r="L695" t="s">
        <v>3348</v>
      </c>
      <c r="M695" t="s">
        <v>2916</v>
      </c>
      <c r="O695">
        <v>28</v>
      </c>
      <c r="Q695" t="s">
        <v>8</v>
      </c>
      <c r="R695" t="s">
        <v>12</v>
      </c>
      <c r="S695" t="s">
        <v>12</v>
      </c>
      <c r="T695" t="s">
        <v>12</v>
      </c>
      <c r="U695" t="s">
        <v>12</v>
      </c>
      <c r="V695" t="s">
        <v>12</v>
      </c>
      <c r="W695" t="s">
        <v>12</v>
      </c>
      <c r="X695" t="s">
        <v>12</v>
      </c>
      <c r="Y695" t="s">
        <v>12</v>
      </c>
      <c r="Z695" t="s">
        <v>12</v>
      </c>
      <c r="AA695" t="s">
        <v>12</v>
      </c>
      <c r="AB695" t="s">
        <v>12</v>
      </c>
      <c r="AC695" t="s">
        <v>12</v>
      </c>
      <c r="AD695" t="s">
        <v>12</v>
      </c>
    </row>
    <row r="696" spans="1:30">
      <c r="A696" t="s">
        <v>419</v>
      </c>
      <c r="B696" t="str">
        <f>Master_Data_Productivity[[#This Row],[Uniq-ID]]&amp;"-"&amp;Master_Data_Productivity[[#This Row],[Period]]</f>
        <v>DC-Document_Controller-014-M5</v>
      </c>
      <c r="C696" t="s">
        <v>420</v>
      </c>
      <c r="D696" t="s">
        <v>76</v>
      </c>
      <c r="E696" t="s">
        <v>28</v>
      </c>
      <c r="F696" t="s">
        <v>130</v>
      </c>
      <c r="G696" t="s">
        <v>15</v>
      </c>
      <c r="H696" t="s">
        <v>20</v>
      </c>
      <c r="I696">
        <v>1.0820000000000001</v>
      </c>
      <c r="J696">
        <v>1</v>
      </c>
      <c r="K696" t="s">
        <v>2887</v>
      </c>
      <c r="L696" t="s">
        <v>3294</v>
      </c>
      <c r="M696" t="s">
        <v>2916</v>
      </c>
      <c r="N696">
        <v>250</v>
      </c>
      <c r="O696">
        <v>178</v>
      </c>
      <c r="P696">
        <v>0.71199999999999997</v>
      </c>
      <c r="Q696" t="s">
        <v>8</v>
      </c>
      <c r="R696" t="s">
        <v>12</v>
      </c>
      <c r="S696" t="s">
        <v>12</v>
      </c>
      <c r="T696" t="s">
        <v>12</v>
      </c>
      <c r="U696" t="s">
        <v>12</v>
      </c>
      <c r="V696" t="s">
        <v>12</v>
      </c>
      <c r="W696" t="s">
        <v>12</v>
      </c>
      <c r="X696" t="s">
        <v>12</v>
      </c>
      <c r="Y696" t="s">
        <v>12</v>
      </c>
      <c r="Z696" t="s">
        <v>12</v>
      </c>
      <c r="AA696" t="s">
        <v>12</v>
      </c>
      <c r="AB696" t="s">
        <v>12</v>
      </c>
      <c r="AC696" t="s">
        <v>12</v>
      </c>
      <c r="AD696" t="s">
        <v>12</v>
      </c>
    </row>
    <row r="697" spans="1:30">
      <c r="A697" t="s">
        <v>419</v>
      </c>
      <c r="B697" t="str">
        <f>Master_Data_Productivity[[#This Row],[Uniq-ID]]&amp;"-"&amp;Master_Data_Productivity[[#This Row],[Period]]</f>
        <v>DC-Document_Controller-014-M6</v>
      </c>
      <c r="C697" t="s">
        <v>420</v>
      </c>
      <c r="D697" t="s">
        <v>76</v>
      </c>
      <c r="E697" t="s">
        <v>31</v>
      </c>
      <c r="F697" t="s">
        <v>132</v>
      </c>
      <c r="G697" t="s">
        <v>33</v>
      </c>
      <c r="H697" t="s">
        <v>44</v>
      </c>
      <c r="I697">
        <v>0</v>
      </c>
      <c r="K697" t="s">
        <v>12</v>
      </c>
      <c r="L697" t="s">
        <v>12</v>
      </c>
      <c r="M697" t="s">
        <v>12</v>
      </c>
      <c r="Q697" t="s">
        <v>8</v>
      </c>
      <c r="R697" t="s">
        <v>12</v>
      </c>
      <c r="S697" t="s">
        <v>12</v>
      </c>
      <c r="T697" t="s">
        <v>12</v>
      </c>
      <c r="U697" t="s">
        <v>12</v>
      </c>
      <c r="V697" t="s">
        <v>12</v>
      </c>
      <c r="W697" t="s">
        <v>12</v>
      </c>
      <c r="X697" t="s">
        <v>12</v>
      </c>
      <c r="Y697" t="s">
        <v>12</v>
      </c>
      <c r="Z697" t="s">
        <v>12</v>
      </c>
      <c r="AA697" t="s">
        <v>12</v>
      </c>
      <c r="AB697" t="s">
        <v>12</v>
      </c>
      <c r="AC697" t="s">
        <v>12</v>
      </c>
      <c r="AD697" t="s">
        <v>12</v>
      </c>
    </row>
    <row r="698" spans="1:30">
      <c r="A698" t="s">
        <v>384</v>
      </c>
      <c r="B698" t="str">
        <f>Master_Data_Productivity[[#This Row],[Uniq-ID]]&amp;"-"&amp;Master_Data_Productivity[[#This Row],[Period]]</f>
        <v>DC-Document_Controller-024-M1</v>
      </c>
      <c r="C698" t="s">
        <v>385</v>
      </c>
      <c r="D698" t="s">
        <v>48</v>
      </c>
      <c r="E698" t="s">
        <v>13</v>
      </c>
      <c r="F698" t="s">
        <v>14</v>
      </c>
      <c r="G698" t="s">
        <v>15</v>
      </c>
      <c r="H698" t="s">
        <v>44</v>
      </c>
      <c r="I698">
        <v>0</v>
      </c>
      <c r="K698" t="s">
        <v>12</v>
      </c>
      <c r="L698" t="s">
        <v>12</v>
      </c>
      <c r="M698" t="s">
        <v>12</v>
      </c>
      <c r="Q698" t="s">
        <v>8</v>
      </c>
      <c r="R698" t="s">
        <v>12</v>
      </c>
      <c r="S698" t="s">
        <v>12</v>
      </c>
      <c r="T698" t="s">
        <v>12</v>
      </c>
      <c r="U698" t="s">
        <v>12</v>
      </c>
      <c r="V698" t="s">
        <v>12</v>
      </c>
      <c r="W698" t="s">
        <v>12</v>
      </c>
      <c r="X698" t="s">
        <v>12</v>
      </c>
      <c r="Y698" t="s">
        <v>12</v>
      </c>
      <c r="Z698" t="s">
        <v>12</v>
      </c>
      <c r="AA698" t="s">
        <v>12</v>
      </c>
      <c r="AB698" t="s">
        <v>12</v>
      </c>
      <c r="AC698" t="s">
        <v>12</v>
      </c>
      <c r="AD698" t="s">
        <v>12</v>
      </c>
    </row>
    <row r="699" spans="1:30">
      <c r="A699" t="s">
        <v>384</v>
      </c>
      <c r="B699" t="str">
        <f>Master_Data_Productivity[[#This Row],[Uniq-ID]]&amp;"-"&amp;Master_Data_Productivity[[#This Row],[Period]]</f>
        <v>DC-Document_Controller-024-M2</v>
      </c>
      <c r="C699" t="s">
        <v>385</v>
      </c>
      <c r="D699" t="s">
        <v>48</v>
      </c>
      <c r="E699" t="s">
        <v>18</v>
      </c>
      <c r="F699" t="s">
        <v>19</v>
      </c>
      <c r="G699" t="s">
        <v>15</v>
      </c>
      <c r="H699" t="s">
        <v>44</v>
      </c>
      <c r="I699">
        <v>9.1999999999999998E-2</v>
      </c>
      <c r="J699">
        <v>0.5</v>
      </c>
      <c r="K699" t="s">
        <v>2879</v>
      </c>
      <c r="L699" t="s">
        <v>2915</v>
      </c>
      <c r="M699" t="s">
        <v>2916</v>
      </c>
      <c r="N699">
        <v>20</v>
      </c>
      <c r="O699">
        <v>1</v>
      </c>
      <c r="P699">
        <v>0.05</v>
      </c>
      <c r="Q699" t="s">
        <v>8</v>
      </c>
      <c r="R699" t="s">
        <v>12</v>
      </c>
      <c r="S699" t="s">
        <v>12</v>
      </c>
      <c r="T699" t="s">
        <v>12</v>
      </c>
      <c r="U699" t="s">
        <v>12</v>
      </c>
      <c r="V699" t="s">
        <v>12</v>
      </c>
      <c r="W699" t="s">
        <v>12</v>
      </c>
      <c r="X699" t="s">
        <v>12</v>
      </c>
      <c r="Y699" t="s">
        <v>12</v>
      </c>
      <c r="Z699" t="s">
        <v>12</v>
      </c>
      <c r="AA699" t="s">
        <v>12</v>
      </c>
      <c r="AB699" t="s">
        <v>12</v>
      </c>
      <c r="AC699" t="s">
        <v>12</v>
      </c>
      <c r="AD699" t="s">
        <v>12</v>
      </c>
    </row>
    <row r="700" spans="1:30">
      <c r="A700" t="s">
        <v>384</v>
      </c>
      <c r="B700" t="str">
        <f>Master_Data_Productivity[[#This Row],[Uniq-ID]]&amp;"-"&amp;Master_Data_Productivity[[#This Row],[Period]]</f>
        <v>DC-Document_Controller-024-M2</v>
      </c>
      <c r="C700" t="s">
        <v>385</v>
      </c>
      <c r="D700" t="s">
        <v>48</v>
      </c>
      <c r="E700" t="s">
        <v>18</v>
      </c>
      <c r="F700" t="s">
        <v>19</v>
      </c>
      <c r="G700" t="s">
        <v>15</v>
      </c>
      <c r="H700" t="s">
        <v>44</v>
      </c>
      <c r="I700">
        <v>9.1999999999999998E-2</v>
      </c>
      <c r="J700">
        <v>0.5</v>
      </c>
      <c r="K700" t="s">
        <v>2879</v>
      </c>
      <c r="L700" t="s">
        <v>2915</v>
      </c>
      <c r="M700" t="s">
        <v>2916</v>
      </c>
      <c r="N700">
        <v>26</v>
      </c>
      <c r="O700">
        <v>1</v>
      </c>
      <c r="P700">
        <v>3.85E-2</v>
      </c>
      <c r="Q700" t="s">
        <v>8</v>
      </c>
      <c r="R700" t="s">
        <v>12</v>
      </c>
      <c r="S700" t="s">
        <v>12</v>
      </c>
      <c r="T700" t="s">
        <v>12</v>
      </c>
      <c r="U700" t="s">
        <v>12</v>
      </c>
      <c r="V700" t="s">
        <v>12</v>
      </c>
      <c r="W700" t="s">
        <v>12</v>
      </c>
      <c r="X700" t="s">
        <v>12</v>
      </c>
      <c r="Y700" t="s">
        <v>12</v>
      </c>
      <c r="Z700" t="s">
        <v>12</v>
      </c>
      <c r="AA700" t="s">
        <v>12</v>
      </c>
      <c r="AB700" t="s">
        <v>12</v>
      </c>
      <c r="AC700" t="s">
        <v>12</v>
      </c>
      <c r="AD700" t="s">
        <v>12</v>
      </c>
    </row>
    <row r="701" spans="1:30">
      <c r="A701" t="s">
        <v>384</v>
      </c>
      <c r="B701" t="str">
        <f>Master_Data_Productivity[[#This Row],[Uniq-ID]]&amp;"-"&amp;Master_Data_Productivity[[#This Row],[Period]]</f>
        <v>DC-Document_Controller-024-M2</v>
      </c>
      <c r="C701" t="s">
        <v>385</v>
      </c>
      <c r="D701" t="s">
        <v>48</v>
      </c>
      <c r="E701" t="s">
        <v>18</v>
      </c>
      <c r="F701" t="s">
        <v>19</v>
      </c>
      <c r="G701" t="s">
        <v>15</v>
      </c>
      <c r="H701" t="s">
        <v>44</v>
      </c>
      <c r="I701">
        <v>9.1999999999999998E-2</v>
      </c>
      <c r="J701">
        <v>0.5</v>
      </c>
      <c r="K701" t="s">
        <v>2879</v>
      </c>
      <c r="L701" t="s">
        <v>2915</v>
      </c>
      <c r="M701" t="s">
        <v>2916</v>
      </c>
      <c r="N701">
        <v>308</v>
      </c>
      <c r="O701">
        <v>1</v>
      </c>
      <c r="P701">
        <v>3.2000000000000002E-3</v>
      </c>
      <c r="Q701" t="s">
        <v>8</v>
      </c>
      <c r="R701" t="s">
        <v>12</v>
      </c>
      <c r="S701" t="s">
        <v>12</v>
      </c>
      <c r="T701" t="s">
        <v>12</v>
      </c>
      <c r="U701" t="s">
        <v>12</v>
      </c>
      <c r="V701" t="s">
        <v>12</v>
      </c>
      <c r="W701" t="s">
        <v>12</v>
      </c>
      <c r="X701" t="s">
        <v>12</v>
      </c>
      <c r="Y701" t="s">
        <v>12</v>
      </c>
      <c r="Z701" t="s">
        <v>12</v>
      </c>
      <c r="AA701" t="s">
        <v>12</v>
      </c>
      <c r="AB701" t="s">
        <v>12</v>
      </c>
      <c r="AC701" t="s">
        <v>12</v>
      </c>
      <c r="AD701" t="s">
        <v>12</v>
      </c>
    </row>
    <row r="702" spans="1:30">
      <c r="A702" t="s">
        <v>384</v>
      </c>
      <c r="B702" t="str">
        <f>Master_Data_Productivity[[#This Row],[Uniq-ID]]&amp;"-"&amp;Master_Data_Productivity[[#This Row],[Period]]</f>
        <v>DC-Document_Controller-024-M3</v>
      </c>
      <c r="C702" t="s">
        <v>385</v>
      </c>
      <c r="D702" t="s">
        <v>48</v>
      </c>
      <c r="E702" t="s">
        <v>22</v>
      </c>
      <c r="F702" t="s">
        <v>23</v>
      </c>
      <c r="G702" t="s">
        <v>15</v>
      </c>
      <c r="H702" t="s">
        <v>44</v>
      </c>
      <c r="I702">
        <v>0</v>
      </c>
      <c r="K702" t="s">
        <v>12</v>
      </c>
      <c r="L702" t="s">
        <v>12</v>
      </c>
      <c r="M702" t="s">
        <v>12</v>
      </c>
      <c r="Q702" t="s">
        <v>8</v>
      </c>
      <c r="R702" t="s">
        <v>12</v>
      </c>
      <c r="S702" t="s">
        <v>12</v>
      </c>
      <c r="T702" t="s">
        <v>12</v>
      </c>
      <c r="U702" t="s">
        <v>12</v>
      </c>
      <c r="V702" t="s">
        <v>12</v>
      </c>
      <c r="W702" t="s">
        <v>12</v>
      </c>
      <c r="X702" t="s">
        <v>12</v>
      </c>
      <c r="Y702" t="s">
        <v>12</v>
      </c>
      <c r="Z702" t="s">
        <v>12</v>
      </c>
      <c r="AA702" t="s">
        <v>12</v>
      </c>
      <c r="AB702" t="s">
        <v>12</v>
      </c>
      <c r="AC702" t="s">
        <v>12</v>
      </c>
      <c r="AD702" t="s">
        <v>12</v>
      </c>
    </row>
    <row r="703" spans="1:30">
      <c r="A703" t="s">
        <v>384</v>
      </c>
      <c r="B703" t="str">
        <f>Master_Data_Productivity[[#This Row],[Uniq-ID]]&amp;"-"&amp;Master_Data_Productivity[[#This Row],[Period]]</f>
        <v>DC-Document_Controller-024-M4</v>
      </c>
      <c r="C703" t="s">
        <v>385</v>
      </c>
      <c r="D703" t="s">
        <v>48</v>
      </c>
      <c r="E703" t="s">
        <v>25</v>
      </c>
      <c r="F703" t="s">
        <v>26</v>
      </c>
      <c r="G703" t="s">
        <v>15</v>
      </c>
      <c r="H703" t="s">
        <v>16</v>
      </c>
      <c r="I703">
        <v>50.715000000000003</v>
      </c>
      <c r="J703">
        <v>1.5</v>
      </c>
      <c r="K703" t="s">
        <v>2879</v>
      </c>
      <c r="L703" t="s">
        <v>2915</v>
      </c>
      <c r="M703" t="s">
        <v>2916</v>
      </c>
      <c r="N703">
        <v>20</v>
      </c>
      <c r="O703">
        <v>553</v>
      </c>
      <c r="P703">
        <v>27.65</v>
      </c>
      <c r="Q703" t="s">
        <v>8</v>
      </c>
      <c r="R703" t="s">
        <v>12</v>
      </c>
      <c r="S703" t="s">
        <v>12</v>
      </c>
      <c r="T703" t="s">
        <v>12</v>
      </c>
      <c r="U703" t="s">
        <v>12</v>
      </c>
      <c r="V703" t="s">
        <v>12</v>
      </c>
      <c r="W703" t="s">
        <v>12</v>
      </c>
      <c r="X703" t="s">
        <v>12</v>
      </c>
      <c r="Y703" t="s">
        <v>12</v>
      </c>
      <c r="Z703" t="s">
        <v>12</v>
      </c>
      <c r="AA703" t="s">
        <v>12</v>
      </c>
      <c r="AB703" t="s">
        <v>12</v>
      </c>
      <c r="AC703" t="s">
        <v>12</v>
      </c>
      <c r="AD703" t="s">
        <v>12</v>
      </c>
    </row>
    <row r="704" spans="1:30">
      <c r="A704" t="s">
        <v>384</v>
      </c>
      <c r="B704" t="str">
        <f>Master_Data_Productivity[[#This Row],[Uniq-ID]]&amp;"-"&amp;Master_Data_Productivity[[#This Row],[Period]]</f>
        <v>DC-Document_Controller-024-M4</v>
      </c>
      <c r="C704" t="s">
        <v>385</v>
      </c>
      <c r="D704" t="s">
        <v>48</v>
      </c>
      <c r="E704" t="s">
        <v>25</v>
      </c>
      <c r="F704" t="s">
        <v>26</v>
      </c>
      <c r="G704" t="s">
        <v>15</v>
      </c>
      <c r="H704" t="s">
        <v>16</v>
      </c>
      <c r="I704">
        <v>50.715000000000003</v>
      </c>
      <c r="J704">
        <v>1.5</v>
      </c>
      <c r="K704" t="s">
        <v>2879</v>
      </c>
      <c r="L704" t="s">
        <v>2915</v>
      </c>
      <c r="M704" t="s">
        <v>2916</v>
      </c>
      <c r="N704">
        <v>26</v>
      </c>
      <c r="O704">
        <v>553</v>
      </c>
      <c r="P704">
        <v>21.269200000000001</v>
      </c>
      <c r="Q704" t="s">
        <v>8</v>
      </c>
      <c r="R704" t="s">
        <v>12</v>
      </c>
      <c r="S704" t="s">
        <v>12</v>
      </c>
      <c r="T704" t="s">
        <v>12</v>
      </c>
      <c r="U704" t="s">
        <v>12</v>
      </c>
      <c r="V704" t="s">
        <v>12</v>
      </c>
      <c r="W704" t="s">
        <v>12</v>
      </c>
      <c r="X704" t="s">
        <v>12</v>
      </c>
      <c r="Y704" t="s">
        <v>12</v>
      </c>
      <c r="Z704" t="s">
        <v>12</v>
      </c>
      <c r="AA704" t="s">
        <v>12</v>
      </c>
      <c r="AB704" t="s">
        <v>12</v>
      </c>
      <c r="AC704" t="s">
        <v>12</v>
      </c>
      <c r="AD704" t="s">
        <v>12</v>
      </c>
    </row>
    <row r="705" spans="1:30">
      <c r="A705" t="s">
        <v>384</v>
      </c>
      <c r="B705" t="str">
        <f>Master_Data_Productivity[[#This Row],[Uniq-ID]]&amp;"-"&amp;Master_Data_Productivity[[#This Row],[Period]]</f>
        <v>DC-Document_Controller-024-M4</v>
      </c>
      <c r="C705" t="s">
        <v>385</v>
      </c>
      <c r="D705" t="s">
        <v>48</v>
      </c>
      <c r="E705" t="s">
        <v>25</v>
      </c>
      <c r="F705" t="s">
        <v>26</v>
      </c>
      <c r="G705" t="s">
        <v>15</v>
      </c>
      <c r="H705" t="s">
        <v>16</v>
      </c>
      <c r="I705">
        <v>50.715000000000003</v>
      </c>
      <c r="J705">
        <v>1.5</v>
      </c>
      <c r="K705" t="s">
        <v>2879</v>
      </c>
      <c r="L705" t="s">
        <v>2915</v>
      </c>
      <c r="M705" t="s">
        <v>2916</v>
      </c>
      <c r="N705">
        <v>308</v>
      </c>
      <c r="O705">
        <v>553</v>
      </c>
      <c r="P705">
        <v>1.7955000000000001</v>
      </c>
      <c r="Q705" t="s">
        <v>8</v>
      </c>
      <c r="R705" t="s">
        <v>12</v>
      </c>
      <c r="S705" t="s">
        <v>12</v>
      </c>
      <c r="T705" t="s">
        <v>12</v>
      </c>
      <c r="U705" t="s">
        <v>12</v>
      </c>
      <c r="V705" t="s">
        <v>12</v>
      </c>
      <c r="W705" t="s">
        <v>12</v>
      </c>
      <c r="X705" t="s">
        <v>12</v>
      </c>
      <c r="Y705" t="s">
        <v>12</v>
      </c>
      <c r="Z705" t="s">
        <v>12</v>
      </c>
      <c r="AA705" t="s">
        <v>12</v>
      </c>
      <c r="AB705" t="s">
        <v>12</v>
      </c>
      <c r="AC705" t="s">
        <v>12</v>
      </c>
      <c r="AD705" t="s">
        <v>12</v>
      </c>
    </row>
    <row r="706" spans="1:30">
      <c r="A706" t="s">
        <v>384</v>
      </c>
      <c r="B706" t="str">
        <f>Master_Data_Productivity[[#This Row],[Uniq-ID]]&amp;"-"&amp;Master_Data_Productivity[[#This Row],[Period]]</f>
        <v>DC-Document_Controller-024-M5</v>
      </c>
      <c r="C706" t="s">
        <v>385</v>
      </c>
      <c r="D706" t="s">
        <v>48</v>
      </c>
      <c r="E706" t="s">
        <v>28</v>
      </c>
      <c r="F706" t="s">
        <v>29</v>
      </c>
      <c r="G706" t="s">
        <v>15</v>
      </c>
      <c r="H706" t="s">
        <v>16</v>
      </c>
      <c r="I706">
        <v>44.02</v>
      </c>
      <c r="J706">
        <v>1.5</v>
      </c>
      <c r="K706" t="s">
        <v>2879</v>
      </c>
      <c r="L706" t="s">
        <v>2915</v>
      </c>
      <c r="M706" t="s">
        <v>2916</v>
      </c>
      <c r="N706">
        <v>20</v>
      </c>
      <c r="O706">
        <v>480</v>
      </c>
      <c r="P706">
        <v>24</v>
      </c>
      <c r="Q706" t="s">
        <v>8</v>
      </c>
      <c r="R706" t="s">
        <v>12</v>
      </c>
      <c r="S706" t="s">
        <v>12</v>
      </c>
      <c r="T706" t="s">
        <v>12</v>
      </c>
      <c r="U706" t="s">
        <v>12</v>
      </c>
      <c r="V706" t="s">
        <v>12</v>
      </c>
      <c r="W706" t="s">
        <v>12</v>
      </c>
      <c r="X706" t="s">
        <v>12</v>
      </c>
      <c r="Y706" t="s">
        <v>12</v>
      </c>
      <c r="Z706" t="s">
        <v>12</v>
      </c>
      <c r="AA706" t="s">
        <v>12</v>
      </c>
      <c r="AB706" t="s">
        <v>12</v>
      </c>
      <c r="AC706" t="s">
        <v>12</v>
      </c>
      <c r="AD706" t="s">
        <v>12</v>
      </c>
    </row>
    <row r="707" spans="1:30">
      <c r="A707" t="s">
        <v>384</v>
      </c>
      <c r="B707" t="str">
        <f>Master_Data_Productivity[[#This Row],[Uniq-ID]]&amp;"-"&amp;Master_Data_Productivity[[#This Row],[Period]]</f>
        <v>DC-Document_Controller-024-M5</v>
      </c>
      <c r="C707" t="s">
        <v>385</v>
      </c>
      <c r="D707" t="s">
        <v>48</v>
      </c>
      <c r="E707" t="s">
        <v>28</v>
      </c>
      <c r="F707" t="s">
        <v>29</v>
      </c>
      <c r="G707" t="s">
        <v>15</v>
      </c>
      <c r="H707" t="s">
        <v>16</v>
      </c>
      <c r="I707">
        <v>44.02</v>
      </c>
      <c r="J707">
        <v>1.5</v>
      </c>
      <c r="K707" t="s">
        <v>2879</v>
      </c>
      <c r="L707" t="s">
        <v>2915</v>
      </c>
      <c r="M707" t="s">
        <v>2916</v>
      </c>
      <c r="N707">
        <v>308</v>
      </c>
      <c r="O707">
        <v>480</v>
      </c>
      <c r="P707">
        <v>1.5584</v>
      </c>
      <c r="Q707" t="s">
        <v>8</v>
      </c>
      <c r="R707" t="s">
        <v>12</v>
      </c>
      <c r="S707" t="s">
        <v>12</v>
      </c>
      <c r="T707" t="s">
        <v>12</v>
      </c>
      <c r="U707" t="s">
        <v>12</v>
      </c>
      <c r="V707" t="s">
        <v>12</v>
      </c>
      <c r="W707" t="s">
        <v>12</v>
      </c>
      <c r="X707" t="s">
        <v>12</v>
      </c>
      <c r="Y707" t="s">
        <v>12</v>
      </c>
      <c r="Z707" t="s">
        <v>12</v>
      </c>
      <c r="AA707" t="s">
        <v>12</v>
      </c>
      <c r="AB707" t="s">
        <v>12</v>
      </c>
      <c r="AC707" t="s">
        <v>12</v>
      </c>
      <c r="AD707" t="s">
        <v>12</v>
      </c>
    </row>
    <row r="708" spans="1:30">
      <c r="A708" t="s">
        <v>384</v>
      </c>
      <c r="B708" t="str">
        <f>Master_Data_Productivity[[#This Row],[Uniq-ID]]&amp;"-"&amp;Master_Data_Productivity[[#This Row],[Period]]</f>
        <v>DC-Document_Controller-024-M5</v>
      </c>
      <c r="C708" t="s">
        <v>385</v>
      </c>
      <c r="D708" t="s">
        <v>48</v>
      </c>
      <c r="E708" t="s">
        <v>28</v>
      </c>
      <c r="F708" t="s">
        <v>29</v>
      </c>
      <c r="G708" t="s">
        <v>15</v>
      </c>
      <c r="H708" t="s">
        <v>16</v>
      </c>
      <c r="I708">
        <v>44.02</v>
      </c>
      <c r="J708">
        <v>1.5</v>
      </c>
      <c r="K708" t="s">
        <v>2879</v>
      </c>
      <c r="L708" t="s">
        <v>2915</v>
      </c>
      <c r="M708" t="s">
        <v>2916</v>
      </c>
      <c r="N708">
        <v>26</v>
      </c>
      <c r="O708">
        <v>480</v>
      </c>
      <c r="P708">
        <v>18.461500000000001</v>
      </c>
      <c r="Q708" t="s">
        <v>8</v>
      </c>
      <c r="R708" t="s">
        <v>12</v>
      </c>
      <c r="S708" t="s">
        <v>12</v>
      </c>
      <c r="T708" t="s">
        <v>12</v>
      </c>
      <c r="U708" t="s">
        <v>12</v>
      </c>
      <c r="V708" t="s">
        <v>12</v>
      </c>
      <c r="W708" t="s">
        <v>12</v>
      </c>
      <c r="X708" t="s">
        <v>12</v>
      </c>
      <c r="Y708" t="s">
        <v>12</v>
      </c>
      <c r="Z708" t="s">
        <v>12</v>
      </c>
      <c r="AA708" t="s">
        <v>12</v>
      </c>
      <c r="AB708" t="s">
        <v>12</v>
      </c>
      <c r="AC708" t="s">
        <v>12</v>
      </c>
      <c r="AD708" t="s">
        <v>12</v>
      </c>
    </row>
    <row r="709" spans="1:30">
      <c r="A709" t="s">
        <v>384</v>
      </c>
      <c r="B709" t="str">
        <f>Master_Data_Productivity[[#This Row],[Uniq-ID]]&amp;"-"&amp;Master_Data_Productivity[[#This Row],[Period]]</f>
        <v>DC-Document_Controller-024-M6</v>
      </c>
      <c r="C709" t="s">
        <v>385</v>
      </c>
      <c r="D709" t="s">
        <v>48</v>
      </c>
      <c r="E709" t="s">
        <v>31</v>
      </c>
      <c r="F709" t="s">
        <v>32</v>
      </c>
      <c r="G709" t="s">
        <v>33</v>
      </c>
      <c r="H709" t="s">
        <v>44</v>
      </c>
      <c r="I709">
        <v>0</v>
      </c>
      <c r="K709" t="s">
        <v>12</v>
      </c>
      <c r="L709" t="s">
        <v>12</v>
      </c>
      <c r="M709" t="s">
        <v>12</v>
      </c>
      <c r="Q709" t="s">
        <v>8</v>
      </c>
      <c r="R709" t="s">
        <v>12</v>
      </c>
      <c r="S709" t="s">
        <v>12</v>
      </c>
      <c r="T709" t="s">
        <v>12</v>
      </c>
      <c r="U709" t="s">
        <v>12</v>
      </c>
      <c r="V709" t="s">
        <v>12</v>
      </c>
      <c r="W709" t="s">
        <v>12</v>
      </c>
      <c r="X709" t="s">
        <v>12</v>
      </c>
      <c r="Y709" t="s">
        <v>12</v>
      </c>
      <c r="Z709" t="s">
        <v>12</v>
      </c>
      <c r="AA709" t="s">
        <v>12</v>
      </c>
      <c r="AB709" t="s">
        <v>12</v>
      </c>
      <c r="AC709" t="s">
        <v>12</v>
      </c>
      <c r="AD709" t="s">
        <v>12</v>
      </c>
    </row>
    <row r="710" spans="1:30">
      <c r="A710" t="s">
        <v>358</v>
      </c>
      <c r="B710" t="str">
        <f>Master_Data_Productivity[[#This Row],[Uniq-ID]]&amp;"-"&amp;Master_Data_Productivity[[#This Row],[Period]]</f>
        <v>DC-Document_Controller-051-M1</v>
      </c>
      <c r="C710" t="s">
        <v>359</v>
      </c>
      <c r="D710" t="s">
        <v>76</v>
      </c>
      <c r="E710" t="s">
        <v>13</v>
      </c>
      <c r="F710" t="s">
        <v>37</v>
      </c>
      <c r="G710" t="s">
        <v>15</v>
      </c>
      <c r="H710" t="s">
        <v>44</v>
      </c>
      <c r="I710">
        <v>6.0999999999999999E-2</v>
      </c>
      <c r="J710">
        <v>0.5</v>
      </c>
      <c r="K710" t="s">
        <v>2871</v>
      </c>
      <c r="L710" t="s">
        <v>3061</v>
      </c>
      <c r="M710" t="s">
        <v>2873</v>
      </c>
      <c r="N710">
        <v>66</v>
      </c>
      <c r="O710">
        <v>4</v>
      </c>
      <c r="P710">
        <v>6.0600000000000001E-2</v>
      </c>
      <c r="Q710" t="s">
        <v>8</v>
      </c>
      <c r="R710" t="s">
        <v>12</v>
      </c>
      <c r="S710" t="s">
        <v>12</v>
      </c>
      <c r="T710" t="s">
        <v>12</v>
      </c>
      <c r="U710" t="s">
        <v>12</v>
      </c>
      <c r="V710" t="s">
        <v>12</v>
      </c>
      <c r="W710" t="s">
        <v>12</v>
      </c>
      <c r="X710" t="s">
        <v>12</v>
      </c>
      <c r="Y710" t="s">
        <v>12</v>
      </c>
      <c r="Z710" t="s">
        <v>12</v>
      </c>
      <c r="AA710" t="s">
        <v>12</v>
      </c>
      <c r="AB710" t="s">
        <v>12</v>
      </c>
      <c r="AC710" t="s">
        <v>12</v>
      </c>
      <c r="AD710" t="s">
        <v>12</v>
      </c>
    </row>
    <row r="711" spans="1:30">
      <c r="A711" t="s">
        <v>358</v>
      </c>
      <c r="B711" t="str">
        <f>Master_Data_Productivity[[#This Row],[Uniq-ID]]&amp;"-"&amp;Master_Data_Productivity[[#This Row],[Period]]</f>
        <v>DC-Document_Controller-051-M2</v>
      </c>
      <c r="C711" t="s">
        <v>359</v>
      </c>
      <c r="D711" t="s">
        <v>76</v>
      </c>
      <c r="E711" t="s">
        <v>18</v>
      </c>
      <c r="F711" t="s">
        <v>39</v>
      </c>
      <c r="G711" t="s">
        <v>15</v>
      </c>
      <c r="H711" t="s">
        <v>44</v>
      </c>
      <c r="I711">
        <v>4.8000000000000001E-2</v>
      </c>
      <c r="J711">
        <v>0.5</v>
      </c>
      <c r="K711" t="s">
        <v>2887</v>
      </c>
      <c r="L711" t="s">
        <v>2992</v>
      </c>
      <c r="M711" t="s">
        <v>2873</v>
      </c>
      <c r="N711">
        <v>220</v>
      </c>
      <c r="O711">
        <v>4</v>
      </c>
      <c r="P711">
        <v>1.8200000000000001E-2</v>
      </c>
      <c r="Q711" t="s">
        <v>8</v>
      </c>
      <c r="R711" t="s">
        <v>12</v>
      </c>
      <c r="S711" t="s">
        <v>12</v>
      </c>
      <c r="T711" t="s">
        <v>12</v>
      </c>
      <c r="U711" t="s">
        <v>12</v>
      </c>
      <c r="V711" t="s">
        <v>12</v>
      </c>
      <c r="W711" t="s">
        <v>12</v>
      </c>
      <c r="X711" t="s">
        <v>12</v>
      </c>
      <c r="Y711" t="s">
        <v>12</v>
      </c>
      <c r="Z711" t="s">
        <v>12</v>
      </c>
      <c r="AA711" t="s">
        <v>12</v>
      </c>
      <c r="AB711" t="s">
        <v>12</v>
      </c>
      <c r="AC711" t="s">
        <v>12</v>
      </c>
      <c r="AD711" t="s">
        <v>12</v>
      </c>
    </row>
    <row r="712" spans="1:30">
      <c r="A712" t="s">
        <v>358</v>
      </c>
      <c r="B712" t="str">
        <f>Master_Data_Productivity[[#This Row],[Uniq-ID]]&amp;"-"&amp;Master_Data_Productivity[[#This Row],[Period]]</f>
        <v>DC-Document_Controller-051-M2</v>
      </c>
      <c r="C712" t="s">
        <v>359</v>
      </c>
      <c r="D712" t="s">
        <v>76</v>
      </c>
      <c r="E712" t="s">
        <v>18</v>
      </c>
      <c r="F712" t="s">
        <v>39</v>
      </c>
      <c r="G712" t="s">
        <v>15</v>
      </c>
      <c r="H712" t="s">
        <v>44</v>
      </c>
      <c r="I712">
        <v>4.8000000000000001E-2</v>
      </c>
      <c r="J712">
        <v>0.5</v>
      </c>
      <c r="K712" t="s">
        <v>2871</v>
      </c>
      <c r="L712" t="s">
        <v>3061</v>
      </c>
      <c r="M712" t="s">
        <v>2873</v>
      </c>
      <c r="N712">
        <v>66</v>
      </c>
      <c r="O712">
        <v>2</v>
      </c>
      <c r="P712">
        <v>3.0300000000000001E-2</v>
      </c>
      <c r="Q712" t="s">
        <v>8</v>
      </c>
      <c r="R712" t="s">
        <v>12</v>
      </c>
      <c r="S712" t="s">
        <v>12</v>
      </c>
      <c r="T712" t="s">
        <v>12</v>
      </c>
      <c r="U712" t="s">
        <v>12</v>
      </c>
      <c r="V712" t="s">
        <v>12</v>
      </c>
      <c r="W712" t="s">
        <v>12</v>
      </c>
      <c r="X712" t="s">
        <v>12</v>
      </c>
      <c r="Y712" t="s">
        <v>12</v>
      </c>
      <c r="Z712" t="s">
        <v>12</v>
      </c>
      <c r="AA712" t="s">
        <v>12</v>
      </c>
      <c r="AB712" t="s">
        <v>12</v>
      </c>
      <c r="AC712" t="s">
        <v>12</v>
      </c>
      <c r="AD712" t="s">
        <v>12</v>
      </c>
    </row>
    <row r="713" spans="1:30">
      <c r="A713" t="s">
        <v>358</v>
      </c>
      <c r="B713" t="str">
        <f>Master_Data_Productivity[[#This Row],[Uniq-ID]]&amp;"-"&amp;Master_Data_Productivity[[#This Row],[Period]]</f>
        <v>DC-Document_Controller-051-M3</v>
      </c>
      <c r="C713" t="s">
        <v>359</v>
      </c>
      <c r="D713" t="s">
        <v>76</v>
      </c>
      <c r="E713" t="s">
        <v>22</v>
      </c>
      <c r="F713" t="s">
        <v>41</v>
      </c>
      <c r="G713" t="s">
        <v>15</v>
      </c>
      <c r="H713" t="s">
        <v>44</v>
      </c>
      <c r="I713">
        <v>8.9999999999999993E-3</v>
      </c>
      <c r="J713">
        <v>0.5</v>
      </c>
      <c r="K713" t="s">
        <v>2887</v>
      </c>
      <c r="L713" t="s">
        <v>2992</v>
      </c>
      <c r="M713" t="s">
        <v>2873</v>
      </c>
      <c r="N713">
        <v>220</v>
      </c>
      <c r="O713">
        <v>2</v>
      </c>
      <c r="P713">
        <v>9.1000000000000004E-3</v>
      </c>
      <c r="Q713" t="s">
        <v>8</v>
      </c>
      <c r="R713" t="s">
        <v>12</v>
      </c>
      <c r="S713" t="s">
        <v>12</v>
      </c>
      <c r="T713" t="s">
        <v>12</v>
      </c>
      <c r="U713" t="s">
        <v>12</v>
      </c>
      <c r="V713" t="s">
        <v>12</v>
      </c>
      <c r="W713" t="s">
        <v>12</v>
      </c>
      <c r="X713" t="s">
        <v>12</v>
      </c>
      <c r="Y713" t="s">
        <v>12</v>
      </c>
      <c r="Z713" t="s">
        <v>12</v>
      </c>
      <c r="AA713" t="s">
        <v>12</v>
      </c>
      <c r="AB713" t="s">
        <v>12</v>
      </c>
      <c r="AC713" t="s">
        <v>12</v>
      </c>
      <c r="AD713" t="s">
        <v>12</v>
      </c>
    </row>
    <row r="714" spans="1:30">
      <c r="A714" t="s">
        <v>358</v>
      </c>
      <c r="B714" t="str">
        <f>Master_Data_Productivity[[#This Row],[Uniq-ID]]&amp;"-"&amp;Master_Data_Productivity[[#This Row],[Period]]</f>
        <v>DC-Document_Controller-051-M4</v>
      </c>
      <c r="C714" t="s">
        <v>359</v>
      </c>
      <c r="D714" t="s">
        <v>76</v>
      </c>
      <c r="E714" t="s">
        <v>25</v>
      </c>
      <c r="F714" t="s">
        <v>43</v>
      </c>
      <c r="G714" t="s">
        <v>33</v>
      </c>
      <c r="H714" t="s">
        <v>44</v>
      </c>
      <c r="I714">
        <v>0</v>
      </c>
      <c r="K714" t="s">
        <v>12</v>
      </c>
      <c r="L714" t="s">
        <v>12</v>
      </c>
      <c r="M714" t="s">
        <v>12</v>
      </c>
      <c r="Q714" t="s">
        <v>8</v>
      </c>
      <c r="R714" t="s">
        <v>12</v>
      </c>
      <c r="S714" t="s">
        <v>12</v>
      </c>
      <c r="T714" t="s">
        <v>12</v>
      </c>
      <c r="U714" t="s">
        <v>12</v>
      </c>
      <c r="V714" t="s">
        <v>12</v>
      </c>
      <c r="W714" t="s">
        <v>12</v>
      </c>
      <c r="X714" t="s">
        <v>12</v>
      </c>
      <c r="Y714" t="s">
        <v>12</v>
      </c>
      <c r="Z714" t="s">
        <v>12</v>
      </c>
      <c r="AA714" t="s">
        <v>12</v>
      </c>
      <c r="AB714" t="s">
        <v>12</v>
      </c>
      <c r="AC714" t="s">
        <v>12</v>
      </c>
      <c r="AD714" t="s">
        <v>12</v>
      </c>
    </row>
    <row r="715" spans="1:30">
      <c r="A715" t="s">
        <v>510</v>
      </c>
      <c r="B715" t="str">
        <f>Master_Data_Productivity[[#This Row],[Uniq-ID]]&amp;"-"&amp;Master_Data_Productivity[[#This Row],[Period]]</f>
        <v>QC-Quality_Control-017-M1</v>
      </c>
      <c r="C715" t="s">
        <v>511</v>
      </c>
      <c r="D715" t="s">
        <v>250</v>
      </c>
      <c r="E715" t="s">
        <v>13</v>
      </c>
      <c r="F715" t="s">
        <v>14</v>
      </c>
      <c r="G715" t="s">
        <v>15</v>
      </c>
      <c r="H715" t="s">
        <v>12</v>
      </c>
      <c r="J715">
        <v>1.1000000000000001</v>
      </c>
      <c r="K715" t="s">
        <v>12</v>
      </c>
      <c r="L715" t="s">
        <v>12</v>
      </c>
      <c r="M715" t="s">
        <v>12</v>
      </c>
      <c r="Q715" t="s">
        <v>438</v>
      </c>
      <c r="R715" t="s">
        <v>446</v>
      </c>
      <c r="S715" t="s">
        <v>442</v>
      </c>
      <c r="T715" t="s">
        <v>3406</v>
      </c>
      <c r="U715" t="s">
        <v>12</v>
      </c>
      <c r="V715" t="s">
        <v>12</v>
      </c>
      <c r="W715" t="s">
        <v>3407</v>
      </c>
      <c r="X715" t="s">
        <v>3406</v>
      </c>
      <c r="Y715" t="s">
        <v>12</v>
      </c>
      <c r="Z715" t="s">
        <v>12</v>
      </c>
      <c r="AA715" t="s">
        <v>12</v>
      </c>
      <c r="AB715" t="s">
        <v>12</v>
      </c>
      <c r="AC715" t="s">
        <v>12</v>
      </c>
      <c r="AD715" t="s">
        <v>12</v>
      </c>
    </row>
    <row r="716" spans="1:30">
      <c r="A716" t="s">
        <v>510</v>
      </c>
      <c r="B716" t="str">
        <f>Master_Data_Productivity[[#This Row],[Uniq-ID]]&amp;"-"&amp;Master_Data_Productivity[[#This Row],[Period]]</f>
        <v>QC-Quality_Control-017-M2</v>
      </c>
      <c r="C716" t="s">
        <v>511</v>
      </c>
      <c r="D716" t="s">
        <v>250</v>
      </c>
      <c r="E716" t="s">
        <v>18</v>
      </c>
      <c r="F716" t="s">
        <v>19</v>
      </c>
      <c r="G716" t="s">
        <v>15</v>
      </c>
      <c r="H716" t="s">
        <v>12</v>
      </c>
      <c r="J716">
        <v>1</v>
      </c>
      <c r="K716" t="s">
        <v>12</v>
      </c>
      <c r="L716" t="s">
        <v>12</v>
      </c>
      <c r="M716" t="s">
        <v>12</v>
      </c>
      <c r="Q716" t="s">
        <v>438</v>
      </c>
      <c r="R716" t="s">
        <v>446</v>
      </c>
      <c r="S716" t="s">
        <v>442</v>
      </c>
      <c r="T716" t="s">
        <v>3407</v>
      </c>
      <c r="U716" t="s">
        <v>12</v>
      </c>
      <c r="V716" t="s">
        <v>12</v>
      </c>
      <c r="W716" t="s">
        <v>3407</v>
      </c>
      <c r="X716" t="s">
        <v>3407</v>
      </c>
      <c r="Y716" t="s">
        <v>12</v>
      </c>
      <c r="Z716" t="s">
        <v>12</v>
      </c>
      <c r="AA716" t="s">
        <v>12</v>
      </c>
      <c r="AB716" t="s">
        <v>12</v>
      </c>
      <c r="AC716" t="s">
        <v>12</v>
      </c>
      <c r="AD716" t="s">
        <v>12</v>
      </c>
    </row>
    <row r="717" spans="1:30">
      <c r="A717" t="s">
        <v>510</v>
      </c>
      <c r="B717" t="str">
        <f>Master_Data_Productivity[[#This Row],[Uniq-ID]]&amp;"-"&amp;Master_Data_Productivity[[#This Row],[Period]]</f>
        <v>QC-Quality_Control-017-M3</v>
      </c>
      <c r="C717" t="s">
        <v>511</v>
      </c>
      <c r="D717" t="s">
        <v>250</v>
      </c>
      <c r="E717" t="s">
        <v>22</v>
      </c>
      <c r="F717" t="s">
        <v>23</v>
      </c>
      <c r="G717" t="s">
        <v>15</v>
      </c>
      <c r="H717" t="s">
        <v>12</v>
      </c>
      <c r="K717" t="s">
        <v>12</v>
      </c>
      <c r="L717" t="s">
        <v>12</v>
      </c>
      <c r="M717" t="s">
        <v>12</v>
      </c>
      <c r="Q717" t="s">
        <v>438</v>
      </c>
      <c r="R717" t="s">
        <v>446</v>
      </c>
      <c r="S717" t="s">
        <v>443</v>
      </c>
      <c r="T717" t="s">
        <v>12</v>
      </c>
      <c r="U717" t="s">
        <v>12</v>
      </c>
      <c r="V717" t="s">
        <v>12</v>
      </c>
      <c r="W717" t="s">
        <v>3407</v>
      </c>
      <c r="X717" t="s">
        <v>12</v>
      </c>
      <c r="Y717" t="s">
        <v>12</v>
      </c>
      <c r="Z717" t="s">
        <v>12</v>
      </c>
      <c r="AA717" t="s">
        <v>12</v>
      </c>
      <c r="AB717" t="s">
        <v>12</v>
      </c>
      <c r="AC717" t="s">
        <v>12</v>
      </c>
      <c r="AD717" t="s">
        <v>12</v>
      </c>
    </row>
    <row r="718" spans="1:30">
      <c r="A718" t="s">
        <v>510</v>
      </c>
      <c r="B718" t="str">
        <f>Master_Data_Productivity[[#This Row],[Uniq-ID]]&amp;"-"&amp;Master_Data_Productivity[[#This Row],[Period]]</f>
        <v>QC-Quality_Control-017-M4</v>
      </c>
      <c r="C718" t="s">
        <v>511</v>
      </c>
      <c r="D718" t="s">
        <v>250</v>
      </c>
      <c r="E718" t="s">
        <v>25</v>
      </c>
      <c r="F718" t="s">
        <v>26</v>
      </c>
      <c r="G718" t="s">
        <v>15</v>
      </c>
      <c r="H718" t="s">
        <v>12</v>
      </c>
      <c r="K718" t="s">
        <v>12</v>
      </c>
      <c r="L718" t="s">
        <v>12</v>
      </c>
      <c r="M718" t="s">
        <v>12</v>
      </c>
      <c r="Q718" t="s">
        <v>438</v>
      </c>
      <c r="R718" t="s">
        <v>446</v>
      </c>
      <c r="S718" t="s">
        <v>443</v>
      </c>
      <c r="T718" t="s">
        <v>12</v>
      </c>
      <c r="U718" t="s">
        <v>12</v>
      </c>
      <c r="V718" t="s">
        <v>12</v>
      </c>
      <c r="W718" t="s">
        <v>3407</v>
      </c>
      <c r="X718" t="s">
        <v>12</v>
      </c>
      <c r="Y718" t="s">
        <v>12</v>
      </c>
      <c r="Z718" t="s">
        <v>12</v>
      </c>
      <c r="AA718" t="s">
        <v>12</v>
      </c>
      <c r="AB718" t="s">
        <v>12</v>
      </c>
      <c r="AC718" t="s">
        <v>12</v>
      </c>
      <c r="AD718" t="s">
        <v>12</v>
      </c>
    </row>
    <row r="719" spans="1:30">
      <c r="A719" t="s">
        <v>510</v>
      </c>
      <c r="B719" t="str">
        <f>Master_Data_Productivity[[#This Row],[Uniq-ID]]&amp;"-"&amp;Master_Data_Productivity[[#This Row],[Period]]</f>
        <v>QC-Quality_Control-017-M5</v>
      </c>
      <c r="C719" t="s">
        <v>511</v>
      </c>
      <c r="D719" t="s">
        <v>250</v>
      </c>
      <c r="E719" t="s">
        <v>28</v>
      </c>
      <c r="F719" t="s">
        <v>29</v>
      </c>
      <c r="G719" t="s">
        <v>15</v>
      </c>
      <c r="H719" t="s">
        <v>12</v>
      </c>
      <c r="K719" t="s">
        <v>12</v>
      </c>
      <c r="L719" t="s">
        <v>12</v>
      </c>
      <c r="M719" t="s">
        <v>12</v>
      </c>
      <c r="Q719" t="s">
        <v>438</v>
      </c>
      <c r="R719" t="s">
        <v>446</v>
      </c>
      <c r="S719" t="s">
        <v>443</v>
      </c>
      <c r="T719" t="s">
        <v>12</v>
      </c>
      <c r="U719" t="s">
        <v>12</v>
      </c>
      <c r="V719" t="s">
        <v>12</v>
      </c>
      <c r="W719" t="s">
        <v>3407</v>
      </c>
      <c r="X719" t="s">
        <v>12</v>
      </c>
      <c r="Y719" t="s">
        <v>12</v>
      </c>
      <c r="Z719" t="s">
        <v>12</v>
      </c>
      <c r="AA719" t="s">
        <v>12</v>
      </c>
      <c r="AB719" t="s">
        <v>12</v>
      </c>
      <c r="AC719" t="s">
        <v>12</v>
      </c>
      <c r="AD719" t="s">
        <v>12</v>
      </c>
    </row>
    <row r="720" spans="1:30">
      <c r="A720" t="s">
        <v>510</v>
      </c>
      <c r="B720" t="str">
        <f>Master_Data_Productivity[[#This Row],[Uniq-ID]]&amp;"-"&amp;Master_Data_Productivity[[#This Row],[Period]]</f>
        <v>QC-Quality_Control-017-M6</v>
      </c>
      <c r="C720" t="s">
        <v>511</v>
      </c>
      <c r="D720" t="s">
        <v>250</v>
      </c>
      <c r="E720" t="s">
        <v>31</v>
      </c>
      <c r="F720" t="s">
        <v>32</v>
      </c>
      <c r="G720" t="s">
        <v>33</v>
      </c>
      <c r="H720" t="s">
        <v>12</v>
      </c>
      <c r="K720" t="s">
        <v>12</v>
      </c>
      <c r="L720" t="s">
        <v>12</v>
      </c>
      <c r="M720" t="s">
        <v>12</v>
      </c>
      <c r="Q720" t="s">
        <v>438</v>
      </c>
      <c r="R720" t="s">
        <v>446</v>
      </c>
      <c r="S720" t="s">
        <v>443</v>
      </c>
      <c r="T720" t="s">
        <v>12</v>
      </c>
      <c r="U720" t="s">
        <v>12</v>
      </c>
      <c r="V720" t="s">
        <v>12</v>
      </c>
      <c r="W720" t="s">
        <v>3407</v>
      </c>
      <c r="X720" t="s">
        <v>12</v>
      </c>
      <c r="Y720" t="s">
        <v>12</v>
      </c>
      <c r="Z720" t="s">
        <v>12</v>
      </c>
      <c r="AA720" t="s">
        <v>12</v>
      </c>
      <c r="AB720" t="s">
        <v>12</v>
      </c>
      <c r="AC720" t="s">
        <v>12</v>
      </c>
      <c r="AD720" t="s">
        <v>12</v>
      </c>
    </row>
    <row r="721" spans="1:30">
      <c r="A721" t="s">
        <v>439</v>
      </c>
      <c r="B721" t="str">
        <f>Master_Data_Productivity[[#This Row],[Uniq-ID]]&amp;"-"&amp;Master_Data_Productivity[[#This Row],[Period]]</f>
        <v>QC-Quality_Control-008-M1</v>
      </c>
      <c r="C721" t="s">
        <v>440</v>
      </c>
      <c r="D721" t="s">
        <v>11</v>
      </c>
      <c r="E721" t="s">
        <v>13</v>
      </c>
      <c r="F721" t="s">
        <v>122</v>
      </c>
      <c r="G721" t="s">
        <v>15</v>
      </c>
      <c r="H721" t="s">
        <v>12</v>
      </c>
      <c r="J721">
        <v>1.2</v>
      </c>
      <c r="K721" t="s">
        <v>12</v>
      </c>
      <c r="L721" t="s">
        <v>12</v>
      </c>
      <c r="M721" t="s">
        <v>12</v>
      </c>
      <c r="Q721" t="s">
        <v>438</v>
      </c>
      <c r="R721" t="s">
        <v>441</v>
      </c>
      <c r="S721" t="s">
        <v>442</v>
      </c>
      <c r="T721" t="s">
        <v>3408</v>
      </c>
      <c r="U721" t="s">
        <v>3409</v>
      </c>
      <c r="V721" t="s">
        <v>12</v>
      </c>
      <c r="W721" t="s">
        <v>3407</v>
      </c>
      <c r="X721" t="s">
        <v>3410</v>
      </c>
      <c r="Y721" t="s">
        <v>12</v>
      </c>
      <c r="Z721" t="s">
        <v>12</v>
      </c>
      <c r="AA721" t="s">
        <v>12</v>
      </c>
      <c r="AB721" t="s">
        <v>12</v>
      </c>
      <c r="AC721" t="s">
        <v>12</v>
      </c>
      <c r="AD721" t="s">
        <v>12</v>
      </c>
    </row>
    <row r="722" spans="1:30">
      <c r="A722" t="s">
        <v>439</v>
      </c>
      <c r="B722" t="str">
        <f>Master_Data_Productivity[[#This Row],[Uniq-ID]]&amp;"-"&amp;Master_Data_Productivity[[#This Row],[Period]]</f>
        <v>QC-Quality_Control-008-M2</v>
      </c>
      <c r="C722" t="s">
        <v>440</v>
      </c>
      <c r="D722" t="s">
        <v>11</v>
      </c>
      <c r="E722" t="s">
        <v>18</v>
      </c>
      <c r="F722" t="s">
        <v>124</v>
      </c>
      <c r="G722" t="s">
        <v>15</v>
      </c>
      <c r="H722" t="s">
        <v>12</v>
      </c>
      <c r="J722">
        <v>1.5</v>
      </c>
      <c r="K722" t="s">
        <v>12</v>
      </c>
      <c r="L722" t="s">
        <v>12</v>
      </c>
      <c r="M722" t="s">
        <v>12</v>
      </c>
      <c r="Q722" t="s">
        <v>438</v>
      </c>
      <c r="R722" t="s">
        <v>441</v>
      </c>
      <c r="S722" t="s">
        <v>442</v>
      </c>
      <c r="T722" t="s">
        <v>3411</v>
      </c>
      <c r="U722" t="s">
        <v>3412</v>
      </c>
      <c r="V722" t="s">
        <v>12</v>
      </c>
      <c r="W722" t="s">
        <v>3407</v>
      </c>
      <c r="X722" t="s">
        <v>3413</v>
      </c>
      <c r="Y722" t="s">
        <v>12</v>
      </c>
      <c r="Z722" t="s">
        <v>12</v>
      </c>
      <c r="AA722" t="s">
        <v>12</v>
      </c>
      <c r="AB722" t="s">
        <v>12</v>
      </c>
      <c r="AC722" t="s">
        <v>12</v>
      </c>
      <c r="AD722" t="s">
        <v>12</v>
      </c>
    </row>
    <row r="723" spans="1:30">
      <c r="A723" t="s">
        <v>439</v>
      </c>
      <c r="B723" t="str">
        <f>Master_Data_Productivity[[#This Row],[Uniq-ID]]&amp;"-"&amp;Master_Data_Productivity[[#This Row],[Period]]</f>
        <v>QC-Quality_Control-008-M3</v>
      </c>
      <c r="C723" t="s">
        <v>440</v>
      </c>
      <c r="D723" t="s">
        <v>11</v>
      </c>
      <c r="E723" t="s">
        <v>22</v>
      </c>
      <c r="F723" t="s">
        <v>126</v>
      </c>
      <c r="G723" t="s">
        <v>15</v>
      </c>
      <c r="H723" t="s">
        <v>12</v>
      </c>
      <c r="J723">
        <v>1.5</v>
      </c>
      <c r="K723" t="s">
        <v>12</v>
      </c>
      <c r="L723" t="s">
        <v>12</v>
      </c>
      <c r="M723" t="s">
        <v>12</v>
      </c>
      <c r="Q723" t="s">
        <v>438</v>
      </c>
      <c r="R723" t="s">
        <v>441</v>
      </c>
      <c r="S723" t="s">
        <v>442</v>
      </c>
      <c r="T723" t="s">
        <v>12</v>
      </c>
      <c r="U723" t="s">
        <v>3414</v>
      </c>
      <c r="V723" t="s">
        <v>12</v>
      </c>
      <c r="W723" t="s">
        <v>3407</v>
      </c>
      <c r="X723" t="s">
        <v>3414</v>
      </c>
      <c r="Y723" t="s">
        <v>12</v>
      </c>
      <c r="Z723" t="s">
        <v>12</v>
      </c>
      <c r="AA723" t="s">
        <v>12</v>
      </c>
      <c r="AB723" t="s">
        <v>12</v>
      </c>
      <c r="AC723" t="s">
        <v>12</v>
      </c>
      <c r="AD723" t="s">
        <v>12</v>
      </c>
    </row>
    <row r="724" spans="1:30">
      <c r="A724" t="s">
        <v>439</v>
      </c>
      <c r="B724" t="str">
        <f>Master_Data_Productivity[[#This Row],[Uniq-ID]]&amp;"-"&amp;Master_Data_Productivity[[#This Row],[Period]]</f>
        <v>QC-Quality_Control-008-M4</v>
      </c>
      <c r="C724" t="s">
        <v>440</v>
      </c>
      <c r="D724" t="s">
        <v>11</v>
      </c>
      <c r="E724" t="s">
        <v>25</v>
      </c>
      <c r="F724" t="s">
        <v>128</v>
      </c>
      <c r="G724" t="s">
        <v>15</v>
      </c>
      <c r="H724" t="s">
        <v>12</v>
      </c>
      <c r="J724">
        <v>1.5</v>
      </c>
      <c r="K724" t="s">
        <v>12</v>
      </c>
      <c r="L724" t="s">
        <v>12</v>
      </c>
      <c r="M724" t="s">
        <v>12</v>
      </c>
      <c r="Q724" t="s">
        <v>438</v>
      </c>
      <c r="R724" t="s">
        <v>441</v>
      </c>
      <c r="S724" t="s">
        <v>442</v>
      </c>
      <c r="T724" t="s">
        <v>3415</v>
      </c>
      <c r="U724" t="s">
        <v>3416</v>
      </c>
      <c r="V724" t="s">
        <v>12</v>
      </c>
      <c r="W724" t="s">
        <v>3407</v>
      </c>
      <c r="X724" t="s">
        <v>3417</v>
      </c>
      <c r="Y724" t="s">
        <v>12</v>
      </c>
      <c r="Z724" t="s">
        <v>12</v>
      </c>
      <c r="AA724" t="s">
        <v>12</v>
      </c>
      <c r="AB724" t="s">
        <v>12</v>
      </c>
      <c r="AC724" t="s">
        <v>12</v>
      </c>
      <c r="AD724" t="s">
        <v>12</v>
      </c>
    </row>
    <row r="725" spans="1:30">
      <c r="A725" t="s">
        <v>439</v>
      </c>
      <c r="B725" t="str">
        <f>Master_Data_Productivity[[#This Row],[Uniq-ID]]&amp;"-"&amp;Master_Data_Productivity[[#This Row],[Period]]</f>
        <v>QC-Quality_Control-008-M5</v>
      </c>
      <c r="C725" t="s">
        <v>440</v>
      </c>
      <c r="D725" t="s">
        <v>11</v>
      </c>
      <c r="E725" t="s">
        <v>28</v>
      </c>
      <c r="F725" t="s">
        <v>130</v>
      </c>
      <c r="G725" t="s">
        <v>15</v>
      </c>
      <c r="H725" t="s">
        <v>12</v>
      </c>
      <c r="J725">
        <v>1.1499999999999999</v>
      </c>
      <c r="K725" t="s">
        <v>12</v>
      </c>
      <c r="L725" t="s">
        <v>12</v>
      </c>
      <c r="M725" t="s">
        <v>12</v>
      </c>
      <c r="Q725" t="s">
        <v>438</v>
      </c>
      <c r="R725" t="s">
        <v>441</v>
      </c>
      <c r="S725" t="s">
        <v>442</v>
      </c>
      <c r="T725" t="s">
        <v>3418</v>
      </c>
      <c r="U725" t="s">
        <v>3406</v>
      </c>
      <c r="V725" t="s">
        <v>12</v>
      </c>
      <c r="W725" t="s">
        <v>3407</v>
      </c>
      <c r="X725" t="s">
        <v>3419</v>
      </c>
      <c r="Y725" t="s">
        <v>12</v>
      </c>
      <c r="Z725" t="s">
        <v>12</v>
      </c>
      <c r="AA725" t="s">
        <v>12</v>
      </c>
      <c r="AB725" t="s">
        <v>12</v>
      </c>
      <c r="AC725" t="s">
        <v>12</v>
      </c>
      <c r="AD725" t="s">
        <v>12</v>
      </c>
    </row>
    <row r="726" spans="1:30">
      <c r="A726" t="s">
        <v>439</v>
      </c>
      <c r="B726" t="str">
        <f>Master_Data_Productivity[[#This Row],[Uniq-ID]]&amp;"-"&amp;Master_Data_Productivity[[#This Row],[Period]]</f>
        <v>QC-Quality_Control-008-M6</v>
      </c>
      <c r="C726" t="s">
        <v>440</v>
      </c>
      <c r="D726" t="s">
        <v>11</v>
      </c>
      <c r="E726" t="s">
        <v>31</v>
      </c>
      <c r="F726" t="s">
        <v>132</v>
      </c>
      <c r="G726" t="s">
        <v>33</v>
      </c>
      <c r="H726" t="s">
        <v>12</v>
      </c>
      <c r="J726">
        <v>0.53</v>
      </c>
      <c r="K726" t="s">
        <v>12</v>
      </c>
      <c r="L726" t="s">
        <v>12</v>
      </c>
      <c r="M726" t="s">
        <v>12</v>
      </c>
      <c r="Q726" t="s">
        <v>438</v>
      </c>
      <c r="R726" t="s">
        <v>441</v>
      </c>
      <c r="S726" t="s">
        <v>443</v>
      </c>
      <c r="T726" t="s">
        <v>3418</v>
      </c>
      <c r="U726" t="s">
        <v>3420</v>
      </c>
      <c r="V726" t="s">
        <v>12</v>
      </c>
      <c r="W726" t="s">
        <v>3407</v>
      </c>
      <c r="X726" t="s">
        <v>3421</v>
      </c>
      <c r="Y726" t="s">
        <v>12</v>
      </c>
      <c r="Z726" t="s">
        <v>12</v>
      </c>
      <c r="AA726" t="s">
        <v>12</v>
      </c>
      <c r="AB726" t="s">
        <v>12</v>
      </c>
      <c r="AC726" t="s">
        <v>12</v>
      </c>
      <c r="AD726" t="s">
        <v>12</v>
      </c>
    </row>
    <row r="727" spans="1:30">
      <c r="A727" t="s">
        <v>491</v>
      </c>
      <c r="B727" t="str">
        <f>Master_Data_Productivity[[#This Row],[Uniq-ID]]&amp;"-"&amp;Master_Data_Productivity[[#This Row],[Period]]</f>
        <v>QC-Quality_Control-012-M1</v>
      </c>
      <c r="C727" t="s">
        <v>492</v>
      </c>
      <c r="D727" t="s">
        <v>76</v>
      </c>
      <c r="E727" t="s">
        <v>13</v>
      </c>
      <c r="F727" t="s">
        <v>14</v>
      </c>
      <c r="G727" t="s">
        <v>15</v>
      </c>
      <c r="H727" t="s">
        <v>12</v>
      </c>
      <c r="J727">
        <v>1.5</v>
      </c>
      <c r="K727" t="s">
        <v>12</v>
      </c>
      <c r="L727" t="s">
        <v>12</v>
      </c>
      <c r="M727" t="s">
        <v>12</v>
      </c>
      <c r="Q727" t="s">
        <v>438</v>
      </c>
      <c r="R727" t="s">
        <v>493</v>
      </c>
      <c r="S727" t="s">
        <v>442</v>
      </c>
      <c r="T727" t="s">
        <v>3407</v>
      </c>
      <c r="U727" t="s">
        <v>3415</v>
      </c>
      <c r="V727" t="s">
        <v>12</v>
      </c>
      <c r="W727" t="s">
        <v>3422</v>
      </c>
      <c r="X727" t="s">
        <v>3410</v>
      </c>
      <c r="Y727" t="s">
        <v>12</v>
      </c>
      <c r="Z727" t="s">
        <v>12</v>
      </c>
      <c r="AA727" t="s">
        <v>12</v>
      </c>
      <c r="AB727" t="s">
        <v>12</v>
      </c>
      <c r="AC727" t="s">
        <v>12</v>
      </c>
      <c r="AD727" t="s">
        <v>12</v>
      </c>
    </row>
    <row r="728" spans="1:30">
      <c r="A728" t="s">
        <v>491</v>
      </c>
      <c r="B728" t="str">
        <f>Master_Data_Productivity[[#This Row],[Uniq-ID]]&amp;"-"&amp;Master_Data_Productivity[[#This Row],[Period]]</f>
        <v>QC-Quality_Control-012-M2</v>
      </c>
      <c r="C728" t="s">
        <v>492</v>
      </c>
      <c r="D728" t="s">
        <v>76</v>
      </c>
      <c r="E728" t="s">
        <v>18</v>
      </c>
      <c r="F728" t="s">
        <v>19</v>
      </c>
      <c r="G728" t="s">
        <v>15</v>
      </c>
      <c r="H728" t="s">
        <v>12</v>
      </c>
      <c r="J728">
        <v>1.5</v>
      </c>
      <c r="K728" t="s">
        <v>12</v>
      </c>
      <c r="L728" t="s">
        <v>12</v>
      </c>
      <c r="M728" t="s">
        <v>12</v>
      </c>
      <c r="Q728" t="s">
        <v>438</v>
      </c>
      <c r="R728" t="s">
        <v>493</v>
      </c>
      <c r="S728" t="s">
        <v>442</v>
      </c>
      <c r="T728" t="s">
        <v>3423</v>
      </c>
      <c r="U728" t="s">
        <v>3415</v>
      </c>
      <c r="V728" t="s">
        <v>12</v>
      </c>
      <c r="W728" t="s">
        <v>3422</v>
      </c>
      <c r="X728" t="s">
        <v>3424</v>
      </c>
      <c r="Y728" t="s">
        <v>12</v>
      </c>
      <c r="Z728" t="s">
        <v>12</v>
      </c>
      <c r="AA728" t="s">
        <v>12</v>
      </c>
      <c r="AB728" t="s">
        <v>12</v>
      </c>
      <c r="AC728" t="s">
        <v>12</v>
      </c>
      <c r="AD728" t="s">
        <v>12</v>
      </c>
    </row>
    <row r="729" spans="1:30">
      <c r="A729" t="s">
        <v>491</v>
      </c>
      <c r="B729" t="str">
        <f>Master_Data_Productivity[[#This Row],[Uniq-ID]]&amp;"-"&amp;Master_Data_Productivity[[#This Row],[Period]]</f>
        <v>QC-Quality_Control-012-M3</v>
      </c>
      <c r="C729" t="s">
        <v>492</v>
      </c>
      <c r="D729" t="s">
        <v>76</v>
      </c>
      <c r="E729" t="s">
        <v>22</v>
      </c>
      <c r="F729" t="s">
        <v>23</v>
      </c>
      <c r="G729" t="s">
        <v>15</v>
      </c>
      <c r="H729" t="s">
        <v>12</v>
      </c>
      <c r="J729">
        <v>1.5</v>
      </c>
      <c r="K729" t="s">
        <v>12</v>
      </c>
      <c r="L729" t="s">
        <v>12</v>
      </c>
      <c r="M729" t="s">
        <v>12</v>
      </c>
      <c r="Q729" t="s">
        <v>438</v>
      </c>
      <c r="R729" t="s">
        <v>493</v>
      </c>
      <c r="S729" t="s">
        <v>442</v>
      </c>
      <c r="T729" t="s">
        <v>3425</v>
      </c>
      <c r="U729" t="s">
        <v>3426</v>
      </c>
      <c r="V729" t="s">
        <v>12</v>
      </c>
      <c r="W729" t="s">
        <v>3422</v>
      </c>
      <c r="X729" t="s">
        <v>3427</v>
      </c>
      <c r="Y729" t="s">
        <v>12</v>
      </c>
      <c r="Z729" t="s">
        <v>12</v>
      </c>
      <c r="AA729" t="s">
        <v>12</v>
      </c>
      <c r="AB729" t="s">
        <v>12</v>
      </c>
      <c r="AC729" t="s">
        <v>12</v>
      </c>
      <c r="AD729" t="s">
        <v>12</v>
      </c>
    </row>
    <row r="730" spans="1:30">
      <c r="A730" t="s">
        <v>491</v>
      </c>
      <c r="B730" t="str">
        <f>Master_Data_Productivity[[#This Row],[Uniq-ID]]&amp;"-"&amp;Master_Data_Productivity[[#This Row],[Period]]</f>
        <v>QC-Quality_Control-012-M4</v>
      </c>
      <c r="C730" t="s">
        <v>492</v>
      </c>
      <c r="D730" t="s">
        <v>76</v>
      </c>
      <c r="E730" t="s">
        <v>25</v>
      </c>
      <c r="F730" t="s">
        <v>26</v>
      </c>
      <c r="G730" t="s">
        <v>15</v>
      </c>
      <c r="H730" t="s">
        <v>12</v>
      </c>
      <c r="J730">
        <v>1.5</v>
      </c>
      <c r="K730" t="s">
        <v>12</v>
      </c>
      <c r="L730" t="s">
        <v>12</v>
      </c>
      <c r="M730" t="s">
        <v>12</v>
      </c>
      <c r="Q730" t="s">
        <v>438</v>
      </c>
      <c r="R730" t="s">
        <v>493</v>
      </c>
      <c r="S730" t="s">
        <v>442</v>
      </c>
      <c r="T730" t="s">
        <v>3428</v>
      </c>
      <c r="U730" t="s">
        <v>3429</v>
      </c>
      <c r="V730" t="s">
        <v>12</v>
      </c>
      <c r="W730" t="s">
        <v>3422</v>
      </c>
      <c r="X730" t="s">
        <v>3430</v>
      </c>
      <c r="Y730" t="s">
        <v>12</v>
      </c>
      <c r="Z730" t="s">
        <v>12</v>
      </c>
      <c r="AA730" t="s">
        <v>12</v>
      </c>
      <c r="AB730" t="s">
        <v>12</v>
      </c>
      <c r="AC730" t="s">
        <v>12</v>
      </c>
      <c r="AD730" t="s">
        <v>12</v>
      </c>
    </row>
    <row r="731" spans="1:30">
      <c r="A731" t="s">
        <v>491</v>
      </c>
      <c r="B731" t="str">
        <f>Master_Data_Productivity[[#This Row],[Uniq-ID]]&amp;"-"&amp;Master_Data_Productivity[[#This Row],[Period]]</f>
        <v>QC-Quality_Control-012-M5</v>
      </c>
      <c r="C731" t="s">
        <v>492</v>
      </c>
      <c r="D731" t="s">
        <v>76</v>
      </c>
      <c r="E731" t="s">
        <v>28</v>
      </c>
      <c r="F731" t="s">
        <v>29</v>
      </c>
      <c r="G731" t="s">
        <v>15</v>
      </c>
      <c r="H731" t="s">
        <v>12</v>
      </c>
      <c r="J731">
        <v>1.5</v>
      </c>
      <c r="K731" t="s">
        <v>12</v>
      </c>
      <c r="L731" t="s">
        <v>12</v>
      </c>
      <c r="M731" t="s">
        <v>12</v>
      </c>
      <c r="Q731" t="s">
        <v>438</v>
      </c>
      <c r="R731" t="s">
        <v>493</v>
      </c>
      <c r="S731" t="s">
        <v>442</v>
      </c>
      <c r="T731" t="s">
        <v>3410</v>
      </c>
      <c r="U731" t="s">
        <v>3431</v>
      </c>
      <c r="V731" t="s">
        <v>12</v>
      </c>
      <c r="W731" t="s">
        <v>3422</v>
      </c>
      <c r="X731" t="s">
        <v>3432</v>
      </c>
      <c r="Y731" t="s">
        <v>12</v>
      </c>
      <c r="Z731" t="s">
        <v>12</v>
      </c>
      <c r="AA731" t="s">
        <v>12</v>
      </c>
      <c r="AB731" t="s">
        <v>12</v>
      </c>
      <c r="AC731" t="s">
        <v>12</v>
      </c>
      <c r="AD731" t="s">
        <v>12</v>
      </c>
    </row>
    <row r="732" spans="1:30">
      <c r="A732" t="s">
        <v>491</v>
      </c>
      <c r="B732" t="str">
        <f>Master_Data_Productivity[[#This Row],[Uniq-ID]]&amp;"-"&amp;Master_Data_Productivity[[#This Row],[Period]]</f>
        <v>QC-Quality_Control-012-M6</v>
      </c>
      <c r="C732" t="s">
        <v>492</v>
      </c>
      <c r="D732" t="s">
        <v>76</v>
      </c>
      <c r="E732" t="s">
        <v>31</v>
      </c>
      <c r="F732" t="s">
        <v>32</v>
      </c>
      <c r="G732" t="s">
        <v>33</v>
      </c>
      <c r="H732" t="s">
        <v>12</v>
      </c>
      <c r="J732">
        <v>0.5</v>
      </c>
      <c r="K732" t="s">
        <v>12</v>
      </c>
      <c r="L732" t="s">
        <v>12</v>
      </c>
      <c r="M732" t="s">
        <v>12</v>
      </c>
      <c r="Q732" t="s">
        <v>438</v>
      </c>
      <c r="R732" t="s">
        <v>493</v>
      </c>
      <c r="S732" t="s">
        <v>443</v>
      </c>
      <c r="T732" t="s">
        <v>3418</v>
      </c>
      <c r="U732" t="s">
        <v>3433</v>
      </c>
      <c r="V732" t="s">
        <v>12</v>
      </c>
      <c r="W732" t="s">
        <v>3422</v>
      </c>
      <c r="X732" t="s">
        <v>3434</v>
      </c>
      <c r="Y732" t="s">
        <v>12</v>
      </c>
      <c r="Z732" t="s">
        <v>12</v>
      </c>
      <c r="AA732" t="s">
        <v>12</v>
      </c>
      <c r="AB732" t="s">
        <v>12</v>
      </c>
      <c r="AC732" t="s">
        <v>12</v>
      </c>
      <c r="AD732" t="s">
        <v>12</v>
      </c>
    </row>
    <row r="733" spans="1:30">
      <c r="A733" t="s">
        <v>453</v>
      </c>
      <c r="B733" t="str">
        <f>Master_Data_Productivity[[#This Row],[Uniq-ID]]&amp;"-"&amp;Master_Data_Productivity[[#This Row],[Period]]</f>
        <v>QC-Quality_Control-034-M1</v>
      </c>
      <c r="C733" t="s">
        <v>454</v>
      </c>
      <c r="D733" t="s">
        <v>250</v>
      </c>
      <c r="E733" t="s">
        <v>13</v>
      </c>
      <c r="F733" t="s">
        <v>26</v>
      </c>
      <c r="G733" t="s">
        <v>15</v>
      </c>
      <c r="H733" t="s">
        <v>12</v>
      </c>
      <c r="J733">
        <v>1.5</v>
      </c>
      <c r="K733" t="s">
        <v>12</v>
      </c>
      <c r="L733" t="s">
        <v>12</v>
      </c>
      <c r="M733" t="s">
        <v>12</v>
      </c>
      <c r="Q733" t="s">
        <v>438</v>
      </c>
      <c r="R733" t="s">
        <v>446</v>
      </c>
      <c r="S733" t="s">
        <v>442</v>
      </c>
      <c r="T733" t="s">
        <v>3435</v>
      </c>
      <c r="U733" t="s">
        <v>12</v>
      </c>
      <c r="V733" t="s">
        <v>12</v>
      </c>
      <c r="W733" t="s">
        <v>3407</v>
      </c>
      <c r="X733" t="s">
        <v>3435</v>
      </c>
      <c r="Y733" t="s">
        <v>12</v>
      </c>
      <c r="Z733" t="s">
        <v>12</v>
      </c>
      <c r="AA733" t="s">
        <v>12</v>
      </c>
      <c r="AB733" t="s">
        <v>12</v>
      </c>
      <c r="AC733" t="s">
        <v>12</v>
      </c>
      <c r="AD733" t="s">
        <v>12</v>
      </c>
    </row>
    <row r="734" spans="1:30">
      <c r="A734" t="s">
        <v>453</v>
      </c>
      <c r="B734" t="str">
        <f>Master_Data_Productivity[[#This Row],[Uniq-ID]]&amp;"-"&amp;Master_Data_Productivity[[#This Row],[Period]]</f>
        <v>QC-Quality_Control-034-M2</v>
      </c>
      <c r="C734" t="s">
        <v>454</v>
      </c>
      <c r="D734" t="s">
        <v>250</v>
      </c>
      <c r="E734" t="s">
        <v>18</v>
      </c>
      <c r="F734" t="s">
        <v>29</v>
      </c>
      <c r="G734" t="s">
        <v>15</v>
      </c>
      <c r="H734" t="s">
        <v>12</v>
      </c>
      <c r="J734">
        <v>1.5</v>
      </c>
      <c r="K734" t="s">
        <v>12</v>
      </c>
      <c r="L734" t="s">
        <v>12</v>
      </c>
      <c r="M734" t="s">
        <v>12</v>
      </c>
      <c r="Q734" t="s">
        <v>438</v>
      </c>
      <c r="R734" t="s">
        <v>446</v>
      </c>
      <c r="S734" t="s">
        <v>442</v>
      </c>
      <c r="T734" t="s">
        <v>3436</v>
      </c>
      <c r="U734" t="s">
        <v>12</v>
      </c>
      <c r="V734" t="s">
        <v>3437</v>
      </c>
      <c r="W734" t="s">
        <v>3407</v>
      </c>
      <c r="X734" t="s">
        <v>3438</v>
      </c>
      <c r="Y734" t="s">
        <v>12</v>
      </c>
      <c r="Z734" t="s">
        <v>12</v>
      </c>
      <c r="AA734" t="s">
        <v>12</v>
      </c>
      <c r="AB734" t="s">
        <v>12</v>
      </c>
      <c r="AC734" t="s">
        <v>12</v>
      </c>
      <c r="AD734" t="s">
        <v>12</v>
      </c>
    </row>
    <row r="735" spans="1:30">
      <c r="A735" t="s">
        <v>453</v>
      </c>
      <c r="B735" t="str">
        <f>Master_Data_Productivity[[#This Row],[Uniq-ID]]&amp;"-"&amp;Master_Data_Productivity[[#This Row],[Period]]</f>
        <v>QC-Quality_Control-034-M3</v>
      </c>
      <c r="C735" t="s">
        <v>454</v>
      </c>
      <c r="D735" t="s">
        <v>250</v>
      </c>
      <c r="E735" t="s">
        <v>22</v>
      </c>
      <c r="F735" t="s">
        <v>32</v>
      </c>
      <c r="G735" t="s">
        <v>33</v>
      </c>
      <c r="H735" t="s">
        <v>12</v>
      </c>
      <c r="J735">
        <v>0.5</v>
      </c>
      <c r="K735" t="s">
        <v>12</v>
      </c>
      <c r="L735" t="s">
        <v>12</v>
      </c>
      <c r="M735" t="s">
        <v>12</v>
      </c>
      <c r="Q735" t="s">
        <v>438</v>
      </c>
      <c r="R735" t="s">
        <v>446</v>
      </c>
      <c r="S735" t="s">
        <v>443</v>
      </c>
      <c r="T735" t="s">
        <v>3439</v>
      </c>
      <c r="U735" t="s">
        <v>12</v>
      </c>
      <c r="V735" t="s">
        <v>12</v>
      </c>
      <c r="W735" t="s">
        <v>3407</v>
      </c>
      <c r="X735" t="s">
        <v>3439</v>
      </c>
      <c r="Y735" t="s">
        <v>12</v>
      </c>
      <c r="Z735" t="s">
        <v>12</v>
      </c>
      <c r="AA735" t="s">
        <v>12</v>
      </c>
      <c r="AB735" t="s">
        <v>12</v>
      </c>
      <c r="AC735" t="s">
        <v>12</v>
      </c>
      <c r="AD735" t="s">
        <v>12</v>
      </c>
    </row>
    <row r="736" spans="1:30">
      <c r="A736" t="s">
        <v>466</v>
      </c>
      <c r="B736" t="str">
        <f>Master_Data_Productivity[[#This Row],[Uniq-ID]]&amp;"-"&amp;Master_Data_Productivity[[#This Row],[Period]]</f>
        <v>QC-Quality_Control-015-M1</v>
      </c>
      <c r="C736" t="s">
        <v>467</v>
      </c>
      <c r="D736" t="s">
        <v>11</v>
      </c>
      <c r="E736" t="s">
        <v>13</v>
      </c>
      <c r="F736" t="s">
        <v>14</v>
      </c>
      <c r="G736" t="s">
        <v>15</v>
      </c>
      <c r="H736" t="s">
        <v>12</v>
      </c>
      <c r="J736">
        <v>1.33</v>
      </c>
      <c r="K736" t="s">
        <v>12</v>
      </c>
      <c r="L736" t="s">
        <v>12</v>
      </c>
      <c r="M736" t="s">
        <v>12</v>
      </c>
      <c r="Q736" t="s">
        <v>438</v>
      </c>
      <c r="R736" t="s">
        <v>468</v>
      </c>
      <c r="S736" t="s">
        <v>442</v>
      </c>
      <c r="T736" t="s">
        <v>3408</v>
      </c>
      <c r="U736" t="s">
        <v>3440</v>
      </c>
      <c r="V736" t="s">
        <v>12</v>
      </c>
      <c r="W736" t="s">
        <v>3407</v>
      </c>
      <c r="X736" t="s">
        <v>3441</v>
      </c>
      <c r="Y736" t="s">
        <v>12</v>
      </c>
      <c r="Z736" t="s">
        <v>12</v>
      </c>
      <c r="AA736" t="s">
        <v>12</v>
      </c>
      <c r="AB736" t="s">
        <v>12</v>
      </c>
      <c r="AC736" t="s">
        <v>12</v>
      </c>
      <c r="AD736" t="s">
        <v>12</v>
      </c>
    </row>
    <row r="737" spans="1:30">
      <c r="A737" t="s">
        <v>466</v>
      </c>
      <c r="B737" t="str">
        <f>Master_Data_Productivity[[#This Row],[Uniq-ID]]&amp;"-"&amp;Master_Data_Productivity[[#This Row],[Period]]</f>
        <v>QC-Quality_Control-015-M2</v>
      </c>
      <c r="C737" t="s">
        <v>467</v>
      </c>
      <c r="D737" t="s">
        <v>11</v>
      </c>
      <c r="E737" t="s">
        <v>18</v>
      </c>
      <c r="F737" t="s">
        <v>19</v>
      </c>
      <c r="G737" t="s">
        <v>15</v>
      </c>
      <c r="H737" t="s">
        <v>12</v>
      </c>
      <c r="J737">
        <v>1.5</v>
      </c>
      <c r="K737" t="s">
        <v>12</v>
      </c>
      <c r="L737" t="s">
        <v>12</v>
      </c>
      <c r="M737" t="s">
        <v>12</v>
      </c>
      <c r="Q737" t="s">
        <v>438</v>
      </c>
      <c r="R737" t="s">
        <v>468</v>
      </c>
      <c r="S737" t="s">
        <v>442</v>
      </c>
      <c r="T737" t="s">
        <v>3442</v>
      </c>
      <c r="U737" t="s">
        <v>3443</v>
      </c>
      <c r="V737" t="s">
        <v>3437</v>
      </c>
      <c r="W737" t="s">
        <v>3407</v>
      </c>
      <c r="X737" t="s">
        <v>3435</v>
      </c>
      <c r="Y737" t="s">
        <v>12</v>
      </c>
      <c r="Z737" t="s">
        <v>12</v>
      </c>
      <c r="AA737" t="s">
        <v>12</v>
      </c>
      <c r="AB737" t="s">
        <v>12</v>
      </c>
      <c r="AC737" t="s">
        <v>12</v>
      </c>
      <c r="AD737" t="s">
        <v>12</v>
      </c>
    </row>
    <row r="738" spans="1:30">
      <c r="A738" t="s">
        <v>466</v>
      </c>
      <c r="B738" t="str">
        <f>Master_Data_Productivity[[#This Row],[Uniq-ID]]&amp;"-"&amp;Master_Data_Productivity[[#This Row],[Period]]</f>
        <v>QC-Quality_Control-015-M3</v>
      </c>
      <c r="C738" t="s">
        <v>467</v>
      </c>
      <c r="D738" t="s">
        <v>11</v>
      </c>
      <c r="E738" t="s">
        <v>22</v>
      </c>
      <c r="F738" t="s">
        <v>23</v>
      </c>
      <c r="G738" t="s">
        <v>15</v>
      </c>
      <c r="H738" t="s">
        <v>12</v>
      </c>
      <c r="J738">
        <v>1.5</v>
      </c>
      <c r="K738" t="s">
        <v>12</v>
      </c>
      <c r="L738" t="s">
        <v>12</v>
      </c>
      <c r="M738" t="s">
        <v>12</v>
      </c>
      <c r="Q738" t="s">
        <v>438</v>
      </c>
      <c r="R738" t="s">
        <v>468</v>
      </c>
      <c r="S738" t="s">
        <v>442</v>
      </c>
      <c r="T738" t="s">
        <v>3428</v>
      </c>
      <c r="U738" t="s">
        <v>3439</v>
      </c>
      <c r="V738" t="s">
        <v>3437</v>
      </c>
      <c r="W738" t="s">
        <v>3407</v>
      </c>
      <c r="X738" t="s">
        <v>3444</v>
      </c>
      <c r="Y738" t="s">
        <v>12</v>
      </c>
      <c r="Z738" t="s">
        <v>12</v>
      </c>
      <c r="AA738" t="s">
        <v>12</v>
      </c>
      <c r="AB738" t="s">
        <v>12</v>
      </c>
      <c r="AC738" t="s">
        <v>12</v>
      </c>
      <c r="AD738" t="s">
        <v>12</v>
      </c>
    </row>
    <row r="739" spans="1:30">
      <c r="A739" t="s">
        <v>466</v>
      </c>
      <c r="B739" t="str">
        <f>Master_Data_Productivity[[#This Row],[Uniq-ID]]&amp;"-"&amp;Master_Data_Productivity[[#This Row],[Period]]</f>
        <v>QC-Quality_Control-015-M4</v>
      </c>
      <c r="C739" t="s">
        <v>467</v>
      </c>
      <c r="D739" t="s">
        <v>11</v>
      </c>
      <c r="E739" t="s">
        <v>25</v>
      </c>
      <c r="F739" t="s">
        <v>26</v>
      </c>
      <c r="G739" t="s">
        <v>15</v>
      </c>
      <c r="H739" t="s">
        <v>12</v>
      </c>
      <c r="J739">
        <v>1.5</v>
      </c>
      <c r="K739" t="s">
        <v>12</v>
      </c>
      <c r="L739" t="s">
        <v>12</v>
      </c>
      <c r="M739" t="s">
        <v>12</v>
      </c>
      <c r="Q739" t="s">
        <v>438</v>
      </c>
      <c r="R739" t="s">
        <v>468</v>
      </c>
      <c r="S739" t="s">
        <v>442</v>
      </c>
      <c r="T739" t="s">
        <v>3445</v>
      </c>
      <c r="U739" t="s">
        <v>3415</v>
      </c>
      <c r="V739" t="s">
        <v>3415</v>
      </c>
      <c r="W739" t="s">
        <v>3407</v>
      </c>
      <c r="X739" t="s">
        <v>3446</v>
      </c>
      <c r="Y739" t="s">
        <v>12</v>
      </c>
      <c r="Z739" t="s">
        <v>12</v>
      </c>
      <c r="AA739" t="s">
        <v>12</v>
      </c>
      <c r="AB739" t="s">
        <v>12</v>
      </c>
      <c r="AC739" t="s">
        <v>12</v>
      </c>
      <c r="AD739" t="s">
        <v>12</v>
      </c>
    </row>
    <row r="740" spans="1:30">
      <c r="A740" t="s">
        <v>466</v>
      </c>
      <c r="B740" t="str">
        <f>Master_Data_Productivity[[#This Row],[Uniq-ID]]&amp;"-"&amp;Master_Data_Productivity[[#This Row],[Period]]</f>
        <v>QC-Quality_Control-015-M5</v>
      </c>
      <c r="C740" t="s">
        <v>467</v>
      </c>
      <c r="D740" t="s">
        <v>11</v>
      </c>
      <c r="E740" t="s">
        <v>28</v>
      </c>
      <c r="F740" t="s">
        <v>29</v>
      </c>
      <c r="G740" t="s">
        <v>15</v>
      </c>
      <c r="H740" t="s">
        <v>12</v>
      </c>
      <c r="J740">
        <v>1.5</v>
      </c>
      <c r="K740" t="s">
        <v>12</v>
      </c>
      <c r="L740" t="s">
        <v>12</v>
      </c>
      <c r="M740" t="s">
        <v>12</v>
      </c>
      <c r="Q740" t="s">
        <v>438</v>
      </c>
      <c r="R740" t="s">
        <v>468</v>
      </c>
      <c r="S740" t="s">
        <v>442</v>
      </c>
      <c r="T740" t="s">
        <v>3445</v>
      </c>
      <c r="U740" t="s">
        <v>3437</v>
      </c>
      <c r="V740" t="s">
        <v>3415</v>
      </c>
      <c r="W740" t="s">
        <v>3407</v>
      </c>
      <c r="X740" t="s">
        <v>3428</v>
      </c>
      <c r="Y740" t="s">
        <v>12</v>
      </c>
      <c r="Z740" t="s">
        <v>12</v>
      </c>
      <c r="AA740" t="s">
        <v>12</v>
      </c>
      <c r="AB740" t="s">
        <v>12</v>
      </c>
      <c r="AC740" t="s">
        <v>12</v>
      </c>
      <c r="AD740" t="s">
        <v>12</v>
      </c>
    </row>
    <row r="741" spans="1:30">
      <c r="A741" t="s">
        <v>466</v>
      </c>
      <c r="B741" t="str">
        <f>Master_Data_Productivity[[#This Row],[Uniq-ID]]&amp;"-"&amp;Master_Data_Productivity[[#This Row],[Period]]</f>
        <v>QC-Quality_Control-015-M6</v>
      </c>
      <c r="C741" t="s">
        <v>467</v>
      </c>
      <c r="D741" t="s">
        <v>11</v>
      </c>
      <c r="E741" t="s">
        <v>31</v>
      </c>
      <c r="F741" t="s">
        <v>32</v>
      </c>
      <c r="G741" t="s">
        <v>33</v>
      </c>
      <c r="H741" t="s">
        <v>12</v>
      </c>
      <c r="J741">
        <v>0.5</v>
      </c>
      <c r="K741" t="s">
        <v>12</v>
      </c>
      <c r="L741" t="s">
        <v>12</v>
      </c>
      <c r="M741" t="s">
        <v>12</v>
      </c>
      <c r="Q741" t="s">
        <v>438</v>
      </c>
      <c r="R741" t="s">
        <v>468</v>
      </c>
      <c r="S741" t="s">
        <v>443</v>
      </c>
      <c r="T741" t="s">
        <v>3418</v>
      </c>
      <c r="U741" t="s">
        <v>3418</v>
      </c>
      <c r="V741" t="s">
        <v>3418</v>
      </c>
      <c r="W741" t="s">
        <v>3407</v>
      </c>
      <c r="X741" t="s">
        <v>3447</v>
      </c>
      <c r="Y741" t="s">
        <v>12</v>
      </c>
      <c r="Z741" t="s">
        <v>12</v>
      </c>
      <c r="AA741" t="s">
        <v>12</v>
      </c>
      <c r="AB741" t="s">
        <v>12</v>
      </c>
      <c r="AC741" t="s">
        <v>12</v>
      </c>
      <c r="AD741" t="s">
        <v>12</v>
      </c>
    </row>
    <row r="742" spans="1:30">
      <c r="A742" t="s">
        <v>462</v>
      </c>
      <c r="B742" t="str">
        <f>Master_Data_Productivity[[#This Row],[Uniq-ID]]&amp;"-"&amp;Master_Data_Productivity[[#This Row],[Period]]</f>
        <v>QC-Quality_Control-031-M1</v>
      </c>
      <c r="C742" t="s">
        <v>463</v>
      </c>
      <c r="D742" t="s">
        <v>112</v>
      </c>
      <c r="E742" t="s">
        <v>13</v>
      </c>
      <c r="F742" t="s">
        <v>464</v>
      </c>
      <c r="G742" t="s">
        <v>15</v>
      </c>
      <c r="H742" t="s">
        <v>12</v>
      </c>
      <c r="J742">
        <v>1.2</v>
      </c>
      <c r="K742" t="s">
        <v>12</v>
      </c>
      <c r="L742" t="s">
        <v>12</v>
      </c>
      <c r="M742" t="s">
        <v>12</v>
      </c>
      <c r="Q742" t="s">
        <v>438</v>
      </c>
      <c r="R742" t="s">
        <v>446</v>
      </c>
      <c r="S742" t="s">
        <v>442</v>
      </c>
      <c r="T742" t="s">
        <v>3410</v>
      </c>
      <c r="U742" t="s">
        <v>12</v>
      </c>
      <c r="V742" t="s">
        <v>12</v>
      </c>
      <c r="W742" t="s">
        <v>3407</v>
      </c>
      <c r="X742" t="s">
        <v>3410</v>
      </c>
      <c r="Y742" t="s">
        <v>12</v>
      </c>
      <c r="Z742" t="s">
        <v>12</v>
      </c>
      <c r="AA742" t="s">
        <v>12</v>
      </c>
      <c r="AB742" t="s">
        <v>12</v>
      </c>
      <c r="AC742" t="s">
        <v>12</v>
      </c>
      <c r="AD742" t="s">
        <v>12</v>
      </c>
    </row>
    <row r="743" spans="1:30">
      <c r="A743" t="s">
        <v>462</v>
      </c>
      <c r="B743" t="str">
        <f>Master_Data_Productivity[[#This Row],[Uniq-ID]]&amp;"-"&amp;Master_Data_Productivity[[#This Row],[Period]]</f>
        <v>QC-Quality_Control-031-M2</v>
      </c>
      <c r="C743" t="s">
        <v>463</v>
      </c>
      <c r="D743" t="s">
        <v>112</v>
      </c>
      <c r="E743" t="s">
        <v>18</v>
      </c>
      <c r="F743" t="s">
        <v>465</v>
      </c>
      <c r="G743" t="s">
        <v>33</v>
      </c>
      <c r="H743" t="s">
        <v>12</v>
      </c>
      <c r="J743">
        <v>1.2</v>
      </c>
      <c r="K743" t="s">
        <v>12</v>
      </c>
      <c r="L743" t="s">
        <v>12</v>
      </c>
      <c r="M743" t="s">
        <v>12</v>
      </c>
      <c r="Q743" t="s">
        <v>438</v>
      </c>
      <c r="R743" t="s">
        <v>446</v>
      </c>
      <c r="S743" t="s">
        <v>442</v>
      </c>
      <c r="T743" t="s">
        <v>3410</v>
      </c>
      <c r="U743" t="s">
        <v>12</v>
      </c>
      <c r="V743" t="s">
        <v>12</v>
      </c>
      <c r="W743" t="s">
        <v>3407</v>
      </c>
      <c r="X743" t="s">
        <v>3410</v>
      </c>
      <c r="Y743" t="s">
        <v>12</v>
      </c>
      <c r="Z743" t="s">
        <v>12</v>
      </c>
      <c r="AA743" t="s">
        <v>12</v>
      </c>
      <c r="AB743" t="s">
        <v>12</v>
      </c>
      <c r="AC743" t="s">
        <v>12</v>
      </c>
      <c r="AD743" t="s">
        <v>12</v>
      </c>
    </row>
    <row r="744" spans="1:30">
      <c r="A744" t="s">
        <v>462</v>
      </c>
      <c r="B744" t="str">
        <f>Master_Data_Productivity[[#This Row],[Uniq-ID]]&amp;"-"&amp;Master_Data_Productivity[[#This Row],[Period]]</f>
        <v>QC-Quality_Control-031-M3</v>
      </c>
      <c r="C744" t="s">
        <v>463</v>
      </c>
      <c r="D744" t="s">
        <v>112</v>
      </c>
      <c r="E744" t="s">
        <v>22</v>
      </c>
      <c r="F744" t="s">
        <v>3448</v>
      </c>
      <c r="G744" t="s">
        <v>225</v>
      </c>
      <c r="H744" t="s">
        <v>12</v>
      </c>
      <c r="K744" t="s">
        <v>12</v>
      </c>
      <c r="L744" t="s">
        <v>12</v>
      </c>
      <c r="M744" t="s">
        <v>12</v>
      </c>
      <c r="Q744" t="s">
        <v>438</v>
      </c>
      <c r="R744" t="s">
        <v>446</v>
      </c>
      <c r="S744" t="s">
        <v>443</v>
      </c>
      <c r="T744" t="s">
        <v>12</v>
      </c>
      <c r="U744" t="s">
        <v>12</v>
      </c>
      <c r="V744" t="s">
        <v>12</v>
      </c>
      <c r="W744" t="s">
        <v>3407</v>
      </c>
      <c r="X744" t="s">
        <v>12</v>
      </c>
      <c r="Y744" t="s">
        <v>12</v>
      </c>
      <c r="Z744" t="s">
        <v>12</v>
      </c>
      <c r="AA744" t="s">
        <v>12</v>
      </c>
      <c r="AB744" t="s">
        <v>12</v>
      </c>
      <c r="AC744" t="s">
        <v>12</v>
      </c>
      <c r="AD744" t="s">
        <v>12</v>
      </c>
    </row>
    <row r="745" spans="1:30">
      <c r="A745" t="s">
        <v>471</v>
      </c>
      <c r="B745" t="str">
        <f>Master_Data_Productivity[[#This Row],[Uniq-ID]]&amp;"-"&amp;Master_Data_Productivity[[#This Row],[Period]]</f>
        <v>QC-Quality_Control-016-M1</v>
      </c>
      <c r="C745" t="s">
        <v>472</v>
      </c>
      <c r="D745" t="s">
        <v>48</v>
      </c>
      <c r="E745" t="s">
        <v>13</v>
      </c>
      <c r="F745" t="s">
        <v>14</v>
      </c>
      <c r="G745" t="s">
        <v>15</v>
      </c>
      <c r="H745" t="s">
        <v>12</v>
      </c>
      <c r="J745">
        <v>1.5</v>
      </c>
      <c r="K745" t="s">
        <v>12</v>
      </c>
      <c r="L745" t="s">
        <v>12</v>
      </c>
      <c r="M745" t="s">
        <v>12</v>
      </c>
      <c r="Q745" t="s">
        <v>438</v>
      </c>
      <c r="R745" t="s">
        <v>468</v>
      </c>
      <c r="S745" t="s">
        <v>442</v>
      </c>
      <c r="T745" t="s">
        <v>3410</v>
      </c>
      <c r="U745" t="s">
        <v>3449</v>
      </c>
      <c r="V745" t="s">
        <v>3418</v>
      </c>
      <c r="W745" t="s">
        <v>3407</v>
      </c>
      <c r="X745" t="s">
        <v>3450</v>
      </c>
      <c r="Y745" t="s">
        <v>12</v>
      </c>
      <c r="Z745" t="s">
        <v>12</v>
      </c>
      <c r="AA745" t="s">
        <v>12</v>
      </c>
      <c r="AB745" t="s">
        <v>12</v>
      </c>
      <c r="AC745" t="s">
        <v>12</v>
      </c>
      <c r="AD745" t="s">
        <v>12</v>
      </c>
    </row>
    <row r="746" spans="1:30">
      <c r="A746" t="s">
        <v>471</v>
      </c>
      <c r="B746" t="str">
        <f>Master_Data_Productivity[[#This Row],[Uniq-ID]]&amp;"-"&amp;Master_Data_Productivity[[#This Row],[Period]]</f>
        <v>QC-Quality_Control-016-M2</v>
      </c>
      <c r="C746" t="s">
        <v>472</v>
      </c>
      <c r="D746" t="s">
        <v>48</v>
      </c>
      <c r="E746" t="s">
        <v>18</v>
      </c>
      <c r="F746" t="s">
        <v>19</v>
      </c>
      <c r="G746" t="s">
        <v>15</v>
      </c>
      <c r="H746" t="s">
        <v>12</v>
      </c>
      <c r="J746">
        <v>1.5</v>
      </c>
      <c r="K746" t="s">
        <v>12</v>
      </c>
      <c r="L746" t="s">
        <v>12</v>
      </c>
      <c r="M746" t="s">
        <v>12</v>
      </c>
      <c r="Q746" t="s">
        <v>438</v>
      </c>
      <c r="R746" t="s">
        <v>468</v>
      </c>
      <c r="S746" t="s">
        <v>442</v>
      </c>
      <c r="T746" t="s">
        <v>3436</v>
      </c>
      <c r="U746" t="s">
        <v>3429</v>
      </c>
      <c r="V746" t="s">
        <v>3447</v>
      </c>
      <c r="W746" t="s">
        <v>3407</v>
      </c>
      <c r="X746" t="s">
        <v>3451</v>
      </c>
      <c r="Y746" t="s">
        <v>12</v>
      </c>
      <c r="Z746" t="s">
        <v>12</v>
      </c>
      <c r="AA746" t="s">
        <v>12</v>
      </c>
      <c r="AB746" t="s">
        <v>12</v>
      </c>
      <c r="AC746" t="s">
        <v>12</v>
      </c>
      <c r="AD746" t="s">
        <v>12</v>
      </c>
    </row>
    <row r="747" spans="1:30">
      <c r="A747" t="s">
        <v>471</v>
      </c>
      <c r="B747" t="str">
        <f>Master_Data_Productivity[[#This Row],[Uniq-ID]]&amp;"-"&amp;Master_Data_Productivity[[#This Row],[Period]]</f>
        <v>QC-Quality_Control-016-M3</v>
      </c>
      <c r="C747" t="s">
        <v>472</v>
      </c>
      <c r="D747" t="s">
        <v>48</v>
      </c>
      <c r="E747" t="s">
        <v>22</v>
      </c>
      <c r="F747" t="s">
        <v>23</v>
      </c>
      <c r="G747" t="s">
        <v>15</v>
      </c>
      <c r="H747" t="s">
        <v>12</v>
      </c>
      <c r="J747">
        <v>1.5</v>
      </c>
      <c r="K747" t="s">
        <v>12</v>
      </c>
      <c r="L747" t="s">
        <v>12</v>
      </c>
      <c r="M747" t="s">
        <v>12</v>
      </c>
      <c r="Q747" t="s">
        <v>438</v>
      </c>
      <c r="R747" t="s">
        <v>468</v>
      </c>
      <c r="S747" t="s">
        <v>442</v>
      </c>
      <c r="T747" t="s">
        <v>3452</v>
      </c>
      <c r="U747" t="s">
        <v>3453</v>
      </c>
      <c r="V747" t="s">
        <v>3411</v>
      </c>
      <c r="W747" t="s">
        <v>3407</v>
      </c>
      <c r="X747" t="s">
        <v>3454</v>
      </c>
      <c r="Y747" t="s">
        <v>12</v>
      </c>
      <c r="Z747" t="s">
        <v>12</v>
      </c>
      <c r="AA747" t="s">
        <v>12</v>
      </c>
      <c r="AB747" t="s">
        <v>12</v>
      </c>
      <c r="AC747" t="s">
        <v>12</v>
      </c>
      <c r="AD747" t="s">
        <v>12</v>
      </c>
    </row>
    <row r="748" spans="1:30">
      <c r="A748" t="s">
        <v>471</v>
      </c>
      <c r="B748" t="str">
        <f>Master_Data_Productivity[[#This Row],[Uniq-ID]]&amp;"-"&amp;Master_Data_Productivity[[#This Row],[Period]]</f>
        <v>QC-Quality_Control-016-M4</v>
      </c>
      <c r="C748" t="s">
        <v>472</v>
      </c>
      <c r="D748" t="s">
        <v>48</v>
      </c>
      <c r="E748" t="s">
        <v>25</v>
      </c>
      <c r="F748" t="s">
        <v>26</v>
      </c>
      <c r="G748" t="s">
        <v>15</v>
      </c>
      <c r="H748" t="s">
        <v>12</v>
      </c>
      <c r="J748">
        <v>1.5</v>
      </c>
      <c r="K748" t="s">
        <v>12</v>
      </c>
      <c r="L748" t="s">
        <v>12</v>
      </c>
      <c r="M748" t="s">
        <v>12</v>
      </c>
      <c r="Q748" t="s">
        <v>438</v>
      </c>
      <c r="R748" t="s">
        <v>468</v>
      </c>
      <c r="S748" t="s">
        <v>442</v>
      </c>
      <c r="T748" t="s">
        <v>3428</v>
      </c>
      <c r="U748" t="s">
        <v>3455</v>
      </c>
      <c r="V748" t="s">
        <v>3439</v>
      </c>
      <c r="W748" t="s">
        <v>3407</v>
      </c>
      <c r="X748" t="s">
        <v>3427</v>
      </c>
      <c r="Y748" t="s">
        <v>12</v>
      </c>
      <c r="Z748" t="s">
        <v>12</v>
      </c>
      <c r="AA748" t="s">
        <v>12</v>
      </c>
      <c r="AB748" t="s">
        <v>12</v>
      </c>
      <c r="AC748" t="s">
        <v>12</v>
      </c>
      <c r="AD748" t="s">
        <v>12</v>
      </c>
    </row>
    <row r="749" spans="1:30">
      <c r="A749" t="s">
        <v>471</v>
      </c>
      <c r="B749" t="str">
        <f>Master_Data_Productivity[[#This Row],[Uniq-ID]]&amp;"-"&amp;Master_Data_Productivity[[#This Row],[Period]]</f>
        <v>QC-Quality_Control-016-M5</v>
      </c>
      <c r="C749" t="s">
        <v>472</v>
      </c>
      <c r="D749" t="s">
        <v>48</v>
      </c>
      <c r="E749" t="s">
        <v>28</v>
      </c>
      <c r="F749" t="s">
        <v>29</v>
      </c>
      <c r="G749" t="s">
        <v>15</v>
      </c>
      <c r="H749" t="s">
        <v>12</v>
      </c>
      <c r="J749">
        <v>1.5</v>
      </c>
      <c r="K749" t="s">
        <v>12</v>
      </c>
      <c r="L749" t="s">
        <v>12</v>
      </c>
      <c r="M749" t="s">
        <v>12</v>
      </c>
      <c r="Q749" t="s">
        <v>438</v>
      </c>
      <c r="R749" t="s">
        <v>468</v>
      </c>
      <c r="S749" t="s">
        <v>442</v>
      </c>
      <c r="T749" t="s">
        <v>3428</v>
      </c>
      <c r="U749" t="s">
        <v>3455</v>
      </c>
      <c r="V749" t="s">
        <v>3415</v>
      </c>
      <c r="W749" t="s">
        <v>3407</v>
      </c>
      <c r="X749" t="s">
        <v>3456</v>
      </c>
      <c r="Y749" t="s">
        <v>12</v>
      </c>
      <c r="Z749" t="s">
        <v>12</v>
      </c>
      <c r="AA749" t="s">
        <v>12</v>
      </c>
      <c r="AB749" t="s">
        <v>12</v>
      </c>
      <c r="AC749" t="s">
        <v>12</v>
      </c>
      <c r="AD749" t="s">
        <v>12</v>
      </c>
    </row>
    <row r="750" spans="1:30">
      <c r="A750" t="s">
        <v>471</v>
      </c>
      <c r="B750" t="str">
        <f>Master_Data_Productivity[[#This Row],[Uniq-ID]]&amp;"-"&amp;Master_Data_Productivity[[#This Row],[Period]]</f>
        <v>QC-Quality_Control-016-M6</v>
      </c>
      <c r="C750" t="s">
        <v>472</v>
      </c>
      <c r="D750" t="s">
        <v>48</v>
      </c>
      <c r="E750" t="s">
        <v>31</v>
      </c>
      <c r="F750" t="s">
        <v>32</v>
      </c>
      <c r="G750" t="s">
        <v>33</v>
      </c>
      <c r="H750" t="s">
        <v>12</v>
      </c>
      <c r="J750">
        <v>0.5</v>
      </c>
      <c r="K750" t="s">
        <v>12</v>
      </c>
      <c r="L750" t="s">
        <v>12</v>
      </c>
      <c r="M750" t="s">
        <v>12</v>
      </c>
      <c r="Q750" t="s">
        <v>438</v>
      </c>
      <c r="R750" t="s">
        <v>468</v>
      </c>
      <c r="S750" t="s">
        <v>443</v>
      </c>
      <c r="T750" t="s">
        <v>3439</v>
      </c>
      <c r="U750" t="s">
        <v>3457</v>
      </c>
      <c r="V750" t="s">
        <v>3418</v>
      </c>
      <c r="W750" t="s">
        <v>3407</v>
      </c>
      <c r="X750" t="s">
        <v>3458</v>
      </c>
      <c r="Y750" t="s">
        <v>12</v>
      </c>
      <c r="Z750" t="s">
        <v>12</v>
      </c>
      <c r="AA750" t="s">
        <v>12</v>
      </c>
      <c r="AB750" t="s">
        <v>12</v>
      </c>
      <c r="AC750" t="s">
        <v>12</v>
      </c>
      <c r="AD750" t="s">
        <v>12</v>
      </c>
    </row>
    <row r="751" spans="1:30">
      <c r="A751" t="s">
        <v>469</v>
      </c>
      <c r="B751" t="str">
        <f>Master_Data_Productivity[[#This Row],[Uniq-ID]]&amp;"-"&amp;Master_Data_Productivity[[#This Row],[Period]]</f>
        <v>QC-Quality_Control-006-M1</v>
      </c>
      <c r="C751" t="s">
        <v>470</v>
      </c>
      <c r="D751" t="s">
        <v>76</v>
      </c>
      <c r="E751" t="s">
        <v>13</v>
      </c>
      <c r="F751" t="s">
        <v>332</v>
      </c>
      <c r="G751" t="s">
        <v>15</v>
      </c>
      <c r="H751" t="s">
        <v>12</v>
      </c>
      <c r="J751">
        <v>1.5</v>
      </c>
      <c r="K751" t="s">
        <v>12</v>
      </c>
      <c r="L751" t="s">
        <v>12</v>
      </c>
      <c r="M751" t="s">
        <v>12</v>
      </c>
      <c r="Q751" t="s">
        <v>438</v>
      </c>
      <c r="R751" t="s">
        <v>441</v>
      </c>
      <c r="S751" t="s">
        <v>442</v>
      </c>
      <c r="T751" t="s">
        <v>3459</v>
      </c>
      <c r="U751" t="s">
        <v>12</v>
      </c>
      <c r="V751" t="s">
        <v>12</v>
      </c>
      <c r="W751" t="s">
        <v>3407</v>
      </c>
      <c r="X751" t="s">
        <v>3459</v>
      </c>
      <c r="Y751" t="s">
        <v>12</v>
      </c>
      <c r="Z751" t="s">
        <v>12</v>
      </c>
      <c r="AA751" t="s">
        <v>12</v>
      </c>
      <c r="AB751" t="s">
        <v>12</v>
      </c>
      <c r="AC751" t="s">
        <v>12</v>
      </c>
      <c r="AD751" t="s">
        <v>12</v>
      </c>
    </row>
    <row r="752" spans="1:30">
      <c r="A752" t="s">
        <v>469</v>
      </c>
      <c r="B752" t="str">
        <f>Master_Data_Productivity[[#This Row],[Uniq-ID]]&amp;"-"&amp;Master_Data_Productivity[[#This Row],[Period]]</f>
        <v>QC-Quality_Control-006-M2</v>
      </c>
      <c r="C752" t="s">
        <v>470</v>
      </c>
      <c r="D752" t="s">
        <v>76</v>
      </c>
      <c r="E752" t="s">
        <v>18</v>
      </c>
      <c r="F752" t="s">
        <v>334</v>
      </c>
      <c r="G752" t="s">
        <v>15</v>
      </c>
      <c r="H752" t="s">
        <v>12</v>
      </c>
      <c r="J752">
        <v>1.5</v>
      </c>
      <c r="K752" t="s">
        <v>12</v>
      </c>
      <c r="L752" t="s">
        <v>12</v>
      </c>
      <c r="M752" t="s">
        <v>12</v>
      </c>
      <c r="Q752" t="s">
        <v>438</v>
      </c>
      <c r="R752" t="s">
        <v>441</v>
      </c>
      <c r="S752" t="s">
        <v>442</v>
      </c>
      <c r="T752" t="s">
        <v>3460</v>
      </c>
      <c r="U752" t="s">
        <v>12</v>
      </c>
      <c r="V752" t="s">
        <v>12</v>
      </c>
      <c r="W752" t="s">
        <v>3407</v>
      </c>
      <c r="X752" t="s">
        <v>3460</v>
      </c>
      <c r="Y752" t="s">
        <v>12</v>
      </c>
      <c r="Z752" t="s">
        <v>12</v>
      </c>
      <c r="AA752" t="s">
        <v>12</v>
      </c>
      <c r="AB752" t="s">
        <v>12</v>
      </c>
      <c r="AC752" t="s">
        <v>12</v>
      </c>
      <c r="AD752" t="s">
        <v>12</v>
      </c>
    </row>
    <row r="753" spans="1:30">
      <c r="A753" t="s">
        <v>469</v>
      </c>
      <c r="B753" t="str">
        <f>Master_Data_Productivity[[#This Row],[Uniq-ID]]&amp;"-"&amp;Master_Data_Productivity[[#This Row],[Period]]</f>
        <v>QC-Quality_Control-006-M3</v>
      </c>
      <c r="C753" t="s">
        <v>470</v>
      </c>
      <c r="D753" t="s">
        <v>76</v>
      </c>
      <c r="E753" t="s">
        <v>22</v>
      </c>
      <c r="F753" t="s">
        <v>336</v>
      </c>
      <c r="G753" t="s">
        <v>15</v>
      </c>
      <c r="H753" t="s">
        <v>12</v>
      </c>
      <c r="J753">
        <v>1.5</v>
      </c>
      <c r="K753" t="s">
        <v>12</v>
      </c>
      <c r="L753" t="s">
        <v>12</v>
      </c>
      <c r="M753" t="s">
        <v>12</v>
      </c>
      <c r="Q753" t="s">
        <v>438</v>
      </c>
      <c r="R753" t="s">
        <v>441</v>
      </c>
      <c r="S753" t="s">
        <v>442</v>
      </c>
      <c r="T753" t="s">
        <v>3461</v>
      </c>
      <c r="U753" t="s">
        <v>12</v>
      </c>
      <c r="V753" t="s">
        <v>12</v>
      </c>
      <c r="W753" t="s">
        <v>3407</v>
      </c>
      <c r="X753" t="s">
        <v>3461</v>
      </c>
      <c r="Y753" t="s">
        <v>12</v>
      </c>
      <c r="Z753" t="s">
        <v>12</v>
      </c>
      <c r="AA753" t="s">
        <v>12</v>
      </c>
      <c r="AB753" t="s">
        <v>12</v>
      </c>
      <c r="AC753" t="s">
        <v>12</v>
      </c>
      <c r="AD753" t="s">
        <v>12</v>
      </c>
    </row>
    <row r="754" spans="1:30">
      <c r="A754" t="s">
        <v>469</v>
      </c>
      <c r="B754" t="str">
        <f>Master_Data_Productivity[[#This Row],[Uniq-ID]]&amp;"-"&amp;Master_Data_Productivity[[#This Row],[Period]]</f>
        <v>QC-Quality_Control-006-M4</v>
      </c>
      <c r="C754" t="s">
        <v>470</v>
      </c>
      <c r="D754" t="s">
        <v>76</v>
      </c>
      <c r="E754" t="s">
        <v>25</v>
      </c>
      <c r="F754" t="s">
        <v>337</v>
      </c>
      <c r="G754" t="s">
        <v>15</v>
      </c>
      <c r="H754" t="s">
        <v>12</v>
      </c>
      <c r="J754">
        <v>1.5</v>
      </c>
      <c r="K754" t="s">
        <v>12</v>
      </c>
      <c r="L754" t="s">
        <v>12</v>
      </c>
      <c r="M754" t="s">
        <v>12</v>
      </c>
      <c r="Q754" t="s">
        <v>438</v>
      </c>
      <c r="R754" t="s">
        <v>441</v>
      </c>
      <c r="S754" t="s">
        <v>442</v>
      </c>
      <c r="T754" t="s">
        <v>3454</v>
      </c>
      <c r="U754" t="s">
        <v>12</v>
      </c>
      <c r="V754" t="s">
        <v>12</v>
      </c>
      <c r="W754" t="s">
        <v>3407</v>
      </c>
      <c r="X754" t="s">
        <v>3454</v>
      </c>
      <c r="Y754" t="s">
        <v>12</v>
      </c>
      <c r="Z754" t="s">
        <v>12</v>
      </c>
      <c r="AA754" t="s">
        <v>12</v>
      </c>
      <c r="AB754" t="s">
        <v>12</v>
      </c>
      <c r="AC754" t="s">
        <v>12</v>
      </c>
      <c r="AD754" t="s">
        <v>12</v>
      </c>
    </row>
    <row r="755" spans="1:30">
      <c r="A755" t="s">
        <v>469</v>
      </c>
      <c r="B755" t="str">
        <f>Master_Data_Productivity[[#This Row],[Uniq-ID]]&amp;"-"&amp;Master_Data_Productivity[[#This Row],[Period]]</f>
        <v>QC-Quality_Control-006-M5</v>
      </c>
      <c r="C755" t="s">
        <v>470</v>
      </c>
      <c r="D755" t="s">
        <v>76</v>
      </c>
      <c r="E755" t="s">
        <v>28</v>
      </c>
      <c r="F755" t="s">
        <v>338</v>
      </c>
      <c r="G755" t="s">
        <v>15</v>
      </c>
      <c r="H755" t="s">
        <v>12</v>
      </c>
      <c r="J755">
        <v>1.5</v>
      </c>
      <c r="K755" t="s">
        <v>12</v>
      </c>
      <c r="L755" t="s">
        <v>12</v>
      </c>
      <c r="M755" t="s">
        <v>12</v>
      </c>
      <c r="Q755" t="s">
        <v>438</v>
      </c>
      <c r="R755" t="s">
        <v>441</v>
      </c>
      <c r="S755" t="s">
        <v>442</v>
      </c>
      <c r="T755" t="s">
        <v>3435</v>
      </c>
      <c r="U755" t="s">
        <v>12</v>
      </c>
      <c r="V755" t="s">
        <v>12</v>
      </c>
      <c r="W755" t="s">
        <v>3407</v>
      </c>
      <c r="X755" t="s">
        <v>3435</v>
      </c>
      <c r="Y755" t="s">
        <v>12</v>
      </c>
      <c r="Z755" t="s">
        <v>12</v>
      </c>
      <c r="AA755" t="s">
        <v>12</v>
      </c>
      <c r="AB755" t="s">
        <v>12</v>
      </c>
      <c r="AC755" t="s">
        <v>12</v>
      </c>
      <c r="AD755" t="s">
        <v>12</v>
      </c>
    </row>
    <row r="756" spans="1:30">
      <c r="A756" t="s">
        <v>469</v>
      </c>
      <c r="B756" t="str">
        <f>Master_Data_Productivity[[#This Row],[Uniq-ID]]&amp;"-"&amp;Master_Data_Productivity[[#This Row],[Period]]</f>
        <v>QC-Quality_Control-006-M6</v>
      </c>
      <c r="C756" t="s">
        <v>470</v>
      </c>
      <c r="D756" t="s">
        <v>76</v>
      </c>
      <c r="E756" t="s">
        <v>31</v>
      </c>
      <c r="F756" t="s">
        <v>339</v>
      </c>
      <c r="G756" t="s">
        <v>33</v>
      </c>
      <c r="H756" t="s">
        <v>12</v>
      </c>
      <c r="J756">
        <v>1.2</v>
      </c>
      <c r="K756" t="s">
        <v>12</v>
      </c>
      <c r="L756" t="s">
        <v>12</v>
      </c>
      <c r="M756" t="s">
        <v>12</v>
      </c>
      <c r="Q756" t="s">
        <v>438</v>
      </c>
      <c r="R756" t="s">
        <v>441</v>
      </c>
      <c r="S756" t="s">
        <v>442</v>
      </c>
      <c r="T756" t="s">
        <v>3410</v>
      </c>
      <c r="U756" t="s">
        <v>12</v>
      </c>
      <c r="V756" t="s">
        <v>12</v>
      </c>
      <c r="W756" t="s">
        <v>3407</v>
      </c>
      <c r="X756" t="s">
        <v>3410</v>
      </c>
      <c r="Y756" t="s">
        <v>12</v>
      </c>
      <c r="Z756" t="s">
        <v>12</v>
      </c>
      <c r="AA756" t="s">
        <v>12</v>
      </c>
      <c r="AB756" t="s">
        <v>12</v>
      </c>
      <c r="AC756" t="s">
        <v>12</v>
      </c>
      <c r="AD756" t="s">
        <v>12</v>
      </c>
    </row>
    <row r="757" spans="1:30">
      <c r="A757" t="s">
        <v>480</v>
      </c>
      <c r="B757" t="str">
        <f>Master_Data_Productivity[[#This Row],[Uniq-ID]]&amp;"-"&amp;Master_Data_Productivity[[#This Row],[Period]]</f>
        <v>QC-Quality_Control-014-M1</v>
      </c>
      <c r="C757" t="s">
        <v>481</v>
      </c>
      <c r="D757" t="s">
        <v>48</v>
      </c>
      <c r="E757" t="s">
        <v>13</v>
      </c>
      <c r="F757" t="s">
        <v>14</v>
      </c>
      <c r="G757" t="s">
        <v>15</v>
      </c>
      <c r="H757" t="s">
        <v>12</v>
      </c>
      <c r="J757">
        <v>1.35</v>
      </c>
      <c r="K757" t="s">
        <v>12</v>
      </c>
      <c r="L757" t="s">
        <v>12</v>
      </c>
      <c r="M757" t="s">
        <v>12</v>
      </c>
      <c r="Q757" t="s">
        <v>438</v>
      </c>
      <c r="R757" t="s">
        <v>457</v>
      </c>
      <c r="S757" t="s">
        <v>442</v>
      </c>
      <c r="T757" t="s">
        <v>3462</v>
      </c>
      <c r="U757" t="s">
        <v>3408</v>
      </c>
      <c r="V757" t="s">
        <v>12</v>
      </c>
      <c r="W757" t="s">
        <v>3407</v>
      </c>
      <c r="X757" t="s">
        <v>3463</v>
      </c>
      <c r="Y757" t="s">
        <v>12</v>
      </c>
      <c r="Z757" t="s">
        <v>12</v>
      </c>
      <c r="AA757" t="s">
        <v>12</v>
      </c>
      <c r="AB757" t="s">
        <v>12</v>
      </c>
      <c r="AC757" t="s">
        <v>12</v>
      </c>
      <c r="AD757" t="s">
        <v>12</v>
      </c>
    </row>
    <row r="758" spans="1:30">
      <c r="A758" t="s">
        <v>480</v>
      </c>
      <c r="B758" t="str">
        <f>Master_Data_Productivity[[#This Row],[Uniq-ID]]&amp;"-"&amp;Master_Data_Productivity[[#This Row],[Period]]</f>
        <v>QC-Quality_Control-014-M2</v>
      </c>
      <c r="C758" t="s">
        <v>481</v>
      </c>
      <c r="D758" t="s">
        <v>48</v>
      </c>
      <c r="E758" t="s">
        <v>18</v>
      </c>
      <c r="F758" t="s">
        <v>19</v>
      </c>
      <c r="G758" t="s">
        <v>15</v>
      </c>
      <c r="H758" t="s">
        <v>12</v>
      </c>
      <c r="J758">
        <v>1.5</v>
      </c>
      <c r="K758" t="s">
        <v>12</v>
      </c>
      <c r="L758" t="s">
        <v>12</v>
      </c>
      <c r="M758" t="s">
        <v>12</v>
      </c>
      <c r="Q758" t="s">
        <v>438</v>
      </c>
      <c r="R758" t="s">
        <v>457</v>
      </c>
      <c r="S758" t="s">
        <v>442</v>
      </c>
      <c r="T758" t="s">
        <v>3464</v>
      </c>
      <c r="U758" t="s">
        <v>3439</v>
      </c>
      <c r="V758" t="s">
        <v>3415</v>
      </c>
      <c r="W758" t="s">
        <v>3407</v>
      </c>
      <c r="X758" t="s">
        <v>3465</v>
      </c>
      <c r="Y758" t="s">
        <v>12</v>
      </c>
      <c r="Z758" t="s">
        <v>12</v>
      </c>
      <c r="AA758" t="s">
        <v>12</v>
      </c>
      <c r="AB758" t="s">
        <v>12</v>
      </c>
      <c r="AC758" t="s">
        <v>12</v>
      </c>
      <c r="AD758" t="s">
        <v>12</v>
      </c>
    </row>
    <row r="759" spans="1:30">
      <c r="A759" t="s">
        <v>480</v>
      </c>
      <c r="B759" t="str">
        <f>Master_Data_Productivity[[#This Row],[Uniq-ID]]&amp;"-"&amp;Master_Data_Productivity[[#This Row],[Period]]</f>
        <v>QC-Quality_Control-014-M3</v>
      </c>
      <c r="C759" t="s">
        <v>481</v>
      </c>
      <c r="D759" t="s">
        <v>48</v>
      </c>
      <c r="E759" t="s">
        <v>22</v>
      </c>
      <c r="F759" t="s">
        <v>23</v>
      </c>
      <c r="G759" t="s">
        <v>15</v>
      </c>
      <c r="H759" t="s">
        <v>12</v>
      </c>
      <c r="J759">
        <v>1.5</v>
      </c>
      <c r="K759" t="s">
        <v>12</v>
      </c>
      <c r="L759" t="s">
        <v>12</v>
      </c>
      <c r="M759" t="s">
        <v>12</v>
      </c>
      <c r="Q759" t="s">
        <v>438</v>
      </c>
      <c r="R759" t="s">
        <v>457</v>
      </c>
      <c r="S759" t="s">
        <v>442</v>
      </c>
      <c r="T759" t="s">
        <v>3454</v>
      </c>
      <c r="U759" t="s">
        <v>3420</v>
      </c>
      <c r="V759" t="s">
        <v>3415</v>
      </c>
      <c r="W759" t="s">
        <v>3407</v>
      </c>
      <c r="X759" t="s">
        <v>3466</v>
      </c>
      <c r="Y759" t="s">
        <v>12</v>
      </c>
      <c r="Z759" t="s">
        <v>12</v>
      </c>
      <c r="AA759" t="s">
        <v>12</v>
      </c>
      <c r="AB759" t="s">
        <v>12</v>
      </c>
      <c r="AC759" t="s">
        <v>12</v>
      </c>
      <c r="AD759" t="s">
        <v>12</v>
      </c>
    </row>
    <row r="760" spans="1:30">
      <c r="A760" t="s">
        <v>480</v>
      </c>
      <c r="B760" t="str">
        <f>Master_Data_Productivity[[#This Row],[Uniq-ID]]&amp;"-"&amp;Master_Data_Productivity[[#This Row],[Period]]</f>
        <v>QC-Quality_Control-014-M4</v>
      </c>
      <c r="C760" t="s">
        <v>481</v>
      </c>
      <c r="D760" t="s">
        <v>48</v>
      </c>
      <c r="E760" t="s">
        <v>25</v>
      </c>
      <c r="F760" t="s">
        <v>26</v>
      </c>
      <c r="G760" t="s">
        <v>15</v>
      </c>
      <c r="H760" t="s">
        <v>12</v>
      </c>
      <c r="J760">
        <v>1.5</v>
      </c>
      <c r="K760" t="s">
        <v>12</v>
      </c>
      <c r="L760" t="s">
        <v>12</v>
      </c>
      <c r="M760" t="s">
        <v>12</v>
      </c>
      <c r="Q760" t="s">
        <v>438</v>
      </c>
      <c r="R760" t="s">
        <v>457</v>
      </c>
      <c r="S760" t="s">
        <v>442</v>
      </c>
      <c r="T760" t="s">
        <v>3444</v>
      </c>
      <c r="U760" t="s">
        <v>3447</v>
      </c>
      <c r="V760" t="s">
        <v>3467</v>
      </c>
      <c r="W760" t="s">
        <v>3407</v>
      </c>
      <c r="X760" t="s">
        <v>3461</v>
      </c>
      <c r="Y760" t="s">
        <v>12</v>
      </c>
      <c r="Z760" t="s">
        <v>12</v>
      </c>
      <c r="AA760" t="s">
        <v>12</v>
      </c>
      <c r="AB760" t="s">
        <v>12</v>
      </c>
      <c r="AC760" t="s">
        <v>12</v>
      </c>
      <c r="AD760" t="s">
        <v>12</v>
      </c>
    </row>
    <row r="761" spans="1:30">
      <c r="A761" t="s">
        <v>480</v>
      </c>
      <c r="B761" t="str">
        <f>Master_Data_Productivity[[#This Row],[Uniq-ID]]&amp;"-"&amp;Master_Data_Productivity[[#This Row],[Period]]</f>
        <v>QC-Quality_Control-014-M5</v>
      </c>
      <c r="C761" t="s">
        <v>481</v>
      </c>
      <c r="D761" t="s">
        <v>48</v>
      </c>
      <c r="E761" t="s">
        <v>28</v>
      </c>
      <c r="F761" t="s">
        <v>29</v>
      </c>
      <c r="G761" t="s">
        <v>15</v>
      </c>
      <c r="H761" t="s">
        <v>12</v>
      </c>
      <c r="J761">
        <v>1.5</v>
      </c>
      <c r="K761" t="s">
        <v>12</v>
      </c>
      <c r="L761" t="s">
        <v>12</v>
      </c>
      <c r="M761" t="s">
        <v>12</v>
      </c>
      <c r="Q761" t="s">
        <v>438</v>
      </c>
      <c r="R761" t="s">
        <v>457</v>
      </c>
      <c r="S761" t="s">
        <v>442</v>
      </c>
      <c r="T761" t="s">
        <v>3446</v>
      </c>
      <c r="U761" t="s">
        <v>3468</v>
      </c>
      <c r="V761" t="s">
        <v>3437</v>
      </c>
      <c r="W761" t="s">
        <v>3407</v>
      </c>
      <c r="X761" t="s">
        <v>3430</v>
      </c>
      <c r="Y761" t="s">
        <v>12</v>
      </c>
      <c r="Z761" t="s">
        <v>12</v>
      </c>
      <c r="AA761" t="s">
        <v>12</v>
      </c>
      <c r="AB761" t="s">
        <v>12</v>
      </c>
      <c r="AC761" t="s">
        <v>12</v>
      </c>
      <c r="AD761" t="s">
        <v>12</v>
      </c>
    </row>
    <row r="762" spans="1:30">
      <c r="A762" t="s">
        <v>480</v>
      </c>
      <c r="B762" t="str">
        <f>Master_Data_Productivity[[#This Row],[Uniq-ID]]&amp;"-"&amp;Master_Data_Productivity[[#This Row],[Period]]</f>
        <v>QC-Quality_Control-014-M6</v>
      </c>
      <c r="C762" t="s">
        <v>481</v>
      </c>
      <c r="D762" t="s">
        <v>48</v>
      </c>
      <c r="E762" t="s">
        <v>31</v>
      </c>
      <c r="F762" t="s">
        <v>32</v>
      </c>
      <c r="G762" t="s">
        <v>33</v>
      </c>
      <c r="H762" t="s">
        <v>12</v>
      </c>
      <c r="J762">
        <v>0.75</v>
      </c>
      <c r="K762" t="s">
        <v>12</v>
      </c>
      <c r="L762" t="s">
        <v>12</v>
      </c>
      <c r="M762" t="s">
        <v>12</v>
      </c>
      <c r="Q762" t="s">
        <v>438</v>
      </c>
      <c r="R762" t="s">
        <v>457</v>
      </c>
      <c r="S762" t="s">
        <v>443</v>
      </c>
      <c r="T762" t="s">
        <v>3422</v>
      </c>
      <c r="U762" t="s">
        <v>12</v>
      </c>
      <c r="V762" t="s">
        <v>12</v>
      </c>
      <c r="W762" t="s">
        <v>3407</v>
      </c>
      <c r="X762" t="s">
        <v>3422</v>
      </c>
      <c r="Y762" t="s">
        <v>12</v>
      </c>
      <c r="Z762" t="s">
        <v>12</v>
      </c>
      <c r="AA762" t="s">
        <v>12</v>
      </c>
      <c r="AB762" t="s">
        <v>12</v>
      </c>
      <c r="AC762" t="s">
        <v>12</v>
      </c>
      <c r="AD762" t="s">
        <v>12</v>
      </c>
    </row>
    <row r="763" spans="1:30">
      <c r="A763" t="s">
        <v>455</v>
      </c>
      <c r="B763" t="str">
        <f>Master_Data_Productivity[[#This Row],[Uniq-ID]]&amp;"-"&amp;Master_Data_Productivity[[#This Row],[Period]]</f>
        <v>QC-Quality_Control-021-M1</v>
      </c>
      <c r="C763" t="s">
        <v>456</v>
      </c>
      <c r="D763" t="s">
        <v>112</v>
      </c>
      <c r="E763" t="s">
        <v>13</v>
      </c>
      <c r="F763" t="s">
        <v>458</v>
      </c>
      <c r="G763" t="s">
        <v>15</v>
      </c>
      <c r="H763" t="s">
        <v>12</v>
      </c>
      <c r="J763">
        <v>1.5</v>
      </c>
      <c r="K763" t="s">
        <v>12</v>
      </c>
      <c r="L763" t="s">
        <v>12</v>
      </c>
      <c r="M763" t="s">
        <v>12</v>
      </c>
      <c r="Q763" t="s">
        <v>438</v>
      </c>
      <c r="R763" t="s">
        <v>457</v>
      </c>
      <c r="S763" t="s">
        <v>442</v>
      </c>
      <c r="T763" t="s">
        <v>3469</v>
      </c>
      <c r="U763" t="s">
        <v>12</v>
      </c>
      <c r="V763" t="s">
        <v>3418</v>
      </c>
      <c r="W763" t="s">
        <v>3407</v>
      </c>
      <c r="X763" t="s">
        <v>3438</v>
      </c>
      <c r="Y763" t="s">
        <v>12</v>
      </c>
      <c r="Z763" t="s">
        <v>12</v>
      </c>
      <c r="AA763" t="s">
        <v>12</v>
      </c>
      <c r="AB763" t="s">
        <v>12</v>
      </c>
      <c r="AC763" t="s">
        <v>12</v>
      </c>
      <c r="AD763" t="s">
        <v>12</v>
      </c>
    </row>
    <row r="764" spans="1:30">
      <c r="A764" t="s">
        <v>455</v>
      </c>
      <c r="B764" t="str">
        <f>Master_Data_Productivity[[#This Row],[Uniq-ID]]&amp;"-"&amp;Master_Data_Productivity[[#This Row],[Period]]</f>
        <v>QC-Quality_Control-021-M2</v>
      </c>
      <c r="C764" t="s">
        <v>456</v>
      </c>
      <c r="D764" t="s">
        <v>112</v>
      </c>
      <c r="E764" t="s">
        <v>18</v>
      </c>
      <c r="F764" t="s">
        <v>268</v>
      </c>
      <c r="G764" t="s">
        <v>15</v>
      </c>
      <c r="H764" t="s">
        <v>12</v>
      </c>
      <c r="J764">
        <v>1.5</v>
      </c>
      <c r="K764" t="s">
        <v>12</v>
      </c>
      <c r="L764" t="s">
        <v>12</v>
      </c>
      <c r="M764" t="s">
        <v>12</v>
      </c>
      <c r="Q764" t="s">
        <v>438</v>
      </c>
      <c r="R764" t="s">
        <v>457</v>
      </c>
      <c r="S764" t="s">
        <v>442</v>
      </c>
      <c r="T764" t="s">
        <v>3465</v>
      </c>
      <c r="U764" t="s">
        <v>3421</v>
      </c>
      <c r="V764" t="s">
        <v>3418</v>
      </c>
      <c r="W764" t="s">
        <v>3407</v>
      </c>
      <c r="X764" t="s">
        <v>3470</v>
      </c>
      <c r="Y764" t="s">
        <v>12</v>
      </c>
      <c r="Z764" t="s">
        <v>12</v>
      </c>
      <c r="AA764" t="s">
        <v>12</v>
      </c>
      <c r="AB764" t="s">
        <v>12</v>
      </c>
      <c r="AC764" t="s">
        <v>12</v>
      </c>
      <c r="AD764" t="s">
        <v>12</v>
      </c>
    </row>
    <row r="765" spans="1:30">
      <c r="A765" t="s">
        <v>455</v>
      </c>
      <c r="B765" t="str">
        <f>Master_Data_Productivity[[#This Row],[Uniq-ID]]&amp;"-"&amp;Master_Data_Productivity[[#This Row],[Period]]</f>
        <v>QC-Quality_Control-021-M3</v>
      </c>
      <c r="C765" t="s">
        <v>456</v>
      </c>
      <c r="D765" t="s">
        <v>112</v>
      </c>
      <c r="E765" t="s">
        <v>22</v>
      </c>
      <c r="F765" t="s">
        <v>270</v>
      </c>
      <c r="G765" t="s">
        <v>15</v>
      </c>
      <c r="H765" t="s">
        <v>12</v>
      </c>
      <c r="J765">
        <v>1.5</v>
      </c>
      <c r="K765" t="s">
        <v>12</v>
      </c>
      <c r="L765" t="s">
        <v>12</v>
      </c>
      <c r="M765" t="s">
        <v>12</v>
      </c>
      <c r="Q765" t="s">
        <v>438</v>
      </c>
      <c r="R765" t="s">
        <v>457</v>
      </c>
      <c r="S765" t="s">
        <v>442</v>
      </c>
      <c r="T765" t="s">
        <v>3423</v>
      </c>
      <c r="U765" t="s">
        <v>3431</v>
      </c>
      <c r="V765" t="s">
        <v>3418</v>
      </c>
      <c r="W765" t="s">
        <v>3407</v>
      </c>
      <c r="X765" t="s">
        <v>3471</v>
      </c>
      <c r="Y765" t="s">
        <v>12</v>
      </c>
      <c r="Z765" t="s">
        <v>12</v>
      </c>
      <c r="AA765" t="s">
        <v>12</v>
      </c>
      <c r="AB765" t="s">
        <v>12</v>
      </c>
      <c r="AC765" t="s">
        <v>12</v>
      </c>
      <c r="AD765" t="s">
        <v>12</v>
      </c>
    </row>
    <row r="766" spans="1:30">
      <c r="A766" t="s">
        <v>455</v>
      </c>
      <c r="B766" t="str">
        <f>Master_Data_Productivity[[#This Row],[Uniq-ID]]&amp;"-"&amp;Master_Data_Productivity[[#This Row],[Period]]</f>
        <v>QC-Quality_Control-021-M4</v>
      </c>
      <c r="C766" t="s">
        <v>456</v>
      </c>
      <c r="D766" t="s">
        <v>112</v>
      </c>
      <c r="E766" t="s">
        <v>25</v>
      </c>
      <c r="F766" t="s">
        <v>272</v>
      </c>
      <c r="G766" t="s">
        <v>15</v>
      </c>
      <c r="H766" t="s">
        <v>12</v>
      </c>
      <c r="J766">
        <v>1.5</v>
      </c>
      <c r="K766" t="s">
        <v>12</v>
      </c>
      <c r="L766" t="s">
        <v>12</v>
      </c>
      <c r="M766" t="s">
        <v>12</v>
      </c>
      <c r="Q766" t="s">
        <v>438</v>
      </c>
      <c r="R766" t="s">
        <v>457</v>
      </c>
      <c r="S766" t="s">
        <v>442</v>
      </c>
      <c r="T766" t="s">
        <v>3472</v>
      </c>
      <c r="U766" t="s">
        <v>3429</v>
      </c>
      <c r="V766" t="s">
        <v>3418</v>
      </c>
      <c r="W766" t="s">
        <v>3407</v>
      </c>
      <c r="X766" t="s">
        <v>3417</v>
      </c>
      <c r="Y766" t="s">
        <v>12</v>
      </c>
      <c r="Z766" t="s">
        <v>12</v>
      </c>
      <c r="AA766" t="s">
        <v>12</v>
      </c>
      <c r="AB766" t="s">
        <v>12</v>
      </c>
      <c r="AC766" t="s">
        <v>12</v>
      </c>
      <c r="AD766" t="s">
        <v>12</v>
      </c>
    </row>
    <row r="767" spans="1:30">
      <c r="A767" t="s">
        <v>455</v>
      </c>
      <c r="B767" t="str">
        <f>Master_Data_Productivity[[#This Row],[Uniq-ID]]&amp;"-"&amp;Master_Data_Productivity[[#This Row],[Period]]</f>
        <v>QC-Quality_Control-021-M5</v>
      </c>
      <c r="C767" t="s">
        <v>456</v>
      </c>
      <c r="D767" t="s">
        <v>112</v>
      </c>
      <c r="E767" t="s">
        <v>28</v>
      </c>
      <c r="F767" t="s">
        <v>274</v>
      </c>
      <c r="G767" t="s">
        <v>33</v>
      </c>
      <c r="H767" t="s">
        <v>12</v>
      </c>
      <c r="J767">
        <v>0.5</v>
      </c>
      <c r="K767" t="s">
        <v>12</v>
      </c>
      <c r="L767" t="s">
        <v>12</v>
      </c>
      <c r="M767" t="s">
        <v>12</v>
      </c>
      <c r="Q767" t="s">
        <v>438</v>
      </c>
      <c r="R767" t="s">
        <v>457</v>
      </c>
      <c r="S767" t="s">
        <v>443</v>
      </c>
      <c r="T767" t="s">
        <v>3411</v>
      </c>
      <c r="U767" t="s">
        <v>12</v>
      </c>
      <c r="V767" t="s">
        <v>12</v>
      </c>
      <c r="W767" t="s">
        <v>3407</v>
      </c>
      <c r="X767" t="s">
        <v>3411</v>
      </c>
      <c r="Y767" t="s">
        <v>12</v>
      </c>
      <c r="Z767" t="s">
        <v>12</v>
      </c>
      <c r="AA767" t="s">
        <v>12</v>
      </c>
      <c r="AB767" t="s">
        <v>12</v>
      </c>
      <c r="AC767" t="s">
        <v>12</v>
      </c>
      <c r="AD767" t="s">
        <v>12</v>
      </c>
    </row>
    <row r="768" spans="1:30">
      <c r="A768" t="s">
        <v>476</v>
      </c>
      <c r="B768" t="str">
        <f>Master_Data_Productivity[[#This Row],[Uniq-ID]]&amp;"-"&amp;Master_Data_Productivity[[#This Row],[Period]]</f>
        <v>QC-Quality_Control-027-M1</v>
      </c>
      <c r="C768" t="s">
        <v>477</v>
      </c>
      <c r="D768" t="s">
        <v>76</v>
      </c>
      <c r="E768" t="s">
        <v>13</v>
      </c>
      <c r="F768" t="s">
        <v>26</v>
      </c>
      <c r="G768" t="s">
        <v>15</v>
      </c>
      <c r="H768" t="s">
        <v>12</v>
      </c>
      <c r="J768">
        <v>1.5</v>
      </c>
      <c r="K768" t="s">
        <v>12</v>
      </c>
      <c r="L768" t="s">
        <v>12</v>
      </c>
      <c r="M768" t="s">
        <v>12</v>
      </c>
      <c r="Q768" t="s">
        <v>438</v>
      </c>
      <c r="R768" t="s">
        <v>461</v>
      </c>
      <c r="S768" t="s">
        <v>442</v>
      </c>
      <c r="T768" t="s">
        <v>3473</v>
      </c>
      <c r="U768" t="s">
        <v>3468</v>
      </c>
      <c r="V768" t="s">
        <v>3437</v>
      </c>
      <c r="W768" t="s">
        <v>3422</v>
      </c>
      <c r="X768" t="s">
        <v>3474</v>
      </c>
      <c r="Y768" t="s">
        <v>12</v>
      </c>
      <c r="Z768" t="s">
        <v>12</v>
      </c>
      <c r="AA768" t="s">
        <v>12</v>
      </c>
      <c r="AB768" t="s">
        <v>12</v>
      </c>
      <c r="AC768" t="s">
        <v>12</v>
      </c>
      <c r="AD768" t="s">
        <v>12</v>
      </c>
    </row>
    <row r="769" spans="1:30">
      <c r="A769" t="s">
        <v>476</v>
      </c>
      <c r="B769" t="str">
        <f>Master_Data_Productivity[[#This Row],[Uniq-ID]]&amp;"-"&amp;Master_Data_Productivity[[#This Row],[Period]]</f>
        <v>QC-Quality_Control-027-M2</v>
      </c>
      <c r="C769" t="s">
        <v>477</v>
      </c>
      <c r="D769" t="s">
        <v>76</v>
      </c>
      <c r="E769" t="s">
        <v>18</v>
      </c>
      <c r="F769" t="s">
        <v>29</v>
      </c>
      <c r="G769" t="s">
        <v>15</v>
      </c>
      <c r="H769" t="s">
        <v>12</v>
      </c>
      <c r="J769">
        <v>1.5</v>
      </c>
      <c r="K769" t="s">
        <v>12</v>
      </c>
      <c r="L769" t="s">
        <v>12</v>
      </c>
      <c r="M769" t="s">
        <v>12</v>
      </c>
      <c r="Q769" t="s">
        <v>438</v>
      </c>
      <c r="R769" t="s">
        <v>461</v>
      </c>
      <c r="S769" t="s">
        <v>442</v>
      </c>
      <c r="T769" t="s">
        <v>3475</v>
      </c>
      <c r="U769" t="s">
        <v>3433</v>
      </c>
      <c r="V769" t="s">
        <v>3418</v>
      </c>
      <c r="W769" t="s">
        <v>3422</v>
      </c>
      <c r="X769" t="s">
        <v>3474</v>
      </c>
      <c r="Y769" t="s">
        <v>12</v>
      </c>
      <c r="Z769" t="s">
        <v>12</v>
      </c>
      <c r="AA769" t="s">
        <v>12</v>
      </c>
      <c r="AB769" t="s">
        <v>12</v>
      </c>
      <c r="AC769" t="s">
        <v>12</v>
      </c>
      <c r="AD769" t="s">
        <v>12</v>
      </c>
    </row>
    <row r="770" spans="1:30">
      <c r="A770" t="s">
        <v>476</v>
      </c>
      <c r="B770" t="str">
        <f>Master_Data_Productivity[[#This Row],[Uniq-ID]]&amp;"-"&amp;Master_Data_Productivity[[#This Row],[Period]]</f>
        <v>QC-Quality_Control-027-M3</v>
      </c>
      <c r="C770" t="s">
        <v>477</v>
      </c>
      <c r="D770" t="s">
        <v>76</v>
      </c>
      <c r="E770" t="s">
        <v>22</v>
      </c>
      <c r="F770" t="s">
        <v>32</v>
      </c>
      <c r="G770" t="s">
        <v>33</v>
      </c>
      <c r="H770" t="s">
        <v>12</v>
      </c>
      <c r="J770">
        <v>0.5</v>
      </c>
      <c r="K770" t="s">
        <v>12</v>
      </c>
      <c r="L770" t="s">
        <v>12</v>
      </c>
      <c r="M770" t="s">
        <v>12</v>
      </c>
      <c r="Q770" t="s">
        <v>438</v>
      </c>
      <c r="R770" t="s">
        <v>461</v>
      </c>
      <c r="S770" t="s">
        <v>443</v>
      </c>
      <c r="T770" t="s">
        <v>3418</v>
      </c>
      <c r="U770" t="s">
        <v>3455</v>
      </c>
      <c r="V770" t="s">
        <v>12</v>
      </c>
      <c r="W770" t="s">
        <v>3422</v>
      </c>
      <c r="X770" t="s">
        <v>3468</v>
      </c>
      <c r="Y770" t="s">
        <v>12</v>
      </c>
      <c r="Z770" t="s">
        <v>12</v>
      </c>
      <c r="AA770" t="s">
        <v>12</v>
      </c>
      <c r="AB770" t="s">
        <v>12</v>
      </c>
      <c r="AC770" t="s">
        <v>12</v>
      </c>
      <c r="AD770" t="s">
        <v>12</v>
      </c>
    </row>
    <row r="771" spans="1:30">
      <c r="A771" t="s">
        <v>478</v>
      </c>
      <c r="B771" t="str">
        <f>Master_Data_Productivity[[#This Row],[Uniq-ID]]&amp;"-"&amp;Master_Data_Productivity[[#This Row],[Period]]</f>
        <v>QC-Quality_Control-004-M1</v>
      </c>
      <c r="C771" t="s">
        <v>479</v>
      </c>
      <c r="D771" t="s">
        <v>76</v>
      </c>
      <c r="E771" t="s">
        <v>13</v>
      </c>
      <c r="F771" t="s">
        <v>447</v>
      </c>
      <c r="G771" t="s">
        <v>15</v>
      </c>
      <c r="H771" t="s">
        <v>12</v>
      </c>
      <c r="J771">
        <v>1.3</v>
      </c>
      <c r="K771" t="s">
        <v>12</v>
      </c>
      <c r="L771" t="s">
        <v>12</v>
      </c>
      <c r="M771" t="s">
        <v>12</v>
      </c>
      <c r="Q771" t="s">
        <v>438</v>
      </c>
      <c r="R771" t="s">
        <v>461</v>
      </c>
      <c r="S771" t="s">
        <v>442</v>
      </c>
      <c r="T771" t="s">
        <v>3409</v>
      </c>
      <c r="U771" t="s">
        <v>3429</v>
      </c>
      <c r="V771" t="s">
        <v>12</v>
      </c>
      <c r="W771" t="s">
        <v>3422</v>
      </c>
      <c r="X771" t="s">
        <v>3476</v>
      </c>
      <c r="Y771" t="s">
        <v>12</v>
      </c>
      <c r="Z771" t="s">
        <v>12</v>
      </c>
      <c r="AA771" t="s">
        <v>12</v>
      </c>
      <c r="AB771" t="s">
        <v>12</v>
      </c>
      <c r="AC771" t="s">
        <v>12</v>
      </c>
      <c r="AD771" t="s">
        <v>12</v>
      </c>
    </row>
    <row r="772" spans="1:30">
      <c r="A772" t="s">
        <v>478</v>
      </c>
      <c r="B772" t="str">
        <f>Master_Data_Productivity[[#This Row],[Uniq-ID]]&amp;"-"&amp;Master_Data_Productivity[[#This Row],[Period]]</f>
        <v>QC-Quality_Control-004-M2</v>
      </c>
      <c r="C772" t="s">
        <v>479</v>
      </c>
      <c r="D772" t="s">
        <v>76</v>
      </c>
      <c r="E772" t="s">
        <v>18</v>
      </c>
      <c r="F772" t="s">
        <v>448</v>
      </c>
      <c r="G772" t="s">
        <v>15</v>
      </c>
      <c r="H772" t="s">
        <v>12</v>
      </c>
      <c r="J772">
        <v>1.5</v>
      </c>
      <c r="K772" t="s">
        <v>12</v>
      </c>
      <c r="L772" t="s">
        <v>12</v>
      </c>
      <c r="M772" t="s">
        <v>12</v>
      </c>
      <c r="Q772" t="s">
        <v>438</v>
      </c>
      <c r="R772" t="s">
        <v>461</v>
      </c>
      <c r="S772" t="s">
        <v>442</v>
      </c>
      <c r="T772" t="s">
        <v>3463</v>
      </c>
      <c r="U772" t="s">
        <v>3477</v>
      </c>
      <c r="V772" t="s">
        <v>3437</v>
      </c>
      <c r="W772" t="s">
        <v>3422</v>
      </c>
      <c r="X772" t="s">
        <v>3472</v>
      </c>
      <c r="Y772" t="s">
        <v>12</v>
      </c>
      <c r="Z772" t="s">
        <v>12</v>
      </c>
      <c r="AA772" t="s">
        <v>12</v>
      </c>
      <c r="AB772" t="s">
        <v>12</v>
      </c>
      <c r="AC772" t="s">
        <v>12</v>
      </c>
      <c r="AD772" t="s">
        <v>12</v>
      </c>
    </row>
    <row r="773" spans="1:30">
      <c r="A773" t="s">
        <v>478</v>
      </c>
      <c r="B773" t="str">
        <f>Master_Data_Productivity[[#This Row],[Uniq-ID]]&amp;"-"&amp;Master_Data_Productivity[[#This Row],[Period]]</f>
        <v>QC-Quality_Control-004-M3</v>
      </c>
      <c r="C773" t="s">
        <v>479</v>
      </c>
      <c r="D773" t="s">
        <v>76</v>
      </c>
      <c r="E773" t="s">
        <v>22</v>
      </c>
      <c r="F773" t="s">
        <v>449</v>
      </c>
      <c r="G773" t="s">
        <v>15</v>
      </c>
      <c r="H773" t="s">
        <v>12</v>
      </c>
      <c r="J773">
        <v>1.5</v>
      </c>
      <c r="K773" t="s">
        <v>12</v>
      </c>
      <c r="L773" t="s">
        <v>12</v>
      </c>
      <c r="M773" t="s">
        <v>12</v>
      </c>
      <c r="Q773" t="s">
        <v>438</v>
      </c>
      <c r="R773" t="s">
        <v>461</v>
      </c>
      <c r="S773" t="s">
        <v>442</v>
      </c>
      <c r="T773" t="s">
        <v>3408</v>
      </c>
      <c r="U773" t="s">
        <v>3478</v>
      </c>
      <c r="V773" t="s">
        <v>12</v>
      </c>
      <c r="W773" t="s">
        <v>3422</v>
      </c>
      <c r="X773" t="s">
        <v>3479</v>
      </c>
      <c r="Y773" t="s">
        <v>12</v>
      </c>
      <c r="Z773" t="s">
        <v>12</v>
      </c>
      <c r="AA773" t="s">
        <v>12</v>
      </c>
      <c r="AB773" t="s">
        <v>12</v>
      </c>
      <c r="AC773" t="s">
        <v>12</v>
      </c>
      <c r="AD773" t="s">
        <v>12</v>
      </c>
    </row>
    <row r="774" spans="1:30">
      <c r="A774" t="s">
        <v>478</v>
      </c>
      <c r="B774" t="str">
        <f>Master_Data_Productivity[[#This Row],[Uniq-ID]]&amp;"-"&amp;Master_Data_Productivity[[#This Row],[Period]]</f>
        <v>QC-Quality_Control-004-M4</v>
      </c>
      <c r="C774" t="s">
        <v>479</v>
      </c>
      <c r="D774" t="s">
        <v>76</v>
      </c>
      <c r="E774" t="s">
        <v>25</v>
      </c>
      <c r="F774" t="s">
        <v>450</v>
      </c>
      <c r="G774" t="s">
        <v>15</v>
      </c>
      <c r="H774" t="s">
        <v>12</v>
      </c>
      <c r="J774">
        <v>1.43</v>
      </c>
      <c r="K774" t="s">
        <v>12</v>
      </c>
      <c r="L774" t="s">
        <v>12</v>
      </c>
      <c r="M774" t="s">
        <v>12</v>
      </c>
      <c r="Q774" t="s">
        <v>438</v>
      </c>
      <c r="R774" t="s">
        <v>461</v>
      </c>
      <c r="S774" t="s">
        <v>442</v>
      </c>
      <c r="T774" t="s">
        <v>3443</v>
      </c>
      <c r="U774" t="s">
        <v>3429</v>
      </c>
      <c r="V774" t="s">
        <v>3411</v>
      </c>
      <c r="W774" t="s">
        <v>3422</v>
      </c>
      <c r="X774" t="s">
        <v>3480</v>
      </c>
      <c r="Y774" t="s">
        <v>12</v>
      </c>
      <c r="Z774" t="s">
        <v>12</v>
      </c>
      <c r="AA774" t="s">
        <v>12</v>
      </c>
      <c r="AB774" t="s">
        <v>12</v>
      </c>
      <c r="AC774" t="s">
        <v>12</v>
      </c>
      <c r="AD774" t="s">
        <v>12</v>
      </c>
    </row>
    <row r="775" spans="1:30">
      <c r="A775" t="s">
        <v>478</v>
      </c>
      <c r="B775" t="str">
        <f>Master_Data_Productivity[[#This Row],[Uniq-ID]]&amp;"-"&amp;Master_Data_Productivity[[#This Row],[Period]]</f>
        <v>QC-Quality_Control-004-M5</v>
      </c>
      <c r="C775" t="s">
        <v>479</v>
      </c>
      <c r="D775" t="s">
        <v>76</v>
      </c>
      <c r="E775" t="s">
        <v>28</v>
      </c>
      <c r="F775" t="s">
        <v>451</v>
      </c>
      <c r="G775" t="s">
        <v>15</v>
      </c>
      <c r="H775" t="s">
        <v>12</v>
      </c>
      <c r="J775">
        <v>1.1000000000000001</v>
      </c>
      <c r="K775" t="s">
        <v>12</v>
      </c>
      <c r="L775" t="s">
        <v>12</v>
      </c>
      <c r="M775" t="s">
        <v>12</v>
      </c>
      <c r="Q775" t="s">
        <v>438</v>
      </c>
      <c r="R775" t="s">
        <v>461</v>
      </c>
      <c r="S775" t="s">
        <v>442</v>
      </c>
      <c r="T775" t="s">
        <v>3439</v>
      </c>
      <c r="U775" t="s">
        <v>3468</v>
      </c>
      <c r="V775" t="s">
        <v>3439</v>
      </c>
      <c r="W775" t="s">
        <v>3422</v>
      </c>
      <c r="X775" t="s">
        <v>3426</v>
      </c>
      <c r="Y775" t="s">
        <v>12</v>
      </c>
      <c r="Z775" t="s">
        <v>12</v>
      </c>
      <c r="AA775" t="s">
        <v>12</v>
      </c>
      <c r="AB775" t="s">
        <v>12</v>
      </c>
      <c r="AC775" t="s">
        <v>12</v>
      </c>
      <c r="AD775" t="s">
        <v>12</v>
      </c>
    </row>
    <row r="776" spans="1:30">
      <c r="A776" t="s">
        <v>478</v>
      </c>
      <c r="B776" t="str">
        <f>Master_Data_Productivity[[#This Row],[Uniq-ID]]&amp;"-"&amp;Master_Data_Productivity[[#This Row],[Period]]</f>
        <v>QC-Quality_Control-004-M6</v>
      </c>
      <c r="C776" t="s">
        <v>479</v>
      </c>
      <c r="D776" t="s">
        <v>76</v>
      </c>
      <c r="E776" t="s">
        <v>31</v>
      </c>
      <c r="F776" t="s">
        <v>452</v>
      </c>
      <c r="G776" t="s">
        <v>33</v>
      </c>
      <c r="H776" t="s">
        <v>12</v>
      </c>
      <c r="J776">
        <v>0.5</v>
      </c>
      <c r="K776" t="s">
        <v>12</v>
      </c>
      <c r="L776" t="s">
        <v>12</v>
      </c>
      <c r="M776" t="s">
        <v>12</v>
      </c>
      <c r="Q776" t="s">
        <v>438</v>
      </c>
      <c r="R776" t="s">
        <v>461</v>
      </c>
      <c r="S776" t="s">
        <v>443</v>
      </c>
      <c r="T776" t="s">
        <v>3437</v>
      </c>
      <c r="U776" t="s">
        <v>12</v>
      </c>
      <c r="V776" t="s">
        <v>12</v>
      </c>
      <c r="W776" t="s">
        <v>3422</v>
      </c>
      <c r="X776" t="s">
        <v>3437</v>
      </c>
      <c r="Y776" t="s">
        <v>12</v>
      </c>
      <c r="Z776" t="s">
        <v>12</v>
      </c>
      <c r="AA776" t="s">
        <v>12</v>
      </c>
      <c r="AB776" t="s">
        <v>12</v>
      </c>
      <c r="AC776" t="s">
        <v>12</v>
      </c>
      <c r="AD776" t="s">
        <v>12</v>
      </c>
    </row>
    <row r="777" spans="1:30">
      <c r="A777" t="s">
        <v>473</v>
      </c>
      <c r="B777" t="str">
        <f>Master_Data_Productivity[[#This Row],[Uniq-ID]]&amp;"-"&amp;Master_Data_Productivity[[#This Row],[Period]]</f>
        <v>QC-Quality_Control-002-M1</v>
      </c>
      <c r="C777" t="s">
        <v>474</v>
      </c>
      <c r="D777" t="s">
        <v>76</v>
      </c>
      <c r="E777" t="s">
        <v>13</v>
      </c>
      <c r="F777" t="s">
        <v>49</v>
      </c>
      <c r="G777" t="s">
        <v>15</v>
      </c>
      <c r="H777" t="s">
        <v>12</v>
      </c>
      <c r="J777">
        <v>1.5</v>
      </c>
      <c r="K777" t="s">
        <v>12</v>
      </c>
      <c r="L777" t="s">
        <v>12</v>
      </c>
      <c r="M777" t="s">
        <v>12</v>
      </c>
      <c r="Q777" t="s">
        <v>438</v>
      </c>
      <c r="R777" t="s">
        <v>475</v>
      </c>
      <c r="S777" t="s">
        <v>442</v>
      </c>
      <c r="T777" t="s">
        <v>3454</v>
      </c>
      <c r="U777" t="s">
        <v>12</v>
      </c>
      <c r="V777" t="s">
        <v>12</v>
      </c>
      <c r="W777" t="s">
        <v>3407</v>
      </c>
      <c r="X777" t="s">
        <v>3454</v>
      </c>
      <c r="Y777" t="s">
        <v>12</v>
      </c>
      <c r="Z777" t="s">
        <v>12</v>
      </c>
      <c r="AA777" t="s">
        <v>12</v>
      </c>
      <c r="AB777" t="s">
        <v>12</v>
      </c>
      <c r="AC777" t="s">
        <v>12</v>
      </c>
      <c r="AD777" t="s">
        <v>12</v>
      </c>
    </row>
    <row r="778" spans="1:30">
      <c r="A778" t="s">
        <v>473</v>
      </c>
      <c r="B778" t="str">
        <f>Master_Data_Productivity[[#This Row],[Uniq-ID]]&amp;"-"&amp;Master_Data_Productivity[[#This Row],[Period]]</f>
        <v>QC-Quality_Control-002-M2</v>
      </c>
      <c r="C778" t="s">
        <v>474</v>
      </c>
      <c r="D778" t="s">
        <v>76</v>
      </c>
      <c r="E778" t="s">
        <v>18</v>
      </c>
      <c r="F778" t="s">
        <v>51</v>
      </c>
      <c r="G778" t="s">
        <v>15</v>
      </c>
      <c r="H778" t="s">
        <v>12</v>
      </c>
      <c r="J778">
        <v>1.5</v>
      </c>
      <c r="K778" t="s">
        <v>12</v>
      </c>
      <c r="L778" t="s">
        <v>12</v>
      </c>
      <c r="M778" t="s">
        <v>12</v>
      </c>
      <c r="Q778" t="s">
        <v>438</v>
      </c>
      <c r="R778" t="s">
        <v>475</v>
      </c>
      <c r="S778" t="s">
        <v>442</v>
      </c>
      <c r="T778" t="s">
        <v>3481</v>
      </c>
      <c r="U778" t="s">
        <v>12</v>
      </c>
      <c r="V778" t="s">
        <v>3418</v>
      </c>
      <c r="W778" t="s">
        <v>3407</v>
      </c>
      <c r="X778" t="s">
        <v>3482</v>
      </c>
      <c r="Y778" t="s">
        <v>12</v>
      </c>
      <c r="Z778" t="s">
        <v>12</v>
      </c>
      <c r="AA778" t="s">
        <v>12</v>
      </c>
      <c r="AB778" t="s">
        <v>12</v>
      </c>
      <c r="AC778" t="s">
        <v>12</v>
      </c>
      <c r="AD778" t="s">
        <v>12</v>
      </c>
    </row>
    <row r="779" spans="1:30">
      <c r="A779" t="s">
        <v>473</v>
      </c>
      <c r="B779" t="str">
        <f>Master_Data_Productivity[[#This Row],[Uniq-ID]]&amp;"-"&amp;Master_Data_Productivity[[#This Row],[Period]]</f>
        <v>QC-Quality_Control-002-M3</v>
      </c>
      <c r="C779" t="s">
        <v>474</v>
      </c>
      <c r="D779" t="s">
        <v>76</v>
      </c>
      <c r="E779" t="s">
        <v>22</v>
      </c>
      <c r="F779" t="s">
        <v>52</v>
      </c>
      <c r="G779" t="s">
        <v>15</v>
      </c>
      <c r="H779" t="s">
        <v>12</v>
      </c>
      <c r="J779">
        <v>1.5</v>
      </c>
      <c r="K779" t="s">
        <v>12</v>
      </c>
      <c r="L779" t="s">
        <v>12</v>
      </c>
      <c r="M779" t="s">
        <v>12</v>
      </c>
      <c r="Q779" t="s">
        <v>438</v>
      </c>
      <c r="R779" t="s">
        <v>475</v>
      </c>
      <c r="S779" t="s">
        <v>442</v>
      </c>
      <c r="T779" t="s">
        <v>3438</v>
      </c>
      <c r="U779" t="s">
        <v>12</v>
      </c>
      <c r="V779" t="s">
        <v>12</v>
      </c>
      <c r="W779" t="s">
        <v>3407</v>
      </c>
      <c r="X779" t="s">
        <v>3438</v>
      </c>
      <c r="Y779" t="s">
        <v>12</v>
      </c>
      <c r="Z779" t="s">
        <v>12</v>
      </c>
      <c r="AA779" t="s">
        <v>12</v>
      </c>
      <c r="AB779" t="s">
        <v>12</v>
      </c>
      <c r="AC779" t="s">
        <v>12</v>
      </c>
      <c r="AD779" t="s">
        <v>12</v>
      </c>
    </row>
    <row r="780" spans="1:30">
      <c r="A780" t="s">
        <v>473</v>
      </c>
      <c r="B780" t="str">
        <f>Master_Data_Productivity[[#This Row],[Uniq-ID]]&amp;"-"&amp;Master_Data_Productivity[[#This Row],[Period]]</f>
        <v>QC-Quality_Control-002-M4</v>
      </c>
      <c r="C780" t="s">
        <v>474</v>
      </c>
      <c r="D780" t="s">
        <v>76</v>
      </c>
      <c r="E780" t="s">
        <v>25</v>
      </c>
      <c r="F780" t="s">
        <v>54</v>
      </c>
      <c r="G780" t="s">
        <v>15</v>
      </c>
      <c r="H780" t="s">
        <v>12</v>
      </c>
      <c r="J780">
        <v>1.5</v>
      </c>
      <c r="K780" t="s">
        <v>12</v>
      </c>
      <c r="L780" t="s">
        <v>12</v>
      </c>
      <c r="M780" t="s">
        <v>12</v>
      </c>
      <c r="Q780" t="s">
        <v>438</v>
      </c>
      <c r="R780" t="s">
        <v>475</v>
      </c>
      <c r="S780" t="s">
        <v>442</v>
      </c>
      <c r="T780" t="s">
        <v>3483</v>
      </c>
      <c r="U780" t="s">
        <v>12</v>
      </c>
      <c r="V780" t="s">
        <v>3418</v>
      </c>
      <c r="W780" t="s">
        <v>3407</v>
      </c>
      <c r="X780" t="s">
        <v>3484</v>
      </c>
      <c r="Y780" t="s">
        <v>12</v>
      </c>
      <c r="Z780" t="s">
        <v>12</v>
      </c>
      <c r="AA780" t="s">
        <v>12</v>
      </c>
      <c r="AB780" t="s">
        <v>12</v>
      </c>
      <c r="AC780" t="s">
        <v>12</v>
      </c>
      <c r="AD780" t="s">
        <v>12</v>
      </c>
    </row>
    <row r="781" spans="1:30">
      <c r="A781" t="s">
        <v>473</v>
      </c>
      <c r="B781" t="str">
        <f>Master_Data_Productivity[[#This Row],[Uniq-ID]]&amp;"-"&amp;Master_Data_Productivity[[#This Row],[Period]]</f>
        <v>QC-Quality_Control-002-M5</v>
      </c>
      <c r="C781" t="s">
        <v>474</v>
      </c>
      <c r="D781" t="s">
        <v>76</v>
      </c>
      <c r="E781" t="s">
        <v>28</v>
      </c>
      <c r="F781" t="s">
        <v>56</v>
      </c>
      <c r="G781" t="s">
        <v>15</v>
      </c>
      <c r="H781" t="s">
        <v>12</v>
      </c>
      <c r="J781">
        <v>1.5</v>
      </c>
      <c r="K781" t="s">
        <v>12</v>
      </c>
      <c r="L781" t="s">
        <v>12</v>
      </c>
      <c r="M781" t="s">
        <v>12</v>
      </c>
      <c r="Q781" t="s">
        <v>438</v>
      </c>
      <c r="R781" t="s">
        <v>475</v>
      </c>
      <c r="S781" t="s">
        <v>442</v>
      </c>
      <c r="T781" t="s">
        <v>3469</v>
      </c>
      <c r="U781" t="s">
        <v>12</v>
      </c>
      <c r="V781" t="s">
        <v>3415</v>
      </c>
      <c r="W781" t="s">
        <v>3407</v>
      </c>
      <c r="X781" t="s">
        <v>3435</v>
      </c>
      <c r="Y781" t="s">
        <v>12</v>
      </c>
      <c r="Z781" t="s">
        <v>12</v>
      </c>
      <c r="AA781" t="s">
        <v>12</v>
      </c>
      <c r="AB781" t="s">
        <v>12</v>
      </c>
      <c r="AC781" t="s">
        <v>12</v>
      </c>
      <c r="AD781" t="s">
        <v>12</v>
      </c>
    </row>
    <row r="782" spans="1:30">
      <c r="A782" t="s">
        <v>473</v>
      </c>
      <c r="B782" t="str">
        <f>Master_Data_Productivity[[#This Row],[Uniq-ID]]&amp;"-"&amp;Master_Data_Productivity[[#This Row],[Period]]</f>
        <v>QC-Quality_Control-002-M6</v>
      </c>
      <c r="C782" t="s">
        <v>474</v>
      </c>
      <c r="D782" t="s">
        <v>76</v>
      </c>
      <c r="E782" t="s">
        <v>31</v>
      </c>
      <c r="F782" t="s">
        <v>57</v>
      </c>
      <c r="G782" t="s">
        <v>33</v>
      </c>
      <c r="H782" t="s">
        <v>12</v>
      </c>
      <c r="J782">
        <v>1.45</v>
      </c>
      <c r="K782" t="s">
        <v>12</v>
      </c>
      <c r="L782" t="s">
        <v>12</v>
      </c>
      <c r="M782" t="s">
        <v>12</v>
      </c>
      <c r="Q782" t="s">
        <v>438</v>
      </c>
      <c r="R782" t="s">
        <v>475</v>
      </c>
      <c r="S782" t="s">
        <v>442</v>
      </c>
      <c r="T782" t="s">
        <v>3423</v>
      </c>
      <c r="U782" t="s">
        <v>12</v>
      </c>
      <c r="V782" t="s">
        <v>12</v>
      </c>
      <c r="W782" t="s">
        <v>3407</v>
      </c>
      <c r="X782" t="s">
        <v>3423</v>
      </c>
      <c r="Y782" t="s">
        <v>12</v>
      </c>
      <c r="Z782" t="s">
        <v>12</v>
      </c>
      <c r="AA782" t="s">
        <v>12</v>
      </c>
      <c r="AB782" t="s">
        <v>12</v>
      </c>
      <c r="AC782" t="s">
        <v>12</v>
      </c>
      <c r="AD782" t="s">
        <v>12</v>
      </c>
    </row>
    <row r="783" spans="1:30">
      <c r="A783" t="s">
        <v>482</v>
      </c>
      <c r="B783" t="str">
        <f>Master_Data_Productivity[[#This Row],[Uniq-ID]]&amp;"-"&amp;Master_Data_Productivity[[#This Row],[Period]]</f>
        <v>QC-Quality_Control-010-M1</v>
      </c>
      <c r="C783" t="s">
        <v>483</v>
      </c>
      <c r="D783" t="s">
        <v>484</v>
      </c>
      <c r="E783" t="s">
        <v>13</v>
      </c>
      <c r="F783" t="s">
        <v>122</v>
      </c>
      <c r="G783" t="s">
        <v>15</v>
      </c>
      <c r="H783" t="s">
        <v>12</v>
      </c>
      <c r="J783">
        <v>1</v>
      </c>
      <c r="K783" t="s">
        <v>12</v>
      </c>
      <c r="L783" t="s">
        <v>12</v>
      </c>
      <c r="M783" t="s">
        <v>12</v>
      </c>
      <c r="Q783" t="s">
        <v>438</v>
      </c>
      <c r="R783" t="s">
        <v>446</v>
      </c>
      <c r="S783" t="s">
        <v>442</v>
      </c>
      <c r="T783" t="s">
        <v>3473</v>
      </c>
      <c r="U783" t="s">
        <v>12</v>
      </c>
      <c r="V783" t="s">
        <v>3418</v>
      </c>
      <c r="W783" t="s">
        <v>3407</v>
      </c>
      <c r="X783" t="s">
        <v>3407</v>
      </c>
      <c r="Y783" t="s">
        <v>12</v>
      </c>
      <c r="Z783" t="s">
        <v>12</v>
      </c>
      <c r="AA783" t="s">
        <v>12</v>
      </c>
      <c r="AB783" t="s">
        <v>12</v>
      </c>
      <c r="AC783" t="s">
        <v>12</v>
      </c>
      <c r="AD783" t="s">
        <v>12</v>
      </c>
    </row>
    <row r="784" spans="1:30">
      <c r="A784" t="s">
        <v>482</v>
      </c>
      <c r="B784" t="str">
        <f>Master_Data_Productivity[[#This Row],[Uniq-ID]]&amp;"-"&amp;Master_Data_Productivity[[#This Row],[Period]]</f>
        <v>QC-Quality_Control-010-M2</v>
      </c>
      <c r="C784" t="s">
        <v>483</v>
      </c>
      <c r="D784" t="s">
        <v>484</v>
      </c>
      <c r="E784" t="s">
        <v>18</v>
      </c>
      <c r="F784" t="s">
        <v>124</v>
      </c>
      <c r="G784" t="s">
        <v>15</v>
      </c>
      <c r="H784" t="s">
        <v>12</v>
      </c>
      <c r="J784">
        <v>1.5</v>
      </c>
      <c r="K784" t="s">
        <v>12</v>
      </c>
      <c r="L784" t="s">
        <v>12</v>
      </c>
      <c r="M784" t="s">
        <v>12</v>
      </c>
      <c r="Q784" t="s">
        <v>438</v>
      </c>
      <c r="R784" t="s">
        <v>446</v>
      </c>
      <c r="S784" t="s">
        <v>442</v>
      </c>
      <c r="T784" t="s">
        <v>3463</v>
      </c>
      <c r="U784" t="s">
        <v>12</v>
      </c>
      <c r="V784" t="s">
        <v>3447</v>
      </c>
      <c r="W784" t="s">
        <v>3407</v>
      </c>
      <c r="X784" t="s">
        <v>3452</v>
      </c>
      <c r="Y784" t="s">
        <v>12</v>
      </c>
      <c r="Z784" t="s">
        <v>12</v>
      </c>
      <c r="AA784" t="s">
        <v>12</v>
      </c>
      <c r="AB784" t="s">
        <v>12</v>
      </c>
      <c r="AC784" t="s">
        <v>12</v>
      </c>
      <c r="AD784" t="s">
        <v>12</v>
      </c>
    </row>
    <row r="785" spans="1:30">
      <c r="A785" t="s">
        <v>482</v>
      </c>
      <c r="B785" t="str">
        <f>Master_Data_Productivity[[#This Row],[Uniq-ID]]&amp;"-"&amp;Master_Data_Productivity[[#This Row],[Period]]</f>
        <v>QC-Quality_Control-010-M3</v>
      </c>
      <c r="C785" t="s">
        <v>483</v>
      </c>
      <c r="D785" t="s">
        <v>484</v>
      </c>
      <c r="E785" t="s">
        <v>22</v>
      </c>
      <c r="F785" t="s">
        <v>126</v>
      </c>
      <c r="G785" t="s">
        <v>15</v>
      </c>
      <c r="H785" t="s">
        <v>12</v>
      </c>
      <c r="J785">
        <v>0.5</v>
      </c>
      <c r="K785" t="s">
        <v>12</v>
      </c>
      <c r="L785" t="s">
        <v>12</v>
      </c>
      <c r="M785" t="s">
        <v>12</v>
      </c>
      <c r="Q785" t="s">
        <v>438</v>
      </c>
      <c r="R785" t="s">
        <v>446</v>
      </c>
      <c r="S785" t="s">
        <v>443</v>
      </c>
      <c r="T785" t="s">
        <v>3437</v>
      </c>
      <c r="U785" t="s">
        <v>12</v>
      </c>
      <c r="V785" t="s">
        <v>3447</v>
      </c>
      <c r="W785" t="s">
        <v>3407</v>
      </c>
      <c r="X785" t="s">
        <v>3467</v>
      </c>
      <c r="Y785" t="s">
        <v>12</v>
      </c>
      <c r="Z785" t="s">
        <v>12</v>
      </c>
      <c r="AA785" t="s">
        <v>12</v>
      </c>
      <c r="AB785" t="s">
        <v>12</v>
      </c>
      <c r="AC785" t="s">
        <v>12</v>
      </c>
      <c r="AD785" t="s">
        <v>12</v>
      </c>
    </row>
    <row r="786" spans="1:30">
      <c r="A786" t="s">
        <v>482</v>
      </c>
      <c r="B786" t="str">
        <f>Master_Data_Productivity[[#This Row],[Uniq-ID]]&amp;"-"&amp;Master_Data_Productivity[[#This Row],[Period]]</f>
        <v>QC-Quality_Control-010-M4</v>
      </c>
      <c r="C786" t="s">
        <v>483</v>
      </c>
      <c r="D786" t="s">
        <v>484</v>
      </c>
      <c r="E786" t="s">
        <v>25</v>
      </c>
      <c r="F786" t="s">
        <v>128</v>
      </c>
      <c r="G786" t="s">
        <v>15</v>
      </c>
      <c r="H786" t="s">
        <v>12</v>
      </c>
      <c r="J786">
        <v>1.1000000000000001</v>
      </c>
      <c r="K786" t="s">
        <v>12</v>
      </c>
      <c r="L786" t="s">
        <v>12</v>
      </c>
      <c r="M786" t="s">
        <v>12</v>
      </c>
      <c r="Q786" t="s">
        <v>438</v>
      </c>
      <c r="R786" t="s">
        <v>446</v>
      </c>
      <c r="S786" t="s">
        <v>442</v>
      </c>
      <c r="T786" t="s">
        <v>3473</v>
      </c>
      <c r="U786" t="s">
        <v>12</v>
      </c>
      <c r="V786" t="s">
        <v>3447</v>
      </c>
      <c r="W786" t="s">
        <v>3407</v>
      </c>
      <c r="X786" t="s">
        <v>3406</v>
      </c>
      <c r="Y786" t="s">
        <v>12</v>
      </c>
      <c r="Z786" t="s">
        <v>12</v>
      </c>
      <c r="AA786" t="s">
        <v>12</v>
      </c>
      <c r="AB786" t="s">
        <v>12</v>
      </c>
      <c r="AC786" t="s">
        <v>12</v>
      </c>
      <c r="AD786" t="s">
        <v>12</v>
      </c>
    </row>
    <row r="787" spans="1:30">
      <c r="A787" t="s">
        <v>482</v>
      </c>
      <c r="B787" t="str">
        <f>Master_Data_Productivity[[#This Row],[Uniq-ID]]&amp;"-"&amp;Master_Data_Productivity[[#This Row],[Period]]</f>
        <v>QC-Quality_Control-010-M5</v>
      </c>
      <c r="C787" t="s">
        <v>483</v>
      </c>
      <c r="D787" t="s">
        <v>484</v>
      </c>
      <c r="E787" t="s">
        <v>28</v>
      </c>
      <c r="F787" t="s">
        <v>130</v>
      </c>
      <c r="G787" t="s">
        <v>15</v>
      </c>
      <c r="H787" t="s">
        <v>12</v>
      </c>
      <c r="K787" t="s">
        <v>12</v>
      </c>
      <c r="L787" t="s">
        <v>12</v>
      </c>
      <c r="M787" t="s">
        <v>12</v>
      </c>
      <c r="Q787" t="s">
        <v>438</v>
      </c>
      <c r="R787" t="s">
        <v>446</v>
      </c>
      <c r="S787" t="s">
        <v>443</v>
      </c>
      <c r="T787" t="s">
        <v>12</v>
      </c>
      <c r="U787" t="s">
        <v>12</v>
      </c>
      <c r="V787" t="s">
        <v>12</v>
      </c>
      <c r="W787" t="s">
        <v>3407</v>
      </c>
      <c r="X787" t="s">
        <v>12</v>
      </c>
      <c r="Y787" t="s">
        <v>12</v>
      </c>
      <c r="Z787" t="s">
        <v>12</v>
      </c>
      <c r="AA787" t="s">
        <v>12</v>
      </c>
      <c r="AB787" t="s">
        <v>12</v>
      </c>
      <c r="AC787" t="s">
        <v>12</v>
      </c>
      <c r="AD787" t="s">
        <v>12</v>
      </c>
    </row>
    <row r="788" spans="1:30">
      <c r="A788" t="s">
        <v>482</v>
      </c>
      <c r="B788" t="str">
        <f>Master_Data_Productivity[[#This Row],[Uniq-ID]]&amp;"-"&amp;Master_Data_Productivity[[#This Row],[Period]]</f>
        <v>QC-Quality_Control-010-M6</v>
      </c>
      <c r="C788" t="s">
        <v>483</v>
      </c>
      <c r="D788" t="s">
        <v>484</v>
      </c>
      <c r="E788" t="s">
        <v>31</v>
      </c>
      <c r="F788" t="s">
        <v>132</v>
      </c>
      <c r="G788" t="s">
        <v>33</v>
      </c>
      <c r="H788" t="s">
        <v>12</v>
      </c>
      <c r="K788" t="s">
        <v>12</v>
      </c>
      <c r="L788" t="s">
        <v>12</v>
      </c>
      <c r="M788" t="s">
        <v>12</v>
      </c>
      <c r="Q788" t="s">
        <v>438</v>
      </c>
      <c r="R788" t="s">
        <v>446</v>
      </c>
      <c r="S788" t="s">
        <v>443</v>
      </c>
      <c r="T788" t="s">
        <v>12</v>
      </c>
      <c r="U788" t="s">
        <v>12</v>
      </c>
      <c r="V788" t="s">
        <v>12</v>
      </c>
      <c r="W788" t="s">
        <v>3407</v>
      </c>
      <c r="X788" t="s">
        <v>12</v>
      </c>
      <c r="Y788" t="s">
        <v>12</v>
      </c>
      <c r="Z788" t="s">
        <v>12</v>
      </c>
      <c r="AA788" t="s">
        <v>12</v>
      </c>
      <c r="AB788" t="s">
        <v>12</v>
      </c>
      <c r="AC788" t="s">
        <v>12</v>
      </c>
      <c r="AD788" t="s">
        <v>12</v>
      </c>
    </row>
    <row r="789" spans="1:30">
      <c r="A789" t="s">
        <v>485</v>
      </c>
      <c r="B789" t="str">
        <f>Master_Data_Productivity[[#This Row],[Uniq-ID]]&amp;"-"&amp;Master_Data_Productivity[[#This Row],[Period]]</f>
        <v>QC-Quality_Control-035-M1</v>
      </c>
      <c r="C789" t="s">
        <v>486</v>
      </c>
      <c r="D789" t="s">
        <v>487</v>
      </c>
      <c r="E789" t="s">
        <v>13</v>
      </c>
      <c r="F789" t="s">
        <v>26</v>
      </c>
      <c r="G789" t="s">
        <v>15</v>
      </c>
      <c r="H789" t="s">
        <v>12</v>
      </c>
      <c r="J789">
        <v>1</v>
      </c>
      <c r="K789" t="s">
        <v>12</v>
      </c>
      <c r="L789" t="s">
        <v>12</v>
      </c>
      <c r="M789" t="s">
        <v>12</v>
      </c>
      <c r="Q789" t="s">
        <v>438</v>
      </c>
      <c r="R789" t="s">
        <v>488</v>
      </c>
      <c r="S789" t="s">
        <v>442</v>
      </c>
      <c r="T789" t="s">
        <v>3422</v>
      </c>
      <c r="U789" t="s">
        <v>12</v>
      </c>
      <c r="V789" t="s">
        <v>12</v>
      </c>
      <c r="W789" t="s">
        <v>3422</v>
      </c>
      <c r="X789" t="s">
        <v>3422</v>
      </c>
      <c r="Y789" t="s">
        <v>12</v>
      </c>
      <c r="Z789" t="s">
        <v>12</v>
      </c>
      <c r="AA789" t="s">
        <v>12</v>
      </c>
      <c r="AB789" t="s">
        <v>12</v>
      </c>
      <c r="AC789" t="s">
        <v>12</v>
      </c>
      <c r="AD789" t="s">
        <v>12</v>
      </c>
    </row>
    <row r="790" spans="1:30">
      <c r="A790" t="s">
        <v>485</v>
      </c>
      <c r="B790" t="str">
        <f>Master_Data_Productivity[[#This Row],[Uniq-ID]]&amp;"-"&amp;Master_Data_Productivity[[#This Row],[Period]]</f>
        <v>QC-Quality_Control-035-M2</v>
      </c>
      <c r="C790" t="s">
        <v>486</v>
      </c>
      <c r="D790" t="s">
        <v>487</v>
      </c>
      <c r="E790" t="s">
        <v>18</v>
      </c>
      <c r="F790" t="s">
        <v>29</v>
      </c>
      <c r="G790" t="s">
        <v>15</v>
      </c>
      <c r="H790" t="s">
        <v>12</v>
      </c>
      <c r="J790">
        <v>0.8</v>
      </c>
      <c r="K790" t="s">
        <v>12</v>
      </c>
      <c r="L790" t="s">
        <v>12</v>
      </c>
      <c r="M790" t="s">
        <v>12</v>
      </c>
      <c r="Q790" t="s">
        <v>438</v>
      </c>
      <c r="R790" t="s">
        <v>488</v>
      </c>
      <c r="S790" t="s">
        <v>443</v>
      </c>
      <c r="T790" t="s">
        <v>3485</v>
      </c>
      <c r="U790" t="s">
        <v>12</v>
      </c>
      <c r="V790" t="s">
        <v>3437</v>
      </c>
      <c r="W790" t="s">
        <v>3422</v>
      </c>
      <c r="X790" t="s">
        <v>3477</v>
      </c>
      <c r="Y790" t="s">
        <v>12</v>
      </c>
      <c r="Z790" t="s">
        <v>12</v>
      </c>
      <c r="AA790" t="s">
        <v>12</v>
      </c>
      <c r="AB790" t="s">
        <v>12</v>
      </c>
      <c r="AC790" t="s">
        <v>12</v>
      </c>
      <c r="AD790" t="s">
        <v>12</v>
      </c>
    </row>
    <row r="791" spans="1:30">
      <c r="A791" t="s">
        <v>485</v>
      </c>
      <c r="B791" t="str">
        <f>Master_Data_Productivity[[#This Row],[Uniq-ID]]&amp;"-"&amp;Master_Data_Productivity[[#This Row],[Period]]</f>
        <v>QC-Quality_Control-035-M3</v>
      </c>
      <c r="C791" t="s">
        <v>486</v>
      </c>
      <c r="D791" t="s">
        <v>487</v>
      </c>
      <c r="E791" t="s">
        <v>22</v>
      </c>
      <c r="F791" t="s">
        <v>32</v>
      </c>
      <c r="G791" t="s">
        <v>33</v>
      </c>
      <c r="H791" t="s">
        <v>12</v>
      </c>
      <c r="K791" t="s">
        <v>12</v>
      </c>
      <c r="L791" t="s">
        <v>12</v>
      </c>
      <c r="M791" t="s">
        <v>12</v>
      </c>
      <c r="Q791" t="s">
        <v>438</v>
      </c>
      <c r="R791" t="s">
        <v>488</v>
      </c>
      <c r="S791" t="s">
        <v>443</v>
      </c>
      <c r="T791" t="s">
        <v>12</v>
      </c>
      <c r="U791" t="s">
        <v>12</v>
      </c>
      <c r="V791" t="s">
        <v>12</v>
      </c>
      <c r="W791" t="s">
        <v>3422</v>
      </c>
      <c r="X791" t="s">
        <v>12</v>
      </c>
      <c r="Y791" t="s">
        <v>12</v>
      </c>
      <c r="Z791" t="s">
        <v>12</v>
      </c>
      <c r="AA791" t="s">
        <v>12</v>
      </c>
      <c r="AB791" t="s">
        <v>12</v>
      </c>
      <c r="AC791" t="s">
        <v>12</v>
      </c>
      <c r="AD791" t="s">
        <v>12</v>
      </c>
    </row>
    <row r="792" spans="1:30">
      <c r="A792" t="s">
        <v>459</v>
      </c>
      <c r="B792" t="str">
        <f>Master_Data_Productivity[[#This Row],[Uniq-ID]]&amp;"-"&amp;Master_Data_Productivity[[#This Row],[Period]]</f>
        <v>QC-Quality_Control-001-M1</v>
      </c>
      <c r="C792" t="s">
        <v>460</v>
      </c>
      <c r="D792" t="s">
        <v>76</v>
      </c>
      <c r="E792" t="s">
        <v>13</v>
      </c>
      <c r="F792" t="s">
        <v>49</v>
      </c>
      <c r="G792" t="s">
        <v>15</v>
      </c>
      <c r="H792" t="s">
        <v>12</v>
      </c>
      <c r="J792">
        <v>1.5</v>
      </c>
      <c r="K792" t="s">
        <v>12</v>
      </c>
      <c r="L792" t="s">
        <v>12</v>
      </c>
      <c r="M792" t="s">
        <v>12</v>
      </c>
      <c r="Q792" t="s">
        <v>438</v>
      </c>
      <c r="R792" t="s">
        <v>461</v>
      </c>
      <c r="S792" t="s">
        <v>442</v>
      </c>
      <c r="T792" t="s">
        <v>3465</v>
      </c>
      <c r="U792" t="s">
        <v>12</v>
      </c>
      <c r="V792" t="s">
        <v>12</v>
      </c>
      <c r="W792" t="s">
        <v>3422</v>
      </c>
      <c r="X792" t="s">
        <v>3465</v>
      </c>
      <c r="Y792" t="s">
        <v>12</v>
      </c>
      <c r="Z792" t="s">
        <v>12</v>
      </c>
      <c r="AA792" t="s">
        <v>12</v>
      </c>
      <c r="AB792" t="s">
        <v>12</v>
      </c>
      <c r="AC792" t="s">
        <v>12</v>
      </c>
      <c r="AD792" t="s">
        <v>12</v>
      </c>
    </row>
    <row r="793" spans="1:30">
      <c r="A793" t="s">
        <v>459</v>
      </c>
      <c r="B793" t="str">
        <f>Master_Data_Productivity[[#This Row],[Uniq-ID]]&amp;"-"&amp;Master_Data_Productivity[[#This Row],[Period]]</f>
        <v>QC-Quality_Control-001-M2</v>
      </c>
      <c r="C793" t="s">
        <v>460</v>
      </c>
      <c r="D793" t="s">
        <v>76</v>
      </c>
      <c r="E793" t="s">
        <v>18</v>
      </c>
      <c r="F793" t="s">
        <v>51</v>
      </c>
      <c r="G793" t="s">
        <v>15</v>
      </c>
      <c r="H793" t="s">
        <v>12</v>
      </c>
      <c r="J793">
        <v>1.5</v>
      </c>
      <c r="K793" t="s">
        <v>12</v>
      </c>
      <c r="L793" t="s">
        <v>12</v>
      </c>
      <c r="M793" t="s">
        <v>12</v>
      </c>
      <c r="Q793" t="s">
        <v>438</v>
      </c>
      <c r="R793" t="s">
        <v>461</v>
      </c>
      <c r="S793" t="s">
        <v>442</v>
      </c>
      <c r="T793" t="s">
        <v>3425</v>
      </c>
      <c r="U793" t="s">
        <v>3411</v>
      </c>
      <c r="V793" t="s">
        <v>3437</v>
      </c>
      <c r="W793" t="s">
        <v>3422</v>
      </c>
      <c r="X793" t="s">
        <v>3428</v>
      </c>
      <c r="Y793" t="s">
        <v>12</v>
      </c>
      <c r="Z793" t="s">
        <v>12</v>
      </c>
      <c r="AA793" t="s">
        <v>12</v>
      </c>
      <c r="AB793" t="s">
        <v>12</v>
      </c>
      <c r="AC793" t="s">
        <v>12</v>
      </c>
      <c r="AD793" t="s">
        <v>12</v>
      </c>
    </row>
    <row r="794" spans="1:30">
      <c r="A794" t="s">
        <v>459</v>
      </c>
      <c r="B794" t="str">
        <f>Master_Data_Productivity[[#This Row],[Uniq-ID]]&amp;"-"&amp;Master_Data_Productivity[[#This Row],[Period]]</f>
        <v>QC-Quality_Control-001-M3</v>
      </c>
      <c r="C794" t="s">
        <v>460</v>
      </c>
      <c r="D794" t="s">
        <v>76</v>
      </c>
      <c r="E794" t="s">
        <v>22</v>
      </c>
      <c r="F794" t="s">
        <v>52</v>
      </c>
      <c r="G794" t="s">
        <v>15</v>
      </c>
      <c r="H794" t="s">
        <v>12</v>
      </c>
      <c r="J794">
        <v>1.5</v>
      </c>
      <c r="K794" t="s">
        <v>12</v>
      </c>
      <c r="L794" t="s">
        <v>12</v>
      </c>
      <c r="M794" t="s">
        <v>12</v>
      </c>
      <c r="Q794" t="s">
        <v>438</v>
      </c>
      <c r="R794" t="s">
        <v>461</v>
      </c>
      <c r="S794" t="s">
        <v>442</v>
      </c>
      <c r="T794" t="s">
        <v>3422</v>
      </c>
      <c r="U794" t="s">
        <v>3458</v>
      </c>
      <c r="V794" t="s">
        <v>3418</v>
      </c>
      <c r="W794" t="s">
        <v>3422</v>
      </c>
      <c r="X794" t="s">
        <v>3486</v>
      </c>
      <c r="Y794" t="s">
        <v>12</v>
      </c>
      <c r="Z794" t="s">
        <v>12</v>
      </c>
      <c r="AA794" t="s">
        <v>12</v>
      </c>
      <c r="AB794" t="s">
        <v>12</v>
      </c>
      <c r="AC794" t="s">
        <v>12</v>
      </c>
      <c r="AD794" t="s">
        <v>12</v>
      </c>
    </row>
    <row r="795" spans="1:30">
      <c r="A795" t="s">
        <v>459</v>
      </c>
      <c r="B795" t="str">
        <f>Master_Data_Productivity[[#This Row],[Uniq-ID]]&amp;"-"&amp;Master_Data_Productivity[[#This Row],[Period]]</f>
        <v>QC-Quality_Control-001-M4</v>
      </c>
      <c r="C795" t="s">
        <v>460</v>
      </c>
      <c r="D795" t="s">
        <v>76</v>
      </c>
      <c r="E795" t="s">
        <v>25</v>
      </c>
      <c r="F795" t="s">
        <v>54</v>
      </c>
      <c r="G795" t="s">
        <v>15</v>
      </c>
      <c r="H795" t="s">
        <v>12</v>
      </c>
      <c r="J795">
        <v>1.5</v>
      </c>
      <c r="K795" t="s">
        <v>12</v>
      </c>
      <c r="L795" t="s">
        <v>12</v>
      </c>
      <c r="M795" t="s">
        <v>12</v>
      </c>
      <c r="Q795" t="s">
        <v>438</v>
      </c>
      <c r="R795" t="s">
        <v>461</v>
      </c>
      <c r="S795" t="s">
        <v>442</v>
      </c>
      <c r="T795" t="s">
        <v>3442</v>
      </c>
      <c r="U795" t="s">
        <v>3431</v>
      </c>
      <c r="V795" t="s">
        <v>12</v>
      </c>
      <c r="W795" t="s">
        <v>3422</v>
      </c>
      <c r="X795" t="s">
        <v>3487</v>
      </c>
      <c r="Y795" t="s">
        <v>12</v>
      </c>
      <c r="Z795" t="s">
        <v>12</v>
      </c>
      <c r="AA795" t="s">
        <v>12</v>
      </c>
      <c r="AB795" t="s">
        <v>12</v>
      </c>
      <c r="AC795" t="s">
        <v>12</v>
      </c>
      <c r="AD795" t="s">
        <v>12</v>
      </c>
    </row>
    <row r="796" spans="1:30">
      <c r="A796" t="s">
        <v>459</v>
      </c>
      <c r="B796" t="str">
        <f>Master_Data_Productivity[[#This Row],[Uniq-ID]]&amp;"-"&amp;Master_Data_Productivity[[#This Row],[Period]]</f>
        <v>QC-Quality_Control-001-M5</v>
      </c>
      <c r="C796" t="s">
        <v>460</v>
      </c>
      <c r="D796" t="s">
        <v>76</v>
      </c>
      <c r="E796" t="s">
        <v>28</v>
      </c>
      <c r="F796" t="s">
        <v>56</v>
      </c>
      <c r="G796" t="s">
        <v>15</v>
      </c>
      <c r="H796" t="s">
        <v>12</v>
      </c>
      <c r="J796">
        <v>1.5</v>
      </c>
      <c r="K796" t="s">
        <v>12</v>
      </c>
      <c r="L796" t="s">
        <v>12</v>
      </c>
      <c r="M796" t="s">
        <v>12</v>
      </c>
      <c r="Q796" t="s">
        <v>438</v>
      </c>
      <c r="R796" t="s">
        <v>461</v>
      </c>
      <c r="S796" t="s">
        <v>442</v>
      </c>
      <c r="T796" t="s">
        <v>3452</v>
      </c>
      <c r="U796" t="s">
        <v>12</v>
      </c>
      <c r="V796" t="s">
        <v>3447</v>
      </c>
      <c r="W796" t="s">
        <v>3422</v>
      </c>
      <c r="X796" t="s">
        <v>3424</v>
      </c>
      <c r="Y796" t="s">
        <v>12</v>
      </c>
      <c r="Z796" t="s">
        <v>12</v>
      </c>
      <c r="AA796" t="s">
        <v>12</v>
      </c>
      <c r="AB796" t="s">
        <v>12</v>
      </c>
      <c r="AC796" t="s">
        <v>12</v>
      </c>
      <c r="AD796" t="s">
        <v>12</v>
      </c>
    </row>
    <row r="797" spans="1:30">
      <c r="A797" t="s">
        <v>459</v>
      </c>
      <c r="B797" t="str">
        <f>Master_Data_Productivity[[#This Row],[Uniq-ID]]&amp;"-"&amp;Master_Data_Productivity[[#This Row],[Period]]</f>
        <v>QC-Quality_Control-001-M6</v>
      </c>
      <c r="C797" t="s">
        <v>460</v>
      </c>
      <c r="D797" t="s">
        <v>76</v>
      </c>
      <c r="E797" t="s">
        <v>31</v>
      </c>
      <c r="F797" t="s">
        <v>57</v>
      </c>
      <c r="G797" t="s">
        <v>33</v>
      </c>
      <c r="H797" t="s">
        <v>12</v>
      </c>
      <c r="K797" t="s">
        <v>12</v>
      </c>
      <c r="L797" t="s">
        <v>12</v>
      </c>
      <c r="M797" t="s">
        <v>12</v>
      </c>
      <c r="Q797" t="s">
        <v>438</v>
      </c>
      <c r="R797" t="s">
        <v>461</v>
      </c>
      <c r="S797" t="s">
        <v>443</v>
      </c>
      <c r="T797" t="s">
        <v>12</v>
      </c>
      <c r="U797" t="s">
        <v>12</v>
      </c>
      <c r="V797" t="s">
        <v>12</v>
      </c>
      <c r="W797" t="s">
        <v>3422</v>
      </c>
      <c r="X797" t="s">
        <v>12</v>
      </c>
      <c r="Y797" t="s">
        <v>12</v>
      </c>
      <c r="Z797" t="s">
        <v>12</v>
      </c>
      <c r="AA797" t="s">
        <v>12</v>
      </c>
      <c r="AB797" t="s">
        <v>12</v>
      </c>
      <c r="AC797" t="s">
        <v>12</v>
      </c>
      <c r="AD797" t="s">
        <v>12</v>
      </c>
    </row>
    <row r="798" spans="1:30">
      <c r="A798" t="s">
        <v>508</v>
      </c>
      <c r="B798" t="str">
        <f>Master_Data_Productivity[[#This Row],[Uniq-ID]]&amp;"-"&amp;Master_Data_Productivity[[#This Row],[Period]]</f>
        <v>QC-Quality_Control-007-M1</v>
      </c>
      <c r="C798" t="s">
        <v>509</v>
      </c>
      <c r="D798" t="s">
        <v>76</v>
      </c>
      <c r="E798" t="s">
        <v>13</v>
      </c>
      <c r="F798" t="s">
        <v>122</v>
      </c>
      <c r="G798" t="s">
        <v>15</v>
      </c>
      <c r="H798" t="s">
        <v>12</v>
      </c>
      <c r="J798">
        <v>1.5</v>
      </c>
      <c r="K798" t="s">
        <v>12</v>
      </c>
      <c r="L798" t="s">
        <v>12</v>
      </c>
      <c r="M798" t="s">
        <v>12</v>
      </c>
      <c r="Q798" t="s">
        <v>438</v>
      </c>
      <c r="R798" t="s">
        <v>441</v>
      </c>
      <c r="S798" t="s">
        <v>442</v>
      </c>
      <c r="T798" t="s">
        <v>3488</v>
      </c>
      <c r="U798" t="s">
        <v>12</v>
      </c>
      <c r="V798" t="s">
        <v>12</v>
      </c>
      <c r="W798" t="s">
        <v>3407</v>
      </c>
      <c r="X798" t="s">
        <v>3488</v>
      </c>
      <c r="Y798" t="s">
        <v>12</v>
      </c>
      <c r="Z798" t="s">
        <v>12</v>
      </c>
      <c r="AA798" t="s">
        <v>12</v>
      </c>
      <c r="AB798" t="s">
        <v>12</v>
      </c>
      <c r="AC798" t="s">
        <v>12</v>
      </c>
      <c r="AD798" t="s">
        <v>12</v>
      </c>
    </row>
    <row r="799" spans="1:30">
      <c r="A799" t="s">
        <v>508</v>
      </c>
      <c r="B799" t="str">
        <f>Master_Data_Productivity[[#This Row],[Uniq-ID]]&amp;"-"&amp;Master_Data_Productivity[[#This Row],[Period]]</f>
        <v>QC-Quality_Control-007-M2</v>
      </c>
      <c r="C799" t="s">
        <v>509</v>
      </c>
      <c r="D799" t="s">
        <v>76</v>
      </c>
      <c r="E799" t="s">
        <v>18</v>
      </c>
      <c r="F799" t="s">
        <v>124</v>
      </c>
      <c r="G799" t="s">
        <v>15</v>
      </c>
      <c r="H799" t="s">
        <v>12</v>
      </c>
      <c r="J799">
        <v>1.5</v>
      </c>
      <c r="K799" t="s">
        <v>12</v>
      </c>
      <c r="L799" t="s">
        <v>12</v>
      </c>
      <c r="M799" t="s">
        <v>12</v>
      </c>
      <c r="Q799" t="s">
        <v>438</v>
      </c>
      <c r="R799" t="s">
        <v>441</v>
      </c>
      <c r="S799" t="s">
        <v>442</v>
      </c>
      <c r="T799" t="s">
        <v>3489</v>
      </c>
      <c r="U799" t="s">
        <v>12</v>
      </c>
      <c r="V799" t="s">
        <v>12</v>
      </c>
      <c r="W799" t="s">
        <v>3407</v>
      </c>
      <c r="X799" t="s">
        <v>3489</v>
      </c>
      <c r="Y799" t="s">
        <v>12</v>
      </c>
      <c r="Z799" t="s">
        <v>12</v>
      </c>
      <c r="AA799" t="s">
        <v>12</v>
      </c>
      <c r="AB799" t="s">
        <v>12</v>
      </c>
      <c r="AC799" t="s">
        <v>12</v>
      </c>
      <c r="AD799" t="s">
        <v>12</v>
      </c>
    </row>
    <row r="800" spans="1:30">
      <c r="A800" t="s">
        <v>508</v>
      </c>
      <c r="B800" t="str">
        <f>Master_Data_Productivity[[#This Row],[Uniq-ID]]&amp;"-"&amp;Master_Data_Productivity[[#This Row],[Period]]</f>
        <v>QC-Quality_Control-007-M3</v>
      </c>
      <c r="C800" t="s">
        <v>509</v>
      </c>
      <c r="D800" t="s">
        <v>76</v>
      </c>
      <c r="E800" t="s">
        <v>22</v>
      </c>
      <c r="F800" t="s">
        <v>126</v>
      </c>
      <c r="G800" t="s">
        <v>15</v>
      </c>
      <c r="H800" t="s">
        <v>12</v>
      </c>
      <c r="J800">
        <v>1.5</v>
      </c>
      <c r="K800" t="s">
        <v>12</v>
      </c>
      <c r="L800" t="s">
        <v>12</v>
      </c>
      <c r="M800" t="s">
        <v>12</v>
      </c>
      <c r="Q800" t="s">
        <v>438</v>
      </c>
      <c r="R800" t="s">
        <v>441</v>
      </c>
      <c r="S800" t="s">
        <v>442</v>
      </c>
      <c r="T800" t="s">
        <v>3490</v>
      </c>
      <c r="U800" t="s">
        <v>12</v>
      </c>
      <c r="V800" t="s">
        <v>12</v>
      </c>
      <c r="W800" t="s">
        <v>3407</v>
      </c>
      <c r="X800" t="s">
        <v>3490</v>
      </c>
      <c r="Y800" t="s">
        <v>12</v>
      </c>
      <c r="Z800" t="s">
        <v>12</v>
      </c>
      <c r="AA800" t="s">
        <v>12</v>
      </c>
      <c r="AB800" t="s">
        <v>12</v>
      </c>
      <c r="AC800" t="s">
        <v>12</v>
      </c>
      <c r="AD800" t="s">
        <v>12</v>
      </c>
    </row>
    <row r="801" spans="1:30">
      <c r="A801" t="s">
        <v>508</v>
      </c>
      <c r="B801" t="str">
        <f>Master_Data_Productivity[[#This Row],[Uniq-ID]]&amp;"-"&amp;Master_Data_Productivity[[#This Row],[Period]]</f>
        <v>QC-Quality_Control-007-M4</v>
      </c>
      <c r="C801" t="s">
        <v>509</v>
      </c>
      <c r="D801" t="s">
        <v>76</v>
      </c>
      <c r="E801" t="s">
        <v>25</v>
      </c>
      <c r="F801" t="s">
        <v>128</v>
      </c>
      <c r="G801" t="s">
        <v>15</v>
      </c>
      <c r="H801" t="s">
        <v>12</v>
      </c>
      <c r="J801">
        <v>1.5</v>
      </c>
      <c r="K801" t="s">
        <v>12</v>
      </c>
      <c r="L801" t="s">
        <v>12</v>
      </c>
      <c r="M801" t="s">
        <v>12</v>
      </c>
      <c r="Q801" t="s">
        <v>438</v>
      </c>
      <c r="R801" t="s">
        <v>441</v>
      </c>
      <c r="S801" t="s">
        <v>442</v>
      </c>
      <c r="T801" t="s">
        <v>3483</v>
      </c>
      <c r="U801" t="s">
        <v>12</v>
      </c>
      <c r="V801" t="s">
        <v>12</v>
      </c>
      <c r="W801" t="s">
        <v>3407</v>
      </c>
      <c r="X801" t="s">
        <v>3483</v>
      </c>
      <c r="Y801" t="s">
        <v>12</v>
      </c>
      <c r="Z801" t="s">
        <v>12</v>
      </c>
      <c r="AA801" t="s">
        <v>12</v>
      </c>
      <c r="AB801" t="s">
        <v>12</v>
      </c>
      <c r="AC801" t="s">
        <v>12</v>
      </c>
      <c r="AD801" t="s">
        <v>12</v>
      </c>
    </row>
    <row r="802" spans="1:30">
      <c r="A802" t="s">
        <v>508</v>
      </c>
      <c r="B802" t="str">
        <f>Master_Data_Productivity[[#This Row],[Uniq-ID]]&amp;"-"&amp;Master_Data_Productivity[[#This Row],[Period]]</f>
        <v>QC-Quality_Control-007-M5</v>
      </c>
      <c r="C802" t="s">
        <v>509</v>
      </c>
      <c r="D802" t="s">
        <v>76</v>
      </c>
      <c r="E802" t="s">
        <v>28</v>
      </c>
      <c r="F802" t="s">
        <v>130</v>
      </c>
      <c r="G802" t="s">
        <v>15</v>
      </c>
      <c r="H802" t="s">
        <v>12</v>
      </c>
      <c r="J802">
        <v>1.5</v>
      </c>
      <c r="K802" t="s">
        <v>12</v>
      </c>
      <c r="L802" t="s">
        <v>12</v>
      </c>
      <c r="M802" t="s">
        <v>12</v>
      </c>
      <c r="Q802" t="s">
        <v>438</v>
      </c>
      <c r="R802" t="s">
        <v>441</v>
      </c>
      <c r="S802" t="s">
        <v>442</v>
      </c>
      <c r="T802" t="s">
        <v>3491</v>
      </c>
      <c r="U802" t="s">
        <v>12</v>
      </c>
      <c r="V802" t="s">
        <v>12</v>
      </c>
      <c r="W802" t="s">
        <v>3407</v>
      </c>
      <c r="X802" t="s">
        <v>3491</v>
      </c>
      <c r="Y802" t="s">
        <v>12</v>
      </c>
      <c r="Z802" t="s">
        <v>12</v>
      </c>
      <c r="AA802" t="s">
        <v>12</v>
      </c>
      <c r="AB802" t="s">
        <v>12</v>
      </c>
      <c r="AC802" t="s">
        <v>12</v>
      </c>
      <c r="AD802" t="s">
        <v>12</v>
      </c>
    </row>
    <row r="803" spans="1:30">
      <c r="A803" t="s">
        <v>508</v>
      </c>
      <c r="B803" t="str">
        <f>Master_Data_Productivity[[#This Row],[Uniq-ID]]&amp;"-"&amp;Master_Data_Productivity[[#This Row],[Period]]</f>
        <v>QC-Quality_Control-007-M6</v>
      </c>
      <c r="C803" t="s">
        <v>509</v>
      </c>
      <c r="D803" t="s">
        <v>76</v>
      </c>
      <c r="E803" t="s">
        <v>31</v>
      </c>
      <c r="F803" t="s">
        <v>132</v>
      </c>
      <c r="G803" t="s">
        <v>33</v>
      </c>
      <c r="H803" t="s">
        <v>12</v>
      </c>
      <c r="J803">
        <v>0.7</v>
      </c>
      <c r="K803" t="s">
        <v>12</v>
      </c>
      <c r="L803" t="s">
        <v>12</v>
      </c>
      <c r="M803" t="s">
        <v>12</v>
      </c>
      <c r="Q803" t="s">
        <v>438</v>
      </c>
      <c r="R803" t="s">
        <v>441</v>
      </c>
      <c r="S803" t="s">
        <v>443</v>
      </c>
      <c r="T803" t="s">
        <v>3492</v>
      </c>
      <c r="U803" t="s">
        <v>12</v>
      </c>
      <c r="V803" t="s">
        <v>12</v>
      </c>
      <c r="W803" t="s">
        <v>3407</v>
      </c>
      <c r="X803" t="s">
        <v>3492</v>
      </c>
      <c r="Y803" t="s">
        <v>12</v>
      </c>
      <c r="Z803" t="s">
        <v>12</v>
      </c>
      <c r="AA803" t="s">
        <v>12</v>
      </c>
      <c r="AB803" t="s">
        <v>12</v>
      </c>
      <c r="AC803" t="s">
        <v>12</v>
      </c>
      <c r="AD803" t="s">
        <v>12</v>
      </c>
    </row>
    <row r="804" spans="1:30">
      <c r="A804" t="s">
        <v>494</v>
      </c>
      <c r="B804" t="str">
        <f>Master_Data_Productivity[[#This Row],[Uniq-ID]]&amp;"-"&amp;Master_Data_Productivity[[#This Row],[Period]]</f>
        <v>QC-Quality_Control-033-M1</v>
      </c>
      <c r="C804" t="s">
        <v>495</v>
      </c>
      <c r="D804" t="s">
        <v>48</v>
      </c>
      <c r="E804" t="s">
        <v>13</v>
      </c>
      <c r="F804" t="s">
        <v>268</v>
      </c>
      <c r="G804" t="s">
        <v>15</v>
      </c>
      <c r="H804" t="s">
        <v>12</v>
      </c>
      <c r="J804">
        <v>1.5</v>
      </c>
      <c r="K804" t="s">
        <v>12</v>
      </c>
      <c r="L804" t="s">
        <v>12</v>
      </c>
      <c r="M804" t="s">
        <v>12</v>
      </c>
      <c r="Q804" t="s">
        <v>438</v>
      </c>
      <c r="R804" t="s">
        <v>457</v>
      </c>
      <c r="S804" t="s">
        <v>442</v>
      </c>
      <c r="T804" t="s">
        <v>3469</v>
      </c>
      <c r="U804" t="s">
        <v>3467</v>
      </c>
      <c r="V804" t="s">
        <v>12</v>
      </c>
      <c r="W804" t="s">
        <v>3407</v>
      </c>
      <c r="X804" t="s">
        <v>3444</v>
      </c>
      <c r="Y804" t="s">
        <v>12</v>
      </c>
      <c r="Z804" t="s">
        <v>12</v>
      </c>
      <c r="AA804" t="s">
        <v>12</v>
      </c>
      <c r="AB804" t="s">
        <v>12</v>
      </c>
      <c r="AC804" t="s">
        <v>12</v>
      </c>
      <c r="AD804" t="s">
        <v>12</v>
      </c>
    </row>
    <row r="805" spans="1:30">
      <c r="A805" t="s">
        <v>494</v>
      </c>
      <c r="B805" t="str">
        <f>Master_Data_Productivity[[#This Row],[Uniq-ID]]&amp;"-"&amp;Master_Data_Productivity[[#This Row],[Period]]</f>
        <v>QC-Quality_Control-033-M2</v>
      </c>
      <c r="C805" t="s">
        <v>495</v>
      </c>
      <c r="D805" t="s">
        <v>48</v>
      </c>
      <c r="E805" t="s">
        <v>18</v>
      </c>
      <c r="F805" t="s">
        <v>270</v>
      </c>
      <c r="G805" t="s">
        <v>15</v>
      </c>
      <c r="H805" t="s">
        <v>12</v>
      </c>
      <c r="J805">
        <v>1.5</v>
      </c>
      <c r="K805" t="s">
        <v>12</v>
      </c>
      <c r="L805" t="s">
        <v>12</v>
      </c>
      <c r="M805" t="s">
        <v>12</v>
      </c>
      <c r="Q805" t="s">
        <v>438</v>
      </c>
      <c r="R805" t="s">
        <v>457</v>
      </c>
      <c r="S805" t="s">
        <v>442</v>
      </c>
      <c r="T805" t="s">
        <v>3472</v>
      </c>
      <c r="U805" t="s">
        <v>3433</v>
      </c>
      <c r="V805" t="s">
        <v>12</v>
      </c>
      <c r="W805" t="s">
        <v>3407</v>
      </c>
      <c r="X805" t="s">
        <v>3493</v>
      </c>
      <c r="Y805" t="s">
        <v>12</v>
      </c>
      <c r="Z805" t="s">
        <v>12</v>
      </c>
      <c r="AA805" t="s">
        <v>12</v>
      </c>
      <c r="AB805" t="s">
        <v>12</v>
      </c>
      <c r="AC805" t="s">
        <v>12</v>
      </c>
      <c r="AD805" t="s">
        <v>12</v>
      </c>
    </row>
    <row r="806" spans="1:30">
      <c r="A806" t="s">
        <v>494</v>
      </c>
      <c r="B806" t="str">
        <f>Master_Data_Productivity[[#This Row],[Uniq-ID]]&amp;"-"&amp;Master_Data_Productivity[[#This Row],[Period]]</f>
        <v>QC-Quality_Control-033-M3</v>
      </c>
      <c r="C806" t="s">
        <v>495</v>
      </c>
      <c r="D806" t="s">
        <v>48</v>
      </c>
      <c r="E806" t="s">
        <v>22</v>
      </c>
      <c r="F806" t="s">
        <v>272</v>
      </c>
      <c r="G806" t="s">
        <v>15</v>
      </c>
      <c r="H806" t="s">
        <v>12</v>
      </c>
      <c r="J806">
        <v>1.5</v>
      </c>
      <c r="K806" t="s">
        <v>12</v>
      </c>
      <c r="L806" t="s">
        <v>12</v>
      </c>
      <c r="M806" t="s">
        <v>12</v>
      </c>
      <c r="Q806" t="s">
        <v>438</v>
      </c>
      <c r="R806" t="s">
        <v>457</v>
      </c>
      <c r="S806" t="s">
        <v>442</v>
      </c>
      <c r="T806" t="s">
        <v>3424</v>
      </c>
      <c r="U806" t="s">
        <v>3447</v>
      </c>
      <c r="V806" t="s">
        <v>12</v>
      </c>
      <c r="W806" t="s">
        <v>3407</v>
      </c>
      <c r="X806" t="s">
        <v>3446</v>
      </c>
      <c r="Y806" t="s">
        <v>12</v>
      </c>
      <c r="Z806" t="s">
        <v>12</v>
      </c>
      <c r="AA806" t="s">
        <v>12</v>
      </c>
      <c r="AB806" t="s">
        <v>12</v>
      </c>
      <c r="AC806" t="s">
        <v>12</v>
      </c>
      <c r="AD806" t="s">
        <v>12</v>
      </c>
    </row>
    <row r="807" spans="1:30">
      <c r="A807" t="s">
        <v>494</v>
      </c>
      <c r="B807" t="str">
        <f>Master_Data_Productivity[[#This Row],[Uniq-ID]]&amp;"-"&amp;Master_Data_Productivity[[#This Row],[Period]]</f>
        <v>QC-Quality_Control-033-M4</v>
      </c>
      <c r="C807" t="s">
        <v>495</v>
      </c>
      <c r="D807" t="s">
        <v>48</v>
      </c>
      <c r="E807" t="s">
        <v>25</v>
      </c>
      <c r="F807" t="s">
        <v>274</v>
      </c>
      <c r="G807" t="s">
        <v>33</v>
      </c>
      <c r="H807" t="s">
        <v>12</v>
      </c>
      <c r="K807" t="s">
        <v>12</v>
      </c>
      <c r="L807" t="s">
        <v>12</v>
      </c>
      <c r="M807" t="s">
        <v>12</v>
      </c>
      <c r="Q807" t="s">
        <v>438</v>
      </c>
      <c r="R807" t="s">
        <v>457</v>
      </c>
      <c r="S807" t="s">
        <v>443</v>
      </c>
      <c r="T807" t="s">
        <v>12</v>
      </c>
      <c r="U807" t="s">
        <v>12</v>
      </c>
      <c r="V807" t="s">
        <v>12</v>
      </c>
      <c r="W807" t="s">
        <v>3407</v>
      </c>
      <c r="X807" t="s">
        <v>12</v>
      </c>
      <c r="Y807" t="s">
        <v>12</v>
      </c>
      <c r="Z807" t="s">
        <v>12</v>
      </c>
      <c r="AA807" t="s">
        <v>12</v>
      </c>
      <c r="AB807" t="s">
        <v>12</v>
      </c>
      <c r="AC807" t="s">
        <v>12</v>
      </c>
      <c r="AD807" t="s">
        <v>12</v>
      </c>
    </row>
    <row r="808" spans="1:30">
      <c r="A808" t="s">
        <v>496</v>
      </c>
      <c r="B808" t="str">
        <f>Master_Data_Productivity[[#This Row],[Uniq-ID]]&amp;"-"&amp;Master_Data_Productivity[[#This Row],[Period]]</f>
        <v>QC-Quality_Control-023-M1</v>
      </c>
      <c r="C808" t="s">
        <v>497</v>
      </c>
      <c r="D808" t="s">
        <v>76</v>
      </c>
      <c r="E808" t="s">
        <v>13</v>
      </c>
      <c r="F808" t="s">
        <v>37</v>
      </c>
      <c r="G808" t="s">
        <v>15</v>
      </c>
      <c r="H808" t="s">
        <v>12</v>
      </c>
      <c r="J808">
        <v>1.5</v>
      </c>
      <c r="K808" t="s">
        <v>12</v>
      </c>
      <c r="L808" t="s">
        <v>12</v>
      </c>
      <c r="M808" t="s">
        <v>12</v>
      </c>
      <c r="Q808" t="s">
        <v>438</v>
      </c>
      <c r="R808" t="s">
        <v>441</v>
      </c>
      <c r="S808" t="s">
        <v>442</v>
      </c>
      <c r="T808" t="s">
        <v>3463</v>
      </c>
      <c r="U808" t="s">
        <v>3415</v>
      </c>
      <c r="V808" t="s">
        <v>12</v>
      </c>
      <c r="W808" t="s">
        <v>3407</v>
      </c>
      <c r="X808" t="s">
        <v>3442</v>
      </c>
      <c r="Y808" t="s">
        <v>12</v>
      </c>
      <c r="Z808" t="s">
        <v>12</v>
      </c>
      <c r="AA808" t="s">
        <v>12</v>
      </c>
      <c r="AB808" t="s">
        <v>12</v>
      </c>
      <c r="AC808" t="s">
        <v>12</v>
      </c>
      <c r="AD808" t="s">
        <v>12</v>
      </c>
    </row>
    <row r="809" spans="1:30">
      <c r="A809" t="s">
        <v>496</v>
      </c>
      <c r="B809" t="str">
        <f>Master_Data_Productivity[[#This Row],[Uniq-ID]]&amp;"-"&amp;Master_Data_Productivity[[#This Row],[Period]]</f>
        <v>QC-Quality_Control-023-M2</v>
      </c>
      <c r="C809" t="s">
        <v>497</v>
      </c>
      <c r="D809" t="s">
        <v>76</v>
      </c>
      <c r="E809" t="s">
        <v>18</v>
      </c>
      <c r="F809" t="s">
        <v>39</v>
      </c>
      <c r="G809" t="s">
        <v>15</v>
      </c>
      <c r="H809" t="s">
        <v>12</v>
      </c>
      <c r="J809">
        <v>1.5</v>
      </c>
      <c r="K809" t="s">
        <v>12</v>
      </c>
      <c r="L809" t="s">
        <v>12</v>
      </c>
      <c r="M809" t="s">
        <v>12</v>
      </c>
      <c r="Q809" t="s">
        <v>438</v>
      </c>
      <c r="R809" t="s">
        <v>441</v>
      </c>
      <c r="S809" t="s">
        <v>442</v>
      </c>
      <c r="T809" t="s">
        <v>3410</v>
      </c>
      <c r="U809" t="s">
        <v>3439</v>
      </c>
      <c r="V809" t="s">
        <v>3437</v>
      </c>
      <c r="W809" t="s">
        <v>3407</v>
      </c>
      <c r="X809" t="s">
        <v>3424</v>
      </c>
      <c r="Y809" t="s">
        <v>12</v>
      </c>
      <c r="Z809" t="s">
        <v>12</v>
      </c>
      <c r="AA809" t="s">
        <v>12</v>
      </c>
      <c r="AB809" t="s">
        <v>12</v>
      </c>
      <c r="AC809" t="s">
        <v>12</v>
      </c>
      <c r="AD809" t="s">
        <v>12</v>
      </c>
    </row>
    <row r="810" spans="1:30">
      <c r="A810" t="s">
        <v>496</v>
      </c>
      <c r="B810" t="str">
        <f>Master_Data_Productivity[[#This Row],[Uniq-ID]]&amp;"-"&amp;Master_Data_Productivity[[#This Row],[Period]]</f>
        <v>QC-Quality_Control-023-M3</v>
      </c>
      <c r="C810" t="s">
        <v>497</v>
      </c>
      <c r="D810" t="s">
        <v>76</v>
      </c>
      <c r="E810" t="s">
        <v>22</v>
      </c>
      <c r="F810" t="s">
        <v>41</v>
      </c>
      <c r="G810" t="s">
        <v>15</v>
      </c>
      <c r="H810" t="s">
        <v>12</v>
      </c>
      <c r="J810">
        <v>1.5</v>
      </c>
      <c r="K810" t="s">
        <v>12</v>
      </c>
      <c r="L810" t="s">
        <v>12</v>
      </c>
      <c r="M810" t="s">
        <v>12</v>
      </c>
      <c r="Q810" t="s">
        <v>438</v>
      </c>
      <c r="R810" t="s">
        <v>441</v>
      </c>
      <c r="S810" t="s">
        <v>442</v>
      </c>
      <c r="T810" t="s">
        <v>3428</v>
      </c>
      <c r="U810" t="s">
        <v>3437</v>
      </c>
      <c r="V810" t="s">
        <v>12</v>
      </c>
      <c r="W810" t="s">
        <v>3407</v>
      </c>
      <c r="X810" t="s">
        <v>3446</v>
      </c>
      <c r="Y810" t="s">
        <v>12</v>
      </c>
      <c r="Z810" t="s">
        <v>12</v>
      </c>
      <c r="AA810" t="s">
        <v>12</v>
      </c>
      <c r="AB810" t="s">
        <v>12</v>
      </c>
      <c r="AC810" t="s">
        <v>12</v>
      </c>
      <c r="AD810" t="s">
        <v>12</v>
      </c>
    </row>
    <row r="811" spans="1:30">
      <c r="A811" t="s">
        <v>496</v>
      </c>
      <c r="B811" t="str">
        <f>Master_Data_Productivity[[#This Row],[Uniq-ID]]&amp;"-"&amp;Master_Data_Productivity[[#This Row],[Period]]</f>
        <v>QC-Quality_Control-023-M4</v>
      </c>
      <c r="C811" t="s">
        <v>497</v>
      </c>
      <c r="D811" t="s">
        <v>76</v>
      </c>
      <c r="E811" t="s">
        <v>25</v>
      </c>
      <c r="F811" t="s">
        <v>43</v>
      </c>
      <c r="G811" t="s">
        <v>33</v>
      </c>
      <c r="H811" t="s">
        <v>12</v>
      </c>
      <c r="K811" t="s">
        <v>12</v>
      </c>
      <c r="L811" t="s">
        <v>12</v>
      </c>
      <c r="M811" t="s">
        <v>12</v>
      </c>
      <c r="Q811" t="s">
        <v>438</v>
      </c>
      <c r="R811" t="s">
        <v>441</v>
      </c>
      <c r="S811" t="s">
        <v>443</v>
      </c>
      <c r="T811" t="s">
        <v>12</v>
      </c>
      <c r="U811" t="s">
        <v>12</v>
      </c>
      <c r="V811" t="s">
        <v>12</v>
      </c>
      <c r="W811" t="s">
        <v>3407</v>
      </c>
      <c r="X811" t="s">
        <v>12</v>
      </c>
      <c r="Y811" t="s">
        <v>12</v>
      </c>
      <c r="Z811" t="s">
        <v>12</v>
      </c>
      <c r="AA811" t="s">
        <v>12</v>
      </c>
      <c r="AB811" t="s">
        <v>12</v>
      </c>
      <c r="AC811" t="s">
        <v>12</v>
      </c>
      <c r="AD811" t="s">
        <v>12</v>
      </c>
    </row>
    <row r="812" spans="1:30">
      <c r="A812" t="s">
        <v>498</v>
      </c>
      <c r="B812" t="str">
        <f>Master_Data_Productivity[[#This Row],[Uniq-ID]]&amp;"-"&amp;Master_Data_Productivity[[#This Row],[Period]]</f>
        <v>QC-Quality_Control-011-M1</v>
      </c>
      <c r="C812" t="s">
        <v>499</v>
      </c>
      <c r="D812" t="s">
        <v>76</v>
      </c>
      <c r="E812" t="s">
        <v>13</v>
      </c>
      <c r="F812" t="s">
        <v>14</v>
      </c>
      <c r="G812" t="s">
        <v>15</v>
      </c>
      <c r="H812" t="s">
        <v>12</v>
      </c>
      <c r="J812">
        <v>1.5</v>
      </c>
      <c r="K812" t="s">
        <v>12</v>
      </c>
      <c r="L812" t="s">
        <v>12</v>
      </c>
      <c r="M812" t="s">
        <v>12</v>
      </c>
      <c r="Q812" t="s">
        <v>438</v>
      </c>
      <c r="R812" t="s">
        <v>500</v>
      </c>
      <c r="S812" t="s">
        <v>442</v>
      </c>
      <c r="T812" t="s">
        <v>3463</v>
      </c>
      <c r="U812" t="s">
        <v>3457</v>
      </c>
      <c r="V812" t="s">
        <v>12</v>
      </c>
      <c r="W812" t="s">
        <v>3422</v>
      </c>
      <c r="X812" t="s">
        <v>3432</v>
      </c>
      <c r="Y812" t="s">
        <v>12</v>
      </c>
      <c r="Z812" t="s">
        <v>12</v>
      </c>
      <c r="AA812" t="s">
        <v>12</v>
      </c>
      <c r="AB812" t="s">
        <v>12</v>
      </c>
      <c r="AC812" t="s">
        <v>12</v>
      </c>
      <c r="AD812" t="s">
        <v>12</v>
      </c>
    </row>
    <row r="813" spans="1:30">
      <c r="A813" t="s">
        <v>498</v>
      </c>
      <c r="B813" t="str">
        <f>Master_Data_Productivity[[#This Row],[Uniq-ID]]&amp;"-"&amp;Master_Data_Productivity[[#This Row],[Period]]</f>
        <v>QC-Quality_Control-011-M2</v>
      </c>
      <c r="C813" t="s">
        <v>499</v>
      </c>
      <c r="D813" t="s">
        <v>76</v>
      </c>
      <c r="E813" t="s">
        <v>18</v>
      </c>
      <c r="F813" t="s">
        <v>19</v>
      </c>
      <c r="G813" t="s">
        <v>15</v>
      </c>
      <c r="H813" t="s">
        <v>12</v>
      </c>
      <c r="J813">
        <v>1.2</v>
      </c>
      <c r="K813" t="s">
        <v>12</v>
      </c>
      <c r="L813" t="s">
        <v>12</v>
      </c>
      <c r="M813" t="s">
        <v>12</v>
      </c>
      <c r="Q813" t="s">
        <v>438</v>
      </c>
      <c r="R813" t="s">
        <v>500</v>
      </c>
      <c r="S813" t="s">
        <v>442</v>
      </c>
      <c r="T813" t="s">
        <v>3422</v>
      </c>
      <c r="U813" t="s">
        <v>3447</v>
      </c>
      <c r="V813" t="s">
        <v>12</v>
      </c>
      <c r="W813" t="s">
        <v>3422</v>
      </c>
      <c r="X813" t="s">
        <v>3475</v>
      </c>
      <c r="Y813" t="s">
        <v>12</v>
      </c>
      <c r="Z813" t="s">
        <v>12</v>
      </c>
      <c r="AA813" t="s">
        <v>12</v>
      </c>
      <c r="AB813" t="s">
        <v>12</v>
      </c>
      <c r="AC813" t="s">
        <v>12</v>
      </c>
      <c r="AD813" t="s">
        <v>12</v>
      </c>
    </row>
    <row r="814" spans="1:30">
      <c r="A814" t="s">
        <v>498</v>
      </c>
      <c r="B814" t="str">
        <f>Master_Data_Productivity[[#This Row],[Uniq-ID]]&amp;"-"&amp;Master_Data_Productivity[[#This Row],[Period]]</f>
        <v>QC-Quality_Control-011-M3</v>
      </c>
      <c r="C814" t="s">
        <v>499</v>
      </c>
      <c r="D814" t="s">
        <v>76</v>
      </c>
      <c r="E814" t="s">
        <v>22</v>
      </c>
      <c r="F814" t="s">
        <v>23</v>
      </c>
      <c r="G814" t="s">
        <v>15</v>
      </c>
      <c r="H814" t="s">
        <v>12</v>
      </c>
      <c r="J814">
        <v>1.5</v>
      </c>
      <c r="K814" t="s">
        <v>12</v>
      </c>
      <c r="L814" t="s">
        <v>12</v>
      </c>
      <c r="M814" t="s">
        <v>12</v>
      </c>
      <c r="Q814" t="s">
        <v>438</v>
      </c>
      <c r="R814" t="s">
        <v>500</v>
      </c>
      <c r="S814" t="s">
        <v>442</v>
      </c>
      <c r="T814" t="s">
        <v>3494</v>
      </c>
      <c r="U814" t="s">
        <v>12</v>
      </c>
      <c r="V814" t="s">
        <v>12</v>
      </c>
      <c r="W814" t="s">
        <v>3422</v>
      </c>
      <c r="X814" t="s">
        <v>3494</v>
      </c>
      <c r="Y814" t="s">
        <v>12</v>
      </c>
      <c r="Z814" t="s">
        <v>12</v>
      </c>
      <c r="AA814" t="s">
        <v>12</v>
      </c>
      <c r="AB814" t="s">
        <v>12</v>
      </c>
      <c r="AC814" t="s">
        <v>12</v>
      </c>
      <c r="AD814" t="s">
        <v>12</v>
      </c>
    </row>
    <row r="815" spans="1:30">
      <c r="A815" t="s">
        <v>498</v>
      </c>
      <c r="B815" t="str">
        <f>Master_Data_Productivity[[#This Row],[Uniq-ID]]&amp;"-"&amp;Master_Data_Productivity[[#This Row],[Period]]</f>
        <v>QC-Quality_Control-011-M4</v>
      </c>
      <c r="C815" t="s">
        <v>499</v>
      </c>
      <c r="D815" t="s">
        <v>76</v>
      </c>
      <c r="E815" t="s">
        <v>25</v>
      </c>
      <c r="F815" t="s">
        <v>26</v>
      </c>
      <c r="G815" t="s">
        <v>15</v>
      </c>
      <c r="H815" t="s">
        <v>12</v>
      </c>
      <c r="J815">
        <v>1.5</v>
      </c>
      <c r="K815" t="s">
        <v>12</v>
      </c>
      <c r="L815" t="s">
        <v>12</v>
      </c>
      <c r="M815" t="s">
        <v>12</v>
      </c>
      <c r="Q815" t="s">
        <v>438</v>
      </c>
      <c r="R815" t="s">
        <v>500</v>
      </c>
      <c r="S815" t="s">
        <v>442</v>
      </c>
      <c r="T815" t="s">
        <v>3419</v>
      </c>
      <c r="U815" t="s">
        <v>3457</v>
      </c>
      <c r="V815" t="s">
        <v>12</v>
      </c>
      <c r="W815" t="s">
        <v>3422</v>
      </c>
      <c r="X815" t="s">
        <v>3474</v>
      </c>
      <c r="Y815" t="s">
        <v>12</v>
      </c>
      <c r="Z815" t="s">
        <v>12</v>
      </c>
      <c r="AA815" t="s">
        <v>12</v>
      </c>
      <c r="AB815" t="s">
        <v>12</v>
      </c>
      <c r="AC815" t="s">
        <v>12</v>
      </c>
      <c r="AD815" t="s">
        <v>12</v>
      </c>
    </row>
    <row r="816" spans="1:30">
      <c r="A816" t="s">
        <v>498</v>
      </c>
      <c r="B816" t="str">
        <f>Master_Data_Productivity[[#This Row],[Uniq-ID]]&amp;"-"&amp;Master_Data_Productivity[[#This Row],[Period]]</f>
        <v>QC-Quality_Control-011-M5</v>
      </c>
      <c r="C816" t="s">
        <v>499</v>
      </c>
      <c r="D816" t="s">
        <v>76</v>
      </c>
      <c r="E816" t="s">
        <v>28</v>
      </c>
      <c r="F816" t="s">
        <v>29</v>
      </c>
      <c r="G816" t="s">
        <v>15</v>
      </c>
      <c r="H816" t="s">
        <v>12</v>
      </c>
      <c r="J816">
        <v>1.4</v>
      </c>
      <c r="K816" t="s">
        <v>12</v>
      </c>
      <c r="L816" t="s">
        <v>12</v>
      </c>
      <c r="M816" t="s">
        <v>12</v>
      </c>
      <c r="Q816" t="s">
        <v>438</v>
      </c>
      <c r="R816" t="s">
        <v>500</v>
      </c>
      <c r="S816" t="s">
        <v>442</v>
      </c>
      <c r="T816" t="s">
        <v>3464</v>
      </c>
      <c r="U816" t="s">
        <v>12</v>
      </c>
      <c r="V816" t="s">
        <v>12</v>
      </c>
      <c r="W816" t="s">
        <v>3422</v>
      </c>
      <c r="X816" t="s">
        <v>3464</v>
      </c>
      <c r="Y816" t="s">
        <v>12</v>
      </c>
      <c r="Z816" t="s">
        <v>12</v>
      </c>
      <c r="AA816" t="s">
        <v>12</v>
      </c>
      <c r="AB816" t="s">
        <v>12</v>
      </c>
      <c r="AC816" t="s">
        <v>12</v>
      </c>
      <c r="AD816" t="s">
        <v>12</v>
      </c>
    </row>
    <row r="817" spans="1:30">
      <c r="A817" t="s">
        <v>498</v>
      </c>
      <c r="B817" t="str">
        <f>Master_Data_Productivity[[#This Row],[Uniq-ID]]&amp;"-"&amp;Master_Data_Productivity[[#This Row],[Period]]</f>
        <v>QC-Quality_Control-011-M6</v>
      </c>
      <c r="C817" t="s">
        <v>499</v>
      </c>
      <c r="D817" t="s">
        <v>76</v>
      </c>
      <c r="E817" t="s">
        <v>31</v>
      </c>
      <c r="F817" t="s">
        <v>32</v>
      </c>
      <c r="G817" t="s">
        <v>33</v>
      </c>
      <c r="H817" t="s">
        <v>12</v>
      </c>
      <c r="J817">
        <v>0.5</v>
      </c>
      <c r="K817" t="s">
        <v>12</v>
      </c>
      <c r="L817" t="s">
        <v>12</v>
      </c>
      <c r="M817" t="s">
        <v>12</v>
      </c>
      <c r="Q817" t="s">
        <v>438</v>
      </c>
      <c r="R817" t="s">
        <v>500</v>
      </c>
      <c r="S817" t="s">
        <v>443</v>
      </c>
      <c r="T817" t="s">
        <v>3411</v>
      </c>
      <c r="U817" t="s">
        <v>12</v>
      </c>
      <c r="V817" t="s">
        <v>12</v>
      </c>
      <c r="W817" t="s">
        <v>3422</v>
      </c>
      <c r="X817" t="s">
        <v>3411</v>
      </c>
      <c r="Y817" t="s">
        <v>12</v>
      </c>
      <c r="Z817" t="s">
        <v>12</v>
      </c>
      <c r="AA817" t="s">
        <v>12</v>
      </c>
      <c r="AB817" t="s">
        <v>12</v>
      </c>
      <c r="AC817" t="s">
        <v>12</v>
      </c>
      <c r="AD817" t="s">
        <v>12</v>
      </c>
    </row>
    <row r="818" spans="1:30">
      <c r="A818" t="s">
        <v>501</v>
      </c>
      <c r="B818" t="str">
        <f>Master_Data_Productivity[[#This Row],[Uniq-ID]]&amp;"-"&amp;Master_Data_Productivity[[#This Row],[Period]]</f>
        <v>QC-Quality_Control-020-M1</v>
      </c>
      <c r="C818" t="s">
        <v>502</v>
      </c>
      <c r="D818" t="s">
        <v>76</v>
      </c>
      <c r="E818" t="s">
        <v>13</v>
      </c>
      <c r="F818" t="s">
        <v>503</v>
      </c>
      <c r="G818" t="s">
        <v>15</v>
      </c>
      <c r="H818" t="s">
        <v>12</v>
      </c>
      <c r="J818">
        <v>1.5</v>
      </c>
      <c r="K818" t="s">
        <v>12</v>
      </c>
      <c r="L818" t="s">
        <v>12</v>
      </c>
      <c r="M818" t="s">
        <v>12</v>
      </c>
      <c r="Q818" t="s">
        <v>438</v>
      </c>
      <c r="R818" t="s">
        <v>446</v>
      </c>
      <c r="S818" t="s">
        <v>442</v>
      </c>
      <c r="T818" t="s">
        <v>3495</v>
      </c>
      <c r="U818" t="s">
        <v>12</v>
      </c>
      <c r="V818" t="s">
        <v>12</v>
      </c>
      <c r="W818" t="s">
        <v>3407</v>
      </c>
      <c r="X818" t="s">
        <v>3495</v>
      </c>
      <c r="Y818" t="s">
        <v>12</v>
      </c>
      <c r="Z818" t="s">
        <v>12</v>
      </c>
      <c r="AA818" t="s">
        <v>12</v>
      </c>
      <c r="AB818" t="s">
        <v>12</v>
      </c>
      <c r="AC818" t="s">
        <v>12</v>
      </c>
      <c r="AD818" t="s">
        <v>12</v>
      </c>
    </row>
    <row r="819" spans="1:30">
      <c r="A819" t="s">
        <v>501</v>
      </c>
      <c r="B819" t="str">
        <f>Master_Data_Productivity[[#This Row],[Uniq-ID]]&amp;"-"&amp;Master_Data_Productivity[[#This Row],[Period]]</f>
        <v>QC-Quality_Control-020-M2</v>
      </c>
      <c r="C819" t="s">
        <v>502</v>
      </c>
      <c r="D819" t="s">
        <v>76</v>
      </c>
      <c r="E819" t="s">
        <v>18</v>
      </c>
      <c r="F819" t="s">
        <v>504</v>
      </c>
      <c r="G819" t="s">
        <v>15</v>
      </c>
      <c r="H819" t="s">
        <v>12</v>
      </c>
      <c r="J819">
        <v>1.5</v>
      </c>
      <c r="K819" t="s">
        <v>12</v>
      </c>
      <c r="L819" t="s">
        <v>12</v>
      </c>
      <c r="M819" t="s">
        <v>12</v>
      </c>
      <c r="Q819" t="s">
        <v>438</v>
      </c>
      <c r="R819" t="s">
        <v>446</v>
      </c>
      <c r="S819" t="s">
        <v>442</v>
      </c>
      <c r="T819" t="s">
        <v>3484</v>
      </c>
      <c r="U819" t="s">
        <v>12</v>
      </c>
      <c r="V819" t="s">
        <v>12</v>
      </c>
      <c r="W819" t="s">
        <v>3407</v>
      </c>
      <c r="X819" t="s">
        <v>3484</v>
      </c>
      <c r="Y819" t="s">
        <v>12</v>
      </c>
      <c r="Z819" t="s">
        <v>12</v>
      </c>
      <c r="AA819" t="s">
        <v>12</v>
      </c>
      <c r="AB819" t="s">
        <v>12</v>
      </c>
      <c r="AC819" t="s">
        <v>12</v>
      </c>
      <c r="AD819" t="s">
        <v>12</v>
      </c>
    </row>
    <row r="820" spans="1:30">
      <c r="A820" t="s">
        <v>501</v>
      </c>
      <c r="B820" t="str">
        <f>Master_Data_Productivity[[#This Row],[Uniq-ID]]&amp;"-"&amp;Master_Data_Productivity[[#This Row],[Period]]</f>
        <v>QC-Quality_Control-020-M3</v>
      </c>
      <c r="C820" t="s">
        <v>502</v>
      </c>
      <c r="D820" t="s">
        <v>76</v>
      </c>
      <c r="E820" t="s">
        <v>22</v>
      </c>
      <c r="F820" t="s">
        <v>505</v>
      </c>
      <c r="G820" t="s">
        <v>15</v>
      </c>
      <c r="H820" t="s">
        <v>12</v>
      </c>
      <c r="J820">
        <v>1.5</v>
      </c>
      <c r="K820" t="s">
        <v>12</v>
      </c>
      <c r="L820" t="s">
        <v>12</v>
      </c>
      <c r="M820" t="s">
        <v>12</v>
      </c>
      <c r="Q820" t="s">
        <v>438</v>
      </c>
      <c r="R820" t="s">
        <v>446</v>
      </c>
      <c r="S820" t="s">
        <v>442</v>
      </c>
      <c r="T820" t="s">
        <v>3496</v>
      </c>
      <c r="U820" t="s">
        <v>12</v>
      </c>
      <c r="V820" t="s">
        <v>12</v>
      </c>
      <c r="W820" t="s">
        <v>3407</v>
      </c>
      <c r="X820" t="s">
        <v>3496</v>
      </c>
      <c r="Y820" t="s">
        <v>12</v>
      </c>
      <c r="Z820" t="s">
        <v>12</v>
      </c>
      <c r="AA820" t="s">
        <v>12</v>
      </c>
      <c r="AB820" t="s">
        <v>12</v>
      </c>
      <c r="AC820" t="s">
        <v>12</v>
      </c>
      <c r="AD820" t="s">
        <v>12</v>
      </c>
    </row>
    <row r="821" spans="1:30">
      <c r="A821" t="s">
        <v>501</v>
      </c>
      <c r="B821" t="str">
        <f>Master_Data_Productivity[[#This Row],[Uniq-ID]]&amp;"-"&amp;Master_Data_Productivity[[#This Row],[Period]]</f>
        <v>QC-Quality_Control-020-M4</v>
      </c>
      <c r="C821" t="s">
        <v>502</v>
      </c>
      <c r="D821" t="s">
        <v>76</v>
      </c>
      <c r="E821" t="s">
        <v>25</v>
      </c>
      <c r="F821" t="s">
        <v>506</v>
      </c>
      <c r="G821" t="s">
        <v>15</v>
      </c>
      <c r="H821" t="s">
        <v>12</v>
      </c>
      <c r="J821">
        <v>1.5</v>
      </c>
      <c r="K821" t="s">
        <v>12</v>
      </c>
      <c r="L821" t="s">
        <v>12</v>
      </c>
      <c r="M821" t="s">
        <v>12</v>
      </c>
      <c r="Q821" t="s">
        <v>438</v>
      </c>
      <c r="R821" t="s">
        <v>446</v>
      </c>
      <c r="S821" t="s">
        <v>442</v>
      </c>
      <c r="T821" t="s">
        <v>3442</v>
      </c>
      <c r="U821" t="s">
        <v>12</v>
      </c>
      <c r="V821" t="s">
        <v>12</v>
      </c>
      <c r="W821" t="s">
        <v>3407</v>
      </c>
      <c r="X821" t="s">
        <v>3442</v>
      </c>
      <c r="Y821" t="s">
        <v>12</v>
      </c>
      <c r="Z821" t="s">
        <v>12</v>
      </c>
      <c r="AA821" t="s">
        <v>12</v>
      </c>
      <c r="AB821" t="s">
        <v>12</v>
      </c>
      <c r="AC821" t="s">
        <v>12</v>
      </c>
      <c r="AD821" t="s">
        <v>12</v>
      </c>
    </row>
    <row r="822" spans="1:30">
      <c r="A822" t="s">
        <v>501</v>
      </c>
      <c r="B822" t="str">
        <f>Master_Data_Productivity[[#This Row],[Uniq-ID]]&amp;"-"&amp;Master_Data_Productivity[[#This Row],[Period]]</f>
        <v>QC-Quality_Control-020-M5</v>
      </c>
      <c r="C822" t="s">
        <v>502</v>
      </c>
      <c r="D822" t="s">
        <v>76</v>
      </c>
      <c r="E822" t="s">
        <v>28</v>
      </c>
      <c r="F822" t="s">
        <v>507</v>
      </c>
      <c r="G822" t="s">
        <v>33</v>
      </c>
      <c r="H822" t="s">
        <v>12</v>
      </c>
      <c r="J822">
        <v>1.25</v>
      </c>
      <c r="K822" t="s">
        <v>12</v>
      </c>
      <c r="L822" t="s">
        <v>12</v>
      </c>
      <c r="M822" t="s">
        <v>12</v>
      </c>
      <c r="Q822" t="s">
        <v>438</v>
      </c>
      <c r="R822" t="s">
        <v>446</v>
      </c>
      <c r="S822" t="s">
        <v>442</v>
      </c>
      <c r="T822" t="s">
        <v>3410</v>
      </c>
      <c r="U822" t="s">
        <v>12</v>
      </c>
      <c r="V822" t="s">
        <v>3418</v>
      </c>
      <c r="W822" t="s">
        <v>3407</v>
      </c>
      <c r="X822" t="s">
        <v>3494</v>
      </c>
      <c r="Y822" t="s">
        <v>12</v>
      </c>
      <c r="Z822" t="s">
        <v>12</v>
      </c>
      <c r="AA822" t="s">
        <v>12</v>
      </c>
      <c r="AB822" t="s">
        <v>12</v>
      </c>
      <c r="AC822" t="s">
        <v>12</v>
      </c>
      <c r="AD822" t="s">
        <v>12</v>
      </c>
    </row>
    <row r="823" spans="1:30">
      <c r="A823" t="s">
        <v>489</v>
      </c>
      <c r="B823" t="str">
        <f>Master_Data_Productivity[[#This Row],[Uniq-ID]]&amp;"-"&amp;Master_Data_Productivity[[#This Row],[Period]]</f>
        <v>QC-Quality_Control-013-M1</v>
      </c>
      <c r="C823" t="s">
        <v>490</v>
      </c>
      <c r="D823" t="s">
        <v>11</v>
      </c>
      <c r="E823" t="s">
        <v>13</v>
      </c>
      <c r="F823" t="s">
        <v>14</v>
      </c>
      <c r="G823" t="s">
        <v>15</v>
      </c>
      <c r="H823" t="s">
        <v>12</v>
      </c>
      <c r="J823">
        <v>1.5</v>
      </c>
      <c r="K823" t="s">
        <v>12</v>
      </c>
      <c r="L823" t="s">
        <v>12</v>
      </c>
      <c r="M823" t="s">
        <v>12</v>
      </c>
      <c r="Q823" t="s">
        <v>438</v>
      </c>
      <c r="R823" t="s">
        <v>475</v>
      </c>
      <c r="S823" t="s">
        <v>442</v>
      </c>
      <c r="T823" t="s">
        <v>3497</v>
      </c>
      <c r="U823" t="s">
        <v>3447</v>
      </c>
      <c r="V823" t="s">
        <v>12</v>
      </c>
      <c r="W823" t="s">
        <v>3407</v>
      </c>
      <c r="X823" t="s">
        <v>3444</v>
      </c>
      <c r="Y823" t="s">
        <v>12</v>
      </c>
      <c r="Z823" t="s">
        <v>12</v>
      </c>
      <c r="AA823" t="s">
        <v>12</v>
      </c>
      <c r="AB823" t="s">
        <v>12</v>
      </c>
      <c r="AC823" t="s">
        <v>12</v>
      </c>
      <c r="AD823" t="s">
        <v>12</v>
      </c>
    </row>
    <row r="824" spans="1:30">
      <c r="A824" t="s">
        <v>489</v>
      </c>
      <c r="B824" t="str">
        <f>Master_Data_Productivity[[#This Row],[Uniq-ID]]&amp;"-"&amp;Master_Data_Productivity[[#This Row],[Period]]</f>
        <v>QC-Quality_Control-013-M2</v>
      </c>
      <c r="C824" t="s">
        <v>490</v>
      </c>
      <c r="D824" t="s">
        <v>11</v>
      </c>
      <c r="E824" t="s">
        <v>18</v>
      </c>
      <c r="F824" t="s">
        <v>19</v>
      </c>
      <c r="G824" t="s">
        <v>15</v>
      </c>
      <c r="H824" t="s">
        <v>12</v>
      </c>
      <c r="J824">
        <v>1.5</v>
      </c>
      <c r="K824" t="s">
        <v>12</v>
      </c>
      <c r="L824" t="s">
        <v>12</v>
      </c>
      <c r="M824" t="s">
        <v>12</v>
      </c>
      <c r="Q824" t="s">
        <v>438</v>
      </c>
      <c r="R824" t="s">
        <v>475</v>
      </c>
      <c r="S824" t="s">
        <v>442</v>
      </c>
      <c r="T824" t="s">
        <v>3498</v>
      </c>
      <c r="U824" t="s">
        <v>3418</v>
      </c>
      <c r="V824" t="s">
        <v>12</v>
      </c>
      <c r="W824" t="s">
        <v>3407</v>
      </c>
      <c r="X824" t="s">
        <v>3499</v>
      </c>
      <c r="Y824" t="s">
        <v>12</v>
      </c>
      <c r="Z824" t="s">
        <v>12</v>
      </c>
      <c r="AA824" t="s">
        <v>12</v>
      </c>
      <c r="AB824" t="s">
        <v>12</v>
      </c>
      <c r="AC824" t="s">
        <v>12</v>
      </c>
      <c r="AD824" t="s">
        <v>12</v>
      </c>
    </row>
    <row r="825" spans="1:30">
      <c r="A825" t="s">
        <v>489</v>
      </c>
      <c r="B825" t="str">
        <f>Master_Data_Productivity[[#This Row],[Uniq-ID]]&amp;"-"&amp;Master_Data_Productivity[[#This Row],[Period]]</f>
        <v>QC-Quality_Control-013-M3</v>
      </c>
      <c r="C825" t="s">
        <v>490</v>
      </c>
      <c r="D825" t="s">
        <v>11</v>
      </c>
      <c r="E825" t="s">
        <v>22</v>
      </c>
      <c r="F825" t="s">
        <v>23</v>
      </c>
      <c r="G825" t="s">
        <v>15</v>
      </c>
      <c r="H825" t="s">
        <v>12</v>
      </c>
      <c r="J825">
        <v>1.5</v>
      </c>
      <c r="K825" t="s">
        <v>12</v>
      </c>
      <c r="L825" t="s">
        <v>12</v>
      </c>
      <c r="M825" t="s">
        <v>12</v>
      </c>
      <c r="Q825" t="s">
        <v>438</v>
      </c>
      <c r="R825" t="s">
        <v>475</v>
      </c>
      <c r="S825" t="s">
        <v>442</v>
      </c>
      <c r="T825" t="s">
        <v>3436</v>
      </c>
      <c r="U825" t="s">
        <v>12</v>
      </c>
      <c r="V825" t="s">
        <v>12</v>
      </c>
      <c r="W825" t="s">
        <v>3407</v>
      </c>
      <c r="X825" t="s">
        <v>3436</v>
      </c>
      <c r="Y825" t="s">
        <v>12</v>
      </c>
      <c r="Z825" t="s">
        <v>12</v>
      </c>
      <c r="AA825" t="s">
        <v>12</v>
      </c>
      <c r="AB825" t="s">
        <v>12</v>
      </c>
      <c r="AC825" t="s">
        <v>12</v>
      </c>
      <c r="AD825" t="s">
        <v>12</v>
      </c>
    </row>
    <row r="826" spans="1:30">
      <c r="A826" t="s">
        <v>489</v>
      </c>
      <c r="B826" t="str">
        <f>Master_Data_Productivity[[#This Row],[Uniq-ID]]&amp;"-"&amp;Master_Data_Productivity[[#This Row],[Period]]</f>
        <v>QC-Quality_Control-013-M4</v>
      </c>
      <c r="C826" t="s">
        <v>490</v>
      </c>
      <c r="D826" t="s">
        <v>11</v>
      </c>
      <c r="E826" t="s">
        <v>25</v>
      </c>
      <c r="F826" t="s">
        <v>26</v>
      </c>
      <c r="G826" t="s">
        <v>15</v>
      </c>
      <c r="H826" t="s">
        <v>12</v>
      </c>
      <c r="J826">
        <v>1.5</v>
      </c>
      <c r="K826" t="s">
        <v>12</v>
      </c>
      <c r="L826" t="s">
        <v>12</v>
      </c>
      <c r="M826" t="s">
        <v>12</v>
      </c>
      <c r="Q826" t="s">
        <v>438</v>
      </c>
      <c r="R826" t="s">
        <v>475</v>
      </c>
      <c r="S826" t="s">
        <v>442</v>
      </c>
      <c r="T826" t="s">
        <v>3438</v>
      </c>
      <c r="U826" t="s">
        <v>3447</v>
      </c>
      <c r="V826" t="s">
        <v>3418</v>
      </c>
      <c r="W826" t="s">
        <v>3407</v>
      </c>
      <c r="X826" t="s">
        <v>3444</v>
      </c>
      <c r="Y826" t="s">
        <v>12</v>
      </c>
      <c r="Z826" t="s">
        <v>12</v>
      </c>
      <c r="AA826" t="s">
        <v>12</v>
      </c>
      <c r="AB826" t="s">
        <v>12</v>
      </c>
      <c r="AC826" t="s">
        <v>12</v>
      </c>
      <c r="AD826" t="s">
        <v>12</v>
      </c>
    </row>
    <row r="827" spans="1:30">
      <c r="A827" t="s">
        <v>489</v>
      </c>
      <c r="B827" t="str">
        <f>Master_Data_Productivity[[#This Row],[Uniq-ID]]&amp;"-"&amp;Master_Data_Productivity[[#This Row],[Period]]</f>
        <v>QC-Quality_Control-013-M5</v>
      </c>
      <c r="C827" t="s">
        <v>490</v>
      </c>
      <c r="D827" t="s">
        <v>11</v>
      </c>
      <c r="E827" t="s">
        <v>28</v>
      </c>
      <c r="F827" t="s">
        <v>29</v>
      </c>
      <c r="G827" t="s">
        <v>15</v>
      </c>
      <c r="H827" t="s">
        <v>12</v>
      </c>
      <c r="J827">
        <v>1.5</v>
      </c>
      <c r="K827" t="s">
        <v>12</v>
      </c>
      <c r="L827" t="s">
        <v>12</v>
      </c>
      <c r="M827" t="s">
        <v>12</v>
      </c>
      <c r="Q827" t="s">
        <v>438</v>
      </c>
      <c r="R827" t="s">
        <v>475</v>
      </c>
      <c r="S827" t="s">
        <v>442</v>
      </c>
      <c r="T827" t="s">
        <v>3500</v>
      </c>
      <c r="U827" t="s">
        <v>12</v>
      </c>
      <c r="V827" t="s">
        <v>12</v>
      </c>
      <c r="W827" t="s">
        <v>3407</v>
      </c>
      <c r="X827" t="s">
        <v>3500</v>
      </c>
      <c r="Y827" t="s">
        <v>12</v>
      </c>
      <c r="Z827" t="s">
        <v>12</v>
      </c>
      <c r="AA827" t="s">
        <v>12</v>
      </c>
      <c r="AB827" t="s">
        <v>12</v>
      </c>
      <c r="AC827" t="s">
        <v>12</v>
      </c>
      <c r="AD827" t="s">
        <v>12</v>
      </c>
    </row>
    <row r="828" spans="1:30">
      <c r="A828" t="s">
        <v>489</v>
      </c>
      <c r="B828" t="str">
        <f>Master_Data_Productivity[[#This Row],[Uniq-ID]]&amp;"-"&amp;Master_Data_Productivity[[#This Row],[Period]]</f>
        <v>QC-Quality_Control-013-M6</v>
      </c>
      <c r="C828" t="s">
        <v>490</v>
      </c>
      <c r="D828" t="s">
        <v>11</v>
      </c>
      <c r="E828" t="s">
        <v>31</v>
      </c>
      <c r="F828" t="s">
        <v>32</v>
      </c>
      <c r="G828" t="s">
        <v>33</v>
      </c>
      <c r="H828" t="s">
        <v>12</v>
      </c>
      <c r="K828" t="s">
        <v>12</v>
      </c>
      <c r="L828" t="s">
        <v>12</v>
      </c>
      <c r="M828" t="s">
        <v>12</v>
      </c>
      <c r="Q828" t="s">
        <v>438</v>
      </c>
      <c r="R828" t="s">
        <v>475</v>
      </c>
      <c r="S828" t="s">
        <v>443</v>
      </c>
      <c r="T828" t="s">
        <v>12</v>
      </c>
      <c r="U828" t="s">
        <v>12</v>
      </c>
      <c r="V828" t="s">
        <v>12</v>
      </c>
      <c r="W828" t="s">
        <v>3407</v>
      </c>
      <c r="X828" t="s">
        <v>12</v>
      </c>
      <c r="Y828" t="s">
        <v>12</v>
      </c>
      <c r="Z828" t="s">
        <v>12</v>
      </c>
      <c r="AA828" t="s">
        <v>12</v>
      </c>
      <c r="AB828" t="s">
        <v>12</v>
      </c>
      <c r="AC828" t="s">
        <v>12</v>
      </c>
      <c r="AD828" t="s">
        <v>12</v>
      </c>
    </row>
    <row r="829" spans="1:30">
      <c r="A829" t="s">
        <v>444</v>
      </c>
      <c r="B829" t="str">
        <f>Master_Data_Productivity[[#This Row],[Uniq-ID]]&amp;"-"&amp;Master_Data_Productivity[[#This Row],[Period]]</f>
        <v>QC-Quality_Control-005-M1</v>
      </c>
      <c r="C829" t="s">
        <v>445</v>
      </c>
      <c r="D829" t="s">
        <v>76</v>
      </c>
      <c r="E829" t="s">
        <v>13</v>
      </c>
      <c r="F829" t="s">
        <v>447</v>
      </c>
      <c r="G829" t="s">
        <v>15</v>
      </c>
      <c r="H829" t="s">
        <v>12</v>
      </c>
      <c r="J829">
        <v>1.5</v>
      </c>
      <c r="K829" t="s">
        <v>12</v>
      </c>
      <c r="L829" t="s">
        <v>12</v>
      </c>
      <c r="M829" t="s">
        <v>12</v>
      </c>
      <c r="Q829" t="s">
        <v>438</v>
      </c>
      <c r="R829" t="s">
        <v>446</v>
      </c>
      <c r="S829" t="s">
        <v>442</v>
      </c>
      <c r="T829" t="s">
        <v>3454</v>
      </c>
      <c r="U829" t="s">
        <v>3455</v>
      </c>
      <c r="V829" t="s">
        <v>12</v>
      </c>
      <c r="W829" t="s">
        <v>3407</v>
      </c>
      <c r="X829" t="s">
        <v>3493</v>
      </c>
      <c r="Y829" t="s">
        <v>12</v>
      </c>
      <c r="Z829" t="s">
        <v>12</v>
      </c>
      <c r="AA829" t="s">
        <v>12</v>
      </c>
      <c r="AB829" t="s">
        <v>12</v>
      </c>
      <c r="AC829" t="s">
        <v>12</v>
      </c>
      <c r="AD829" t="s">
        <v>12</v>
      </c>
    </row>
    <row r="830" spans="1:30">
      <c r="A830" t="s">
        <v>444</v>
      </c>
      <c r="B830" t="str">
        <f>Master_Data_Productivity[[#This Row],[Uniq-ID]]&amp;"-"&amp;Master_Data_Productivity[[#This Row],[Period]]</f>
        <v>QC-Quality_Control-005-M2</v>
      </c>
      <c r="C830" t="s">
        <v>445</v>
      </c>
      <c r="D830" t="s">
        <v>76</v>
      </c>
      <c r="E830" t="s">
        <v>18</v>
      </c>
      <c r="F830" t="s">
        <v>448</v>
      </c>
      <c r="G830" t="s">
        <v>15</v>
      </c>
      <c r="H830" t="s">
        <v>12</v>
      </c>
      <c r="J830">
        <v>1.5</v>
      </c>
      <c r="K830" t="s">
        <v>12</v>
      </c>
      <c r="L830" t="s">
        <v>12</v>
      </c>
      <c r="M830" t="s">
        <v>12</v>
      </c>
      <c r="Q830" t="s">
        <v>438</v>
      </c>
      <c r="R830" t="s">
        <v>446</v>
      </c>
      <c r="S830" t="s">
        <v>442</v>
      </c>
      <c r="T830" t="s">
        <v>3501</v>
      </c>
      <c r="U830" t="s">
        <v>3437</v>
      </c>
      <c r="V830" t="s">
        <v>12</v>
      </c>
      <c r="W830" t="s">
        <v>3407</v>
      </c>
      <c r="X830" t="s">
        <v>3502</v>
      </c>
      <c r="Y830" t="s">
        <v>12</v>
      </c>
      <c r="Z830" t="s">
        <v>12</v>
      </c>
      <c r="AA830" t="s">
        <v>12</v>
      </c>
      <c r="AB830" t="s">
        <v>12</v>
      </c>
      <c r="AC830" t="s">
        <v>12</v>
      </c>
      <c r="AD830" t="s">
        <v>12</v>
      </c>
    </row>
    <row r="831" spans="1:30">
      <c r="A831" t="s">
        <v>444</v>
      </c>
      <c r="B831" t="str">
        <f>Master_Data_Productivity[[#This Row],[Uniq-ID]]&amp;"-"&amp;Master_Data_Productivity[[#This Row],[Period]]</f>
        <v>QC-Quality_Control-005-M3</v>
      </c>
      <c r="C831" t="s">
        <v>445</v>
      </c>
      <c r="D831" t="s">
        <v>76</v>
      </c>
      <c r="E831" t="s">
        <v>22</v>
      </c>
      <c r="F831" t="s">
        <v>449</v>
      </c>
      <c r="G831" t="s">
        <v>15</v>
      </c>
      <c r="H831" t="s">
        <v>12</v>
      </c>
      <c r="J831">
        <v>1.5</v>
      </c>
      <c r="K831" t="s">
        <v>12</v>
      </c>
      <c r="L831" t="s">
        <v>12</v>
      </c>
      <c r="M831" t="s">
        <v>12</v>
      </c>
      <c r="Q831" t="s">
        <v>438</v>
      </c>
      <c r="R831" t="s">
        <v>446</v>
      </c>
      <c r="S831" t="s">
        <v>442</v>
      </c>
      <c r="T831" t="s">
        <v>3454</v>
      </c>
      <c r="U831" t="s">
        <v>3437</v>
      </c>
      <c r="V831" t="s">
        <v>12</v>
      </c>
      <c r="W831" t="s">
        <v>3407</v>
      </c>
      <c r="X831" t="s">
        <v>3484</v>
      </c>
      <c r="Y831" t="s">
        <v>12</v>
      </c>
      <c r="Z831" t="s">
        <v>12</v>
      </c>
      <c r="AA831" t="s">
        <v>12</v>
      </c>
      <c r="AB831" t="s">
        <v>12</v>
      </c>
      <c r="AC831" t="s">
        <v>12</v>
      </c>
      <c r="AD831" t="s">
        <v>12</v>
      </c>
    </row>
    <row r="832" spans="1:30">
      <c r="A832" t="s">
        <v>444</v>
      </c>
      <c r="B832" t="str">
        <f>Master_Data_Productivity[[#This Row],[Uniq-ID]]&amp;"-"&amp;Master_Data_Productivity[[#This Row],[Period]]</f>
        <v>QC-Quality_Control-005-M4</v>
      </c>
      <c r="C832" t="s">
        <v>445</v>
      </c>
      <c r="D832" t="s">
        <v>76</v>
      </c>
      <c r="E832" t="s">
        <v>25</v>
      </c>
      <c r="F832" t="s">
        <v>450</v>
      </c>
      <c r="G832" t="s">
        <v>15</v>
      </c>
      <c r="H832" t="s">
        <v>12</v>
      </c>
      <c r="J832">
        <v>1.5</v>
      </c>
      <c r="K832" t="s">
        <v>12</v>
      </c>
      <c r="L832" t="s">
        <v>12</v>
      </c>
      <c r="M832" t="s">
        <v>12</v>
      </c>
      <c r="Q832" t="s">
        <v>438</v>
      </c>
      <c r="R832" t="s">
        <v>446</v>
      </c>
      <c r="S832" t="s">
        <v>442</v>
      </c>
      <c r="T832" t="s">
        <v>3436</v>
      </c>
      <c r="U832" t="s">
        <v>3418</v>
      </c>
      <c r="V832" t="s">
        <v>3418</v>
      </c>
      <c r="W832" t="s">
        <v>3407</v>
      </c>
      <c r="X832" t="s">
        <v>3438</v>
      </c>
      <c r="Y832" t="s">
        <v>12</v>
      </c>
      <c r="Z832" t="s">
        <v>12</v>
      </c>
      <c r="AA832" t="s">
        <v>12</v>
      </c>
      <c r="AB832" t="s">
        <v>12</v>
      </c>
      <c r="AC832" t="s">
        <v>12</v>
      </c>
      <c r="AD832" t="s">
        <v>12</v>
      </c>
    </row>
    <row r="833" spans="1:30">
      <c r="A833" t="s">
        <v>444</v>
      </c>
      <c r="B833" t="str">
        <f>Master_Data_Productivity[[#This Row],[Uniq-ID]]&amp;"-"&amp;Master_Data_Productivity[[#This Row],[Period]]</f>
        <v>QC-Quality_Control-005-M5</v>
      </c>
      <c r="C833" t="s">
        <v>445</v>
      </c>
      <c r="D833" t="s">
        <v>76</v>
      </c>
      <c r="E833" t="s">
        <v>28</v>
      </c>
      <c r="F833" t="s">
        <v>451</v>
      </c>
      <c r="G833" t="s">
        <v>15</v>
      </c>
      <c r="H833" t="s">
        <v>12</v>
      </c>
      <c r="J833">
        <v>1.5</v>
      </c>
      <c r="K833" t="s">
        <v>12</v>
      </c>
      <c r="L833" t="s">
        <v>12</v>
      </c>
      <c r="M833" t="s">
        <v>12</v>
      </c>
      <c r="Q833" t="s">
        <v>438</v>
      </c>
      <c r="R833" t="s">
        <v>446</v>
      </c>
      <c r="S833" t="s">
        <v>442</v>
      </c>
      <c r="T833" t="s">
        <v>3503</v>
      </c>
      <c r="U833" t="s">
        <v>3415</v>
      </c>
      <c r="V833" t="s">
        <v>3437</v>
      </c>
      <c r="W833" t="s">
        <v>3407</v>
      </c>
      <c r="X833" t="s">
        <v>3504</v>
      </c>
      <c r="Y833" t="s">
        <v>12</v>
      </c>
      <c r="Z833" t="s">
        <v>12</v>
      </c>
      <c r="AA833" t="s">
        <v>12</v>
      </c>
      <c r="AB833" t="s">
        <v>12</v>
      </c>
      <c r="AC833" t="s">
        <v>12</v>
      </c>
      <c r="AD833" t="s">
        <v>12</v>
      </c>
    </row>
    <row r="834" spans="1:30">
      <c r="A834" t="s">
        <v>444</v>
      </c>
      <c r="B834" t="str">
        <f>Master_Data_Productivity[[#This Row],[Uniq-ID]]&amp;"-"&amp;Master_Data_Productivity[[#This Row],[Period]]</f>
        <v>QC-Quality_Control-005-M6</v>
      </c>
      <c r="C834" t="s">
        <v>445</v>
      </c>
      <c r="D834" t="s">
        <v>76</v>
      </c>
      <c r="E834" t="s">
        <v>31</v>
      </c>
      <c r="F834" t="s">
        <v>452</v>
      </c>
      <c r="G834" t="s">
        <v>33</v>
      </c>
      <c r="H834" t="s">
        <v>12</v>
      </c>
      <c r="J834">
        <v>1.4</v>
      </c>
      <c r="K834" t="s">
        <v>12</v>
      </c>
      <c r="L834" t="s">
        <v>12</v>
      </c>
      <c r="M834" t="s">
        <v>12</v>
      </c>
      <c r="Q834" t="s">
        <v>438</v>
      </c>
      <c r="R834" t="s">
        <v>446</v>
      </c>
      <c r="S834" t="s">
        <v>442</v>
      </c>
      <c r="T834" t="s">
        <v>3463</v>
      </c>
      <c r="U834" t="s">
        <v>3418</v>
      </c>
      <c r="V834" t="s">
        <v>12</v>
      </c>
      <c r="W834" t="s">
        <v>3407</v>
      </c>
      <c r="X834" t="s">
        <v>3445</v>
      </c>
      <c r="Y834" t="s">
        <v>12</v>
      </c>
      <c r="Z834" t="s">
        <v>12</v>
      </c>
      <c r="AA834" t="s">
        <v>12</v>
      </c>
      <c r="AB834" t="s">
        <v>12</v>
      </c>
      <c r="AC834" t="s">
        <v>12</v>
      </c>
      <c r="AD834" t="s">
        <v>12</v>
      </c>
    </row>
    <row r="835" spans="1:30">
      <c r="A835" t="s">
        <v>523</v>
      </c>
      <c r="B835" t="str">
        <f>Master_Data_Productivity[[#This Row],[Uniq-ID]]&amp;"-"&amp;Master_Data_Productivity[[#This Row],[Period]]</f>
        <v>QC-Quality_Control-036-M1</v>
      </c>
      <c r="C835" t="s">
        <v>524</v>
      </c>
      <c r="D835" t="s">
        <v>525</v>
      </c>
      <c r="E835" t="s">
        <v>13</v>
      </c>
      <c r="F835" t="s">
        <v>526</v>
      </c>
      <c r="G835" t="s">
        <v>15</v>
      </c>
      <c r="H835" t="s">
        <v>12</v>
      </c>
      <c r="K835" t="s">
        <v>12</v>
      </c>
      <c r="L835" t="s">
        <v>12</v>
      </c>
      <c r="M835" t="s">
        <v>12</v>
      </c>
      <c r="Q835" t="s">
        <v>438</v>
      </c>
      <c r="R835" t="s">
        <v>446</v>
      </c>
      <c r="S835" t="s">
        <v>443</v>
      </c>
      <c r="T835" t="s">
        <v>12</v>
      </c>
      <c r="U835" t="s">
        <v>12</v>
      </c>
      <c r="V835" t="s">
        <v>12</v>
      </c>
      <c r="W835" t="s">
        <v>3407</v>
      </c>
      <c r="X835" t="s">
        <v>12</v>
      </c>
      <c r="Y835" t="s">
        <v>12</v>
      </c>
      <c r="Z835" t="s">
        <v>12</v>
      </c>
      <c r="AA835" t="s">
        <v>12</v>
      </c>
      <c r="AB835" t="s">
        <v>12</v>
      </c>
      <c r="AC835" t="s">
        <v>12</v>
      </c>
      <c r="AD835" t="s">
        <v>12</v>
      </c>
    </row>
    <row r="836" spans="1:30">
      <c r="A836" t="s">
        <v>523</v>
      </c>
      <c r="B836" t="str">
        <f>Master_Data_Productivity[[#This Row],[Uniq-ID]]&amp;"-"&amp;Master_Data_Productivity[[#This Row],[Period]]</f>
        <v>QC-Quality_Control-036-M2</v>
      </c>
      <c r="C836" t="s">
        <v>524</v>
      </c>
      <c r="D836" t="s">
        <v>525</v>
      </c>
      <c r="E836" t="s">
        <v>18</v>
      </c>
      <c r="F836" t="s">
        <v>527</v>
      </c>
      <c r="G836" t="s">
        <v>33</v>
      </c>
      <c r="H836" t="s">
        <v>12</v>
      </c>
      <c r="K836" t="s">
        <v>12</v>
      </c>
      <c r="L836" t="s">
        <v>12</v>
      </c>
      <c r="M836" t="s">
        <v>12</v>
      </c>
      <c r="Q836" t="s">
        <v>438</v>
      </c>
      <c r="R836" t="s">
        <v>446</v>
      </c>
      <c r="S836" t="s">
        <v>443</v>
      </c>
      <c r="T836" t="s">
        <v>12</v>
      </c>
      <c r="U836" t="s">
        <v>12</v>
      </c>
      <c r="V836" t="s">
        <v>12</v>
      </c>
      <c r="W836" t="s">
        <v>3407</v>
      </c>
      <c r="X836" t="s">
        <v>12</v>
      </c>
      <c r="Y836" t="s">
        <v>12</v>
      </c>
      <c r="Z836" t="s">
        <v>12</v>
      </c>
      <c r="AA836" t="s">
        <v>12</v>
      </c>
      <c r="AB836" t="s">
        <v>12</v>
      </c>
      <c r="AC836" t="s">
        <v>12</v>
      </c>
      <c r="AD836" t="s">
        <v>12</v>
      </c>
    </row>
    <row r="837" spans="1:30">
      <c r="A837" t="s">
        <v>523</v>
      </c>
      <c r="B837" t="str">
        <f>Master_Data_Productivity[[#This Row],[Uniq-ID]]&amp;"-"&amp;Master_Data_Productivity[[#This Row],[Period]]</f>
        <v>QC-Quality_Control-036-M3</v>
      </c>
      <c r="C837" t="s">
        <v>524</v>
      </c>
      <c r="D837" t="s">
        <v>525</v>
      </c>
      <c r="E837" t="s">
        <v>22</v>
      </c>
      <c r="F837" t="s">
        <v>3505</v>
      </c>
      <c r="G837" t="s">
        <v>225</v>
      </c>
      <c r="H837" t="s">
        <v>12</v>
      </c>
      <c r="K837" t="s">
        <v>12</v>
      </c>
      <c r="L837" t="s">
        <v>12</v>
      </c>
      <c r="M837" t="s">
        <v>12</v>
      </c>
      <c r="Q837" t="s">
        <v>438</v>
      </c>
      <c r="R837" t="s">
        <v>446</v>
      </c>
      <c r="S837" t="s">
        <v>443</v>
      </c>
      <c r="T837" t="s">
        <v>12</v>
      </c>
      <c r="U837" t="s">
        <v>12</v>
      </c>
      <c r="V837" t="s">
        <v>12</v>
      </c>
      <c r="W837" t="s">
        <v>3407</v>
      </c>
      <c r="X837" t="s">
        <v>12</v>
      </c>
      <c r="Y837" t="s">
        <v>12</v>
      </c>
      <c r="Z837" t="s">
        <v>12</v>
      </c>
      <c r="AA837" t="s">
        <v>12</v>
      </c>
      <c r="AB837" t="s">
        <v>12</v>
      </c>
      <c r="AC837" t="s">
        <v>12</v>
      </c>
      <c r="AD837" t="s">
        <v>12</v>
      </c>
    </row>
    <row r="838" spans="1:30">
      <c r="A838" t="s">
        <v>512</v>
      </c>
      <c r="B838" t="str">
        <f>Master_Data_Productivity[[#This Row],[Uniq-ID]]&amp;"-"&amp;Master_Data_Productivity[[#This Row],[Period]]</f>
        <v>QC-Quality_Control-019-M1</v>
      </c>
      <c r="C838" t="s">
        <v>513</v>
      </c>
      <c r="D838" t="s">
        <v>250</v>
      </c>
      <c r="E838" t="s">
        <v>13</v>
      </c>
      <c r="F838" t="s">
        <v>14</v>
      </c>
      <c r="G838" t="s">
        <v>15</v>
      </c>
      <c r="H838" t="s">
        <v>12</v>
      </c>
      <c r="K838" t="s">
        <v>12</v>
      </c>
      <c r="L838" t="s">
        <v>12</v>
      </c>
      <c r="M838" t="s">
        <v>12</v>
      </c>
      <c r="Q838" t="s">
        <v>438</v>
      </c>
      <c r="R838" t="s">
        <v>446</v>
      </c>
      <c r="S838" t="s">
        <v>443</v>
      </c>
      <c r="T838" t="s">
        <v>12</v>
      </c>
      <c r="U838" t="s">
        <v>12</v>
      </c>
      <c r="V838" t="s">
        <v>12</v>
      </c>
      <c r="W838" t="s">
        <v>3407</v>
      </c>
      <c r="X838" t="s">
        <v>12</v>
      </c>
      <c r="Y838" t="s">
        <v>12</v>
      </c>
      <c r="Z838" t="s">
        <v>12</v>
      </c>
      <c r="AA838" t="s">
        <v>12</v>
      </c>
      <c r="AB838" t="s">
        <v>12</v>
      </c>
      <c r="AC838" t="s">
        <v>12</v>
      </c>
      <c r="AD838" t="s">
        <v>12</v>
      </c>
    </row>
    <row r="839" spans="1:30">
      <c r="A839" t="s">
        <v>512</v>
      </c>
      <c r="B839" t="str">
        <f>Master_Data_Productivity[[#This Row],[Uniq-ID]]&amp;"-"&amp;Master_Data_Productivity[[#This Row],[Period]]</f>
        <v>QC-Quality_Control-019-M2</v>
      </c>
      <c r="C839" t="s">
        <v>513</v>
      </c>
      <c r="D839" t="s">
        <v>250</v>
      </c>
      <c r="E839" t="s">
        <v>18</v>
      </c>
      <c r="F839" t="s">
        <v>19</v>
      </c>
      <c r="G839" t="s">
        <v>15</v>
      </c>
      <c r="H839" t="s">
        <v>12</v>
      </c>
      <c r="K839" t="s">
        <v>12</v>
      </c>
      <c r="L839" t="s">
        <v>12</v>
      </c>
      <c r="M839" t="s">
        <v>12</v>
      </c>
      <c r="Q839" t="s">
        <v>438</v>
      </c>
      <c r="R839" t="s">
        <v>446</v>
      </c>
      <c r="S839" t="s">
        <v>443</v>
      </c>
      <c r="T839" t="s">
        <v>12</v>
      </c>
      <c r="U839" t="s">
        <v>12</v>
      </c>
      <c r="V839" t="s">
        <v>12</v>
      </c>
      <c r="W839" t="s">
        <v>3407</v>
      </c>
      <c r="X839" t="s">
        <v>12</v>
      </c>
      <c r="Y839" t="s">
        <v>12</v>
      </c>
      <c r="Z839" t="s">
        <v>12</v>
      </c>
      <c r="AA839" t="s">
        <v>12</v>
      </c>
      <c r="AB839" t="s">
        <v>12</v>
      </c>
      <c r="AC839" t="s">
        <v>12</v>
      </c>
      <c r="AD839" t="s">
        <v>12</v>
      </c>
    </row>
    <row r="840" spans="1:30">
      <c r="A840" t="s">
        <v>512</v>
      </c>
      <c r="B840" t="str">
        <f>Master_Data_Productivity[[#This Row],[Uniq-ID]]&amp;"-"&amp;Master_Data_Productivity[[#This Row],[Period]]</f>
        <v>QC-Quality_Control-019-M3</v>
      </c>
      <c r="C840" t="s">
        <v>513</v>
      </c>
      <c r="D840" t="s">
        <v>250</v>
      </c>
      <c r="E840" t="s">
        <v>22</v>
      </c>
      <c r="F840" t="s">
        <v>23</v>
      </c>
      <c r="G840" t="s">
        <v>15</v>
      </c>
      <c r="H840" t="s">
        <v>12</v>
      </c>
      <c r="K840" t="s">
        <v>12</v>
      </c>
      <c r="L840" t="s">
        <v>12</v>
      </c>
      <c r="M840" t="s">
        <v>12</v>
      </c>
      <c r="Q840" t="s">
        <v>438</v>
      </c>
      <c r="R840" t="s">
        <v>446</v>
      </c>
      <c r="S840" t="s">
        <v>443</v>
      </c>
      <c r="T840" t="s">
        <v>12</v>
      </c>
      <c r="U840" t="s">
        <v>12</v>
      </c>
      <c r="V840" t="s">
        <v>12</v>
      </c>
      <c r="W840" t="s">
        <v>3407</v>
      </c>
      <c r="X840" t="s">
        <v>12</v>
      </c>
      <c r="Y840" t="s">
        <v>12</v>
      </c>
      <c r="Z840" t="s">
        <v>12</v>
      </c>
      <c r="AA840" t="s">
        <v>12</v>
      </c>
      <c r="AB840" t="s">
        <v>12</v>
      </c>
      <c r="AC840" t="s">
        <v>12</v>
      </c>
      <c r="AD840" t="s">
        <v>12</v>
      </c>
    </row>
    <row r="841" spans="1:30">
      <c r="A841" t="s">
        <v>512</v>
      </c>
      <c r="B841" t="str">
        <f>Master_Data_Productivity[[#This Row],[Uniq-ID]]&amp;"-"&amp;Master_Data_Productivity[[#This Row],[Period]]</f>
        <v>QC-Quality_Control-019-M4</v>
      </c>
      <c r="C841" t="s">
        <v>513</v>
      </c>
      <c r="D841" t="s">
        <v>250</v>
      </c>
      <c r="E841" t="s">
        <v>25</v>
      </c>
      <c r="F841" t="s">
        <v>26</v>
      </c>
      <c r="G841" t="s">
        <v>15</v>
      </c>
      <c r="H841" t="s">
        <v>12</v>
      </c>
      <c r="K841" t="s">
        <v>12</v>
      </c>
      <c r="L841" t="s">
        <v>12</v>
      </c>
      <c r="M841" t="s">
        <v>12</v>
      </c>
      <c r="Q841" t="s">
        <v>438</v>
      </c>
      <c r="R841" t="s">
        <v>446</v>
      </c>
      <c r="S841" t="s">
        <v>443</v>
      </c>
      <c r="T841" t="s">
        <v>12</v>
      </c>
      <c r="U841" t="s">
        <v>12</v>
      </c>
      <c r="V841" t="s">
        <v>12</v>
      </c>
      <c r="W841" t="s">
        <v>3407</v>
      </c>
      <c r="X841" t="s">
        <v>12</v>
      </c>
      <c r="Y841" t="s">
        <v>12</v>
      </c>
      <c r="Z841" t="s">
        <v>12</v>
      </c>
      <c r="AA841" t="s">
        <v>12</v>
      </c>
      <c r="AB841" t="s">
        <v>12</v>
      </c>
      <c r="AC841" t="s">
        <v>12</v>
      </c>
      <c r="AD841" t="s">
        <v>12</v>
      </c>
    </row>
    <row r="842" spans="1:30">
      <c r="A842" t="s">
        <v>512</v>
      </c>
      <c r="B842" t="str">
        <f>Master_Data_Productivity[[#This Row],[Uniq-ID]]&amp;"-"&amp;Master_Data_Productivity[[#This Row],[Period]]</f>
        <v>QC-Quality_Control-019-M5</v>
      </c>
      <c r="C842" t="s">
        <v>513</v>
      </c>
      <c r="D842" t="s">
        <v>250</v>
      </c>
      <c r="E842" t="s">
        <v>28</v>
      </c>
      <c r="F842" t="s">
        <v>29</v>
      </c>
      <c r="G842" t="s">
        <v>15</v>
      </c>
      <c r="H842" t="s">
        <v>12</v>
      </c>
      <c r="K842" t="s">
        <v>12</v>
      </c>
      <c r="L842" t="s">
        <v>12</v>
      </c>
      <c r="M842" t="s">
        <v>12</v>
      </c>
      <c r="Q842" t="s">
        <v>438</v>
      </c>
      <c r="R842" t="s">
        <v>446</v>
      </c>
      <c r="S842" t="s">
        <v>443</v>
      </c>
      <c r="T842" t="s">
        <v>12</v>
      </c>
      <c r="U842" t="s">
        <v>12</v>
      </c>
      <c r="V842" t="s">
        <v>12</v>
      </c>
      <c r="W842" t="s">
        <v>3407</v>
      </c>
      <c r="X842" t="s">
        <v>12</v>
      </c>
      <c r="Y842" t="s">
        <v>12</v>
      </c>
      <c r="Z842" t="s">
        <v>12</v>
      </c>
      <c r="AA842" t="s">
        <v>12</v>
      </c>
      <c r="AB842" t="s">
        <v>12</v>
      </c>
      <c r="AC842" t="s">
        <v>12</v>
      </c>
      <c r="AD842" t="s">
        <v>12</v>
      </c>
    </row>
    <row r="843" spans="1:30">
      <c r="A843" t="s">
        <v>512</v>
      </c>
      <c r="B843" t="str">
        <f>Master_Data_Productivity[[#This Row],[Uniq-ID]]&amp;"-"&amp;Master_Data_Productivity[[#This Row],[Period]]</f>
        <v>QC-Quality_Control-019-M6</v>
      </c>
      <c r="C843" t="s">
        <v>513</v>
      </c>
      <c r="D843" t="s">
        <v>250</v>
      </c>
      <c r="E843" t="s">
        <v>31</v>
      </c>
      <c r="F843" t="s">
        <v>32</v>
      </c>
      <c r="G843" t="s">
        <v>33</v>
      </c>
      <c r="H843" t="s">
        <v>12</v>
      </c>
      <c r="K843" t="s">
        <v>12</v>
      </c>
      <c r="L843" t="s">
        <v>12</v>
      </c>
      <c r="M843" t="s">
        <v>12</v>
      </c>
      <c r="Q843" t="s">
        <v>438</v>
      </c>
      <c r="R843" t="s">
        <v>446</v>
      </c>
      <c r="S843" t="s">
        <v>443</v>
      </c>
      <c r="T843" t="s">
        <v>12</v>
      </c>
      <c r="U843" t="s">
        <v>12</v>
      </c>
      <c r="V843" t="s">
        <v>12</v>
      </c>
      <c r="W843" t="s">
        <v>3407</v>
      </c>
      <c r="X843" t="s">
        <v>12</v>
      </c>
      <c r="Y843" t="s">
        <v>12</v>
      </c>
      <c r="Z843" t="s">
        <v>12</v>
      </c>
      <c r="AA843" t="s">
        <v>12</v>
      </c>
      <c r="AB843" t="s">
        <v>12</v>
      </c>
      <c r="AC843" t="s">
        <v>12</v>
      </c>
      <c r="AD843" t="s">
        <v>12</v>
      </c>
    </row>
    <row r="844" spans="1:30">
      <c r="A844" t="s">
        <v>514</v>
      </c>
      <c r="B844" t="str">
        <f>Master_Data_Productivity[[#This Row],[Uniq-ID]]&amp;"-"&amp;Master_Data_Productivity[[#This Row],[Period]]</f>
        <v>QC-Quality_Control-028-M1</v>
      </c>
      <c r="C844" t="s">
        <v>515</v>
      </c>
      <c r="D844" t="s">
        <v>487</v>
      </c>
      <c r="E844" t="s">
        <v>13</v>
      </c>
      <c r="F844" t="s">
        <v>322</v>
      </c>
      <c r="G844" t="s">
        <v>15</v>
      </c>
      <c r="H844" t="s">
        <v>12</v>
      </c>
      <c r="K844" t="s">
        <v>12</v>
      </c>
      <c r="L844" t="s">
        <v>12</v>
      </c>
      <c r="M844" t="s">
        <v>12</v>
      </c>
      <c r="Q844" t="s">
        <v>438</v>
      </c>
      <c r="R844" t="s">
        <v>488</v>
      </c>
      <c r="S844" t="s">
        <v>443</v>
      </c>
      <c r="T844" t="s">
        <v>12</v>
      </c>
      <c r="U844" t="s">
        <v>12</v>
      </c>
      <c r="V844" t="s">
        <v>12</v>
      </c>
      <c r="W844" t="s">
        <v>3422</v>
      </c>
      <c r="X844" t="s">
        <v>12</v>
      </c>
      <c r="Y844" t="s">
        <v>12</v>
      </c>
      <c r="Z844" t="s">
        <v>12</v>
      </c>
      <c r="AA844" t="s">
        <v>12</v>
      </c>
      <c r="AB844" t="s">
        <v>12</v>
      </c>
      <c r="AC844" t="s">
        <v>12</v>
      </c>
      <c r="AD844" t="s">
        <v>12</v>
      </c>
    </row>
    <row r="845" spans="1:30">
      <c r="A845" t="s">
        <v>514</v>
      </c>
      <c r="B845" t="str">
        <f>Master_Data_Productivity[[#This Row],[Uniq-ID]]&amp;"-"&amp;Master_Data_Productivity[[#This Row],[Period]]</f>
        <v>QC-Quality_Control-028-M2</v>
      </c>
      <c r="C845" t="s">
        <v>515</v>
      </c>
      <c r="D845" t="s">
        <v>487</v>
      </c>
      <c r="E845" t="s">
        <v>18</v>
      </c>
      <c r="F845" t="s">
        <v>293</v>
      </c>
      <c r="G845" t="s">
        <v>15</v>
      </c>
      <c r="H845" t="s">
        <v>12</v>
      </c>
      <c r="K845" t="s">
        <v>12</v>
      </c>
      <c r="L845" t="s">
        <v>12</v>
      </c>
      <c r="M845" t="s">
        <v>12</v>
      </c>
      <c r="Q845" t="s">
        <v>438</v>
      </c>
      <c r="R845" t="s">
        <v>488</v>
      </c>
      <c r="S845" t="s">
        <v>443</v>
      </c>
      <c r="T845" t="s">
        <v>12</v>
      </c>
      <c r="U845" t="s">
        <v>12</v>
      </c>
      <c r="V845" t="s">
        <v>12</v>
      </c>
      <c r="W845" t="s">
        <v>3422</v>
      </c>
      <c r="X845" t="s">
        <v>12</v>
      </c>
      <c r="Y845" t="s">
        <v>12</v>
      </c>
      <c r="Z845" t="s">
        <v>12</v>
      </c>
      <c r="AA845" t="s">
        <v>12</v>
      </c>
      <c r="AB845" t="s">
        <v>12</v>
      </c>
      <c r="AC845" t="s">
        <v>12</v>
      </c>
      <c r="AD845" t="s">
        <v>12</v>
      </c>
    </row>
    <row r="846" spans="1:30">
      <c r="A846" t="s">
        <v>514</v>
      </c>
      <c r="B846" t="str">
        <f>Master_Data_Productivity[[#This Row],[Uniq-ID]]&amp;"-"&amp;Master_Data_Productivity[[#This Row],[Period]]</f>
        <v>QC-Quality_Control-028-M3</v>
      </c>
      <c r="C846" t="s">
        <v>515</v>
      </c>
      <c r="D846" t="s">
        <v>487</v>
      </c>
      <c r="E846" t="s">
        <v>22</v>
      </c>
      <c r="F846" t="s">
        <v>294</v>
      </c>
      <c r="G846" t="s">
        <v>33</v>
      </c>
      <c r="H846" t="s">
        <v>12</v>
      </c>
      <c r="J846">
        <v>1.4</v>
      </c>
      <c r="K846" t="s">
        <v>12</v>
      </c>
      <c r="L846" t="s">
        <v>12</v>
      </c>
      <c r="M846" t="s">
        <v>12</v>
      </c>
      <c r="Q846" t="s">
        <v>438</v>
      </c>
      <c r="R846" t="s">
        <v>488</v>
      </c>
      <c r="S846" t="s">
        <v>442</v>
      </c>
      <c r="T846" t="s">
        <v>3464</v>
      </c>
      <c r="U846" t="s">
        <v>12</v>
      </c>
      <c r="V846" t="s">
        <v>12</v>
      </c>
      <c r="W846" t="s">
        <v>3422</v>
      </c>
      <c r="X846" t="s">
        <v>3464</v>
      </c>
      <c r="Y846" t="s">
        <v>12</v>
      </c>
      <c r="Z846" t="s">
        <v>12</v>
      </c>
      <c r="AA846" t="s">
        <v>12</v>
      </c>
      <c r="AB846" t="s">
        <v>12</v>
      </c>
      <c r="AC846" t="s">
        <v>12</v>
      </c>
      <c r="AD846" t="s">
        <v>12</v>
      </c>
    </row>
    <row r="847" spans="1:30">
      <c r="A847" t="s">
        <v>516</v>
      </c>
      <c r="B847" t="str">
        <f>Master_Data_Productivity[[#This Row],[Uniq-ID]]&amp;"-"&amp;Master_Data_Productivity[[#This Row],[Period]]</f>
        <v>QC-Quality_Control-026-M1</v>
      </c>
      <c r="C847" t="s">
        <v>517</v>
      </c>
      <c r="D847" t="s">
        <v>48</v>
      </c>
      <c r="E847" t="s">
        <v>13</v>
      </c>
      <c r="F847" t="s">
        <v>253</v>
      </c>
      <c r="G847" t="s">
        <v>15</v>
      </c>
      <c r="H847" t="s">
        <v>12</v>
      </c>
      <c r="J847">
        <v>0.5</v>
      </c>
      <c r="K847" t="s">
        <v>12</v>
      </c>
      <c r="L847" t="s">
        <v>12</v>
      </c>
      <c r="M847" t="s">
        <v>12</v>
      </c>
      <c r="Q847" t="s">
        <v>438</v>
      </c>
      <c r="R847" t="s">
        <v>468</v>
      </c>
      <c r="S847" t="s">
        <v>443</v>
      </c>
      <c r="T847" t="s">
        <v>3443</v>
      </c>
      <c r="U847" t="s">
        <v>3457</v>
      </c>
      <c r="V847" t="s">
        <v>12</v>
      </c>
      <c r="W847" t="s">
        <v>3407</v>
      </c>
      <c r="X847" t="s">
        <v>3420</v>
      </c>
      <c r="Y847" t="s">
        <v>12</v>
      </c>
      <c r="Z847" t="s">
        <v>12</v>
      </c>
      <c r="AA847" t="s">
        <v>12</v>
      </c>
      <c r="AB847" t="s">
        <v>12</v>
      </c>
      <c r="AC847" t="s">
        <v>12</v>
      </c>
      <c r="AD847" t="s">
        <v>12</v>
      </c>
    </row>
    <row r="848" spans="1:30">
      <c r="A848" t="s">
        <v>516</v>
      </c>
      <c r="B848" t="str">
        <f>Master_Data_Productivity[[#This Row],[Uniq-ID]]&amp;"-"&amp;Master_Data_Productivity[[#This Row],[Period]]</f>
        <v>QC-Quality_Control-026-M2</v>
      </c>
      <c r="C848" t="s">
        <v>517</v>
      </c>
      <c r="D848" t="s">
        <v>48</v>
      </c>
      <c r="E848" t="s">
        <v>18</v>
      </c>
      <c r="F848" t="s">
        <v>255</v>
      </c>
      <c r="G848" t="s">
        <v>15</v>
      </c>
      <c r="H848" t="s">
        <v>12</v>
      </c>
      <c r="J848">
        <v>1.5</v>
      </c>
      <c r="K848" t="s">
        <v>12</v>
      </c>
      <c r="L848" t="s">
        <v>12</v>
      </c>
      <c r="M848" t="s">
        <v>12</v>
      </c>
      <c r="Q848" t="s">
        <v>438</v>
      </c>
      <c r="R848" t="s">
        <v>468</v>
      </c>
      <c r="S848" t="s">
        <v>442</v>
      </c>
      <c r="T848" t="s">
        <v>3472</v>
      </c>
      <c r="U848" t="s">
        <v>3415</v>
      </c>
      <c r="V848" t="s">
        <v>12</v>
      </c>
      <c r="W848" t="s">
        <v>3407</v>
      </c>
      <c r="X848" t="s">
        <v>3483</v>
      </c>
      <c r="Y848" t="s">
        <v>12</v>
      </c>
      <c r="Z848" t="s">
        <v>12</v>
      </c>
      <c r="AA848" t="s">
        <v>12</v>
      </c>
      <c r="AB848" t="s">
        <v>12</v>
      </c>
      <c r="AC848" t="s">
        <v>12</v>
      </c>
      <c r="AD848" t="s">
        <v>12</v>
      </c>
    </row>
    <row r="849" spans="1:30">
      <c r="A849" t="s">
        <v>516</v>
      </c>
      <c r="B849" t="str">
        <f>Master_Data_Productivity[[#This Row],[Uniq-ID]]&amp;"-"&amp;Master_Data_Productivity[[#This Row],[Period]]</f>
        <v>QC-Quality_Control-026-M3</v>
      </c>
      <c r="C849" t="s">
        <v>517</v>
      </c>
      <c r="D849" t="s">
        <v>48</v>
      </c>
      <c r="E849" t="s">
        <v>22</v>
      </c>
      <c r="F849" t="s">
        <v>257</v>
      </c>
      <c r="G849" t="s">
        <v>33</v>
      </c>
      <c r="H849" t="s">
        <v>12</v>
      </c>
      <c r="J849">
        <v>0.5</v>
      </c>
      <c r="K849" t="s">
        <v>12</v>
      </c>
      <c r="L849" t="s">
        <v>12</v>
      </c>
      <c r="M849" t="s">
        <v>12</v>
      </c>
      <c r="Q849" t="s">
        <v>438</v>
      </c>
      <c r="R849" t="s">
        <v>468</v>
      </c>
      <c r="S849" t="s">
        <v>443</v>
      </c>
      <c r="T849" t="s">
        <v>3467</v>
      </c>
      <c r="U849" t="s">
        <v>12</v>
      </c>
      <c r="V849" t="s">
        <v>12</v>
      </c>
      <c r="W849" t="s">
        <v>3407</v>
      </c>
      <c r="X849" t="s">
        <v>3467</v>
      </c>
      <c r="Y849" t="s">
        <v>12</v>
      </c>
      <c r="Z849" t="s">
        <v>12</v>
      </c>
      <c r="AA849" t="s">
        <v>12</v>
      </c>
      <c r="AB849" t="s">
        <v>12</v>
      </c>
      <c r="AC849" t="s">
        <v>12</v>
      </c>
      <c r="AD849" t="s">
        <v>12</v>
      </c>
    </row>
    <row r="850" spans="1:30">
      <c r="A850" t="s">
        <v>521</v>
      </c>
      <c r="B850" t="str">
        <f>Master_Data_Productivity[[#This Row],[Uniq-ID]]&amp;"-"&amp;Master_Data_Productivity[[#This Row],[Period]]</f>
        <v>QC-Quality_Control-024-M1</v>
      </c>
      <c r="C850" t="s">
        <v>522</v>
      </c>
      <c r="D850" t="s">
        <v>250</v>
      </c>
      <c r="E850" t="s">
        <v>13</v>
      </c>
      <c r="F850" t="s">
        <v>37</v>
      </c>
      <c r="G850" t="s">
        <v>15</v>
      </c>
      <c r="H850" t="s">
        <v>12</v>
      </c>
      <c r="K850" t="s">
        <v>12</v>
      </c>
      <c r="L850" t="s">
        <v>12</v>
      </c>
      <c r="M850" t="s">
        <v>12</v>
      </c>
      <c r="Q850" t="s">
        <v>438</v>
      </c>
      <c r="R850" t="s">
        <v>446</v>
      </c>
      <c r="S850" t="s">
        <v>443</v>
      </c>
      <c r="T850" t="s">
        <v>12</v>
      </c>
      <c r="U850" t="s">
        <v>12</v>
      </c>
      <c r="V850" t="s">
        <v>12</v>
      </c>
      <c r="W850" t="s">
        <v>3407</v>
      </c>
      <c r="X850" t="s">
        <v>12</v>
      </c>
      <c r="Y850" t="s">
        <v>12</v>
      </c>
      <c r="Z850" t="s">
        <v>12</v>
      </c>
      <c r="AA850" t="s">
        <v>12</v>
      </c>
      <c r="AB850" t="s">
        <v>12</v>
      </c>
      <c r="AC850" t="s">
        <v>12</v>
      </c>
      <c r="AD850" t="s">
        <v>12</v>
      </c>
    </row>
    <row r="851" spans="1:30">
      <c r="A851" t="s">
        <v>521</v>
      </c>
      <c r="B851" t="str">
        <f>Master_Data_Productivity[[#This Row],[Uniq-ID]]&amp;"-"&amp;Master_Data_Productivity[[#This Row],[Period]]</f>
        <v>QC-Quality_Control-024-M2</v>
      </c>
      <c r="C851" t="s">
        <v>522</v>
      </c>
      <c r="D851" t="s">
        <v>250</v>
      </c>
      <c r="E851" t="s">
        <v>18</v>
      </c>
      <c r="F851" t="s">
        <v>39</v>
      </c>
      <c r="G851" t="s">
        <v>15</v>
      </c>
      <c r="H851" t="s">
        <v>12</v>
      </c>
      <c r="J851">
        <v>1.35</v>
      </c>
      <c r="K851" t="s">
        <v>12</v>
      </c>
      <c r="L851" t="s">
        <v>12</v>
      </c>
      <c r="M851" t="s">
        <v>12</v>
      </c>
      <c r="Q851" t="s">
        <v>438</v>
      </c>
      <c r="R851" t="s">
        <v>446</v>
      </c>
      <c r="S851" t="s">
        <v>442</v>
      </c>
      <c r="T851" t="s">
        <v>3463</v>
      </c>
      <c r="U851" t="s">
        <v>12</v>
      </c>
      <c r="V851" t="s">
        <v>12</v>
      </c>
      <c r="W851" t="s">
        <v>3407</v>
      </c>
      <c r="X851" t="s">
        <v>3463</v>
      </c>
      <c r="Y851" t="s">
        <v>12</v>
      </c>
      <c r="Z851" t="s">
        <v>12</v>
      </c>
      <c r="AA851" t="s">
        <v>12</v>
      </c>
      <c r="AB851" t="s">
        <v>12</v>
      </c>
      <c r="AC851" t="s">
        <v>12</v>
      </c>
      <c r="AD851" t="s">
        <v>12</v>
      </c>
    </row>
    <row r="852" spans="1:30">
      <c r="A852" t="s">
        <v>521</v>
      </c>
      <c r="B852" t="str">
        <f>Master_Data_Productivity[[#This Row],[Uniq-ID]]&amp;"-"&amp;Master_Data_Productivity[[#This Row],[Period]]</f>
        <v>QC-Quality_Control-024-M3</v>
      </c>
      <c r="C852" t="s">
        <v>522</v>
      </c>
      <c r="D852" t="s">
        <v>250</v>
      </c>
      <c r="E852" t="s">
        <v>22</v>
      </c>
      <c r="F852" t="s">
        <v>41</v>
      </c>
      <c r="G852" t="s">
        <v>15</v>
      </c>
      <c r="H852" t="s">
        <v>12</v>
      </c>
      <c r="J852">
        <v>0.55000000000000004</v>
      </c>
      <c r="K852" t="s">
        <v>12</v>
      </c>
      <c r="L852" t="s">
        <v>12</v>
      </c>
      <c r="M852" t="s">
        <v>12</v>
      </c>
      <c r="Q852" t="s">
        <v>438</v>
      </c>
      <c r="R852" t="s">
        <v>446</v>
      </c>
      <c r="S852" t="s">
        <v>443</v>
      </c>
      <c r="T852" t="s">
        <v>3408</v>
      </c>
      <c r="U852" t="s">
        <v>12</v>
      </c>
      <c r="V852" t="s">
        <v>12</v>
      </c>
      <c r="W852" t="s">
        <v>3407</v>
      </c>
      <c r="X852" t="s">
        <v>3408</v>
      </c>
      <c r="Y852" t="s">
        <v>12</v>
      </c>
      <c r="Z852" t="s">
        <v>12</v>
      </c>
      <c r="AA852" t="s">
        <v>12</v>
      </c>
      <c r="AB852" t="s">
        <v>12</v>
      </c>
      <c r="AC852" t="s">
        <v>12</v>
      </c>
      <c r="AD852" t="s">
        <v>12</v>
      </c>
    </row>
    <row r="853" spans="1:30">
      <c r="A853" t="s">
        <v>521</v>
      </c>
      <c r="B853" t="str">
        <f>Master_Data_Productivity[[#This Row],[Uniq-ID]]&amp;"-"&amp;Master_Data_Productivity[[#This Row],[Period]]</f>
        <v>QC-Quality_Control-024-M4</v>
      </c>
      <c r="C853" t="s">
        <v>522</v>
      </c>
      <c r="D853" t="s">
        <v>250</v>
      </c>
      <c r="E853" t="s">
        <v>25</v>
      </c>
      <c r="F853" t="s">
        <v>43</v>
      </c>
      <c r="G853" t="s">
        <v>33</v>
      </c>
      <c r="H853" t="s">
        <v>12</v>
      </c>
      <c r="J853">
        <v>0.55000000000000004</v>
      </c>
      <c r="K853" t="s">
        <v>12</v>
      </c>
      <c r="L853" t="s">
        <v>12</v>
      </c>
      <c r="M853" t="s">
        <v>12</v>
      </c>
      <c r="Q853" t="s">
        <v>438</v>
      </c>
      <c r="R853" t="s">
        <v>446</v>
      </c>
      <c r="S853" t="s">
        <v>443</v>
      </c>
      <c r="T853" t="s">
        <v>3408</v>
      </c>
      <c r="U853" t="s">
        <v>12</v>
      </c>
      <c r="V853" t="s">
        <v>12</v>
      </c>
      <c r="W853" t="s">
        <v>3407</v>
      </c>
      <c r="X853" t="s">
        <v>3408</v>
      </c>
      <c r="Y853" t="s">
        <v>12</v>
      </c>
      <c r="Z853" t="s">
        <v>12</v>
      </c>
      <c r="AA853" t="s">
        <v>12</v>
      </c>
      <c r="AB853" t="s">
        <v>12</v>
      </c>
      <c r="AC853" t="s">
        <v>12</v>
      </c>
      <c r="AD853" t="s">
        <v>12</v>
      </c>
    </row>
    <row r="854" spans="1:30">
      <c r="A854" t="s">
        <v>528</v>
      </c>
      <c r="B854" t="str">
        <f>Master_Data_Productivity[[#This Row],[Uniq-ID]]&amp;"-"&amp;Master_Data_Productivity[[#This Row],[Period]]</f>
        <v>QC-Quality_Control-032-M1</v>
      </c>
      <c r="C854" t="s">
        <v>529</v>
      </c>
      <c r="D854" t="s">
        <v>530</v>
      </c>
      <c r="E854" t="s">
        <v>13</v>
      </c>
      <c r="F854" t="s">
        <v>531</v>
      </c>
      <c r="G854" t="s">
        <v>15</v>
      </c>
      <c r="H854" t="s">
        <v>12</v>
      </c>
      <c r="K854" t="s">
        <v>12</v>
      </c>
      <c r="L854" t="s">
        <v>12</v>
      </c>
      <c r="M854" t="s">
        <v>12</v>
      </c>
      <c r="Q854" t="s">
        <v>438</v>
      </c>
      <c r="R854" t="s">
        <v>441</v>
      </c>
      <c r="S854" t="s">
        <v>443</v>
      </c>
      <c r="T854" t="s">
        <v>12</v>
      </c>
      <c r="U854" t="s">
        <v>12</v>
      </c>
      <c r="V854" t="s">
        <v>12</v>
      </c>
      <c r="W854" t="s">
        <v>3407</v>
      </c>
      <c r="X854" t="s">
        <v>12</v>
      </c>
      <c r="Y854" t="s">
        <v>12</v>
      </c>
      <c r="Z854" t="s">
        <v>12</v>
      </c>
      <c r="AA854" t="s">
        <v>12</v>
      </c>
      <c r="AB854" t="s">
        <v>12</v>
      </c>
      <c r="AC854" t="s">
        <v>12</v>
      </c>
      <c r="AD854" t="s">
        <v>12</v>
      </c>
    </row>
    <row r="855" spans="1:30">
      <c r="A855" t="s">
        <v>528</v>
      </c>
      <c r="B855" t="str">
        <f>Master_Data_Productivity[[#This Row],[Uniq-ID]]&amp;"-"&amp;Master_Data_Productivity[[#This Row],[Period]]</f>
        <v>QC-Quality_Control-032-M2</v>
      </c>
      <c r="C855" t="s">
        <v>529</v>
      </c>
      <c r="D855" t="s">
        <v>530</v>
      </c>
      <c r="E855" t="s">
        <v>18</v>
      </c>
      <c r="F855" t="s">
        <v>302</v>
      </c>
      <c r="G855" t="s">
        <v>15</v>
      </c>
      <c r="H855" t="s">
        <v>12</v>
      </c>
      <c r="K855" t="s">
        <v>12</v>
      </c>
      <c r="L855" t="s">
        <v>12</v>
      </c>
      <c r="M855" t="s">
        <v>12</v>
      </c>
      <c r="Q855" t="s">
        <v>438</v>
      </c>
      <c r="R855" t="s">
        <v>441</v>
      </c>
      <c r="S855" t="s">
        <v>443</v>
      </c>
      <c r="T855" t="s">
        <v>12</v>
      </c>
      <c r="U855" t="s">
        <v>12</v>
      </c>
      <c r="V855" t="s">
        <v>12</v>
      </c>
      <c r="W855" t="s">
        <v>3407</v>
      </c>
      <c r="X855" t="s">
        <v>12</v>
      </c>
      <c r="Y855" t="s">
        <v>12</v>
      </c>
      <c r="Z855" t="s">
        <v>12</v>
      </c>
      <c r="AA855" t="s">
        <v>12</v>
      </c>
      <c r="AB855" t="s">
        <v>12</v>
      </c>
      <c r="AC855" t="s">
        <v>12</v>
      </c>
      <c r="AD855" t="s">
        <v>12</v>
      </c>
    </row>
    <row r="856" spans="1:30">
      <c r="A856" t="s">
        <v>528</v>
      </c>
      <c r="B856" t="str">
        <f>Master_Data_Productivity[[#This Row],[Uniq-ID]]&amp;"-"&amp;Master_Data_Productivity[[#This Row],[Period]]</f>
        <v>QC-Quality_Control-032-M3</v>
      </c>
      <c r="C856" t="s">
        <v>529</v>
      </c>
      <c r="D856" t="s">
        <v>530</v>
      </c>
      <c r="E856" t="s">
        <v>22</v>
      </c>
      <c r="F856" t="s">
        <v>303</v>
      </c>
      <c r="G856" t="s">
        <v>33</v>
      </c>
      <c r="H856" t="s">
        <v>12</v>
      </c>
      <c r="K856" t="s">
        <v>12</v>
      </c>
      <c r="L856" t="s">
        <v>12</v>
      </c>
      <c r="M856" t="s">
        <v>12</v>
      </c>
      <c r="Q856" t="s">
        <v>438</v>
      </c>
      <c r="R856" t="s">
        <v>441</v>
      </c>
      <c r="S856" t="s">
        <v>443</v>
      </c>
      <c r="T856" t="s">
        <v>12</v>
      </c>
      <c r="U856" t="s">
        <v>12</v>
      </c>
      <c r="V856" t="s">
        <v>12</v>
      </c>
      <c r="W856" t="s">
        <v>3407</v>
      </c>
      <c r="X856" t="s">
        <v>12</v>
      </c>
      <c r="Y856" t="s">
        <v>12</v>
      </c>
      <c r="Z856" t="s">
        <v>12</v>
      </c>
      <c r="AA856" t="s">
        <v>12</v>
      </c>
      <c r="AB856" t="s">
        <v>12</v>
      </c>
      <c r="AC856" t="s">
        <v>12</v>
      </c>
      <c r="AD856" t="s">
        <v>12</v>
      </c>
    </row>
    <row r="857" spans="1:30">
      <c r="A857" t="s">
        <v>532</v>
      </c>
      <c r="B857" t="str">
        <f>Master_Data_Productivity[[#This Row],[Uniq-ID]]&amp;"-"&amp;Master_Data_Productivity[[#This Row],[Period]]</f>
        <v>QC-Quality_Control-022-M1</v>
      </c>
      <c r="C857" t="s">
        <v>533</v>
      </c>
      <c r="D857" t="s">
        <v>487</v>
      </c>
      <c r="E857" t="s">
        <v>13</v>
      </c>
      <c r="F857" t="s">
        <v>67</v>
      </c>
      <c r="G857" t="s">
        <v>15</v>
      </c>
      <c r="H857" t="s">
        <v>12</v>
      </c>
      <c r="K857" t="s">
        <v>12</v>
      </c>
      <c r="L857" t="s">
        <v>12</v>
      </c>
      <c r="M857" t="s">
        <v>12</v>
      </c>
      <c r="Q857" t="s">
        <v>438</v>
      </c>
      <c r="R857" t="s">
        <v>488</v>
      </c>
      <c r="S857" t="s">
        <v>443</v>
      </c>
      <c r="T857" t="s">
        <v>12</v>
      </c>
      <c r="U857" t="s">
        <v>12</v>
      </c>
      <c r="V857" t="s">
        <v>12</v>
      </c>
      <c r="W857" t="s">
        <v>3422</v>
      </c>
      <c r="X857" t="s">
        <v>12</v>
      </c>
      <c r="Y857" t="s">
        <v>12</v>
      </c>
      <c r="Z857" t="s">
        <v>12</v>
      </c>
      <c r="AA857" t="s">
        <v>12</v>
      </c>
      <c r="AB857" t="s">
        <v>12</v>
      </c>
      <c r="AC857" t="s">
        <v>12</v>
      </c>
      <c r="AD857" t="s">
        <v>12</v>
      </c>
    </row>
    <row r="858" spans="1:30">
      <c r="A858" t="s">
        <v>532</v>
      </c>
      <c r="B858" t="str">
        <f>Master_Data_Productivity[[#This Row],[Uniq-ID]]&amp;"-"&amp;Master_Data_Productivity[[#This Row],[Period]]</f>
        <v>QC-Quality_Control-022-M2</v>
      </c>
      <c r="C858" t="s">
        <v>533</v>
      </c>
      <c r="D858" t="s">
        <v>487</v>
      </c>
      <c r="E858" t="s">
        <v>18</v>
      </c>
      <c r="F858" t="s">
        <v>69</v>
      </c>
      <c r="G858" t="s">
        <v>15</v>
      </c>
      <c r="H858" t="s">
        <v>12</v>
      </c>
      <c r="J858">
        <v>1.1299999999999999</v>
      </c>
      <c r="K858" t="s">
        <v>12</v>
      </c>
      <c r="L858" t="s">
        <v>12</v>
      </c>
      <c r="M858" t="s">
        <v>12</v>
      </c>
      <c r="Q858" t="s">
        <v>438</v>
      </c>
      <c r="R858" t="s">
        <v>488</v>
      </c>
      <c r="S858" t="s">
        <v>442</v>
      </c>
      <c r="T858" t="s">
        <v>3467</v>
      </c>
      <c r="U858" t="s">
        <v>12</v>
      </c>
      <c r="V858" t="s">
        <v>3477</v>
      </c>
      <c r="W858" t="s">
        <v>3422</v>
      </c>
      <c r="X858" t="s">
        <v>3506</v>
      </c>
      <c r="Y858" t="s">
        <v>12</v>
      </c>
      <c r="Z858" t="s">
        <v>12</v>
      </c>
      <c r="AA858" t="s">
        <v>12</v>
      </c>
      <c r="AB858" t="s">
        <v>12</v>
      </c>
      <c r="AC858" t="s">
        <v>12</v>
      </c>
      <c r="AD858" t="s">
        <v>12</v>
      </c>
    </row>
    <row r="859" spans="1:30">
      <c r="A859" t="s">
        <v>532</v>
      </c>
      <c r="B859" t="str">
        <f>Master_Data_Productivity[[#This Row],[Uniq-ID]]&amp;"-"&amp;Master_Data_Productivity[[#This Row],[Period]]</f>
        <v>QC-Quality_Control-022-M3</v>
      </c>
      <c r="C859" t="s">
        <v>533</v>
      </c>
      <c r="D859" t="s">
        <v>487</v>
      </c>
      <c r="E859" t="s">
        <v>22</v>
      </c>
      <c r="F859" t="s">
        <v>71</v>
      </c>
      <c r="G859" t="s">
        <v>15</v>
      </c>
      <c r="H859" t="s">
        <v>12</v>
      </c>
      <c r="J859">
        <v>1.5</v>
      </c>
      <c r="K859" t="s">
        <v>12</v>
      </c>
      <c r="L859" t="s">
        <v>12</v>
      </c>
      <c r="M859" t="s">
        <v>12</v>
      </c>
      <c r="Q859" t="s">
        <v>438</v>
      </c>
      <c r="R859" t="s">
        <v>488</v>
      </c>
      <c r="S859" t="s">
        <v>442</v>
      </c>
      <c r="T859" t="s">
        <v>3477</v>
      </c>
      <c r="U859" t="s">
        <v>12</v>
      </c>
      <c r="V859" t="s">
        <v>3475</v>
      </c>
      <c r="W859" t="s">
        <v>3422</v>
      </c>
      <c r="X859" t="s">
        <v>3452</v>
      </c>
      <c r="Y859" t="s">
        <v>12</v>
      </c>
      <c r="Z859" t="s">
        <v>12</v>
      </c>
      <c r="AA859" t="s">
        <v>12</v>
      </c>
      <c r="AB859" t="s">
        <v>12</v>
      </c>
      <c r="AC859" t="s">
        <v>12</v>
      </c>
      <c r="AD859" t="s">
        <v>12</v>
      </c>
    </row>
    <row r="860" spans="1:30">
      <c r="A860" t="s">
        <v>532</v>
      </c>
      <c r="B860" t="str">
        <f>Master_Data_Productivity[[#This Row],[Uniq-ID]]&amp;"-"&amp;Master_Data_Productivity[[#This Row],[Period]]</f>
        <v>QC-Quality_Control-022-M4</v>
      </c>
      <c r="C860" t="s">
        <v>533</v>
      </c>
      <c r="D860" t="s">
        <v>487</v>
      </c>
      <c r="E860" t="s">
        <v>25</v>
      </c>
      <c r="F860" t="s">
        <v>73</v>
      </c>
      <c r="G860" t="s">
        <v>33</v>
      </c>
      <c r="H860" t="s">
        <v>12</v>
      </c>
      <c r="K860" t="s">
        <v>12</v>
      </c>
      <c r="L860" t="s">
        <v>12</v>
      </c>
      <c r="M860" t="s">
        <v>12</v>
      </c>
      <c r="Q860" t="s">
        <v>438</v>
      </c>
      <c r="R860" t="s">
        <v>488</v>
      </c>
      <c r="S860" t="s">
        <v>443</v>
      </c>
      <c r="T860" t="s">
        <v>12</v>
      </c>
      <c r="U860" t="s">
        <v>12</v>
      </c>
      <c r="V860" t="s">
        <v>12</v>
      </c>
      <c r="W860" t="s">
        <v>3422</v>
      </c>
      <c r="X860" t="s">
        <v>12</v>
      </c>
      <c r="Y860" t="s">
        <v>12</v>
      </c>
      <c r="Z860" t="s">
        <v>12</v>
      </c>
      <c r="AA860" t="s">
        <v>12</v>
      </c>
      <c r="AB860" t="s">
        <v>12</v>
      </c>
      <c r="AC860" t="s">
        <v>12</v>
      </c>
      <c r="AD860" t="s">
        <v>12</v>
      </c>
    </row>
    <row r="861" spans="1:30">
      <c r="A861" t="s">
        <v>534</v>
      </c>
      <c r="B861" t="str">
        <f>Master_Data_Productivity[[#This Row],[Uniq-ID]]&amp;"-"&amp;Master_Data_Productivity[[#This Row],[Period]]</f>
        <v>QC-Quality_Control-003-M1</v>
      </c>
      <c r="C861" t="s">
        <v>535</v>
      </c>
      <c r="D861" t="s">
        <v>11</v>
      </c>
      <c r="E861" t="s">
        <v>13</v>
      </c>
      <c r="F861" t="s">
        <v>49</v>
      </c>
      <c r="G861" t="s">
        <v>15</v>
      </c>
      <c r="H861" t="s">
        <v>12</v>
      </c>
      <c r="J861">
        <v>0.5</v>
      </c>
      <c r="K861" t="s">
        <v>12</v>
      </c>
      <c r="L861" t="s">
        <v>12</v>
      </c>
      <c r="M861" t="s">
        <v>12</v>
      </c>
      <c r="Q861" t="s">
        <v>438</v>
      </c>
      <c r="R861" t="s">
        <v>457</v>
      </c>
      <c r="S861" t="s">
        <v>443</v>
      </c>
      <c r="T861" t="s">
        <v>3437</v>
      </c>
      <c r="U861" t="s">
        <v>3439</v>
      </c>
      <c r="V861" t="s">
        <v>12</v>
      </c>
      <c r="W861" t="s">
        <v>3407</v>
      </c>
      <c r="X861" t="s">
        <v>3443</v>
      </c>
      <c r="Y861" t="s">
        <v>12</v>
      </c>
      <c r="Z861" t="s">
        <v>12</v>
      </c>
      <c r="AA861" t="s">
        <v>12</v>
      </c>
      <c r="AB861" t="s">
        <v>12</v>
      </c>
      <c r="AC861" t="s">
        <v>12</v>
      </c>
      <c r="AD861" t="s">
        <v>12</v>
      </c>
    </row>
    <row r="862" spans="1:30">
      <c r="A862" t="s">
        <v>534</v>
      </c>
      <c r="B862" t="str">
        <f>Master_Data_Productivity[[#This Row],[Uniq-ID]]&amp;"-"&amp;Master_Data_Productivity[[#This Row],[Period]]</f>
        <v>QC-Quality_Control-003-M2</v>
      </c>
      <c r="C862" t="s">
        <v>535</v>
      </c>
      <c r="D862" t="s">
        <v>11</v>
      </c>
      <c r="E862" t="s">
        <v>18</v>
      </c>
      <c r="F862" t="s">
        <v>51</v>
      </c>
      <c r="G862" t="s">
        <v>15</v>
      </c>
      <c r="H862" t="s">
        <v>12</v>
      </c>
      <c r="J862">
        <v>1.5</v>
      </c>
      <c r="K862" t="s">
        <v>12</v>
      </c>
      <c r="L862" t="s">
        <v>12</v>
      </c>
      <c r="M862" t="s">
        <v>12</v>
      </c>
      <c r="Q862" t="s">
        <v>438</v>
      </c>
      <c r="R862" t="s">
        <v>457</v>
      </c>
      <c r="S862" t="s">
        <v>442</v>
      </c>
      <c r="T862" t="s">
        <v>3452</v>
      </c>
      <c r="U862" t="s">
        <v>3443</v>
      </c>
      <c r="V862" t="s">
        <v>12</v>
      </c>
      <c r="W862" t="s">
        <v>3407</v>
      </c>
      <c r="X862" t="s">
        <v>3438</v>
      </c>
      <c r="Y862" t="s">
        <v>12</v>
      </c>
      <c r="Z862" t="s">
        <v>12</v>
      </c>
      <c r="AA862" t="s">
        <v>12</v>
      </c>
      <c r="AB862" t="s">
        <v>12</v>
      </c>
      <c r="AC862" t="s">
        <v>12</v>
      </c>
      <c r="AD862" t="s">
        <v>12</v>
      </c>
    </row>
    <row r="863" spans="1:30">
      <c r="A863" t="s">
        <v>534</v>
      </c>
      <c r="B863" t="str">
        <f>Master_Data_Productivity[[#This Row],[Uniq-ID]]&amp;"-"&amp;Master_Data_Productivity[[#This Row],[Period]]</f>
        <v>QC-Quality_Control-003-M3</v>
      </c>
      <c r="C863" t="s">
        <v>535</v>
      </c>
      <c r="D863" t="s">
        <v>11</v>
      </c>
      <c r="E863" t="s">
        <v>22</v>
      </c>
      <c r="F863" t="s">
        <v>52</v>
      </c>
      <c r="G863" t="s">
        <v>15</v>
      </c>
      <c r="H863" t="s">
        <v>12</v>
      </c>
      <c r="J863">
        <v>1.5</v>
      </c>
      <c r="K863" t="s">
        <v>12</v>
      </c>
      <c r="L863" t="s">
        <v>12</v>
      </c>
      <c r="M863" t="s">
        <v>12</v>
      </c>
      <c r="Q863" t="s">
        <v>438</v>
      </c>
      <c r="R863" t="s">
        <v>457</v>
      </c>
      <c r="S863" t="s">
        <v>442</v>
      </c>
      <c r="T863" t="s">
        <v>3407</v>
      </c>
      <c r="U863" t="s">
        <v>3420</v>
      </c>
      <c r="V863" t="s">
        <v>3437</v>
      </c>
      <c r="W863" t="s">
        <v>3407</v>
      </c>
      <c r="X863" t="s">
        <v>3413</v>
      </c>
      <c r="Y863" t="s">
        <v>12</v>
      </c>
      <c r="Z863" t="s">
        <v>12</v>
      </c>
      <c r="AA863" t="s">
        <v>12</v>
      </c>
      <c r="AB863" t="s">
        <v>12</v>
      </c>
      <c r="AC863" t="s">
        <v>12</v>
      </c>
      <c r="AD863" t="s">
        <v>12</v>
      </c>
    </row>
    <row r="864" spans="1:30">
      <c r="A864" t="s">
        <v>534</v>
      </c>
      <c r="B864" t="str">
        <f>Master_Data_Productivity[[#This Row],[Uniq-ID]]&amp;"-"&amp;Master_Data_Productivity[[#This Row],[Period]]</f>
        <v>QC-Quality_Control-003-M4</v>
      </c>
      <c r="C864" t="s">
        <v>535</v>
      </c>
      <c r="D864" t="s">
        <v>11</v>
      </c>
      <c r="E864" t="s">
        <v>25</v>
      </c>
      <c r="F864" t="s">
        <v>54</v>
      </c>
      <c r="G864" t="s">
        <v>15</v>
      </c>
      <c r="H864" t="s">
        <v>12</v>
      </c>
      <c r="J864">
        <v>1.5</v>
      </c>
      <c r="K864" t="s">
        <v>12</v>
      </c>
      <c r="L864" t="s">
        <v>12</v>
      </c>
      <c r="M864" t="s">
        <v>12</v>
      </c>
      <c r="Q864" t="s">
        <v>438</v>
      </c>
      <c r="R864" t="s">
        <v>457</v>
      </c>
      <c r="S864" t="s">
        <v>442</v>
      </c>
      <c r="T864" t="s">
        <v>3494</v>
      </c>
      <c r="U864" t="s">
        <v>3433</v>
      </c>
      <c r="V864" t="s">
        <v>3415</v>
      </c>
      <c r="W864" t="s">
        <v>3407</v>
      </c>
      <c r="X864" t="s">
        <v>3471</v>
      </c>
      <c r="Y864" t="s">
        <v>12</v>
      </c>
      <c r="Z864" t="s">
        <v>12</v>
      </c>
      <c r="AA864" t="s">
        <v>12</v>
      </c>
      <c r="AB864" t="s">
        <v>12</v>
      </c>
      <c r="AC864" t="s">
        <v>12</v>
      </c>
      <c r="AD864" t="s">
        <v>12</v>
      </c>
    </row>
    <row r="865" spans="1:30">
      <c r="A865" t="s">
        <v>534</v>
      </c>
      <c r="B865" t="str">
        <f>Master_Data_Productivity[[#This Row],[Uniq-ID]]&amp;"-"&amp;Master_Data_Productivity[[#This Row],[Period]]</f>
        <v>QC-Quality_Control-003-M5</v>
      </c>
      <c r="C865" t="s">
        <v>535</v>
      </c>
      <c r="D865" t="s">
        <v>11</v>
      </c>
      <c r="E865" t="s">
        <v>28</v>
      </c>
      <c r="F865" t="s">
        <v>56</v>
      </c>
      <c r="G865" t="s">
        <v>15</v>
      </c>
      <c r="H865" t="s">
        <v>12</v>
      </c>
      <c r="J865">
        <v>1.28</v>
      </c>
      <c r="K865" t="s">
        <v>12</v>
      </c>
      <c r="L865" t="s">
        <v>12</v>
      </c>
      <c r="M865" t="s">
        <v>12</v>
      </c>
      <c r="Q865" t="s">
        <v>438</v>
      </c>
      <c r="R865" t="s">
        <v>457</v>
      </c>
      <c r="S865" t="s">
        <v>442</v>
      </c>
      <c r="T865" t="s">
        <v>3407</v>
      </c>
      <c r="U865" t="s">
        <v>3431</v>
      </c>
      <c r="V865" t="s">
        <v>3437</v>
      </c>
      <c r="W865" t="s">
        <v>3407</v>
      </c>
      <c r="X865" t="s">
        <v>3412</v>
      </c>
      <c r="Y865" t="s">
        <v>12</v>
      </c>
      <c r="Z865" t="s">
        <v>12</v>
      </c>
      <c r="AA865" t="s">
        <v>12</v>
      </c>
      <c r="AB865" t="s">
        <v>12</v>
      </c>
      <c r="AC865" t="s">
        <v>12</v>
      </c>
      <c r="AD865" t="s">
        <v>12</v>
      </c>
    </row>
    <row r="866" spans="1:30">
      <c r="A866" t="s">
        <v>534</v>
      </c>
      <c r="B866" t="str">
        <f>Master_Data_Productivity[[#This Row],[Uniq-ID]]&amp;"-"&amp;Master_Data_Productivity[[#This Row],[Period]]</f>
        <v>QC-Quality_Control-003-M6</v>
      </c>
      <c r="C866" t="s">
        <v>535</v>
      </c>
      <c r="D866" t="s">
        <v>11</v>
      </c>
      <c r="E866" t="s">
        <v>31</v>
      </c>
      <c r="F866" t="s">
        <v>57</v>
      </c>
      <c r="G866" t="s">
        <v>33</v>
      </c>
      <c r="H866" t="s">
        <v>12</v>
      </c>
      <c r="J866">
        <v>0.5</v>
      </c>
      <c r="K866" t="s">
        <v>12</v>
      </c>
      <c r="L866" t="s">
        <v>12</v>
      </c>
      <c r="M866" t="s">
        <v>12</v>
      </c>
      <c r="Q866" t="s">
        <v>438</v>
      </c>
      <c r="R866" t="s">
        <v>457</v>
      </c>
      <c r="S866" t="s">
        <v>443</v>
      </c>
      <c r="T866" t="s">
        <v>3411</v>
      </c>
      <c r="U866" t="s">
        <v>3457</v>
      </c>
      <c r="V866" t="s">
        <v>3418</v>
      </c>
      <c r="W866" t="s">
        <v>3407</v>
      </c>
      <c r="X866" t="s">
        <v>3507</v>
      </c>
      <c r="Y866" t="s">
        <v>12</v>
      </c>
      <c r="Z866" t="s">
        <v>12</v>
      </c>
      <c r="AA866" t="s">
        <v>12</v>
      </c>
      <c r="AB866" t="s">
        <v>12</v>
      </c>
      <c r="AC866" t="s">
        <v>12</v>
      </c>
      <c r="AD866" t="s">
        <v>12</v>
      </c>
    </row>
    <row r="867" spans="1:30">
      <c r="A867" t="s">
        <v>518</v>
      </c>
      <c r="B867" t="str">
        <f>Master_Data_Productivity[[#This Row],[Uniq-ID]]&amp;"-"&amp;Master_Data_Productivity[[#This Row],[Period]]</f>
        <v>QC-Quality_Control-037-M1</v>
      </c>
      <c r="C867" t="s">
        <v>519</v>
      </c>
      <c r="D867" t="s">
        <v>11</v>
      </c>
      <c r="E867" t="s">
        <v>13</v>
      </c>
      <c r="F867" t="s">
        <v>71</v>
      </c>
      <c r="G867" t="s">
        <v>15</v>
      </c>
      <c r="H867" t="s">
        <v>12</v>
      </c>
      <c r="J867">
        <v>0.5</v>
      </c>
      <c r="K867" t="s">
        <v>12</v>
      </c>
      <c r="L867" t="s">
        <v>12</v>
      </c>
      <c r="M867" t="s">
        <v>12</v>
      </c>
      <c r="Q867" t="s">
        <v>438</v>
      </c>
      <c r="R867" t="s">
        <v>520</v>
      </c>
      <c r="S867" t="s">
        <v>443</v>
      </c>
      <c r="T867" t="s">
        <v>12</v>
      </c>
      <c r="U867" t="s">
        <v>3418</v>
      </c>
      <c r="V867" t="s">
        <v>12</v>
      </c>
      <c r="W867" t="s">
        <v>3422</v>
      </c>
      <c r="X867" t="s">
        <v>3418</v>
      </c>
      <c r="Y867" t="s">
        <v>12</v>
      </c>
      <c r="Z867" t="s">
        <v>12</v>
      </c>
      <c r="AA867" t="s">
        <v>12</v>
      </c>
      <c r="AB867" t="s">
        <v>12</v>
      </c>
      <c r="AC867" t="s">
        <v>12</v>
      </c>
      <c r="AD867" t="s">
        <v>12</v>
      </c>
    </row>
    <row r="868" spans="1:30">
      <c r="A868" t="s">
        <v>518</v>
      </c>
      <c r="B868" t="str">
        <f>Master_Data_Productivity[[#This Row],[Uniq-ID]]&amp;"-"&amp;Master_Data_Productivity[[#This Row],[Period]]</f>
        <v>QC-Quality_Control-037-M2</v>
      </c>
      <c r="C868" t="s">
        <v>519</v>
      </c>
      <c r="D868" t="s">
        <v>11</v>
      </c>
      <c r="E868" t="s">
        <v>18</v>
      </c>
      <c r="F868" t="s">
        <v>73</v>
      </c>
      <c r="G868" t="s">
        <v>33</v>
      </c>
      <c r="H868" t="s">
        <v>12</v>
      </c>
      <c r="J868">
        <v>0.77</v>
      </c>
      <c r="K868" t="s">
        <v>12</v>
      </c>
      <c r="L868" t="s">
        <v>12</v>
      </c>
      <c r="M868" t="s">
        <v>12</v>
      </c>
      <c r="Q868" t="s">
        <v>438</v>
      </c>
      <c r="R868" t="s">
        <v>520</v>
      </c>
      <c r="S868" t="s">
        <v>443</v>
      </c>
      <c r="T868" t="s">
        <v>3485</v>
      </c>
      <c r="U868" t="s">
        <v>3457</v>
      </c>
      <c r="V868" t="s">
        <v>3418</v>
      </c>
      <c r="W868" t="s">
        <v>3422</v>
      </c>
      <c r="X868" t="s">
        <v>3508</v>
      </c>
      <c r="Y868" t="s">
        <v>12</v>
      </c>
      <c r="Z868" t="s">
        <v>12</v>
      </c>
      <c r="AA868" t="s">
        <v>12</v>
      </c>
      <c r="AB868" t="s">
        <v>12</v>
      </c>
      <c r="AC868" t="s">
        <v>12</v>
      </c>
      <c r="AD868" t="s">
        <v>12</v>
      </c>
    </row>
    <row r="869" spans="1:30">
      <c r="A869" t="s">
        <v>536</v>
      </c>
      <c r="B869" t="str">
        <f>Master_Data_Productivity[[#This Row],[Uniq-ID]]&amp;"-"&amp;Master_Data_Productivity[[#This Row],[Period]]</f>
        <v>QC-Quality_Control-018-M1</v>
      </c>
      <c r="C869" t="s">
        <v>537</v>
      </c>
      <c r="D869" t="s">
        <v>250</v>
      </c>
      <c r="E869" t="s">
        <v>13</v>
      </c>
      <c r="F869" t="s">
        <v>14</v>
      </c>
      <c r="G869" t="s">
        <v>15</v>
      </c>
      <c r="H869" t="s">
        <v>12</v>
      </c>
      <c r="J869">
        <v>0.65</v>
      </c>
      <c r="K869" t="s">
        <v>12</v>
      </c>
      <c r="L869" t="s">
        <v>12</v>
      </c>
      <c r="M869" t="s">
        <v>12</v>
      </c>
      <c r="Q869" t="s">
        <v>438</v>
      </c>
      <c r="R869" t="s">
        <v>446</v>
      </c>
      <c r="S869" t="s">
        <v>443</v>
      </c>
      <c r="T869" t="s">
        <v>3409</v>
      </c>
      <c r="U869" t="s">
        <v>12</v>
      </c>
      <c r="V869" t="s">
        <v>12</v>
      </c>
      <c r="W869" t="s">
        <v>3407</v>
      </c>
      <c r="X869" t="s">
        <v>3409</v>
      </c>
      <c r="Y869" t="s">
        <v>12</v>
      </c>
      <c r="Z869" t="s">
        <v>12</v>
      </c>
      <c r="AA869" t="s">
        <v>12</v>
      </c>
      <c r="AB869" t="s">
        <v>12</v>
      </c>
      <c r="AC869" t="s">
        <v>12</v>
      </c>
      <c r="AD869" t="s">
        <v>12</v>
      </c>
    </row>
    <row r="870" spans="1:30">
      <c r="A870" t="s">
        <v>536</v>
      </c>
      <c r="B870" t="str">
        <f>Master_Data_Productivity[[#This Row],[Uniq-ID]]&amp;"-"&amp;Master_Data_Productivity[[#This Row],[Period]]</f>
        <v>QC-Quality_Control-018-M2</v>
      </c>
      <c r="C870" t="s">
        <v>537</v>
      </c>
      <c r="D870" t="s">
        <v>250</v>
      </c>
      <c r="E870" t="s">
        <v>18</v>
      </c>
      <c r="F870" t="s">
        <v>19</v>
      </c>
      <c r="G870" t="s">
        <v>15</v>
      </c>
      <c r="H870" t="s">
        <v>12</v>
      </c>
      <c r="J870">
        <v>1.2</v>
      </c>
      <c r="K870" t="s">
        <v>12</v>
      </c>
      <c r="L870" t="s">
        <v>12</v>
      </c>
      <c r="M870" t="s">
        <v>12</v>
      </c>
      <c r="Q870" t="s">
        <v>438</v>
      </c>
      <c r="R870" t="s">
        <v>446</v>
      </c>
      <c r="S870" t="s">
        <v>442</v>
      </c>
      <c r="T870" t="s">
        <v>3410</v>
      </c>
      <c r="U870" t="s">
        <v>12</v>
      </c>
      <c r="V870" t="s">
        <v>12</v>
      </c>
      <c r="W870" t="s">
        <v>3407</v>
      </c>
      <c r="X870" t="s">
        <v>3410</v>
      </c>
      <c r="Y870" t="s">
        <v>12</v>
      </c>
      <c r="Z870" t="s">
        <v>12</v>
      </c>
      <c r="AA870" t="s">
        <v>12</v>
      </c>
      <c r="AB870" t="s">
        <v>12</v>
      </c>
      <c r="AC870" t="s">
        <v>12</v>
      </c>
      <c r="AD870" t="s">
        <v>12</v>
      </c>
    </row>
    <row r="871" spans="1:30">
      <c r="A871" t="s">
        <v>536</v>
      </c>
      <c r="B871" t="str">
        <f>Master_Data_Productivity[[#This Row],[Uniq-ID]]&amp;"-"&amp;Master_Data_Productivity[[#This Row],[Period]]</f>
        <v>QC-Quality_Control-018-M3</v>
      </c>
      <c r="C871" t="s">
        <v>537</v>
      </c>
      <c r="D871" t="s">
        <v>250</v>
      </c>
      <c r="E871" t="s">
        <v>22</v>
      </c>
      <c r="F871" t="s">
        <v>23</v>
      </c>
      <c r="G871" t="s">
        <v>15</v>
      </c>
      <c r="H871" t="s">
        <v>12</v>
      </c>
      <c r="J871">
        <v>1.1000000000000001</v>
      </c>
      <c r="K871" t="s">
        <v>12</v>
      </c>
      <c r="L871" t="s">
        <v>12</v>
      </c>
      <c r="M871" t="s">
        <v>12</v>
      </c>
      <c r="Q871" t="s">
        <v>438</v>
      </c>
      <c r="R871" t="s">
        <v>446</v>
      </c>
      <c r="S871" t="s">
        <v>442</v>
      </c>
      <c r="T871" t="s">
        <v>3406</v>
      </c>
      <c r="U871" t="s">
        <v>12</v>
      </c>
      <c r="V871" t="s">
        <v>12</v>
      </c>
      <c r="W871" t="s">
        <v>3407</v>
      </c>
      <c r="X871" t="s">
        <v>3406</v>
      </c>
      <c r="Y871" t="s">
        <v>12</v>
      </c>
      <c r="Z871" t="s">
        <v>12</v>
      </c>
      <c r="AA871" t="s">
        <v>12</v>
      </c>
      <c r="AB871" t="s">
        <v>12</v>
      </c>
      <c r="AC871" t="s">
        <v>12</v>
      </c>
      <c r="AD871" t="s">
        <v>12</v>
      </c>
    </row>
    <row r="872" spans="1:30">
      <c r="A872" t="s">
        <v>536</v>
      </c>
      <c r="B872" t="str">
        <f>Master_Data_Productivity[[#This Row],[Uniq-ID]]&amp;"-"&amp;Master_Data_Productivity[[#This Row],[Period]]</f>
        <v>QC-Quality_Control-018-M4</v>
      </c>
      <c r="C872" t="s">
        <v>537</v>
      </c>
      <c r="D872" t="s">
        <v>250</v>
      </c>
      <c r="E872" t="s">
        <v>25</v>
      </c>
      <c r="F872" t="s">
        <v>26</v>
      </c>
      <c r="G872" t="s">
        <v>15</v>
      </c>
      <c r="H872" t="s">
        <v>12</v>
      </c>
      <c r="J872">
        <v>1</v>
      </c>
      <c r="K872" t="s">
        <v>12</v>
      </c>
      <c r="L872" t="s">
        <v>12</v>
      </c>
      <c r="M872" t="s">
        <v>12</v>
      </c>
      <c r="Q872" t="s">
        <v>438</v>
      </c>
      <c r="R872" t="s">
        <v>446</v>
      </c>
      <c r="S872" t="s">
        <v>442</v>
      </c>
      <c r="T872" t="s">
        <v>3407</v>
      </c>
      <c r="U872" t="s">
        <v>12</v>
      </c>
      <c r="V872" t="s">
        <v>12</v>
      </c>
      <c r="W872" t="s">
        <v>3407</v>
      </c>
      <c r="X872" t="s">
        <v>3407</v>
      </c>
      <c r="Y872" t="s">
        <v>12</v>
      </c>
      <c r="Z872" t="s">
        <v>12</v>
      </c>
      <c r="AA872" t="s">
        <v>12</v>
      </c>
      <c r="AB872" t="s">
        <v>12</v>
      </c>
      <c r="AC872" t="s">
        <v>12</v>
      </c>
      <c r="AD872" t="s">
        <v>12</v>
      </c>
    </row>
    <row r="873" spans="1:30">
      <c r="A873" t="s">
        <v>536</v>
      </c>
      <c r="B873" t="str">
        <f>Master_Data_Productivity[[#This Row],[Uniq-ID]]&amp;"-"&amp;Master_Data_Productivity[[#This Row],[Period]]</f>
        <v>QC-Quality_Control-018-M5</v>
      </c>
      <c r="C873" t="s">
        <v>537</v>
      </c>
      <c r="D873" t="s">
        <v>250</v>
      </c>
      <c r="E873" t="s">
        <v>28</v>
      </c>
      <c r="F873" t="s">
        <v>29</v>
      </c>
      <c r="G873" t="s">
        <v>15</v>
      </c>
      <c r="H873" t="s">
        <v>12</v>
      </c>
      <c r="J873">
        <v>1</v>
      </c>
      <c r="K873" t="s">
        <v>12</v>
      </c>
      <c r="L873" t="s">
        <v>12</v>
      </c>
      <c r="M873" t="s">
        <v>12</v>
      </c>
      <c r="Q873" t="s">
        <v>438</v>
      </c>
      <c r="R873" t="s">
        <v>446</v>
      </c>
      <c r="S873" t="s">
        <v>442</v>
      </c>
      <c r="T873" t="s">
        <v>3407</v>
      </c>
      <c r="U873" t="s">
        <v>12</v>
      </c>
      <c r="V873" t="s">
        <v>12</v>
      </c>
      <c r="W873" t="s">
        <v>3407</v>
      </c>
      <c r="X873" t="s">
        <v>3407</v>
      </c>
      <c r="Y873" t="s">
        <v>12</v>
      </c>
      <c r="Z873" t="s">
        <v>12</v>
      </c>
      <c r="AA873" t="s">
        <v>12</v>
      </c>
      <c r="AB873" t="s">
        <v>12</v>
      </c>
      <c r="AC873" t="s">
        <v>12</v>
      </c>
      <c r="AD873" t="s">
        <v>12</v>
      </c>
    </row>
    <row r="874" spans="1:30">
      <c r="A874" t="s">
        <v>536</v>
      </c>
      <c r="B874" t="str">
        <f>Master_Data_Productivity[[#This Row],[Uniq-ID]]&amp;"-"&amp;Master_Data_Productivity[[#This Row],[Period]]</f>
        <v>QC-Quality_Control-018-M6</v>
      </c>
      <c r="C874" t="s">
        <v>537</v>
      </c>
      <c r="D874" t="s">
        <v>250</v>
      </c>
      <c r="E874" t="s">
        <v>31</v>
      </c>
      <c r="F874" t="s">
        <v>32</v>
      </c>
      <c r="G874" t="s">
        <v>33</v>
      </c>
      <c r="H874" t="s">
        <v>12</v>
      </c>
      <c r="K874" t="s">
        <v>12</v>
      </c>
      <c r="L874" t="s">
        <v>12</v>
      </c>
      <c r="M874" t="s">
        <v>12</v>
      </c>
      <c r="Q874" t="s">
        <v>438</v>
      </c>
      <c r="R874" t="s">
        <v>446</v>
      </c>
      <c r="S874" t="s">
        <v>443</v>
      </c>
      <c r="T874" t="s">
        <v>12</v>
      </c>
      <c r="U874" t="s">
        <v>12</v>
      </c>
      <c r="V874" t="s">
        <v>12</v>
      </c>
      <c r="W874" t="s">
        <v>3407</v>
      </c>
      <c r="X874" t="s">
        <v>12</v>
      </c>
      <c r="Y874" t="s">
        <v>12</v>
      </c>
      <c r="Z874" t="s">
        <v>12</v>
      </c>
      <c r="AA874" t="s">
        <v>12</v>
      </c>
      <c r="AB874" t="s">
        <v>12</v>
      </c>
      <c r="AC874" t="s">
        <v>12</v>
      </c>
      <c r="AD874" t="s">
        <v>12</v>
      </c>
    </row>
    <row r="875" spans="1:30">
      <c r="A875" t="s">
        <v>538</v>
      </c>
      <c r="B875" t="str">
        <f>Master_Data_Productivity[[#This Row],[Uniq-ID]]&amp;"-"&amp;Master_Data_Productivity[[#This Row],[Period]]</f>
        <v>QC-Quality_Control-030-M1</v>
      </c>
      <c r="C875" t="s">
        <v>539</v>
      </c>
      <c r="D875" t="s">
        <v>290</v>
      </c>
      <c r="E875" t="s">
        <v>13</v>
      </c>
      <c r="F875" t="s">
        <v>26</v>
      </c>
      <c r="G875" t="s">
        <v>15</v>
      </c>
      <c r="H875" t="s">
        <v>12</v>
      </c>
      <c r="J875">
        <v>0.9</v>
      </c>
      <c r="K875" t="s">
        <v>12</v>
      </c>
      <c r="L875" t="s">
        <v>12</v>
      </c>
      <c r="M875" t="s">
        <v>12</v>
      </c>
      <c r="Q875" t="s">
        <v>438</v>
      </c>
      <c r="R875" t="s">
        <v>446</v>
      </c>
      <c r="S875" t="s">
        <v>443</v>
      </c>
      <c r="T875" t="s">
        <v>3475</v>
      </c>
      <c r="U875" t="s">
        <v>12</v>
      </c>
      <c r="V875" t="s">
        <v>12</v>
      </c>
      <c r="W875" t="s">
        <v>3407</v>
      </c>
      <c r="X875" t="s">
        <v>3475</v>
      </c>
      <c r="Y875" t="s">
        <v>12</v>
      </c>
      <c r="Z875" t="s">
        <v>12</v>
      </c>
      <c r="AA875" t="s">
        <v>12</v>
      </c>
      <c r="AB875" t="s">
        <v>12</v>
      </c>
      <c r="AC875" t="s">
        <v>12</v>
      </c>
      <c r="AD875" t="s">
        <v>12</v>
      </c>
    </row>
    <row r="876" spans="1:30">
      <c r="A876" t="s">
        <v>538</v>
      </c>
      <c r="B876" t="str">
        <f>Master_Data_Productivity[[#This Row],[Uniq-ID]]&amp;"-"&amp;Master_Data_Productivity[[#This Row],[Period]]</f>
        <v>QC-Quality_Control-030-M2</v>
      </c>
      <c r="C876" t="s">
        <v>539</v>
      </c>
      <c r="D876" t="s">
        <v>290</v>
      </c>
      <c r="E876" t="s">
        <v>18</v>
      </c>
      <c r="F876" t="s">
        <v>29</v>
      </c>
      <c r="G876" t="s">
        <v>15</v>
      </c>
      <c r="H876" t="s">
        <v>12</v>
      </c>
      <c r="J876">
        <v>1.05</v>
      </c>
      <c r="K876" t="s">
        <v>12</v>
      </c>
      <c r="L876" t="s">
        <v>12</v>
      </c>
      <c r="M876" t="s">
        <v>12</v>
      </c>
      <c r="Q876" t="s">
        <v>438</v>
      </c>
      <c r="R876" t="s">
        <v>446</v>
      </c>
      <c r="S876" t="s">
        <v>442</v>
      </c>
      <c r="T876" t="s">
        <v>3473</v>
      </c>
      <c r="U876" t="s">
        <v>12</v>
      </c>
      <c r="V876" t="s">
        <v>3437</v>
      </c>
      <c r="W876" t="s">
        <v>3407</v>
      </c>
      <c r="X876" t="s">
        <v>3464</v>
      </c>
      <c r="Y876" t="s">
        <v>12</v>
      </c>
      <c r="Z876" t="s">
        <v>12</v>
      </c>
      <c r="AA876" t="s">
        <v>12</v>
      </c>
      <c r="AB876" t="s">
        <v>12</v>
      </c>
      <c r="AC876" t="s">
        <v>12</v>
      </c>
      <c r="AD876" t="s">
        <v>12</v>
      </c>
    </row>
    <row r="877" spans="1:30">
      <c r="A877" t="s">
        <v>538</v>
      </c>
      <c r="B877" t="str">
        <f>Master_Data_Productivity[[#This Row],[Uniq-ID]]&amp;"-"&amp;Master_Data_Productivity[[#This Row],[Period]]</f>
        <v>QC-Quality_Control-030-M3</v>
      </c>
      <c r="C877" t="s">
        <v>539</v>
      </c>
      <c r="D877" t="s">
        <v>290</v>
      </c>
      <c r="E877" t="s">
        <v>22</v>
      </c>
      <c r="F877" t="s">
        <v>32</v>
      </c>
      <c r="G877" t="s">
        <v>33</v>
      </c>
      <c r="H877" t="s">
        <v>12</v>
      </c>
      <c r="J877">
        <v>0.5</v>
      </c>
      <c r="K877" t="s">
        <v>12</v>
      </c>
      <c r="L877" t="s">
        <v>12</v>
      </c>
      <c r="M877" t="s">
        <v>12</v>
      </c>
      <c r="Q877" t="s">
        <v>438</v>
      </c>
      <c r="R877" t="s">
        <v>446</v>
      </c>
      <c r="S877" t="s">
        <v>443</v>
      </c>
      <c r="T877" t="s">
        <v>3453</v>
      </c>
      <c r="U877" t="s">
        <v>12</v>
      </c>
      <c r="V877" t="s">
        <v>12</v>
      </c>
      <c r="W877" t="s">
        <v>3407</v>
      </c>
      <c r="X877" t="s">
        <v>3453</v>
      </c>
      <c r="Y877" t="s">
        <v>12</v>
      </c>
      <c r="Z877" t="s">
        <v>12</v>
      </c>
      <c r="AA877" t="s">
        <v>12</v>
      </c>
      <c r="AB877" t="s">
        <v>12</v>
      </c>
      <c r="AC877" t="s">
        <v>12</v>
      </c>
      <c r="AD877" t="s">
        <v>12</v>
      </c>
    </row>
    <row r="878" spans="1:30">
      <c r="A878" t="s">
        <v>540</v>
      </c>
      <c r="B878" t="str">
        <f>Master_Data_Productivity[[#This Row],[Uniq-ID]]&amp;"-"&amp;Master_Data_Productivity[[#This Row],[Period]]</f>
        <v>QC-Quality_Control-029-M1</v>
      </c>
      <c r="C878" t="s">
        <v>541</v>
      </c>
      <c r="D878" t="s">
        <v>12</v>
      </c>
      <c r="E878" t="s">
        <v>13</v>
      </c>
      <c r="F878" t="s">
        <v>322</v>
      </c>
      <c r="G878" t="s">
        <v>15</v>
      </c>
      <c r="H878" t="s">
        <v>12</v>
      </c>
      <c r="J878">
        <v>0.5</v>
      </c>
      <c r="K878" t="s">
        <v>12</v>
      </c>
      <c r="L878" t="s">
        <v>12</v>
      </c>
      <c r="M878" t="s">
        <v>12</v>
      </c>
      <c r="Q878" t="s">
        <v>438</v>
      </c>
      <c r="R878" t="s">
        <v>446</v>
      </c>
      <c r="S878" t="s">
        <v>443</v>
      </c>
      <c r="T878" t="s">
        <v>3437</v>
      </c>
      <c r="U878" t="s">
        <v>12</v>
      </c>
      <c r="V878" t="s">
        <v>12</v>
      </c>
      <c r="W878" t="s">
        <v>3407</v>
      </c>
      <c r="X878" t="s">
        <v>3437</v>
      </c>
      <c r="Y878" t="s">
        <v>12</v>
      </c>
      <c r="Z878" t="s">
        <v>12</v>
      </c>
      <c r="AA878" t="s">
        <v>12</v>
      </c>
      <c r="AB878" t="s">
        <v>12</v>
      </c>
      <c r="AC878" t="s">
        <v>12</v>
      </c>
      <c r="AD878" t="s">
        <v>12</v>
      </c>
    </row>
    <row r="879" spans="1:30">
      <c r="A879" t="s">
        <v>540</v>
      </c>
      <c r="B879" t="str">
        <f>Master_Data_Productivity[[#This Row],[Uniq-ID]]&amp;"-"&amp;Master_Data_Productivity[[#This Row],[Period]]</f>
        <v>QC-Quality_Control-029-M2</v>
      </c>
      <c r="C879" t="s">
        <v>541</v>
      </c>
      <c r="D879" t="s">
        <v>12</v>
      </c>
      <c r="E879" t="s">
        <v>18</v>
      </c>
      <c r="F879" t="s">
        <v>293</v>
      </c>
      <c r="G879" t="s">
        <v>15</v>
      </c>
      <c r="H879" t="s">
        <v>12</v>
      </c>
      <c r="J879">
        <v>0.5</v>
      </c>
      <c r="K879" t="s">
        <v>12</v>
      </c>
      <c r="L879" t="s">
        <v>12</v>
      </c>
      <c r="M879" t="s">
        <v>12</v>
      </c>
      <c r="Q879" t="s">
        <v>438</v>
      </c>
      <c r="R879" t="s">
        <v>446</v>
      </c>
      <c r="S879" t="s">
        <v>443</v>
      </c>
      <c r="T879" t="s">
        <v>3453</v>
      </c>
      <c r="U879" t="s">
        <v>12</v>
      </c>
      <c r="V879" t="s">
        <v>12</v>
      </c>
      <c r="W879" t="s">
        <v>3407</v>
      </c>
      <c r="X879" t="s">
        <v>3453</v>
      </c>
      <c r="Y879" t="s">
        <v>12</v>
      </c>
      <c r="Z879" t="s">
        <v>12</v>
      </c>
      <c r="AA879" t="s">
        <v>12</v>
      </c>
      <c r="AB879" t="s">
        <v>12</v>
      </c>
      <c r="AC879" t="s">
        <v>12</v>
      </c>
      <c r="AD879" t="s">
        <v>12</v>
      </c>
    </row>
    <row r="880" spans="1:30">
      <c r="A880" t="s">
        <v>540</v>
      </c>
      <c r="B880" t="str">
        <f>Master_Data_Productivity[[#This Row],[Uniq-ID]]&amp;"-"&amp;Master_Data_Productivity[[#This Row],[Period]]</f>
        <v>QC-Quality_Control-029-M3</v>
      </c>
      <c r="C880" t="s">
        <v>541</v>
      </c>
      <c r="D880" t="s">
        <v>12</v>
      </c>
      <c r="E880" t="s">
        <v>22</v>
      </c>
      <c r="F880" t="s">
        <v>294</v>
      </c>
      <c r="G880" t="s">
        <v>33</v>
      </c>
      <c r="H880" t="s">
        <v>12</v>
      </c>
      <c r="J880">
        <v>1.5</v>
      </c>
      <c r="K880" t="s">
        <v>12</v>
      </c>
      <c r="L880" t="s">
        <v>12</v>
      </c>
      <c r="M880" t="s">
        <v>12</v>
      </c>
      <c r="Q880" t="s">
        <v>438</v>
      </c>
      <c r="R880" t="s">
        <v>446</v>
      </c>
      <c r="S880" t="s">
        <v>442</v>
      </c>
      <c r="T880" t="s">
        <v>3484</v>
      </c>
      <c r="U880" t="s">
        <v>12</v>
      </c>
      <c r="V880" t="s">
        <v>12</v>
      </c>
      <c r="W880" t="s">
        <v>3407</v>
      </c>
      <c r="X880" t="s">
        <v>3484</v>
      </c>
      <c r="Y880" t="s">
        <v>12</v>
      </c>
      <c r="Z880" t="s">
        <v>12</v>
      </c>
      <c r="AA880" t="s">
        <v>12</v>
      </c>
      <c r="AB880" t="s">
        <v>12</v>
      </c>
      <c r="AC880" t="s">
        <v>12</v>
      </c>
      <c r="AD880" t="s">
        <v>12</v>
      </c>
    </row>
    <row r="881" spans="1:30">
      <c r="A881" t="s">
        <v>732</v>
      </c>
      <c r="B881" t="str">
        <f>Master_Data_Productivity[[#This Row],[Uniq-ID]]&amp;"-"&amp;Master_Data_Productivity[[#This Row],[Period]]</f>
        <v>PE-Project_Engineer-015-M1</v>
      </c>
      <c r="C881" t="s">
        <v>733</v>
      </c>
      <c r="D881" t="s">
        <v>76</v>
      </c>
      <c r="E881" t="s">
        <v>13</v>
      </c>
      <c r="F881" t="s">
        <v>14</v>
      </c>
      <c r="G881" t="s">
        <v>15</v>
      </c>
      <c r="H881" t="s">
        <v>16</v>
      </c>
      <c r="J881">
        <v>1.5</v>
      </c>
      <c r="K881" t="s">
        <v>12</v>
      </c>
      <c r="L881" t="s">
        <v>12</v>
      </c>
      <c r="M881" t="s">
        <v>12</v>
      </c>
      <c r="Q881" t="s">
        <v>716</v>
      </c>
      <c r="R881" t="s">
        <v>475</v>
      </c>
      <c r="S881" t="s">
        <v>12</v>
      </c>
      <c r="T881" t="s">
        <v>12</v>
      </c>
      <c r="U881" t="s">
        <v>12</v>
      </c>
      <c r="V881" t="s">
        <v>12</v>
      </c>
      <c r="W881" t="s">
        <v>12</v>
      </c>
      <c r="X881" t="s">
        <v>12</v>
      </c>
      <c r="Y881" t="s">
        <v>3509</v>
      </c>
      <c r="Z881" t="s">
        <v>3510</v>
      </c>
      <c r="AA881" t="s">
        <v>3511</v>
      </c>
      <c r="AB881" t="s">
        <v>12</v>
      </c>
      <c r="AC881" t="s">
        <v>3512</v>
      </c>
      <c r="AD881" t="s">
        <v>3513</v>
      </c>
    </row>
    <row r="882" spans="1:30">
      <c r="A882" t="s">
        <v>732</v>
      </c>
      <c r="B882" t="str">
        <f>Master_Data_Productivity[[#This Row],[Uniq-ID]]&amp;"-"&amp;Master_Data_Productivity[[#This Row],[Period]]</f>
        <v>PE-Project_Engineer-015-M2</v>
      </c>
      <c r="C882" t="s">
        <v>733</v>
      </c>
      <c r="D882" t="s">
        <v>76</v>
      </c>
      <c r="E882" t="s">
        <v>18</v>
      </c>
      <c r="F882" t="s">
        <v>19</v>
      </c>
      <c r="G882" t="s">
        <v>15</v>
      </c>
      <c r="H882" t="s">
        <v>16</v>
      </c>
      <c r="J882">
        <v>1.23</v>
      </c>
      <c r="K882" t="s">
        <v>12</v>
      </c>
      <c r="L882" t="s">
        <v>12</v>
      </c>
      <c r="M882" t="s">
        <v>12</v>
      </c>
      <c r="Q882" t="s">
        <v>716</v>
      </c>
      <c r="R882" t="s">
        <v>475</v>
      </c>
      <c r="S882" t="s">
        <v>12</v>
      </c>
      <c r="T882" t="s">
        <v>12</v>
      </c>
      <c r="U882" t="s">
        <v>12</v>
      </c>
      <c r="V882" t="s">
        <v>12</v>
      </c>
      <c r="W882" t="s">
        <v>12</v>
      </c>
      <c r="X882" t="s">
        <v>12</v>
      </c>
      <c r="Y882" t="s">
        <v>3500</v>
      </c>
      <c r="Z882" t="s">
        <v>3514</v>
      </c>
      <c r="AA882" t="s">
        <v>3515</v>
      </c>
      <c r="AB882" t="s">
        <v>12</v>
      </c>
      <c r="AC882" t="s">
        <v>3516</v>
      </c>
      <c r="AD882" t="s">
        <v>3517</v>
      </c>
    </row>
    <row r="883" spans="1:30">
      <c r="A883" t="s">
        <v>732</v>
      </c>
      <c r="B883" t="str">
        <f>Master_Data_Productivity[[#This Row],[Uniq-ID]]&amp;"-"&amp;Master_Data_Productivity[[#This Row],[Period]]</f>
        <v>PE-Project_Engineer-015-M3</v>
      </c>
      <c r="C883" t="s">
        <v>733</v>
      </c>
      <c r="D883" t="s">
        <v>76</v>
      </c>
      <c r="E883" t="s">
        <v>22</v>
      </c>
      <c r="F883" t="s">
        <v>23</v>
      </c>
      <c r="G883" t="s">
        <v>15</v>
      </c>
      <c r="H883" t="s">
        <v>719</v>
      </c>
      <c r="J883">
        <v>1</v>
      </c>
      <c r="K883" t="s">
        <v>12</v>
      </c>
      <c r="L883" t="s">
        <v>12</v>
      </c>
      <c r="M883" t="s">
        <v>12</v>
      </c>
      <c r="Q883" t="s">
        <v>716</v>
      </c>
      <c r="R883" t="s">
        <v>475</v>
      </c>
      <c r="S883" t="s">
        <v>12</v>
      </c>
      <c r="T883" t="s">
        <v>12</v>
      </c>
      <c r="U883" t="s">
        <v>12</v>
      </c>
      <c r="V883" t="s">
        <v>12</v>
      </c>
      <c r="W883" t="s">
        <v>12</v>
      </c>
      <c r="X883" t="s">
        <v>12</v>
      </c>
      <c r="Y883" t="s">
        <v>12</v>
      </c>
      <c r="Z883" t="s">
        <v>3518</v>
      </c>
      <c r="AA883" t="s">
        <v>3519</v>
      </c>
      <c r="AB883" t="s">
        <v>12</v>
      </c>
      <c r="AC883" t="s">
        <v>3520</v>
      </c>
      <c r="AD883" t="s">
        <v>3521</v>
      </c>
    </row>
    <row r="884" spans="1:30">
      <c r="A884" t="s">
        <v>732</v>
      </c>
      <c r="B884" t="str">
        <f>Master_Data_Productivity[[#This Row],[Uniq-ID]]&amp;"-"&amp;Master_Data_Productivity[[#This Row],[Period]]</f>
        <v>PE-Project_Engineer-015-M4</v>
      </c>
      <c r="C884" t="s">
        <v>733</v>
      </c>
      <c r="D884" t="s">
        <v>76</v>
      </c>
      <c r="E884" t="s">
        <v>25</v>
      </c>
      <c r="F884" t="s">
        <v>26</v>
      </c>
      <c r="G884" t="s">
        <v>15</v>
      </c>
      <c r="H884" t="s">
        <v>44</v>
      </c>
      <c r="J884">
        <v>0.77</v>
      </c>
      <c r="K884" t="s">
        <v>12</v>
      </c>
      <c r="L884" t="s">
        <v>12</v>
      </c>
      <c r="M884" t="s">
        <v>12</v>
      </c>
      <c r="Q884" t="s">
        <v>716</v>
      </c>
      <c r="R884" t="s">
        <v>475</v>
      </c>
      <c r="S884" t="s">
        <v>12</v>
      </c>
      <c r="T884" t="s">
        <v>12</v>
      </c>
      <c r="U884" t="s">
        <v>12</v>
      </c>
      <c r="V884" t="s">
        <v>12</v>
      </c>
      <c r="W884" t="s">
        <v>12</v>
      </c>
      <c r="X884" t="s">
        <v>12</v>
      </c>
      <c r="Y884" t="s">
        <v>12</v>
      </c>
      <c r="Z884" t="s">
        <v>3522</v>
      </c>
      <c r="AA884" t="s">
        <v>3523</v>
      </c>
      <c r="AB884" t="s">
        <v>12</v>
      </c>
      <c r="AC884" t="s">
        <v>3524</v>
      </c>
      <c r="AD884" t="s">
        <v>3525</v>
      </c>
    </row>
    <row r="885" spans="1:30">
      <c r="A885" t="s">
        <v>732</v>
      </c>
      <c r="B885" t="str">
        <f>Master_Data_Productivity[[#This Row],[Uniq-ID]]&amp;"-"&amp;Master_Data_Productivity[[#This Row],[Period]]</f>
        <v>PE-Project_Engineer-015-M5</v>
      </c>
      <c r="C885" t="s">
        <v>733</v>
      </c>
      <c r="D885" t="s">
        <v>76</v>
      </c>
      <c r="E885" t="s">
        <v>28</v>
      </c>
      <c r="F885" t="s">
        <v>29</v>
      </c>
      <c r="G885" t="s">
        <v>15</v>
      </c>
      <c r="H885" t="s">
        <v>44</v>
      </c>
      <c r="J885">
        <v>0.5</v>
      </c>
      <c r="K885" t="s">
        <v>12</v>
      </c>
      <c r="L885" t="s">
        <v>12</v>
      </c>
      <c r="M885" t="s">
        <v>12</v>
      </c>
      <c r="Q885" t="s">
        <v>716</v>
      </c>
      <c r="R885" t="s">
        <v>475</v>
      </c>
      <c r="S885" t="s">
        <v>12</v>
      </c>
      <c r="T885" t="s">
        <v>12</v>
      </c>
      <c r="U885" t="s">
        <v>12</v>
      </c>
      <c r="V885" t="s">
        <v>12</v>
      </c>
      <c r="W885" t="s">
        <v>12</v>
      </c>
      <c r="X885" t="s">
        <v>12</v>
      </c>
      <c r="Y885" t="s">
        <v>3410</v>
      </c>
      <c r="Z885" t="s">
        <v>3526</v>
      </c>
      <c r="AA885" t="s">
        <v>3527</v>
      </c>
      <c r="AB885" t="s">
        <v>12</v>
      </c>
      <c r="AC885" t="s">
        <v>3528</v>
      </c>
      <c r="AD885" t="s">
        <v>3529</v>
      </c>
    </row>
    <row r="886" spans="1:30">
      <c r="A886" t="s">
        <v>732</v>
      </c>
      <c r="B886" t="str">
        <f>Master_Data_Productivity[[#This Row],[Uniq-ID]]&amp;"-"&amp;Master_Data_Productivity[[#This Row],[Period]]</f>
        <v>PE-Project_Engineer-015-M6</v>
      </c>
      <c r="C886" t="s">
        <v>733</v>
      </c>
      <c r="D886" t="s">
        <v>76</v>
      </c>
      <c r="E886" t="s">
        <v>31</v>
      </c>
      <c r="F886" t="s">
        <v>32</v>
      </c>
      <c r="G886" t="s">
        <v>33</v>
      </c>
      <c r="H886" t="s">
        <v>44</v>
      </c>
      <c r="K886" t="s">
        <v>12</v>
      </c>
      <c r="L886" t="s">
        <v>12</v>
      </c>
      <c r="M886" t="s">
        <v>12</v>
      </c>
      <c r="Q886" t="s">
        <v>716</v>
      </c>
      <c r="R886" t="s">
        <v>475</v>
      </c>
      <c r="S886" t="s">
        <v>12</v>
      </c>
      <c r="T886" t="s">
        <v>12</v>
      </c>
      <c r="U886" t="s">
        <v>12</v>
      </c>
      <c r="V886" t="s">
        <v>12</v>
      </c>
      <c r="W886" t="s">
        <v>12</v>
      </c>
      <c r="X886" t="s">
        <v>12</v>
      </c>
      <c r="Y886" t="s">
        <v>12</v>
      </c>
      <c r="Z886" t="s">
        <v>12</v>
      </c>
      <c r="AA886" t="s">
        <v>12</v>
      </c>
      <c r="AB886" t="s">
        <v>12</v>
      </c>
      <c r="AC886" t="s">
        <v>12</v>
      </c>
      <c r="AD886" t="s">
        <v>12</v>
      </c>
    </row>
    <row r="887" spans="1:30">
      <c r="A887" t="s">
        <v>734</v>
      </c>
      <c r="B887" t="str">
        <f>Master_Data_Productivity[[#This Row],[Uniq-ID]]&amp;"-"&amp;Master_Data_Productivity[[#This Row],[Period]]</f>
        <v>PE-Project_Engineer-004-M1</v>
      </c>
      <c r="C887" t="s">
        <v>735</v>
      </c>
      <c r="D887" t="s">
        <v>76</v>
      </c>
      <c r="E887" t="s">
        <v>13</v>
      </c>
      <c r="F887" t="s">
        <v>49</v>
      </c>
      <c r="G887" t="s">
        <v>15</v>
      </c>
      <c r="H887" t="s">
        <v>16</v>
      </c>
      <c r="J887">
        <v>1.01</v>
      </c>
      <c r="K887" t="s">
        <v>12</v>
      </c>
      <c r="L887" t="s">
        <v>12</v>
      </c>
      <c r="M887" t="s">
        <v>12</v>
      </c>
      <c r="Q887" t="s">
        <v>716</v>
      </c>
      <c r="R887" t="s">
        <v>441</v>
      </c>
      <c r="S887" t="s">
        <v>12</v>
      </c>
      <c r="T887" t="s">
        <v>12</v>
      </c>
      <c r="U887" t="s">
        <v>12</v>
      </c>
      <c r="V887" t="s">
        <v>12</v>
      </c>
      <c r="W887" t="s">
        <v>12</v>
      </c>
      <c r="X887" t="s">
        <v>12</v>
      </c>
      <c r="Y887" t="s">
        <v>3530</v>
      </c>
      <c r="Z887" t="s">
        <v>3531</v>
      </c>
      <c r="AA887" t="s">
        <v>3532</v>
      </c>
      <c r="AB887" t="s">
        <v>12</v>
      </c>
      <c r="AC887" t="s">
        <v>3533</v>
      </c>
      <c r="AD887" t="s">
        <v>3534</v>
      </c>
    </row>
    <row r="888" spans="1:30">
      <c r="A888" t="s">
        <v>734</v>
      </c>
      <c r="B888" t="str">
        <f>Master_Data_Productivity[[#This Row],[Uniq-ID]]&amp;"-"&amp;Master_Data_Productivity[[#This Row],[Period]]</f>
        <v>PE-Project_Engineer-004-M2</v>
      </c>
      <c r="C888" t="s">
        <v>735</v>
      </c>
      <c r="D888" t="s">
        <v>76</v>
      </c>
      <c r="E888" t="s">
        <v>18</v>
      </c>
      <c r="F888" t="s">
        <v>51</v>
      </c>
      <c r="G888" t="s">
        <v>15</v>
      </c>
      <c r="H888" t="s">
        <v>44</v>
      </c>
      <c r="J888">
        <v>0.69</v>
      </c>
      <c r="K888" t="s">
        <v>12</v>
      </c>
      <c r="L888" t="s">
        <v>12</v>
      </c>
      <c r="M888" t="s">
        <v>12</v>
      </c>
      <c r="Q888" t="s">
        <v>716</v>
      </c>
      <c r="R888" t="s">
        <v>441</v>
      </c>
      <c r="S888" t="s">
        <v>12</v>
      </c>
      <c r="T888" t="s">
        <v>12</v>
      </c>
      <c r="U888" t="s">
        <v>12</v>
      </c>
      <c r="V888" t="s">
        <v>12</v>
      </c>
      <c r="W888" t="s">
        <v>12</v>
      </c>
      <c r="X888" t="s">
        <v>12</v>
      </c>
      <c r="Y888" t="s">
        <v>3454</v>
      </c>
      <c r="Z888" t="s">
        <v>3535</v>
      </c>
      <c r="AA888" t="s">
        <v>3536</v>
      </c>
      <c r="AB888" t="s">
        <v>12</v>
      </c>
      <c r="AC888" t="s">
        <v>3537</v>
      </c>
      <c r="AD888" t="s">
        <v>3538</v>
      </c>
    </row>
    <row r="889" spans="1:30">
      <c r="A889" t="s">
        <v>734</v>
      </c>
      <c r="B889" t="str">
        <f>Master_Data_Productivity[[#This Row],[Uniq-ID]]&amp;"-"&amp;Master_Data_Productivity[[#This Row],[Period]]</f>
        <v>PE-Project_Engineer-004-M3</v>
      </c>
      <c r="C889" t="s">
        <v>735</v>
      </c>
      <c r="D889" t="s">
        <v>76</v>
      </c>
      <c r="E889" t="s">
        <v>22</v>
      </c>
      <c r="F889" t="s">
        <v>52</v>
      </c>
      <c r="G889" t="s">
        <v>15</v>
      </c>
      <c r="H889" t="s">
        <v>44</v>
      </c>
      <c r="J889">
        <v>0.5</v>
      </c>
      <c r="K889" t="s">
        <v>12</v>
      </c>
      <c r="L889" t="s">
        <v>12</v>
      </c>
      <c r="M889" t="s">
        <v>12</v>
      </c>
      <c r="Q889" t="s">
        <v>716</v>
      </c>
      <c r="R889" t="s">
        <v>441</v>
      </c>
      <c r="S889" t="s">
        <v>12</v>
      </c>
      <c r="T889" t="s">
        <v>12</v>
      </c>
      <c r="U889" t="s">
        <v>12</v>
      </c>
      <c r="V889" t="s">
        <v>12</v>
      </c>
      <c r="W889" t="s">
        <v>12</v>
      </c>
      <c r="X889" t="s">
        <v>12</v>
      </c>
      <c r="Y889" t="s">
        <v>12</v>
      </c>
      <c r="Z889" t="s">
        <v>3539</v>
      </c>
      <c r="AA889" t="s">
        <v>3540</v>
      </c>
      <c r="AB889" t="s">
        <v>12</v>
      </c>
      <c r="AC889" t="s">
        <v>3541</v>
      </c>
      <c r="AD889" t="s">
        <v>3542</v>
      </c>
    </row>
    <row r="890" spans="1:30">
      <c r="A890" t="s">
        <v>734</v>
      </c>
      <c r="B890" t="str">
        <f>Master_Data_Productivity[[#This Row],[Uniq-ID]]&amp;"-"&amp;Master_Data_Productivity[[#This Row],[Period]]</f>
        <v>PE-Project_Engineer-004-M4</v>
      </c>
      <c r="C890" t="s">
        <v>735</v>
      </c>
      <c r="D890" t="s">
        <v>76</v>
      </c>
      <c r="E890" t="s">
        <v>25</v>
      </c>
      <c r="F890" t="s">
        <v>54</v>
      </c>
      <c r="G890" t="s">
        <v>15</v>
      </c>
      <c r="H890" t="s">
        <v>44</v>
      </c>
      <c r="J890">
        <v>0.5</v>
      </c>
      <c r="K890" t="s">
        <v>12</v>
      </c>
      <c r="L890" t="s">
        <v>12</v>
      </c>
      <c r="M890" t="s">
        <v>12</v>
      </c>
      <c r="Q890" t="s">
        <v>716</v>
      </c>
      <c r="R890" t="s">
        <v>441</v>
      </c>
      <c r="S890" t="s">
        <v>12</v>
      </c>
      <c r="T890" t="s">
        <v>12</v>
      </c>
      <c r="U890" t="s">
        <v>12</v>
      </c>
      <c r="V890" t="s">
        <v>12</v>
      </c>
      <c r="W890" t="s">
        <v>12</v>
      </c>
      <c r="X890" t="s">
        <v>12</v>
      </c>
      <c r="Y890" t="s">
        <v>3410</v>
      </c>
      <c r="Z890" t="s">
        <v>3543</v>
      </c>
      <c r="AA890" t="s">
        <v>3544</v>
      </c>
      <c r="AB890" t="s">
        <v>12</v>
      </c>
      <c r="AC890" t="s">
        <v>3545</v>
      </c>
      <c r="AD890" t="s">
        <v>3546</v>
      </c>
    </row>
    <row r="891" spans="1:30">
      <c r="A891" t="s">
        <v>734</v>
      </c>
      <c r="B891" t="str">
        <f>Master_Data_Productivity[[#This Row],[Uniq-ID]]&amp;"-"&amp;Master_Data_Productivity[[#This Row],[Period]]</f>
        <v>PE-Project_Engineer-004-M5</v>
      </c>
      <c r="C891" t="s">
        <v>735</v>
      </c>
      <c r="D891" t="s">
        <v>76</v>
      </c>
      <c r="E891" t="s">
        <v>28</v>
      </c>
      <c r="F891" t="s">
        <v>56</v>
      </c>
      <c r="G891" t="s">
        <v>15</v>
      </c>
      <c r="H891" t="s">
        <v>44</v>
      </c>
      <c r="J891">
        <v>0.5</v>
      </c>
      <c r="K891" t="s">
        <v>12</v>
      </c>
      <c r="L891" t="s">
        <v>12</v>
      </c>
      <c r="M891" t="s">
        <v>12</v>
      </c>
      <c r="Q891" t="s">
        <v>716</v>
      </c>
      <c r="R891" t="s">
        <v>441</v>
      </c>
      <c r="S891" t="s">
        <v>12</v>
      </c>
      <c r="T891" t="s">
        <v>12</v>
      </c>
      <c r="U891" t="s">
        <v>12</v>
      </c>
      <c r="V891" t="s">
        <v>12</v>
      </c>
      <c r="W891" t="s">
        <v>12</v>
      </c>
      <c r="X891" t="s">
        <v>12</v>
      </c>
      <c r="Y891" t="s">
        <v>12</v>
      </c>
      <c r="Z891" t="s">
        <v>3410</v>
      </c>
      <c r="AA891" t="s">
        <v>3500</v>
      </c>
      <c r="AB891" t="s">
        <v>12</v>
      </c>
      <c r="AC891" t="s">
        <v>3547</v>
      </c>
      <c r="AD891" t="s">
        <v>3548</v>
      </c>
    </row>
    <row r="892" spans="1:30">
      <c r="A892" t="s">
        <v>734</v>
      </c>
      <c r="B892" t="str">
        <f>Master_Data_Productivity[[#This Row],[Uniq-ID]]&amp;"-"&amp;Master_Data_Productivity[[#This Row],[Period]]</f>
        <v>PE-Project_Engineer-004-M6</v>
      </c>
      <c r="C892" t="s">
        <v>735</v>
      </c>
      <c r="D892" t="s">
        <v>76</v>
      </c>
      <c r="E892" t="s">
        <v>31</v>
      </c>
      <c r="F892" t="s">
        <v>57</v>
      </c>
      <c r="G892" t="s">
        <v>33</v>
      </c>
      <c r="H892" t="s">
        <v>44</v>
      </c>
      <c r="K892" t="s">
        <v>12</v>
      </c>
      <c r="L892" t="s">
        <v>12</v>
      </c>
      <c r="M892" t="s">
        <v>12</v>
      </c>
      <c r="Q892" t="s">
        <v>716</v>
      </c>
      <c r="R892" t="s">
        <v>441</v>
      </c>
      <c r="S892" t="s">
        <v>12</v>
      </c>
      <c r="T892" t="s">
        <v>12</v>
      </c>
      <c r="U892" t="s">
        <v>12</v>
      </c>
      <c r="V892" t="s">
        <v>12</v>
      </c>
      <c r="W892" t="s">
        <v>12</v>
      </c>
      <c r="X892" t="s">
        <v>12</v>
      </c>
      <c r="Y892" t="s">
        <v>12</v>
      </c>
      <c r="Z892" t="s">
        <v>12</v>
      </c>
      <c r="AA892" t="s">
        <v>12</v>
      </c>
      <c r="AB892" t="s">
        <v>12</v>
      </c>
      <c r="AC892" t="s">
        <v>12</v>
      </c>
      <c r="AD892" t="s">
        <v>12</v>
      </c>
    </row>
    <row r="893" spans="1:30">
      <c r="A893" t="s">
        <v>717</v>
      </c>
      <c r="B893" t="str">
        <f>Master_Data_Productivity[[#This Row],[Uniq-ID]]&amp;"-"&amp;Master_Data_Productivity[[#This Row],[Period]]</f>
        <v>PE-Project_Engineer-002-M1</v>
      </c>
      <c r="C893" t="s">
        <v>718</v>
      </c>
      <c r="D893" t="s">
        <v>48</v>
      </c>
      <c r="E893" t="s">
        <v>13</v>
      </c>
      <c r="F893" t="s">
        <v>49</v>
      </c>
      <c r="G893" t="s">
        <v>15</v>
      </c>
      <c r="H893" t="s">
        <v>16</v>
      </c>
      <c r="J893">
        <v>1.5</v>
      </c>
      <c r="K893" t="s">
        <v>12</v>
      </c>
      <c r="L893" t="s">
        <v>12</v>
      </c>
      <c r="M893" t="s">
        <v>12</v>
      </c>
      <c r="Q893" t="s">
        <v>716</v>
      </c>
      <c r="R893" t="s">
        <v>493</v>
      </c>
      <c r="S893" t="s">
        <v>12</v>
      </c>
      <c r="T893" t="s">
        <v>12</v>
      </c>
      <c r="U893" t="s">
        <v>12</v>
      </c>
      <c r="V893" t="s">
        <v>12</v>
      </c>
      <c r="W893" t="s">
        <v>12</v>
      </c>
      <c r="X893" t="s">
        <v>12</v>
      </c>
      <c r="Y893" t="s">
        <v>3549</v>
      </c>
      <c r="Z893" t="s">
        <v>3550</v>
      </c>
      <c r="AA893" t="s">
        <v>3551</v>
      </c>
      <c r="AB893" t="s">
        <v>12</v>
      </c>
      <c r="AC893" t="s">
        <v>3552</v>
      </c>
      <c r="AD893" t="s">
        <v>3553</v>
      </c>
    </row>
    <row r="894" spans="1:30">
      <c r="A894" t="s">
        <v>717</v>
      </c>
      <c r="B894" t="str">
        <f>Master_Data_Productivity[[#This Row],[Uniq-ID]]&amp;"-"&amp;Master_Data_Productivity[[#This Row],[Period]]</f>
        <v>PE-Project_Engineer-002-M2</v>
      </c>
      <c r="C894" t="s">
        <v>718</v>
      </c>
      <c r="D894" t="s">
        <v>48</v>
      </c>
      <c r="E894" t="s">
        <v>18</v>
      </c>
      <c r="F894" t="s">
        <v>51</v>
      </c>
      <c r="G894" t="s">
        <v>15</v>
      </c>
      <c r="H894" t="s">
        <v>16</v>
      </c>
      <c r="J894">
        <v>1.5</v>
      </c>
      <c r="K894" t="s">
        <v>12</v>
      </c>
      <c r="L894" t="s">
        <v>12</v>
      </c>
      <c r="M894" t="s">
        <v>12</v>
      </c>
      <c r="Q894" t="s">
        <v>716</v>
      </c>
      <c r="R894" t="s">
        <v>493</v>
      </c>
      <c r="S894" t="s">
        <v>12</v>
      </c>
      <c r="T894" t="s">
        <v>12</v>
      </c>
      <c r="U894" t="s">
        <v>12</v>
      </c>
      <c r="V894" t="s">
        <v>12</v>
      </c>
      <c r="W894" t="s">
        <v>12</v>
      </c>
      <c r="X894" t="s">
        <v>12</v>
      </c>
      <c r="Y894" t="s">
        <v>3554</v>
      </c>
      <c r="Z894" t="s">
        <v>3555</v>
      </c>
      <c r="AA894" t="s">
        <v>3556</v>
      </c>
      <c r="AB894" t="s">
        <v>12</v>
      </c>
      <c r="AC894" t="s">
        <v>3557</v>
      </c>
      <c r="AD894" t="s">
        <v>3558</v>
      </c>
    </row>
    <row r="895" spans="1:30">
      <c r="A895" t="s">
        <v>717</v>
      </c>
      <c r="B895" t="str">
        <f>Master_Data_Productivity[[#This Row],[Uniq-ID]]&amp;"-"&amp;Master_Data_Productivity[[#This Row],[Period]]</f>
        <v>PE-Project_Engineer-002-M3</v>
      </c>
      <c r="C895" t="s">
        <v>718</v>
      </c>
      <c r="D895" t="s">
        <v>48</v>
      </c>
      <c r="E895" t="s">
        <v>22</v>
      </c>
      <c r="F895" t="s">
        <v>52</v>
      </c>
      <c r="G895" t="s">
        <v>15</v>
      </c>
      <c r="H895" t="s">
        <v>16</v>
      </c>
      <c r="J895">
        <v>1.5</v>
      </c>
      <c r="K895" t="s">
        <v>12</v>
      </c>
      <c r="L895" t="s">
        <v>12</v>
      </c>
      <c r="M895" t="s">
        <v>12</v>
      </c>
      <c r="Q895" t="s">
        <v>716</v>
      </c>
      <c r="R895" t="s">
        <v>493</v>
      </c>
      <c r="S895" t="s">
        <v>12</v>
      </c>
      <c r="T895" t="s">
        <v>12</v>
      </c>
      <c r="U895" t="s">
        <v>12</v>
      </c>
      <c r="V895" t="s">
        <v>12</v>
      </c>
      <c r="W895" t="s">
        <v>12</v>
      </c>
      <c r="X895" t="s">
        <v>12</v>
      </c>
      <c r="Y895" t="s">
        <v>3559</v>
      </c>
      <c r="Z895" t="s">
        <v>3560</v>
      </c>
      <c r="AA895" t="s">
        <v>3561</v>
      </c>
      <c r="AB895" t="s">
        <v>12</v>
      </c>
      <c r="AC895" t="s">
        <v>3562</v>
      </c>
      <c r="AD895" t="s">
        <v>3563</v>
      </c>
    </row>
    <row r="896" spans="1:30">
      <c r="A896" t="s">
        <v>717</v>
      </c>
      <c r="B896" t="str">
        <f>Master_Data_Productivity[[#This Row],[Uniq-ID]]&amp;"-"&amp;Master_Data_Productivity[[#This Row],[Period]]</f>
        <v>PE-Project_Engineer-002-M4</v>
      </c>
      <c r="C896" t="s">
        <v>718</v>
      </c>
      <c r="D896" t="s">
        <v>48</v>
      </c>
      <c r="E896" t="s">
        <v>25</v>
      </c>
      <c r="F896" t="s">
        <v>54</v>
      </c>
      <c r="G896" t="s">
        <v>15</v>
      </c>
      <c r="H896" t="s">
        <v>16</v>
      </c>
      <c r="J896">
        <v>1.07</v>
      </c>
      <c r="K896" t="s">
        <v>12</v>
      </c>
      <c r="L896" t="s">
        <v>12</v>
      </c>
      <c r="M896" t="s">
        <v>12</v>
      </c>
      <c r="Q896" t="s">
        <v>716</v>
      </c>
      <c r="R896" t="s">
        <v>493</v>
      </c>
      <c r="S896" t="s">
        <v>12</v>
      </c>
      <c r="T896" t="s">
        <v>12</v>
      </c>
      <c r="U896" t="s">
        <v>12</v>
      </c>
      <c r="V896" t="s">
        <v>12</v>
      </c>
      <c r="W896" t="s">
        <v>12</v>
      </c>
      <c r="X896" t="s">
        <v>12</v>
      </c>
      <c r="Y896" t="s">
        <v>3564</v>
      </c>
      <c r="Z896" t="s">
        <v>3565</v>
      </c>
      <c r="AA896" t="s">
        <v>3566</v>
      </c>
      <c r="AB896" t="s">
        <v>12</v>
      </c>
      <c r="AC896" t="s">
        <v>3567</v>
      </c>
      <c r="AD896" t="s">
        <v>3568</v>
      </c>
    </row>
    <row r="897" spans="1:30">
      <c r="A897" t="s">
        <v>717</v>
      </c>
      <c r="B897" t="str">
        <f>Master_Data_Productivity[[#This Row],[Uniq-ID]]&amp;"-"&amp;Master_Data_Productivity[[#This Row],[Period]]</f>
        <v>PE-Project_Engineer-002-M5</v>
      </c>
      <c r="C897" t="s">
        <v>718</v>
      </c>
      <c r="D897" t="s">
        <v>48</v>
      </c>
      <c r="E897" t="s">
        <v>28</v>
      </c>
      <c r="F897" t="s">
        <v>56</v>
      </c>
      <c r="G897" t="s">
        <v>15</v>
      </c>
      <c r="H897" t="s">
        <v>719</v>
      </c>
      <c r="J897">
        <v>1</v>
      </c>
      <c r="K897" t="s">
        <v>12</v>
      </c>
      <c r="L897" t="s">
        <v>12</v>
      </c>
      <c r="M897" t="s">
        <v>12</v>
      </c>
      <c r="Q897" t="s">
        <v>716</v>
      </c>
      <c r="R897" t="s">
        <v>493</v>
      </c>
      <c r="S897" t="s">
        <v>12</v>
      </c>
      <c r="T897" t="s">
        <v>12</v>
      </c>
      <c r="U897" t="s">
        <v>12</v>
      </c>
      <c r="V897" t="s">
        <v>12</v>
      </c>
      <c r="W897" t="s">
        <v>12</v>
      </c>
      <c r="X897" t="s">
        <v>12</v>
      </c>
      <c r="Y897" t="s">
        <v>3569</v>
      </c>
      <c r="Z897" t="s">
        <v>3570</v>
      </c>
      <c r="AA897" t="s">
        <v>3571</v>
      </c>
      <c r="AB897" t="s">
        <v>12</v>
      </c>
      <c r="AC897" t="s">
        <v>3544</v>
      </c>
      <c r="AD897" t="s">
        <v>3572</v>
      </c>
    </row>
    <row r="898" spans="1:30">
      <c r="A898" t="s">
        <v>717</v>
      </c>
      <c r="B898" t="str">
        <f>Master_Data_Productivity[[#This Row],[Uniq-ID]]&amp;"-"&amp;Master_Data_Productivity[[#This Row],[Period]]</f>
        <v>PE-Project_Engineer-002-M6</v>
      </c>
      <c r="C898" t="s">
        <v>718</v>
      </c>
      <c r="D898" t="s">
        <v>48</v>
      </c>
      <c r="E898" t="s">
        <v>31</v>
      </c>
      <c r="F898" t="s">
        <v>57</v>
      </c>
      <c r="G898" t="s">
        <v>33</v>
      </c>
      <c r="H898" t="s">
        <v>44</v>
      </c>
      <c r="K898" t="s">
        <v>12</v>
      </c>
      <c r="L898" t="s">
        <v>12</v>
      </c>
      <c r="M898" t="s">
        <v>12</v>
      </c>
      <c r="Q898" t="s">
        <v>716</v>
      </c>
      <c r="R898" t="s">
        <v>493</v>
      </c>
      <c r="S898" t="s">
        <v>12</v>
      </c>
      <c r="T898" t="s">
        <v>12</v>
      </c>
      <c r="U898" t="s">
        <v>12</v>
      </c>
      <c r="V898" t="s">
        <v>12</v>
      </c>
      <c r="W898" t="s">
        <v>12</v>
      </c>
      <c r="X898" t="s">
        <v>12</v>
      </c>
      <c r="Y898" t="s">
        <v>12</v>
      </c>
      <c r="Z898" t="s">
        <v>12</v>
      </c>
      <c r="AA898" t="s">
        <v>12</v>
      </c>
      <c r="AB898" t="s">
        <v>12</v>
      </c>
      <c r="AC898" t="s">
        <v>12</v>
      </c>
      <c r="AD898" t="s">
        <v>12</v>
      </c>
    </row>
    <row r="899" spans="1:30">
      <c r="A899" t="s">
        <v>726</v>
      </c>
      <c r="B899" t="str">
        <f>Master_Data_Productivity[[#This Row],[Uniq-ID]]&amp;"-"&amp;Master_Data_Productivity[[#This Row],[Period]]</f>
        <v>PE-Project_Engineer-063-M1</v>
      </c>
      <c r="C899" t="s">
        <v>727</v>
      </c>
      <c r="D899" t="s">
        <v>76</v>
      </c>
      <c r="E899" t="s">
        <v>13</v>
      </c>
      <c r="F899" t="s">
        <v>26</v>
      </c>
      <c r="G899" t="s">
        <v>15</v>
      </c>
      <c r="H899" t="s">
        <v>16</v>
      </c>
      <c r="J899">
        <v>1.28</v>
      </c>
      <c r="K899" t="s">
        <v>12</v>
      </c>
      <c r="L899" t="s">
        <v>12</v>
      </c>
      <c r="M899" t="s">
        <v>12</v>
      </c>
      <c r="Q899" t="s">
        <v>716</v>
      </c>
      <c r="R899" t="s">
        <v>446</v>
      </c>
      <c r="S899" t="s">
        <v>12</v>
      </c>
      <c r="T899" t="s">
        <v>12</v>
      </c>
      <c r="U899" t="s">
        <v>12</v>
      </c>
      <c r="V899" t="s">
        <v>12</v>
      </c>
      <c r="W899" t="s">
        <v>12</v>
      </c>
      <c r="X899" t="s">
        <v>12</v>
      </c>
      <c r="Y899" t="s">
        <v>3573</v>
      </c>
      <c r="Z899" t="s">
        <v>3574</v>
      </c>
      <c r="AA899" t="s">
        <v>3575</v>
      </c>
      <c r="AB899" t="s">
        <v>12</v>
      </c>
      <c r="AC899" t="s">
        <v>3576</v>
      </c>
      <c r="AD899" t="s">
        <v>3577</v>
      </c>
    </row>
    <row r="900" spans="1:30">
      <c r="A900" t="s">
        <v>726</v>
      </c>
      <c r="B900" t="str">
        <f>Master_Data_Productivity[[#This Row],[Uniq-ID]]&amp;"-"&amp;Master_Data_Productivity[[#This Row],[Period]]</f>
        <v>PE-Project_Engineer-063-M2</v>
      </c>
      <c r="C900" t="s">
        <v>727</v>
      </c>
      <c r="D900" t="s">
        <v>76</v>
      </c>
      <c r="E900" t="s">
        <v>18</v>
      </c>
      <c r="F900" t="s">
        <v>29</v>
      </c>
      <c r="G900" t="s">
        <v>15</v>
      </c>
      <c r="H900" t="s">
        <v>16</v>
      </c>
      <c r="J900">
        <v>1.25</v>
      </c>
      <c r="K900" t="s">
        <v>12</v>
      </c>
      <c r="L900" t="s">
        <v>12</v>
      </c>
      <c r="M900" t="s">
        <v>12</v>
      </c>
      <c r="Q900" t="s">
        <v>716</v>
      </c>
      <c r="R900" t="s">
        <v>446</v>
      </c>
      <c r="S900" t="s">
        <v>12</v>
      </c>
      <c r="T900" t="s">
        <v>12</v>
      </c>
      <c r="U900" t="s">
        <v>12</v>
      </c>
      <c r="V900" t="s">
        <v>12</v>
      </c>
      <c r="W900" t="s">
        <v>12</v>
      </c>
      <c r="X900" t="s">
        <v>12</v>
      </c>
      <c r="Y900" t="s">
        <v>3578</v>
      </c>
      <c r="Z900" t="s">
        <v>3579</v>
      </c>
      <c r="AA900" t="s">
        <v>3580</v>
      </c>
      <c r="AB900" t="s">
        <v>12</v>
      </c>
      <c r="AC900" t="s">
        <v>3581</v>
      </c>
      <c r="AD900" t="s">
        <v>3582</v>
      </c>
    </row>
    <row r="901" spans="1:30">
      <c r="A901" t="s">
        <v>726</v>
      </c>
      <c r="B901" t="str">
        <f>Master_Data_Productivity[[#This Row],[Uniq-ID]]&amp;"-"&amp;Master_Data_Productivity[[#This Row],[Period]]</f>
        <v>PE-Project_Engineer-063-M3</v>
      </c>
      <c r="C901" t="s">
        <v>727</v>
      </c>
      <c r="D901" t="s">
        <v>76</v>
      </c>
      <c r="E901" t="s">
        <v>22</v>
      </c>
      <c r="F901" t="s">
        <v>32</v>
      </c>
      <c r="G901" t="s">
        <v>33</v>
      </c>
      <c r="H901" t="s">
        <v>44</v>
      </c>
      <c r="J901">
        <v>0.83</v>
      </c>
      <c r="K901" t="s">
        <v>12</v>
      </c>
      <c r="L901" t="s">
        <v>12</v>
      </c>
      <c r="M901" t="s">
        <v>12</v>
      </c>
      <c r="Q901" t="s">
        <v>716</v>
      </c>
      <c r="R901" t="s">
        <v>446</v>
      </c>
      <c r="S901" t="s">
        <v>12</v>
      </c>
      <c r="T901" t="s">
        <v>12</v>
      </c>
      <c r="U901" t="s">
        <v>12</v>
      </c>
      <c r="V901" t="s">
        <v>12</v>
      </c>
      <c r="W901" t="s">
        <v>12</v>
      </c>
      <c r="X901" t="s">
        <v>12</v>
      </c>
      <c r="Y901" t="s">
        <v>3583</v>
      </c>
      <c r="Z901" t="s">
        <v>3584</v>
      </c>
      <c r="AA901" t="s">
        <v>3407</v>
      </c>
      <c r="AB901" t="s">
        <v>12</v>
      </c>
      <c r="AC901" t="s">
        <v>3585</v>
      </c>
      <c r="AD901" t="s">
        <v>3586</v>
      </c>
    </row>
    <row r="902" spans="1:30">
      <c r="A902" t="s">
        <v>862</v>
      </c>
      <c r="B902" t="str">
        <f>Master_Data_Productivity[[#This Row],[Uniq-ID]]&amp;"-"&amp;Master_Data_Productivity[[#This Row],[Period]]</f>
        <v>PE-Project_Engineer-009-M1</v>
      </c>
      <c r="C902" t="s">
        <v>863</v>
      </c>
      <c r="D902" t="s">
        <v>76</v>
      </c>
      <c r="E902" t="s">
        <v>13</v>
      </c>
      <c r="F902" t="s">
        <v>122</v>
      </c>
      <c r="G902" t="s">
        <v>15</v>
      </c>
      <c r="H902" t="s">
        <v>16</v>
      </c>
      <c r="J902">
        <v>1.05</v>
      </c>
      <c r="K902" t="s">
        <v>12</v>
      </c>
      <c r="L902" t="s">
        <v>12</v>
      </c>
      <c r="M902" t="s">
        <v>12</v>
      </c>
      <c r="Q902" t="s">
        <v>716</v>
      </c>
      <c r="R902" t="s">
        <v>461</v>
      </c>
      <c r="S902" t="s">
        <v>12</v>
      </c>
      <c r="T902" t="s">
        <v>12</v>
      </c>
      <c r="U902" t="s">
        <v>12</v>
      </c>
      <c r="V902" t="s">
        <v>12</v>
      </c>
      <c r="W902" t="s">
        <v>12</v>
      </c>
      <c r="X902" t="s">
        <v>12</v>
      </c>
      <c r="Y902" t="s">
        <v>3587</v>
      </c>
      <c r="Z902" t="s">
        <v>3588</v>
      </c>
      <c r="AA902" t="s">
        <v>3589</v>
      </c>
      <c r="AB902" t="s">
        <v>12</v>
      </c>
      <c r="AC902" t="s">
        <v>3590</v>
      </c>
      <c r="AD902" t="s">
        <v>3591</v>
      </c>
    </row>
    <row r="903" spans="1:30">
      <c r="A903" t="s">
        <v>862</v>
      </c>
      <c r="B903" t="str">
        <f>Master_Data_Productivity[[#This Row],[Uniq-ID]]&amp;"-"&amp;Master_Data_Productivity[[#This Row],[Period]]</f>
        <v>PE-Project_Engineer-009-M2</v>
      </c>
      <c r="C903" t="s">
        <v>863</v>
      </c>
      <c r="D903" t="s">
        <v>76</v>
      </c>
      <c r="E903" t="s">
        <v>18</v>
      </c>
      <c r="F903" t="s">
        <v>124</v>
      </c>
      <c r="G903" t="s">
        <v>15</v>
      </c>
      <c r="H903" t="s">
        <v>719</v>
      </c>
      <c r="J903">
        <v>1</v>
      </c>
      <c r="K903" t="s">
        <v>12</v>
      </c>
      <c r="L903" t="s">
        <v>12</v>
      </c>
      <c r="M903" t="s">
        <v>12</v>
      </c>
      <c r="Q903" t="s">
        <v>716</v>
      </c>
      <c r="R903" t="s">
        <v>461</v>
      </c>
      <c r="S903" t="s">
        <v>12</v>
      </c>
      <c r="T903" t="s">
        <v>12</v>
      </c>
      <c r="U903" t="s">
        <v>12</v>
      </c>
      <c r="V903" t="s">
        <v>12</v>
      </c>
      <c r="W903" t="s">
        <v>12</v>
      </c>
      <c r="X903" t="s">
        <v>12</v>
      </c>
      <c r="Y903" t="s">
        <v>3592</v>
      </c>
      <c r="Z903" t="s">
        <v>3593</v>
      </c>
      <c r="AA903" t="s">
        <v>3587</v>
      </c>
      <c r="AB903" t="s">
        <v>12</v>
      </c>
      <c r="AC903" t="s">
        <v>3594</v>
      </c>
      <c r="AD903" t="s">
        <v>3595</v>
      </c>
    </row>
    <row r="904" spans="1:30">
      <c r="A904" t="s">
        <v>862</v>
      </c>
      <c r="B904" t="str">
        <f>Master_Data_Productivity[[#This Row],[Uniq-ID]]&amp;"-"&amp;Master_Data_Productivity[[#This Row],[Period]]</f>
        <v>PE-Project_Engineer-009-M3</v>
      </c>
      <c r="C904" t="s">
        <v>863</v>
      </c>
      <c r="D904" t="s">
        <v>76</v>
      </c>
      <c r="E904" t="s">
        <v>22</v>
      </c>
      <c r="F904" t="s">
        <v>126</v>
      </c>
      <c r="G904" t="s">
        <v>15</v>
      </c>
      <c r="H904" t="s">
        <v>719</v>
      </c>
      <c r="J904">
        <v>1</v>
      </c>
      <c r="K904" t="s">
        <v>12</v>
      </c>
      <c r="L904" t="s">
        <v>12</v>
      </c>
      <c r="M904" t="s">
        <v>12</v>
      </c>
      <c r="Q904" t="s">
        <v>716</v>
      </c>
      <c r="R904" t="s">
        <v>461</v>
      </c>
      <c r="S904" t="s">
        <v>12</v>
      </c>
      <c r="T904" t="s">
        <v>12</v>
      </c>
      <c r="U904" t="s">
        <v>12</v>
      </c>
      <c r="V904" t="s">
        <v>12</v>
      </c>
      <c r="W904" t="s">
        <v>12</v>
      </c>
      <c r="X904" t="s">
        <v>12</v>
      </c>
      <c r="Y904" t="s">
        <v>3546</v>
      </c>
      <c r="Z904" t="s">
        <v>3564</v>
      </c>
      <c r="AA904" t="s">
        <v>3596</v>
      </c>
      <c r="AB904" t="s">
        <v>12</v>
      </c>
      <c r="AC904" t="s">
        <v>3544</v>
      </c>
      <c r="AD904" t="s">
        <v>3597</v>
      </c>
    </row>
    <row r="905" spans="1:30">
      <c r="A905" t="s">
        <v>862</v>
      </c>
      <c r="B905" t="str">
        <f>Master_Data_Productivity[[#This Row],[Uniq-ID]]&amp;"-"&amp;Master_Data_Productivity[[#This Row],[Period]]</f>
        <v>PE-Project_Engineer-009-M4</v>
      </c>
      <c r="C905" t="s">
        <v>863</v>
      </c>
      <c r="D905" t="s">
        <v>76</v>
      </c>
      <c r="E905" t="s">
        <v>25</v>
      </c>
      <c r="F905" t="s">
        <v>128</v>
      </c>
      <c r="G905" t="s">
        <v>15</v>
      </c>
      <c r="H905" t="s">
        <v>719</v>
      </c>
      <c r="J905">
        <v>1</v>
      </c>
      <c r="K905" t="s">
        <v>12</v>
      </c>
      <c r="L905" t="s">
        <v>12</v>
      </c>
      <c r="M905" t="s">
        <v>12</v>
      </c>
      <c r="Q905" t="s">
        <v>716</v>
      </c>
      <c r="R905" t="s">
        <v>461</v>
      </c>
      <c r="S905" t="s">
        <v>12</v>
      </c>
      <c r="T905" t="s">
        <v>12</v>
      </c>
      <c r="U905" t="s">
        <v>12</v>
      </c>
      <c r="V905" t="s">
        <v>12</v>
      </c>
      <c r="W905" t="s">
        <v>12</v>
      </c>
      <c r="X905" t="s">
        <v>12</v>
      </c>
      <c r="Y905" t="s">
        <v>3598</v>
      </c>
      <c r="Z905" t="s">
        <v>3599</v>
      </c>
      <c r="AA905" t="s">
        <v>3600</v>
      </c>
      <c r="AB905" t="s">
        <v>12</v>
      </c>
      <c r="AC905" t="s">
        <v>3601</v>
      </c>
      <c r="AD905" t="s">
        <v>3602</v>
      </c>
    </row>
    <row r="906" spans="1:30">
      <c r="A906" t="s">
        <v>862</v>
      </c>
      <c r="B906" t="str">
        <f>Master_Data_Productivity[[#This Row],[Uniq-ID]]&amp;"-"&amp;Master_Data_Productivity[[#This Row],[Period]]</f>
        <v>PE-Project_Engineer-009-M5</v>
      </c>
      <c r="C906" t="s">
        <v>863</v>
      </c>
      <c r="D906" t="s">
        <v>76</v>
      </c>
      <c r="E906" t="s">
        <v>28</v>
      </c>
      <c r="F906" t="s">
        <v>130</v>
      </c>
      <c r="G906" t="s">
        <v>15</v>
      </c>
      <c r="H906" t="s">
        <v>719</v>
      </c>
      <c r="J906">
        <v>1</v>
      </c>
      <c r="K906" t="s">
        <v>12</v>
      </c>
      <c r="L906" t="s">
        <v>12</v>
      </c>
      <c r="M906" t="s">
        <v>12</v>
      </c>
      <c r="Q906" t="s">
        <v>716</v>
      </c>
      <c r="R906" t="s">
        <v>461</v>
      </c>
      <c r="S906" t="s">
        <v>12</v>
      </c>
      <c r="T906" t="s">
        <v>12</v>
      </c>
      <c r="U906" t="s">
        <v>12</v>
      </c>
      <c r="V906" t="s">
        <v>12</v>
      </c>
      <c r="W906" t="s">
        <v>12</v>
      </c>
      <c r="X906" t="s">
        <v>12</v>
      </c>
      <c r="Y906" t="s">
        <v>3603</v>
      </c>
      <c r="Z906" t="s">
        <v>3604</v>
      </c>
      <c r="AA906" t="s">
        <v>3605</v>
      </c>
      <c r="AB906" t="s">
        <v>12</v>
      </c>
      <c r="AC906" t="s">
        <v>3606</v>
      </c>
      <c r="AD906" t="s">
        <v>3607</v>
      </c>
    </row>
    <row r="907" spans="1:30">
      <c r="A907" t="s">
        <v>862</v>
      </c>
      <c r="B907" t="str">
        <f>Master_Data_Productivity[[#This Row],[Uniq-ID]]&amp;"-"&amp;Master_Data_Productivity[[#This Row],[Period]]</f>
        <v>PE-Project_Engineer-009-M6</v>
      </c>
      <c r="C907" t="s">
        <v>863</v>
      </c>
      <c r="D907" t="s">
        <v>76</v>
      </c>
      <c r="E907" t="s">
        <v>31</v>
      </c>
      <c r="F907" t="s">
        <v>132</v>
      </c>
      <c r="G907" t="s">
        <v>33</v>
      </c>
      <c r="H907" t="s">
        <v>44</v>
      </c>
      <c r="K907" t="s">
        <v>12</v>
      </c>
      <c r="L907" t="s">
        <v>12</v>
      </c>
      <c r="M907" t="s">
        <v>12</v>
      </c>
      <c r="Q907" t="s">
        <v>716</v>
      </c>
      <c r="R907" t="s">
        <v>461</v>
      </c>
      <c r="S907" t="s">
        <v>12</v>
      </c>
      <c r="T907" t="s">
        <v>12</v>
      </c>
      <c r="U907" t="s">
        <v>12</v>
      </c>
      <c r="V907" t="s">
        <v>12</v>
      </c>
      <c r="W907" t="s">
        <v>12</v>
      </c>
      <c r="X907" t="s">
        <v>12</v>
      </c>
      <c r="Y907" t="s">
        <v>12</v>
      </c>
      <c r="Z907" t="s">
        <v>12</v>
      </c>
      <c r="AA907" t="s">
        <v>12</v>
      </c>
      <c r="AB907" t="s">
        <v>12</v>
      </c>
      <c r="AC907" t="s">
        <v>12</v>
      </c>
      <c r="AD907" t="s">
        <v>12</v>
      </c>
    </row>
    <row r="908" spans="1:30">
      <c r="A908" t="s">
        <v>744</v>
      </c>
      <c r="B908" t="str">
        <f>Master_Data_Productivity[[#This Row],[Uniq-ID]]&amp;"-"&amp;Master_Data_Productivity[[#This Row],[Period]]</f>
        <v>PE-Project_Engineer-013-M1</v>
      </c>
      <c r="C908" t="s">
        <v>745</v>
      </c>
      <c r="D908" t="s">
        <v>11</v>
      </c>
      <c r="E908" t="s">
        <v>13</v>
      </c>
      <c r="F908" t="s">
        <v>200</v>
      </c>
      <c r="G908" t="s">
        <v>15</v>
      </c>
      <c r="H908" t="s">
        <v>16</v>
      </c>
      <c r="J908">
        <v>1.04</v>
      </c>
      <c r="K908" t="s">
        <v>12</v>
      </c>
      <c r="L908" t="s">
        <v>12</v>
      </c>
      <c r="M908" t="s">
        <v>12</v>
      </c>
      <c r="Q908" t="s">
        <v>716</v>
      </c>
      <c r="R908" t="s">
        <v>441</v>
      </c>
      <c r="S908" t="s">
        <v>12</v>
      </c>
      <c r="T908" t="s">
        <v>12</v>
      </c>
      <c r="U908" t="s">
        <v>12</v>
      </c>
      <c r="V908" t="s">
        <v>12</v>
      </c>
      <c r="W908" t="s">
        <v>12</v>
      </c>
      <c r="X908" t="s">
        <v>12</v>
      </c>
      <c r="Y908" t="s">
        <v>3608</v>
      </c>
      <c r="Z908" t="s">
        <v>3609</v>
      </c>
      <c r="AA908" t="s">
        <v>3610</v>
      </c>
      <c r="AB908" t="s">
        <v>12</v>
      </c>
      <c r="AC908" t="s">
        <v>3425</v>
      </c>
      <c r="AD908" t="s">
        <v>3611</v>
      </c>
    </row>
    <row r="909" spans="1:30">
      <c r="A909" t="s">
        <v>744</v>
      </c>
      <c r="B909" t="str">
        <f>Master_Data_Productivity[[#This Row],[Uniq-ID]]&amp;"-"&amp;Master_Data_Productivity[[#This Row],[Period]]</f>
        <v>PE-Project_Engineer-013-M2</v>
      </c>
      <c r="C909" t="s">
        <v>745</v>
      </c>
      <c r="D909" t="s">
        <v>11</v>
      </c>
      <c r="E909" t="s">
        <v>18</v>
      </c>
      <c r="F909" t="s">
        <v>202</v>
      </c>
      <c r="G909" t="s">
        <v>15</v>
      </c>
      <c r="H909" t="s">
        <v>719</v>
      </c>
      <c r="J909">
        <v>1</v>
      </c>
      <c r="K909" t="s">
        <v>12</v>
      </c>
      <c r="L909" t="s">
        <v>12</v>
      </c>
      <c r="M909" t="s">
        <v>12</v>
      </c>
      <c r="Q909" t="s">
        <v>716</v>
      </c>
      <c r="R909" t="s">
        <v>441</v>
      </c>
      <c r="S909" t="s">
        <v>12</v>
      </c>
      <c r="T909" t="s">
        <v>12</v>
      </c>
      <c r="U909" t="s">
        <v>12</v>
      </c>
      <c r="V909" t="s">
        <v>12</v>
      </c>
      <c r="W909" t="s">
        <v>12</v>
      </c>
      <c r="X909" t="s">
        <v>12</v>
      </c>
      <c r="Y909" t="s">
        <v>3612</v>
      </c>
      <c r="Z909" t="s">
        <v>3613</v>
      </c>
      <c r="AA909" t="s">
        <v>3614</v>
      </c>
      <c r="AB909" t="s">
        <v>12</v>
      </c>
      <c r="AC909" t="s">
        <v>3615</v>
      </c>
      <c r="AD909" t="s">
        <v>3616</v>
      </c>
    </row>
    <row r="910" spans="1:30">
      <c r="A910" t="s">
        <v>744</v>
      </c>
      <c r="B910" t="str">
        <f>Master_Data_Productivity[[#This Row],[Uniq-ID]]&amp;"-"&amp;Master_Data_Productivity[[#This Row],[Period]]</f>
        <v>PE-Project_Engineer-013-M3</v>
      </c>
      <c r="C910" t="s">
        <v>745</v>
      </c>
      <c r="D910" t="s">
        <v>11</v>
      </c>
      <c r="E910" t="s">
        <v>22</v>
      </c>
      <c r="F910" t="s">
        <v>204</v>
      </c>
      <c r="G910" t="s">
        <v>15</v>
      </c>
      <c r="H910" t="s">
        <v>719</v>
      </c>
      <c r="J910">
        <v>1</v>
      </c>
      <c r="K910" t="s">
        <v>12</v>
      </c>
      <c r="L910" t="s">
        <v>12</v>
      </c>
      <c r="M910" t="s">
        <v>12</v>
      </c>
      <c r="Q910" t="s">
        <v>716</v>
      </c>
      <c r="R910" t="s">
        <v>441</v>
      </c>
      <c r="S910" t="s">
        <v>12</v>
      </c>
      <c r="T910" t="s">
        <v>12</v>
      </c>
      <c r="U910" t="s">
        <v>12</v>
      </c>
      <c r="V910" t="s">
        <v>12</v>
      </c>
      <c r="W910" t="s">
        <v>12</v>
      </c>
      <c r="X910" t="s">
        <v>12</v>
      </c>
      <c r="Y910" t="s">
        <v>3617</v>
      </c>
      <c r="Z910" t="s">
        <v>3618</v>
      </c>
      <c r="AA910" t="s">
        <v>3556</v>
      </c>
      <c r="AB910" t="s">
        <v>12</v>
      </c>
      <c r="AC910" t="s">
        <v>3619</v>
      </c>
      <c r="AD910" t="s">
        <v>3620</v>
      </c>
    </row>
    <row r="911" spans="1:30">
      <c r="A911" t="s">
        <v>744</v>
      </c>
      <c r="B911" t="str">
        <f>Master_Data_Productivity[[#This Row],[Uniq-ID]]&amp;"-"&amp;Master_Data_Productivity[[#This Row],[Period]]</f>
        <v>PE-Project_Engineer-013-M4</v>
      </c>
      <c r="C911" t="s">
        <v>745</v>
      </c>
      <c r="D911" t="s">
        <v>11</v>
      </c>
      <c r="E911" t="s">
        <v>25</v>
      </c>
      <c r="F911" t="s">
        <v>206</v>
      </c>
      <c r="G911" t="s">
        <v>15</v>
      </c>
      <c r="H911" t="s">
        <v>719</v>
      </c>
      <c r="J911">
        <v>1</v>
      </c>
      <c r="K911" t="s">
        <v>12</v>
      </c>
      <c r="L911" t="s">
        <v>12</v>
      </c>
      <c r="M911" t="s">
        <v>12</v>
      </c>
      <c r="Q911" t="s">
        <v>716</v>
      </c>
      <c r="R911" t="s">
        <v>441</v>
      </c>
      <c r="S911" t="s">
        <v>12</v>
      </c>
      <c r="T911" t="s">
        <v>12</v>
      </c>
      <c r="U911" t="s">
        <v>12</v>
      </c>
      <c r="V911" t="s">
        <v>12</v>
      </c>
      <c r="W911" t="s">
        <v>12</v>
      </c>
      <c r="X911" t="s">
        <v>12</v>
      </c>
      <c r="Y911" t="s">
        <v>3621</v>
      </c>
      <c r="Z911" t="s">
        <v>3622</v>
      </c>
      <c r="AA911" t="s">
        <v>3623</v>
      </c>
      <c r="AB911" t="s">
        <v>12</v>
      </c>
      <c r="AC911" t="s">
        <v>3624</v>
      </c>
      <c r="AD911" t="s">
        <v>3625</v>
      </c>
    </row>
    <row r="912" spans="1:30">
      <c r="A912" t="s">
        <v>744</v>
      </c>
      <c r="B912" t="str">
        <f>Master_Data_Productivity[[#This Row],[Uniq-ID]]&amp;"-"&amp;Master_Data_Productivity[[#This Row],[Period]]</f>
        <v>PE-Project_Engineer-013-M5</v>
      </c>
      <c r="C912" t="s">
        <v>745</v>
      </c>
      <c r="D912" t="s">
        <v>11</v>
      </c>
      <c r="E912" t="s">
        <v>28</v>
      </c>
      <c r="F912" t="s">
        <v>208</v>
      </c>
      <c r="G912" t="s">
        <v>15</v>
      </c>
      <c r="H912" t="s">
        <v>719</v>
      </c>
      <c r="J912">
        <v>1</v>
      </c>
      <c r="K912" t="s">
        <v>12</v>
      </c>
      <c r="L912" t="s">
        <v>12</v>
      </c>
      <c r="M912" t="s">
        <v>12</v>
      </c>
      <c r="Q912" t="s">
        <v>716</v>
      </c>
      <c r="R912" t="s">
        <v>441</v>
      </c>
      <c r="S912" t="s">
        <v>12</v>
      </c>
      <c r="T912" t="s">
        <v>12</v>
      </c>
      <c r="U912" t="s">
        <v>12</v>
      </c>
      <c r="V912" t="s">
        <v>12</v>
      </c>
      <c r="W912" t="s">
        <v>12</v>
      </c>
      <c r="X912" t="s">
        <v>12</v>
      </c>
      <c r="Y912" t="s">
        <v>3626</v>
      </c>
      <c r="Z912" t="s">
        <v>3627</v>
      </c>
      <c r="AA912" t="s">
        <v>3628</v>
      </c>
      <c r="AB912" t="s">
        <v>12</v>
      </c>
      <c r="AC912" t="s">
        <v>3629</v>
      </c>
      <c r="AD912" t="s">
        <v>3630</v>
      </c>
    </row>
    <row r="913" spans="1:30">
      <c r="A913" t="s">
        <v>744</v>
      </c>
      <c r="B913" t="str">
        <f>Master_Data_Productivity[[#This Row],[Uniq-ID]]&amp;"-"&amp;Master_Data_Productivity[[#This Row],[Period]]</f>
        <v>PE-Project_Engineer-013-M6</v>
      </c>
      <c r="C913" t="s">
        <v>745</v>
      </c>
      <c r="D913" t="s">
        <v>11</v>
      </c>
      <c r="E913" t="s">
        <v>31</v>
      </c>
      <c r="F913" t="s">
        <v>210</v>
      </c>
      <c r="G913" t="s">
        <v>33</v>
      </c>
      <c r="H913" t="s">
        <v>44</v>
      </c>
      <c r="K913" t="s">
        <v>12</v>
      </c>
      <c r="L913" t="s">
        <v>12</v>
      </c>
      <c r="M913" t="s">
        <v>12</v>
      </c>
      <c r="Q913" t="s">
        <v>716</v>
      </c>
      <c r="R913" t="s">
        <v>441</v>
      </c>
      <c r="S913" t="s">
        <v>12</v>
      </c>
      <c r="T913" t="s">
        <v>12</v>
      </c>
      <c r="U913" t="s">
        <v>12</v>
      </c>
      <c r="V913" t="s">
        <v>12</v>
      </c>
      <c r="W913" t="s">
        <v>12</v>
      </c>
      <c r="X913" t="s">
        <v>12</v>
      </c>
      <c r="Y913" t="s">
        <v>12</v>
      </c>
      <c r="Z913" t="s">
        <v>12</v>
      </c>
      <c r="AA913" t="s">
        <v>12</v>
      </c>
      <c r="AB913" t="s">
        <v>12</v>
      </c>
      <c r="AC913" t="s">
        <v>12</v>
      </c>
      <c r="AD913" t="s">
        <v>12</v>
      </c>
    </row>
    <row r="914" spans="1:30">
      <c r="A914" t="s">
        <v>730</v>
      </c>
      <c r="B914" t="str">
        <f>Master_Data_Productivity[[#This Row],[Uniq-ID]]&amp;"-"&amp;Master_Data_Productivity[[#This Row],[Period]]</f>
        <v>PE-Project_Engineer-044-M1</v>
      </c>
      <c r="C914" t="s">
        <v>731</v>
      </c>
      <c r="D914" t="s">
        <v>76</v>
      </c>
      <c r="E914" t="s">
        <v>13</v>
      </c>
      <c r="F914" t="s">
        <v>37</v>
      </c>
      <c r="G914" t="s">
        <v>15</v>
      </c>
      <c r="H914" t="s">
        <v>16</v>
      </c>
      <c r="J914">
        <v>1.5</v>
      </c>
      <c r="K914" t="s">
        <v>12</v>
      </c>
      <c r="L914" t="s">
        <v>12</v>
      </c>
      <c r="M914" t="s">
        <v>12</v>
      </c>
      <c r="Q914" t="s">
        <v>716</v>
      </c>
      <c r="R914" t="s">
        <v>441</v>
      </c>
      <c r="S914" t="s">
        <v>12</v>
      </c>
      <c r="T914" t="s">
        <v>12</v>
      </c>
      <c r="U914" t="s">
        <v>12</v>
      </c>
      <c r="V914" t="s">
        <v>12</v>
      </c>
      <c r="W914" t="s">
        <v>12</v>
      </c>
      <c r="X914" t="s">
        <v>12</v>
      </c>
      <c r="Y914" t="s">
        <v>3631</v>
      </c>
      <c r="Z914" t="s">
        <v>3550</v>
      </c>
      <c r="AA914" t="s">
        <v>3632</v>
      </c>
      <c r="AB914" t="s">
        <v>12</v>
      </c>
      <c r="AC914" t="s">
        <v>3633</v>
      </c>
      <c r="AD914" t="s">
        <v>3634</v>
      </c>
    </row>
    <row r="915" spans="1:30">
      <c r="A915" t="s">
        <v>730</v>
      </c>
      <c r="B915" t="str">
        <f>Master_Data_Productivity[[#This Row],[Uniq-ID]]&amp;"-"&amp;Master_Data_Productivity[[#This Row],[Period]]</f>
        <v>PE-Project_Engineer-044-M2</v>
      </c>
      <c r="C915" t="s">
        <v>731</v>
      </c>
      <c r="D915" t="s">
        <v>76</v>
      </c>
      <c r="E915" t="s">
        <v>18</v>
      </c>
      <c r="F915" t="s">
        <v>39</v>
      </c>
      <c r="G915" t="s">
        <v>15</v>
      </c>
      <c r="H915" t="s">
        <v>16</v>
      </c>
      <c r="J915">
        <v>1.5</v>
      </c>
      <c r="K915" t="s">
        <v>12</v>
      </c>
      <c r="L915" t="s">
        <v>12</v>
      </c>
      <c r="M915" t="s">
        <v>12</v>
      </c>
      <c r="Q915" t="s">
        <v>716</v>
      </c>
      <c r="R915" t="s">
        <v>441</v>
      </c>
      <c r="S915" t="s">
        <v>12</v>
      </c>
      <c r="T915" t="s">
        <v>12</v>
      </c>
      <c r="U915" t="s">
        <v>12</v>
      </c>
      <c r="V915" t="s">
        <v>12</v>
      </c>
      <c r="W915" t="s">
        <v>12</v>
      </c>
      <c r="X915" t="s">
        <v>12</v>
      </c>
      <c r="Y915" t="s">
        <v>3635</v>
      </c>
      <c r="Z915" t="s">
        <v>3636</v>
      </c>
      <c r="AA915" t="s">
        <v>3637</v>
      </c>
      <c r="AB915" t="s">
        <v>12</v>
      </c>
      <c r="AC915" t="s">
        <v>3638</v>
      </c>
      <c r="AD915" t="s">
        <v>3639</v>
      </c>
    </row>
    <row r="916" spans="1:30">
      <c r="A916" t="s">
        <v>730</v>
      </c>
      <c r="B916" t="str">
        <f>Master_Data_Productivity[[#This Row],[Uniq-ID]]&amp;"-"&amp;Master_Data_Productivity[[#This Row],[Period]]</f>
        <v>PE-Project_Engineer-044-M3</v>
      </c>
      <c r="C916" t="s">
        <v>731</v>
      </c>
      <c r="D916" t="s">
        <v>76</v>
      </c>
      <c r="E916" t="s">
        <v>22</v>
      </c>
      <c r="F916" t="s">
        <v>41</v>
      </c>
      <c r="G916" t="s">
        <v>15</v>
      </c>
      <c r="H916" t="s">
        <v>16</v>
      </c>
      <c r="J916">
        <v>1.5</v>
      </c>
      <c r="K916" t="s">
        <v>12</v>
      </c>
      <c r="L916" t="s">
        <v>12</v>
      </c>
      <c r="M916" t="s">
        <v>12</v>
      </c>
      <c r="Q916" t="s">
        <v>716</v>
      </c>
      <c r="R916" t="s">
        <v>441</v>
      </c>
      <c r="S916" t="s">
        <v>12</v>
      </c>
      <c r="T916" t="s">
        <v>12</v>
      </c>
      <c r="U916" t="s">
        <v>12</v>
      </c>
      <c r="V916" t="s">
        <v>12</v>
      </c>
      <c r="W916" t="s">
        <v>12</v>
      </c>
      <c r="X916" t="s">
        <v>12</v>
      </c>
      <c r="Y916" t="s">
        <v>3640</v>
      </c>
      <c r="Z916" t="s">
        <v>3641</v>
      </c>
      <c r="AA916" t="s">
        <v>3642</v>
      </c>
      <c r="AB916" t="s">
        <v>12</v>
      </c>
      <c r="AC916" t="s">
        <v>3643</v>
      </c>
      <c r="AD916" t="s">
        <v>3644</v>
      </c>
    </row>
    <row r="917" spans="1:30">
      <c r="A917" t="s">
        <v>730</v>
      </c>
      <c r="B917" t="str">
        <f>Master_Data_Productivity[[#This Row],[Uniq-ID]]&amp;"-"&amp;Master_Data_Productivity[[#This Row],[Period]]</f>
        <v>PE-Project_Engineer-044-M4</v>
      </c>
      <c r="C917" t="s">
        <v>731</v>
      </c>
      <c r="D917" t="s">
        <v>76</v>
      </c>
      <c r="E917" t="s">
        <v>25</v>
      </c>
      <c r="F917" t="s">
        <v>43</v>
      </c>
      <c r="G917" t="s">
        <v>33</v>
      </c>
      <c r="H917" t="s">
        <v>719</v>
      </c>
      <c r="J917">
        <v>1</v>
      </c>
      <c r="K917" t="s">
        <v>12</v>
      </c>
      <c r="L917" t="s">
        <v>12</v>
      </c>
      <c r="M917" t="s">
        <v>12</v>
      </c>
      <c r="Q917" t="s">
        <v>716</v>
      </c>
      <c r="R917" t="s">
        <v>441</v>
      </c>
      <c r="S917" t="s">
        <v>12</v>
      </c>
      <c r="T917" t="s">
        <v>12</v>
      </c>
      <c r="U917" t="s">
        <v>12</v>
      </c>
      <c r="V917" t="s">
        <v>12</v>
      </c>
      <c r="W917" t="s">
        <v>12</v>
      </c>
      <c r="X917" t="s">
        <v>12</v>
      </c>
      <c r="Y917" t="s">
        <v>3645</v>
      </c>
      <c r="Z917" t="s">
        <v>3646</v>
      </c>
      <c r="AA917" t="s">
        <v>12</v>
      </c>
      <c r="AB917" t="s">
        <v>12</v>
      </c>
      <c r="AC917" t="s">
        <v>3477</v>
      </c>
      <c r="AD917" t="s">
        <v>3647</v>
      </c>
    </row>
    <row r="918" spans="1:30">
      <c r="A918" t="s">
        <v>740</v>
      </c>
      <c r="B918" t="str">
        <f>Master_Data_Productivity[[#This Row],[Uniq-ID]]&amp;"-"&amp;Master_Data_Productivity[[#This Row],[Period]]</f>
        <v>PE-Project_Engineer-058-M1</v>
      </c>
      <c r="C918" t="s">
        <v>741</v>
      </c>
      <c r="D918" t="s">
        <v>76</v>
      </c>
      <c r="E918" t="s">
        <v>13</v>
      </c>
      <c r="F918" t="s">
        <v>26</v>
      </c>
      <c r="G918" t="s">
        <v>15</v>
      </c>
      <c r="H918" t="s">
        <v>16</v>
      </c>
      <c r="J918">
        <v>1.5</v>
      </c>
      <c r="K918" t="s">
        <v>12</v>
      </c>
      <c r="L918" t="s">
        <v>12</v>
      </c>
      <c r="M918" t="s">
        <v>12</v>
      </c>
      <c r="Q918" t="s">
        <v>716</v>
      </c>
      <c r="R918" t="s">
        <v>520</v>
      </c>
      <c r="S918" t="s">
        <v>12</v>
      </c>
      <c r="T918" t="s">
        <v>12</v>
      </c>
      <c r="U918" t="s">
        <v>12</v>
      </c>
      <c r="V918" t="s">
        <v>12</v>
      </c>
      <c r="W918" t="s">
        <v>12</v>
      </c>
      <c r="X918" t="s">
        <v>12</v>
      </c>
      <c r="Y918" t="s">
        <v>3648</v>
      </c>
      <c r="Z918" t="s">
        <v>3558</v>
      </c>
      <c r="AA918" t="s">
        <v>3611</v>
      </c>
      <c r="AB918" t="s">
        <v>12</v>
      </c>
      <c r="AC918" t="s">
        <v>3649</v>
      </c>
      <c r="AD918" t="s">
        <v>3650</v>
      </c>
    </row>
    <row r="919" spans="1:30">
      <c r="A919" t="s">
        <v>740</v>
      </c>
      <c r="B919" t="str">
        <f>Master_Data_Productivity[[#This Row],[Uniq-ID]]&amp;"-"&amp;Master_Data_Productivity[[#This Row],[Period]]</f>
        <v>PE-Project_Engineer-058-M2</v>
      </c>
      <c r="C919" t="s">
        <v>741</v>
      </c>
      <c r="D919" t="s">
        <v>76</v>
      </c>
      <c r="E919" t="s">
        <v>18</v>
      </c>
      <c r="F919" t="s">
        <v>29</v>
      </c>
      <c r="G919" t="s">
        <v>15</v>
      </c>
      <c r="H919" t="s">
        <v>16</v>
      </c>
      <c r="J919">
        <v>1.5</v>
      </c>
      <c r="K919" t="s">
        <v>12</v>
      </c>
      <c r="L919" t="s">
        <v>12</v>
      </c>
      <c r="M919" t="s">
        <v>12</v>
      </c>
      <c r="Q919" t="s">
        <v>716</v>
      </c>
      <c r="R919" t="s">
        <v>520</v>
      </c>
      <c r="S919" t="s">
        <v>12</v>
      </c>
      <c r="T919" t="s">
        <v>12</v>
      </c>
      <c r="U919" t="s">
        <v>12</v>
      </c>
      <c r="V919" t="s">
        <v>12</v>
      </c>
      <c r="W919" t="s">
        <v>12</v>
      </c>
      <c r="X919" t="s">
        <v>12</v>
      </c>
      <c r="Y919" t="s">
        <v>3651</v>
      </c>
      <c r="Z919" t="s">
        <v>3652</v>
      </c>
      <c r="AA919" t="s">
        <v>3653</v>
      </c>
      <c r="AB919" t="s">
        <v>12</v>
      </c>
      <c r="AC919" t="s">
        <v>3654</v>
      </c>
      <c r="AD919" t="s">
        <v>3655</v>
      </c>
    </row>
    <row r="920" spans="1:30">
      <c r="A920" t="s">
        <v>740</v>
      </c>
      <c r="B920" t="str">
        <f>Master_Data_Productivity[[#This Row],[Uniq-ID]]&amp;"-"&amp;Master_Data_Productivity[[#This Row],[Period]]</f>
        <v>PE-Project_Engineer-058-M3</v>
      </c>
      <c r="C920" t="s">
        <v>741</v>
      </c>
      <c r="D920" t="s">
        <v>76</v>
      </c>
      <c r="E920" t="s">
        <v>22</v>
      </c>
      <c r="F920" t="s">
        <v>32</v>
      </c>
      <c r="G920" t="s">
        <v>33</v>
      </c>
      <c r="H920" t="s">
        <v>16</v>
      </c>
      <c r="J920">
        <v>1.5</v>
      </c>
      <c r="K920" t="s">
        <v>12</v>
      </c>
      <c r="L920" t="s">
        <v>12</v>
      </c>
      <c r="M920" t="s">
        <v>12</v>
      </c>
      <c r="Q920" t="s">
        <v>716</v>
      </c>
      <c r="R920" t="s">
        <v>520</v>
      </c>
      <c r="S920" t="s">
        <v>12</v>
      </c>
      <c r="T920" t="s">
        <v>12</v>
      </c>
      <c r="U920" t="s">
        <v>12</v>
      </c>
      <c r="V920" t="s">
        <v>12</v>
      </c>
      <c r="W920" t="s">
        <v>12</v>
      </c>
      <c r="X920" t="s">
        <v>12</v>
      </c>
      <c r="Y920" t="s">
        <v>3554</v>
      </c>
      <c r="Z920" t="s">
        <v>3656</v>
      </c>
      <c r="AA920" t="s">
        <v>3657</v>
      </c>
      <c r="AB920" t="s">
        <v>12</v>
      </c>
      <c r="AC920" t="s">
        <v>3658</v>
      </c>
      <c r="AD920" t="s">
        <v>3659</v>
      </c>
    </row>
    <row r="921" spans="1:30">
      <c r="A921" t="s">
        <v>742</v>
      </c>
      <c r="B921" t="str">
        <f>Master_Data_Productivity[[#This Row],[Uniq-ID]]&amp;"-"&amp;Master_Data_Productivity[[#This Row],[Period]]</f>
        <v>PE-Project_Engineer-010-M1</v>
      </c>
      <c r="C921" t="s">
        <v>743</v>
      </c>
      <c r="D921" t="s">
        <v>76</v>
      </c>
      <c r="E921" t="s">
        <v>13</v>
      </c>
      <c r="F921" t="s">
        <v>122</v>
      </c>
      <c r="G921" t="s">
        <v>15</v>
      </c>
      <c r="H921" t="s">
        <v>16</v>
      </c>
      <c r="J921">
        <v>1.5</v>
      </c>
      <c r="K921" t="s">
        <v>12</v>
      </c>
      <c r="L921" t="s">
        <v>12</v>
      </c>
      <c r="M921" t="s">
        <v>12</v>
      </c>
      <c r="Q921" t="s">
        <v>716</v>
      </c>
      <c r="R921" t="s">
        <v>461</v>
      </c>
      <c r="S921" t="s">
        <v>12</v>
      </c>
      <c r="T921" t="s">
        <v>12</v>
      </c>
      <c r="U921" t="s">
        <v>12</v>
      </c>
      <c r="V921" t="s">
        <v>12</v>
      </c>
      <c r="W921" t="s">
        <v>12</v>
      </c>
      <c r="X921" t="s">
        <v>12</v>
      </c>
      <c r="Y921" t="s">
        <v>3660</v>
      </c>
      <c r="Z921" t="s">
        <v>3661</v>
      </c>
      <c r="AA921" t="s">
        <v>3662</v>
      </c>
      <c r="AB921" t="s">
        <v>12</v>
      </c>
      <c r="AC921" t="s">
        <v>3663</v>
      </c>
      <c r="AD921" t="s">
        <v>3664</v>
      </c>
    </row>
    <row r="922" spans="1:30">
      <c r="A922" t="s">
        <v>742</v>
      </c>
      <c r="B922" t="str">
        <f>Master_Data_Productivity[[#This Row],[Uniq-ID]]&amp;"-"&amp;Master_Data_Productivity[[#This Row],[Period]]</f>
        <v>PE-Project_Engineer-010-M2</v>
      </c>
      <c r="C922" t="s">
        <v>743</v>
      </c>
      <c r="D922" t="s">
        <v>76</v>
      </c>
      <c r="E922" t="s">
        <v>18</v>
      </c>
      <c r="F922" t="s">
        <v>124</v>
      </c>
      <c r="G922" t="s">
        <v>15</v>
      </c>
      <c r="H922" t="s">
        <v>16</v>
      </c>
      <c r="J922">
        <v>1.5</v>
      </c>
      <c r="K922" t="s">
        <v>12</v>
      </c>
      <c r="L922" t="s">
        <v>12</v>
      </c>
      <c r="M922" t="s">
        <v>12</v>
      </c>
      <c r="Q922" t="s">
        <v>716</v>
      </c>
      <c r="R922" t="s">
        <v>461</v>
      </c>
      <c r="S922" t="s">
        <v>12</v>
      </c>
      <c r="T922" t="s">
        <v>12</v>
      </c>
      <c r="U922" t="s">
        <v>12</v>
      </c>
      <c r="V922" t="s">
        <v>12</v>
      </c>
      <c r="W922" t="s">
        <v>12</v>
      </c>
      <c r="X922" t="s">
        <v>12</v>
      </c>
      <c r="Y922" t="s">
        <v>3665</v>
      </c>
      <c r="Z922" t="s">
        <v>3666</v>
      </c>
      <c r="AA922" t="s">
        <v>3667</v>
      </c>
      <c r="AB922" t="s">
        <v>12</v>
      </c>
      <c r="AC922" t="s">
        <v>3668</v>
      </c>
      <c r="AD922" t="s">
        <v>3669</v>
      </c>
    </row>
    <row r="923" spans="1:30">
      <c r="A923" t="s">
        <v>742</v>
      </c>
      <c r="B923" t="str">
        <f>Master_Data_Productivity[[#This Row],[Uniq-ID]]&amp;"-"&amp;Master_Data_Productivity[[#This Row],[Period]]</f>
        <v>PE-Project_Engineer-010-M3</v>
      </c>
      <c r="C923" t="s">
        <v>743</v>
      </c>
      <c r="D923" t="s">
        <v>76</v>
      </c>
      <c r="E923" t="s">
        <v>22</v>
      </c>
      <c r="F923" t="s">
        <v>126</v>
      </c>
      <c r="G923" t="s">
        <v>15</v>
      </c>
      <c r="H923" t="s">
        <v>16</v>
      </c>
      <c r="J923">
        <v>1.5</v>
      </c>
      <c r="K923" t="s">
        <v>12</v>
      </c>
      <c r="L923" t="s">
        <v>12</v>
      </c>
      <c r="M923" t="s">
        <v>12</v>
      </c>
      <c r="Q923" t="s">
        <v>716</v>
      </c>
      <c r="R923" t="s">
        <v>461</v>
      </c>
      <c r="S923" t="s">
        <v>12</v>
      </c>
      <c r="T923" t="s">
        <v>12</v>
      </c>
      <c r="U923" t="s">
        <v>12</v>
      </c>
      <c r="V923" t="s">
        <v>12</v>
      </c>
      <c r="W923" t="s">
        <v>12</v>
      </c>
      <c r="X923" t="s">
        <v>12</v>
      </c>
      <c r="Y923" t="s">
        <v>3670</v>
      </c>
      <c r="Z923" t="s">
        <v>3671</v>
      </c>
      <c r="AA923" t="s">
        <v>3672</v>
      </c>
      <c r="AB923" t="s">
        <v>12</v>
      </c>
      <c r="AC923" t="s">
        <v>3673</v>
      </c>
      <c r="AD923" t="s">
        <v>3674</v>
      </c>
    </row>
    <row r="924" spans="1:30">
      <c r="A924" t="s">
        <v>742</v>
      </c>
      <c r="B924" t="str">
        <f>Master_Data_Productivity[[#This Row],[Uniq-ID]]&amp;"-"&amp;Master_Data_Productivity[[#This Row],[Period]]</f>
        <v>PE-Project_Engineer-010-M4</v>
      </c>
      <c r="C924" t="s">
        <v>743</v>
      </c>
      <c r="D924" t="s">
        <v>76</v>
      </c>
      <c r="E924" t="s">
        <v>25</v>
      </c>
      <c r="F924" t="s">
        <v>128</v>
      </c>
      <c r="G924" t="s">
        <v>15</v>
      </c>
      <c r="H924" t="s">
        <v>719</v>
      </c>
      <c r="J924">
        <v>1</v>
      </c>
      <c r="K924" t="s">
        <v>12</v>
      </c>
      <c r="L924" t="s">
        <v>12</v>
      </c>
      <c r="M924" t="s">
        <v>12</v>
      </c>
      <c r="Q924" t="s">
        <v>716</v>
      </c>
      <c r="R924" t="s">
        <v>461</v>
      </c>
      <c r="S924" t="s">
        <v>12</v>
      </c>
      <c r="T924" t="s">
        <v>12</v>
      </c>
      <c r="U924" t="s">
        <v>12</v>
      </c>
      <c r="V924" t="s">
        <v>12</v>
      </c>
      <c r="W924" t="s">
        <v>12</v>
      </c>
      <c r="X924" t="s">
        <v>12</v>
      </c>
      <c r="Y924" t="s">
        <v>3675</v>
      </c>
      <c r="Z924" t="s">
        <v>3676</v>
      </c>
      <c r="AA924" t="s">
        <v>3677</v>
      </c>
      <c r="AB924" t="s">
        <v>12</v>
      </c>
      <c r="AC924" t="s">
        <v>3678</v>
      </c>
      <c r="AD924" t="s">
        <v>3679</v>
      </c>
    </row>
    <row r="925" spans="1:30">
      <c r="A925" t="s">
        <v>742</v>
      </c>
      <c r="B925" t="str">
        <f>Master_Data_Productivity[[#This Row],[Uniq-ID]]&amp;"-"&amp;Master_Data_Productivity[[#This Row],[Period]]</f>
        <v>PE-Project_Engineer-010-M5</v>
      </c>
      <c r="C925" t="s">
        <v>743</v>
      </c>
      <c r="D925" t="s">
        <v>76</v>
      </c>
      <c r="E925" t="s">
        <v>28</v>
      </c>
      <c r="F925" t="s">
        <v>130</v>
      </c>
      <c r="G925" t="s">
        <v>15</v>
      </c>
      <c r="H925" t="s">
        <v>719</v>
      </c>
      <c r="J925">
        <v>1</v>
      </c>
      <c r="K925" t="s">
        <v>12</v>
      </c>
      <c r="L925" t="s">
        <v>12</v>
      </c>
      <c r="M925" t="s">
        <v>12</v>
      </c>
      <c r="Q925" t="s">
        <v>716</v>
      </c>
      <c r="R925" t="s">
        <v>461</v>
      </c>
      <c r="S925" t="s">
        <v>12</v>
      </c>
      <c r="T925" t="s">
        <v>12</v>
      </c>
      <c r="U925" t="s">
        <v>12</v>
      </c>
      <c r="V925" t="s">
        <v>12</v>
      </c>
      <c r="W925" t="s">
        <v>12</v>
      </c>
      <c r="X925" t="s">
        <v>12</v>
      </c>
      <c r="Y925" t="s">
        <v>3680</v>
      </c>
      <c r="Z925" t="s">
        <v>3613</v>
      </c>
      <c r="AA925" t="s">
        <v>3681</v>
      </c>
      <c r="AB925" t="s">
        <v>12</v>
      </c>
      <c r="AC925" t="s">
        <v>3682</v>
      </c>
      <c r="AD925" t="s">
        <v>3683</v>
      </c>
    </row>
    <row r="926" spans="1:30">
      <c r="A926" t="s">
        <v>742</v>
      </c>
      <c r="B926" t="str">
        <f>Master_Data_Productivity[[#This Row],[Uniq-ID]]&amp;"-"&amp;Master_Data_Productivity[[#This Row],[Period]]</f>
        <v>PE-Project_Engineer-010-M6</v>
      </c>
      <c r="C926" t="s">
        <v>743</v>
      </c>
      <c r="D926" t="s">
        <v>76</v>
      </c>
      <c r="E926" t="s">
        <v>31</v>
      </c>
      <c r="F926" t="s">
        <v>132</v>
      </c>
      <c r="G926" t="s">
        <v>33</v>
      </c>
      <c r="H926" t="s">
        <v>44</v>
      </c>
      <c r="K926" t="s">
        <v>12</v>
      </c>
      <c r="L926" t="s">
        <v>12</v>
      </c>
      <c r="M926" t="s">
        <v>12</v>
      </c>
      <c r="Q926" t="s">
        <v>716</v>
      </c>
      <c r="R926" t="s">
        <v>461</v>
      </c>
      <c r="S926" t="s">
        <v>12</v>
      </c>
      <c r="T926" t="s">
        <v>12</v>
      </c>
      <c r="U926" t="s">
        <v>12</v>
      </c>
      <c r="V926" t="s">
        <v>12</v>
      </c>
      <c r="W926" t="s">
        <v>12</v>
      </c>
      <c r="X926" t="s">
        <v>12</v>
      </c>
      <c r="Y926" t="s">
        <v>12</v>
      </c>
      <c r="Z926" t="s">
        <v>12</v>
      </c>
      <c r="AA926" t="s">
        <v>12</v>
      </c>
      <c r="AB926" t="s">
        <v>12</v>
      </c>
      <c r="AC926" t="s">
        <v>12</v>
      </c>
      <c r="AD926" t="s">
        <v>12</v>
      </c>
    </row>
    <row r="927" spans="1:30">
      <c r="A927" t="s">
        <v>720</v>
      </c>
      <c r="B927" t="str">
        <f>Master_Data_Productivity[[#This Row],[Uniq-ID]]&amp;"-"&amp;Master_Data_Productivity[[#This Row],[Period]]</f>
        <v>PE-Project_Engineer-045-M1</v>
      </c>
      <c r="C927" t="s">
        <v>721</v>
      </c>
      <c r="D927" t="s">
        <v>76</v>
      </c>
      <c r="E927" t="s">
        <v>13</v>
      </c>
      <c r="F927" t="s">
        <v>37</v>
      </c>
      <c r="G927" t="s">
        <v>15</v>
      </c>
      <c r="H927" t="s">
        <v>16</v>
      </c>
      <c r="J927">
        <v>1.5</v>
      </c>
      <c r="K927" t="s">
        <v>12</v>
      </c>
      <c r="L927" t="s">
        <v>12</v>
      </c>
      <c r="M927" t="s">
        <v>12</v>
      </c>
      <c r="Q927" t="s">
        <v>716</v>
      </c>
      <c r="R927" t="s">
        <v>441</v>
      </c>
      <c r="S927" t="s">
        <v>12</v>
      </c>
      <c r="T927" t="s">
        <v>12</v>
      </c>
      <c r="U927" t="s">
        <v>12</v>
      </c>
      <c r="V927" t="s">
        <v>12</v>
      </c>
      <c r="W927" t="s">
        <v>12</v>
      </c>
      <c r="X927" t="s">
        <v>12</v>
      </c>
      <c r="Y927" t="s">
        <v>3684</v>
      </c>
      <c r="Z927" t="s">
        <v>3685</v>
      </c>
      <c r="AA927" t="s">
        <v>3686</v>
      </c>
      <c r="AB927" t="s">
        <v>12</v>
      </c>
      <c r="AC927" t="s">
        <v>3527</v>
      </c>
      <c r="AD927" t="s">
        <v>3687</v>
      </c>
    </row>
    <row r="928" spans="1:30">
      <c r="A928" t="s">
        <v>720</v>
      </c>
      <c r="B928" t="str">
        <f>Master_Data_Productivity[[#This Row],[Uniq-ID]]&amp;"-"&amp;Master_Data_Productivity[[#This Row],[Period]]</f>
        <v>PE-Project_Engineer-045-M2</v>
      </c>
      <c r="C928" t="s">
        <v>721</v>
      </c>
      <c r="D928" t="s">
        <v>76</v>
      </c>
      <c r="E928" t="s">
        <v>18</v>
      </c>
      <c r="F928" t="s">
        <v>39</v>
      </c>
      <c r="G928" t="s">
        <v>15</v>
      </c>
      <c r="H928" t="s">
        <v>16</v>
      </c>
      <c r="J928">
        <v>1.5</v>
      </c>
      <c r="K928" t="s">
        <v>12</v>
      </c>
      <c r="L928" t="s">
        <v>12</v>
      </c>
      <c r="M928" t="s">
        <v>12</v>
      </c>
      <c r="Q928" t="s">
        <v>716</v>
      </c>
      <c r="R928" t="s">
        <v>441</v>
      </c>
      <c r="S928" t="s">
        <v>12</v>
      </c>
      <c r="T928" t="s">
        <v>12</v>
      </c>
      <c r="U928" t="s">
        <v>12</v>
      </c>
      <c r="V928" t="s">
        <v>12</v>
      </c>
      <c r="W928" t="s">
        <v>12</v>
      </c>
      <c r="X928" t="s">
        <v>12</v>
      </c>
      <c r="Y928" t="s">
        <v>3688</v>
      </c>
      <c r="Z928" t="s">
        <v>3689</v>
      </c>
      <c r="AA928" t="s">
        <v>3690</v>
      </c>
      <c r="AB928" t="s">
        <v>12</v>
      </c>
      <c r="AC928" t="s">
        <v>3691</v>
      </c>
      <c r="AD928" t="s">
        <v>3692</v>
      </c>
    </row>
    <row r="929" spans="1:30">
      <c r="A929" t="s">
        <v>720</v>
      </c>
      <c r="B929" t="str">
        <f>Master_Data_Productivity[[#This Row],[Uniq-ID]]&amp;"-"&amp;Master_Data_Productivity[[#This Row],[Period]]</f>
        <v>PE-Project_Engineer-045-M3</v>
      </c>
      <c r="C929" t="s">
        <v>721</v>
      </c>
      <c r="D929" t="s">
        <v>76</v>
      </c>
      <c r="E929" t="s">
        <v>22</v>
      </c>
      <c r="F929" t="s">
        <v>41</v>
      </c>
      <c r="G929" t="s">
        <v>15</v>
      </c>
      <c r="H929" t="s">
        <v>16</v>
      </c>
      <c r="J929">
        <v>1.5</v>
      </c>
      <c r="K929" t="s">
        <v>12</v>
      </c>
      <c r="L929" t="s">
        <v>12</v>
      </c>
      <c r="M929" t="s">
        <v>12</v>
      </c>
      <c r="Q929" t="s">
        <v>716</v>
      </c>
      <c r="R929" t="s">
        <v>441</v>
      </c>
      <c r="S929" t="s">
        <v>12</v>
      </c>
      <c r="T929" t="s">
        <v>12</v>
      </c>
      <c r="U929" t="s">
        <v>12</v>
      </c>
      <c r="V929" t="s">
        <v>12</v>
      </c>
      <c r="W929" t="s">
        <v>12</v>
      </c>
      <c r="X929" t="s">
        <v>12</v>
      </c>
      <c r="Y929" t="s">
        <v>3693</v>
      </c>
      <c r="Z929" t="s">
        <v>3685</v>
      </c>
      <c r="AA929" t="s">
        <v>3694</v>
      </c>
      <c r="AB929" t="s">
        <v>12</v>
      </c>
      <c r="AC929" t="s">
        <v>3695</v>
      </c>
      <c r="AD929" t="s">
        <v>3696</v>
      </c>
    </row>
    <row r="930" spans="1:30">
      <c r="A930" t="s">
        <v>720</v>
      </c>
      <c r="B930" t="str">
        <f>Master_Data_Productivity[[#This Row],[Uniq-ID]]&amp;"-"&amp;Master_Data_Productivity[[#This Row],[Period]]</f>
        <v>PE-Project_Engineer-045-M4</v>
      </c>
      <c r="C930" t="s">
        <v>721</v>
      </c>
      <c r="D930" t="s">
        <v>76</v>
      </c>
      <c r="E930" t="s">
        <v>25</v>
      </c>
      <c r="F930" t="s">
        <v>43</v>
      </c>
      <c r="G930" t="s">
        <v>33</v>
      </c>
      <c r="H930" t="s">
        <v>44</v>
      </c>
      <c r="J930">
        <v>0.84</v>
      </c>
      <c r="K930" t="s">
        <v>12</v>
      </c>
      <c r="L930" t="s">
        <v>12</v>
      </c>
      <c r="M930" t="s">
        <v>12</v>
      </c>
      <c r="Q930" t="s">
        <v>716</v>
      </c>
      <c r="R930" t="s">
        <v>441</v>
      </c>
      <c r="S930" t="s">
        <v>12</v>
      </c>
      <c r="T930" t="s">
        <v>12</v>
      </c>
      <c r="U930" t="s">
        <v>12</v>
      </c>
      <c r="V930" t="s">
        <v>12</v>
      </c>
      <c r="W930" t="s">
        <v>12</v>
      </c>
      <c r="X930" t="s">
        <v>12</v>
      </c>
      <c r="Y930" t="s">
        <v>3569</v>
      </c>
      <c r="Z930" t="s">
        <v>3697</v>
      </c>
      <c r="AA930" t="s">
        <v>12</v>
      </c>
      <c r="AB930" t="s">
        <v>12</v>
      </c>
      <c r="AC930" t="s">
        <v>3698</v>
      </c>
      <c r="AD930" t="s">
        <v>3519</v>
      </c>
    </row>
    <row r="931" spans="1:30">
      <c r="A931" t="s">
        <v>724</v>
      </c>
      <c r="B931" t="str">
        <f>Master_Data_Productivity[[#This Row],[Uniq-ID]]&amp;"-"&amp;Master_Data_Productivity[[#This Row],[Period]]</f>
        <v>PE-Project_Engineer-024-M1</v>
      </c>
      <c r="C931" t="s">
        <v>725</v>
      </c>
      <c r="D931" t="s">
        <v>290</v>
      </c>
      <c r="E931" t="s">
        <v>13</v>
      </c>
      <c r="F931" t="s">
        <v>122</v>
      </c>
      <c r="G931" t="s">
        <v>15</v>
      </c>
      <c r="H931" t="s">
        <v>16</v>
      </c>
      <c r="J931">
        <v>1.46</v>
      </c>
      <c r="K931" t="s">
        <v>12</v>
      </c>
      <c r="L931" t="s">
        <v>12</v>
      </c>
      <c r="M931" t="s">
        <v>12</v>
      </c>
      <c r="Q931" t="s">
        <v>716</v>
      </c>
      <c r="R931" t="s">
        <v>520</v>
      </c>
      <c r="S931" t="s">
        <v>12</v>
      </c>
      <c r="T931" t="s">
        <v>12</v>
      </c>
      <c r="U931" t="s">
        <v>12</v>
      </c>
      <c r="V931" t="s">
        <v>12</v>
      </c>
      <c r="W931" t="s">
        <v>12</v>
      </c>
      <c r="X931" t="s">
        <v>12</v>
      </c>
      <c r="Y931" t="s">
        <v>3699</v>
      </c>
      <c r="Z931" t="s">
        <v>3531</v>
      </c>
      <c r="AA931" t="s">
        <v>3700</v>
      </c>
      <c r="AB931" t="s">
        <v>12</v>
      </c>
      <c r="AC931" t="s">
        <v>3694</v>
      </c>
      <c r="AD931" t="s">
        <v>3701</v>
      </c>
    </row>
    <row r="932" spans="1:30">
      <c r="A932" t="s">
        <v>724</v>
      </c>
      <c r="B932" t="str">
        <f>Master_Data_Productivity[[#This Row],[Uniq-ID]]&amp;"-"&amp;Master_Data_Productivity[[#This Row],[Period]]</f>
        <v>PE-Project_Engineer-024-M2</v>
      </c>
      <c r="C932" t="s">
        <v>725</v>
      </c>
      <c r="D932" t="s">
        <v>290</v>
      </c>
      <c r="E932" t="s">
        <v>18</v>
      </c>
      <c r="F932" t="s">
        <v>124</v>
      </c>
      <c r="G932" t="s">
        <v>15</v>
      </c>
      <c r="H932" t="s">
        <v>16</v>
      </c>
      <c r="J932">
        <v>1.5</v>
      </c>
      <c r="K932" t="s">
        <v>12</v>
      </c>
      <c r="L932" t="s">
        <v>12</v>
      </c>
      <c r="M932" t="s">
        <v>12</v>
      </c>
      <c r="Q932" t="s">
        <v>716</v>
      </c>
      <c r="R932" t="s">
        <v>520</v>
      </c>
      <c r="S932" t="s">
        <v>12</v>
      </c>
      <c r="T932" t="s">
        <v>12</v>
      </c>
      <c r="U932" t="s">
        <v>12</v>
      </c>
      <c r="V932" t="s">
        <v>12</v>
      </c>
      <c r="W932" t="s">
        <v>12</v>
      </c>
      <c r="X932" t="s">
        <v>12</v>
      </c>
      <c r="Y932" t="s">
        <v>3702</v>
      </c>
      <c r="Z932" t="s">
        <v>3703</v>
      </c>
      <c r="AA932" t="s">
        <v>3704</v>
      </c>
      <c r="AB932" t="s">
        <v>12</v>
      </c>
      <c r="AC932" t="s">
        <v>3705</v>
      </c>
      <c r="AD932" t="s">
        <v>3706</v>
      </c>
    </row>
    <row r="933" spans="1:30">
      <c r="A933" t="s">
        <v>724</v>
      </c>
      <c r="B933" t="str">
        <f>Master_Data_Productivity[[#This Row],[Uniq-ID]]&amp;"-"&amp;Master_Data_Productivity[[#This Row],[Period]]</f>
        <v>PE-Project_Engineer-024-M3</v>
      </c>
      <c r="C933" t="s">
        <v>725</v>
      </c>
      <c r="D933" t="s">
        <v>290</v>
      </c>
      <c r="E933" t="s">
        <v>22</v>
      </c>
      <c r="F933" t="s">
        <v>126</v>
      </c>
      <c r="G933" t="s">
        <v>15</v>
      </c>
      <c r="H933" t="s">
        <v>16</v>
      </c>
      <c r="J933">
        <v>1.4</v>
      </c>
      <c r="K933" t="s">
        <v>12</v>
      </c>
      <c r="L933" t="s">
        <v>12</v>
      </c>
      <c r="M933" t="s">
        <v>12</v>
      </c>
      <c r="Q933" t="s">
        <v>716</v>
      </c>
      <c r="R933" t="s">
        <v>520</v>
      </c>
      <c r="S933" t="s">
        <v>12</v>
      </c>
      <c r="T933" t="s">
        <v>12</v>
      </c>
      <c r="U933" t="s">
        <v>12</v>
      </c>
      <c r="V933" t="s">
        <v>12</v>
      </c>
      <c r="W933" t="s">
        <v>12</v>
      </c>
      <c r="X933" t="s">
        <v>12</v>
      </c>
      <c r="Y933" t="s">
        <v>3707</v>
      </c>
      <c r="Z933" t="s">
        <v>3708</v>
      </c>
      <c r="AA933" t="s">
        <v>3635</v>
      </c>
      <c r="AB933" t="s">
        <v>12</v>
      </c>
      <c r="AC933" t="s">
        <v>3709</v>
      </c>
      <c r="AD933" t="s">
        <v>3710</v>
      </c>
    </row>
    <row r="934" spans="1:30">
      <c r="A934" t="s">
        <v>724</v>
      </c>
      <c r="B934" t="str">
        <f>Master_Data_Productivity[[#This Row],[Uniq-ID]]&amp;"-"&amp;Master_Data_Productivity[[#This Row],[Period]]</f>
        <v>PE-Project_Engineer-024-M4</v>
      </c>
      <c r="C934" t="s">
        <v>725</v>
      </c>
      <c r="D934" t="s">
        <v>290</v>
      </c>
      <c r="E934" t="s">
        <v>25</v>
      </c>
      <c r="F934" t="s">
        <v>128</v>
      </c>
      <c r="G934" t="s">
        <v>15</v>
      </c>
      <c r="H934" t="s">
        <v>16</v>
      </c>
      <c r="J934">
        <v>1.5</v>
      </c>
      <c r="K934" t="s">
        <v>12</v>
      </c>
      <c r="L934" t="s">
        <v>12</v>
      </c>
      <c r="M934" t="s">
        <v>12</v>
      </c>
      <c r="Q934" t="s">
        <v>716</v>
      </c>
      <c r="R934" t="s">
        <v>520</v>
      </c>
      <c r="S934" t="s">
        <v>12</v>
      </c>
      <c r="T934" t="s">
        <v>12</v>
      </c>
      <c r="U934" t="s">
        <v>12</v>
      </c>
      <c r="V934" t="s">
        <v>12</v>
      </c>
      <c r="W934" t="s">
        <v>12</v>
      </c>
      <c r="X934" t="s">
        <v>12</v>
      </c>
      <c r="Y934" t="s">
        <v>3711</v>
      </c>
      <c r="Z934" t="s">
        <v>3712</v>
      </c>
      <c r="AA934" t="s">
        <v>3713</v>
      </c>
      <c r="AB934" t="s">
        <v>12</v>
      </c>
      <c r="AC934" t="s">
        <v>3714</v>
      </c>
      <c r="AD934" t="s">
        <v>3715</v>
      </c>
    </row>
    <row r="935" spans="1:30">
      <c r="A935" t="s">
        <v>724</v>
      </c>
      <c r="B935" t="str">
        <f>Master_Data_Productivity[[#This Row],[Uniq-ID]]&amp;"-"&amp;Master_Data_Productivity[[#This Row],[Period]]</f>
        <v>PE-Project_Engineer-024-M5</v>
      </c>
      <c r="C935" t="s">
        <v>725</v>
      </c>
      <c r="D935" t="s">
        <v>290</v>
      </c>
      <c r="E935" t="s">
        <v>28</v>
      </c>
      <c r="F935" t="s">
        <v>130</v>
      </c>
      <c r="G935" t="s">
        <v>15</v>
      </c>
      <c r="H935" t="s">
        <v>16</v>
      </c>
      <c r="J935">
        <v>1.5</v>
      </c>
      <c r="K935" t="s">
        <v>12</v>
      </c>
      <c r="L935" t="s">
        <v>12</v>
      </c>
      <c r="M935" t="s">
        <v>12</v>
      </c>
      <c r="Q935" t="s">
        <v>716</v>
      </c>
      <c r="R935" t="s">
        <v>520</v>
      </c>
      <c r="S935" t="s">
        <v>12</v>
      </c>
      <c r="T935" t="s">
        <v>12</v>
      </c>
      <c r="U935" t="s">
        <v>12</v>
      </c>
      <c r="V935" t="s">
        <v>12</v>
      </c>
      <c r="W935" t="s">
        <v>12</v>
      </c>
      <c r="X935" t="s">
        <v>12</v>
      </c>
      <c r="Y935" t="s">
        <v>3716</v>
      </c>
      <c r="Z935" t="s">
        <v>3717</v>
      </c>
      <c r="AA935" t="s">
        <v>3718</v>
      </c>
      <c r="AB935" t="s">
        <v>12</v>
      </c>
      <c r="AC935" t="s">
        <v>3719</v>
      </c>
      <c r="AD935" t="s">
        <v>3720</v>
      </c>
    </row>
    <row r="936" spans="1:30">
      <c r="A936" t="s">
        <v>724</v>
      </c>
      <c r="B936" t="str">
        <f>Master_Data_Productivity[[#This Row],[Uniq-ID]]&amp;"-"&amp;Master_Data_Productivity[[#This Row],[Period]]</f>
        <v>PE-Project_Engineer-024-M6</v>
      </c>
      <c r="C936" t="s">
        <v>725</v>
      </c>
      <c r="D936" t="s">
        <v>290</v>
      </c>
      <c r="E936" t="s">
        <v>31</v>
      </c>
      <c r="F936" t="s">
        <v>132</v>
      </c>
      <c r="G936" t="s">
        <v>33</v>
      </c>
      <c r="H936" t="s">
        <v>44</v>
      </c>
      <c r="K936" t="s">
        <v>12</v>
      </c>
      <c r="L936" t="s">
        <v>12</v>
      </c>
      <c r="M936" t="s">
        <v>12</v>
      </c>
      <c r="Q936" t="s">
        <v>716</v>
      </c>
      <c r="R936" t="s">
        <v>520</v>
      </c>
      <c r="S936" t="s">
        <v>12</v>
      </c>
      <c r="T936" t="s">
        <v>12</v>
      </c>
      <c r="U936" t="s">
        <v>12</v>
      </c>
      <c r="V936" t="s">
        <v>12</v>
      </c>
      <c r="W936" t="s">
        <v>12</v>
      </c>
      <c r="X936" t="s">
        <v>12</v>
      </c>
      <c r="Y936" t="s">
        <v>12</v>
      </c>
      <c r="Z936" t="s">
        <v>12</v>
      </c>
      <c r="AA936" t="s">
        <v>12</v>
      </c>
      <c r="AB936" t="s">
        <v>12</v>
      </c>
      <c r="AC936" t="s">
        <v>12</v>
      </c>
      <c r="AD936" t="s">
        <v>12</v>
      </c>
    </row>
    <row r="937" spans="1:30">
      <c r="A937" t="s">
        <v>746</v>
      </c>
      <c r="B937" t="str">
        <f>Master_Data_Productivity[[#This Row],[Uniq-ID]]&amp;"-"&amp;Master_Data_Productivity[[#This Row],[Period]]</f>
        <v>PE-Project_Engineer-022-M1</v>
      </c>
      <c r="C937" t="s">
        <v>747</v>
      </c>
      <c r="D937" t="s">
        <v>48</v>
      </c>
      <c r="E937" t="s">
        <v>13</v>
      </c>
      <c r="F937" t="s">
        <v>14</v>
      </c>
      <c r="G937" t="s">
        <v>15</v>
      </c>
      <c r="H937" t="s">
        <v>16</v>
      </c>
      <c r="J937">
        <v>1.06</v>
      </c>
      <c r="K937" t="s">
        <v>12</v>
      </c>
      <c r="L937" t="s">
        <v>12</v>
      </c>
      <c r="M937" t="s">
        <v>12</v>
      </c>
      <c r="Q937" t="s">
        <v>716</v>
      </c>
      <c r="R937" t="s">
        <v>446</v>
      </c>
      <c r="S937" t="s">
        <v>12</v>
      </c>
      <c r="T937" t="s">
        <v>12</v>
      </c>
      <c r="U937" t="s">
        <v>12</v>
      </c>
      <c r="V937" t="s">
        <v>12</v>
      </c>
      <c r="W937" t="s">
        <v>12</v>
      </c>
      <c r="X937" t="s">
        <v>12</v>
      </c>
      <c r="Y937" t="s">
        <v>3721</v>
      </c>
      <c r="Z937" t="s">
        <v>3722</v>
      </c>
      <c r="AA937" t="s">
        <v>3723</v>
      </c>
      <c r="AB937" t="s">
        <v>12</v>
      </c>
      <c r="AC937" t="s">
        <v>3724</v>
      </c>
      <c r="AD937" t="s">
        <v>3725</v>
      </c>
    </row>
    <row r="938" spans="1:30">
      <c r="A938" t="s">
        <v>746</v>
      </c>
      <c r="B938" t="str">
        <f>Master_Data_Productivity[[#This Row],[Uniq-ID]]&amp;"-"&amp;Master_Data_Productivity[[#This Row],[Period]]</f>
        <v>PE-Project_Engineer-022-M2</v>
      </c>
      <c r="C938" t="s">
        <v>747</v>
      </c>
      <c r="D938" t="s">
        <v>48</v>
      </c>
      <c r="E938" t="s">
        <v>18</v>
      </c>
      <c r="F938" t="s">
        <v>19</v>
      </c>
      <c r="G938" t="s">
        <v>15</v>
      </c>
      <c r="H938" t="s">
        <v>719</v>
      </c>
      <c r="J938">
        <v>1</v>
      </c>
      <c r="K938" t="s">
        <v>12</v>
      </c>
      <c r="L938" t="s">
        <v>12</v>
      </c>
      <c r="M938" t="s">
        <v>12</v>
      </c>
      <c r="Q938" t="s">
        <v>716</v>
      </c>
      <c r="R938" t="s">
        <v>446</v>
      </c>
      <c r="S938" t="s">
        <v>12</v>
      </c>
      <c r="T938" t="s">
        <v>12</v>
      </c>
      <c r="U938" t="s">
        <v>12</v>
      </c>
      <c r="V938" t="s">
        <v>12</v>
      </c>
      <c r="W938" t="s">
        <v>12</v>
      </c>
      <c r="X938" t="s">
        <v>12</v>
      </c>
      <c r="Y938" t="s">
        <v>3726</v>
      </c>
      <c r="Z938" t="s">
        <v>3727</v>
      </c>
      <c r="AA938" t="s">
        <v>3728</v>
      </c>
      <c r="AB938" t="s">
        <v>12</v>
      </c>
      <c r="AC938" t="s">
        <v>3729</v>
      </c>
      <c r="AD938" t="s">
        <v>3730</v>
      </c>
    </row>
    <row r="939" spans="1:30">
      <c r="A939" t="s">
        <v>746</v>
      </c>
      <c r="B939" t="str">
        <f>Master_Data_Productivity[[#This Row],[Uniq-ID]]&amp;"-"&amp;Master_Data_Productivity[[#This Row],[Period]]</f>
        <v>PE-Project_Engineer-022-M3</v>
      </c>
      <c r="C939" t="s">
        <v>747</v>
      </c>
      <c r="D939" t="s">
        <v>48</v>
      </c>
      <c r="E939" t="s">
        <v>22</v>
      </c>
      <c r="F939" t="s">
        <v>23</v>
      </c>
      <c r="G939" t="s">
        <v>15</v>
      </c>
      <c r="H939" t="s">
        <v>44</v>
      </c>
      <c r="J939">
        <v>0.87</v>
      </c>
      <c r="K939" t="s">
        <v>12</v>
      </c>
      <c r="L939" t="s">
        <v>12</v>
      </c>
      <c r="M939" t="s">
        <v>12</v>
      </c>
      <c r="Q939" t="s">
        <v>716</v>
      </c>
      <c r="R939" t="s">
        <v>446</v>
      </c>
      <c r="S939" t="s">
        <v>12</v>
      </c>
      <c r="T939" t="s">
        <v>12</v>
      </c>
      <c r="U939" t="s">
        <v>12</v>
      </c>
      <c r="V939" t="s">
        <v>12</v>
      </c>
      <c r="W939" t="s">
        <v>12</v>
      </c>
      <c r="X939" t="s">
        <v>12</v>
      </c>
      <c r="Y939" t="s">
        <v>3518</v>
      </c>
      <c r="Z939" t="s">
        <v>3731</v>
      </c>
      <c r="AA939" t="s">
        <v>3732</v>
      </c>
      <c r="AB939" t="s">
        <v>12</v>
      </c>
      <c r="AC939" t="s">
        <v>3733</v>
      </c>
      <c r="AD939" t="s">
        <v>3573</v>
      </c>
    </row>
    <row r="940" spans="1:30">
      <c r="A940" t="s">
        <v>746</v>
      </c>
      <c r="B940" t="str">
        <f>Master_Data_Productivity[[#This Row],[Uniq-ID]]&amp;"-"&amp;Master_Data_Productivity[[#This Row],[Period]]</f>
        <v>PE-Project_Engineer-022-M4</v>
      </c>
      <c r="C940" t="s">
        <v>747</v>
      </c>
      <c r="D940" t="s">
        <v>48</v>
      </c>
      <c r="E940" t="s">
        <v>25</v>
      </c>
      <c r="F940" t="s">
        <v>26</v>
      </c>
      <c r="G940" t="s">
        <v>15</v>
      </c>
      <c r="H940" t="s">
        <v>44</v>
      </c>
      <c r="J940">
        <v>0.51</v>
      </c>
      <c r="K940" t="s">
        <v>12</v>
      </c>
      <c r="L940" t="s">
        <v>12</v>
      </c>
      <c r="M940" t="s">
        <v>12</v>
      </c>
      <c r="Q940" t="s">
        <v>716</v>
      </c>
      <c r="R940" t="s">
        <v>446</v>
      </c>
      <c r="S940" t="s">
        <v>12</v>
      </c>
      <c r="T940" t="s">
        <v>12</v>
      </c>
      <c r="U940" t="s">
        <v>12</v>
      </c>
      <c r="V940" t="s">
        <v>12</v>
      </c>
      <c r="W940" t="s">
        <v>12</v>
      </c>
      <c r="X940" t="s">
        <v>12</v>
      </c>
      <c r="Y940" t="s">
        <v>3502</v>
      </c>
      <c r="Z940" t="s">
        <v>3734</v>
      </c>
      <c r="AA940" t="s">
        <v>3728</v>
      </c>
      <c r="AB940" t="s">
        <v>12</v>
      </c>
      <c r="AC940" t="s">
        <v>3735</v>
      </c>
      <c r="AD940" t="s">
        <v>3535</v>
      </c>
    </row>
    <row r="941" spans="1:30">
      <c r="A941" t="s">
        <v>746</v>
      </c>
      <c r="B941" t="str">
        <f>Master_Data_Productivity[[#This Row],[Uniq-ID]]&amp;"-"&amp;Master_Data_Productivity[[#This Row],[Period]]</f>
        <v>PE-Project_Engineer-022-M5</v>
      </c>
      <c r="C941" t="s">
        <v>747</v>
      </c>
      <c r="D941" t="s">
        <v>48</v>
      </c>
      <c r="E941" t="s">
        <v>28</v>
      </c>
      <c r="F941" t="s">
        <v>29</v>
      </c>
      <c r="G941" t="s">
        <v>15</v>
      </c>
      <c r="H941" t="s">
        <v>44</v>
      </c>
      <c r="J941">
        <v>0.86</v>
      </c>
      <c r="K941" t="s">
        <v>12</v>
      </c>
      <c r="L941" t="s">
        <v>12</v>
      </c>
      <c r="M941" t="s">
        <v>12</v>
      </c>
      <c r="Q941" t="s">
        <v>716</v>
      </c>
      <c r="R941" t="s">
        <v>446</v>
      </c>
      <c r="S941" t="s">
        <v>12</v>
      </c>
      <c r="T941" t="s">
        <v>12</v>
      </c>
      <c r="U941" t="s">
        <v>12</v>
      </c>
      <c r="V941" t="s">
        <v>12</v>
      </c>
      <c r="W941" t="s">
        <v>12</v>
      </c>
      <c r="X941" t="s">
        <v>12</v>
      </c>
      <c r="Y941" t="s">
        <v>3583</v>
      </c>
      <c r="Z941" t="s">
        <v>3623</v>
      </c>
      <c r="AA941" t="s">
        <v>3522</v>
      </c>
      <c r="AB941" t="s">
        <v>12</v>
      </c>
      <c r="AC941" t="s">
        <v>3736</v>
      </c>
      <c r="AD941" t="s">
        <v>3737</v>
      </c>
    </row>
    <row r="942" spans="1:30">
      <c r="A942" t="s">
        <v>746</v>
      </c>
      <c r="B942" t="str">
        <f>Master_Data_Productivity[[#This Row],[Uniq-ID]]&amp;"-"&amp;Master_Data_Productivity[[#This Row],[Period]]</f>
        <v>PE-Project_Engineer-022-M6</v>
      </c>
      <c r="C942" t="s">
        <v>747</v>
      </c>
      <c r="D942" t="s">
        <v>48</v>
      </c>
      <c r="E942" t="s">
        <v>31</v>
      </c>
      <c r="F942" t="s">
        <v>32</v>
      </c>
      <c r="G942" t="s">
        <v>33</v>
      </c>
      <c r="H942" t="s">
        <v>44</v>
      </c>
      <c r="K942" t="s">
        <v>12</v>
      </c>
      <c r="L942" t="s">
        <v>12</v>
      </c>
      <c r="M942" t="s">
        <v>12</v>
      </c>
      <c r="Q942" t="s">
        <v>716</v>
      </c>
      <c r="R942" t="s">
        <v>446</v>
      </c>
      <c r="S942" t="s">
        <v>12</v>
      </c>
      <c r="T942" t="s">
        <v>12</v>
      </c>
      <c r="U942" t="s">
        <v>12</v>
      </c>
      <c r="V942" t="s">
        <v>12</v>
      </c>
      <c r="W942" t="s">
        <v>12</v>
      </c>
      <c r="X942" t="s">
        <v>12</v>
      </c>
      <c r="Y942" t="s">
        <v>12</v>
      </c>
      <c r="Z942" t="s">
        <v>12</v>
      </c>
      <c r="AA942" t="s">
        <v>12</v>
      </c>
      <c r="AB942" t="s">
        <v>12</v>
      </c>
      <c r="AC942" t="s">
        <v>12</v>
      </c>
      <c r="AD942" t="s">
        <v>12</v>
      </c>
    </row>
    <row r="943" spans="1:30">
      <c r="A943" t="s">
        <v>728</v>
      </c>
      <c r="B943" t="str">
        <f>Master_Data_Productivity[[#This Row],[Uniq-ID]]&amp;"-"&amp;Master_Data_Productivity[[#This Row],[Period]]</f>
        <v>PE-Project_Engineer-018-M1</v>
      </c>
      <c r="C943" t="s">
        <v>729</v>
      </c>
      <c r="D943" t="s">
        <v>76</v>
      </c>
      <c r="E943" t="s">
        <v>13</v>
      </c>
      <c r="F943" t="s">
        <v>14</v>
      </c>
      <c r="G943" t="s">
        <v>15</v>
      </c>
      <c r="H943" t="s">
        <v>16</v>
      </c>
      <c r="J943">
        <v>1.33</v>
      </c>
      <c r="K943" t="s">
        <v>12</v>
      </c>
      <c r="L943" t="s">
        <v>12</v>
      </c>
      <c r="M943" t="s">
        <v>12</v>
      </c>
      <c r="Q943" t="s">
        <v>716</v>
      </c>
      <c r="R943" t="s">
        <v>441</v>
      </c>
      <c r="S943" t="s">
        <v>12</v>
      </c>
      <c r="T943" t="s">
        <v>12</v>
      </c>
      <c r="U943" t="s">
        <v>12</v>
      </c>
      <c r="V943" t="s">
        <v>12</v>
      </c>
      <c r="W943" t="s">
        <v>12</v>
      </c>
      <c r="X943" t="s">
        <v>12</v>
      </c>
      <c r="Y943" t="s">
        <v>3656</v>
      </c>
      <c r="Z943" t="s">
        <v>3738</v>
      </c>
      <c r="AA943" t="s">
        <v>3739</v>
      </c>
      <c r="AB943" t="s">
        <v>12</v>
      </c>
      <c r="AC943" t="s">
        <v>3477</v>
      </c>
      <c r="AD943" t="s">
        <v>3740</v>
      </c>
    </row>
    <row r="944" spans="1:30">
      <c r="A944" t="s">
        <v>728</v>
      </c>
      <c r="B944" t="str">
        <f>Master_Data_Productivity[[#This Row],[Uniq-ID]]&amp;"-"&amp;Master_Data_Productivity[[#This Row],[Period]]</f>
        <v>PE-Project_Engineer-018-M2</v>
      </c>
      <c r="C944" t="s">
        <v>729</v>
      </c>
      <c r="D944" t="s">
        <v>76</v>
      </c>
      <c r="E944" t="s">
        <v>18</v>
      </c>
      <c r="F944" t="s">
        <v>19</v>
      </c>
      <c r="G944" t="s">
        <v>15</v>
      </c>
      <c r="H944" t="s">
        <v>44</v>
      </c>
      <c r="J944">
        <v>0.94</v>
      </c>
      <c r="K944" t="s">
        <v>12</v>
      </c>
      <c r="L944" t="s">
        <v>12</v>
      </c>
      <c r="M944" t="s">
        <v>12</v>
      </c>
      <c r="Q944" t="s">
        <v>716</v>
      </c>
      <c r="R944" t="s">
        <v>441</v>
      </c>
      <c r="S944" t="s">
        <v>12</v>
      </c>
      <c r="T944" t="s">
        <v>12</v>
      </c>
      <c r="U944" t="s">
        <v>12</v>
      </c>
      <c r="V944" t="s">
        <v>12</v>
      </c>
      <c r="W944" t="s">
        <v>12</v>
      </c>
      <c r="X944" t="s">
        <v>12</v>
      </c>
      <c r="Y944" t="s">
        <v>3739</v>
      </c>
      <c r="Z944" t="s">
        <v>3741</v>
      </c>
      <c r="AA944" t="s">
        <v>3526</v>
      </c>
      <c r="AB944" t="s">
        <v>12</v>
      </c>
      <c r="AC944" t="s">
        <v>3742</v>
      </c>
      <c r="AD944" t="s">
        <v>3743</v>
      </c>
    </row>
    <row r="945" spans="1:30">
      <c r="A945" t="s">
        <v>728</v>
      </c>
      <c r="B945" t="str">
        <f>Master_Data_Productivity[[#This Row],[Uniq-ID]]&amp;"-"&amp;Master_Data_Productivity[[#This Row],[Period]]</f>
        <v>PE-Project_Engineer-018-M3</v>
      </c>
      <c r="C945" t="s">
        <v>729</v>
      </c>
      <c r="D945" t="s">
        <v>76</v>
      </c>
      <c r="E945" t="s">
        <v>22</v>
      </c>
      <c r="F945" t="s">
        <v>23</v>
      </c>
      <c r="G945" t="s">
        <v>15</v>
      </c>
      <c r="H945" t="s">
        <v>44</v>
      </c>
      <c r="J945">
        <v>0.69</v>
      </c>
      <c r="K945" t="s">
        <v>12</v>
      </c>
      <c r="L945" t="s">
        <v>12</v>
      </c>
      <c r="M945" t="s">
        <v>12</v>
      </c>
      <c r="Q945" t="s">
        <v>716</v>
      </c>
      <c r="R945" t="s">
        <v>441</v>
      </c>
      <c r="S945" t="s">
        <v>12</v>
      </c>
      <c r="T945" t="s">
        <v>12</v>
      </c>
      <c r="U945" t="s">
        <v>12</v>
      </c>
      <c r="V945" t="s">
        <v>12</v>
      </c>
      <c r="W945" t="s">
        <v>12</v>
      </c>
      <c r="X945" t="s">
        <v>12</v>
      </c>
      <c r="Y945" t="s">
        <v>12</v>
      </c>
      <c r="Z945" t="s">
        <v>3569</v>
      </c>
      <c r="AA945" t="s">
        <v>3605</v>
      </c>
      <c r="AB945" t="s">
        <v>12</v>
      </c>
      <c r="AC945" t="s">
        <v>3744</v>
      </c>
      <c r="AD945" t="s">
        <v>3745</v>
      </c>
    </row>
    <row r="946" spans="1:30">
      <c r="A946" t="s">
        <v>728</v>
      </c>
      <c r="B946" t="str">
        <f>Master_Data_Productivity[[#This Row],[Uniq-ID]]&amp;"-"&amp;Master_Data_Productivity[[#This Row],[Period]]</f>
        <v>PE-Project_Engineer-018-M4</v>
      </c>
      <c r="C946" t="s">
        <v>729</v>
      </c>
      <c r="D946" t="s">
        <v>76</v>
      </c>
      <c r="E946" t="s">
        <v>25</v>
      </c>
      <c r="F946" t="s">
        <v>26</v>
      </c>
      <c r="G946" t="s">
        <v>15</v>
      </c>
      <c r="H946" t="s">
        <v>44</v>
      </c>
      <c r="J946">
        <v>0.5</v>
      </c>
      <c r="K946" t="s">
        <v>12</v>
      </c>
      <c r="L946" t="s">
        <v>12</v>
      </c>
      <c r="M946" t="s">
        <v>12</v>
      </c>
      <c r="Q946" t="s">
        <v>716</v>
      </c>
      <c r="R946" t="s">
        <v>441</v>
      </c>
      <c r="S946" t="s">
        <v>12</v>
      </c>
      <c r="T946" t="s">
        <v>12</v>
      </c>
      <c r="U946" t="s">
        <v>12</v>
      </c>
      <c r="V946" t="s">
        <v>12</v>
      </c>
      <c r="W946" t="s">
        <v>12</v>
      </c>
      <c r="X946" t="s">
        <v>12</v>
      </c>
      <c r="Y946" t="s">
        <v>3500</v>
      </c>
      <c r="Z946" t="s">
        <v>3543</v>
      </c>
      <c r="AA946" t="s">
        <v>3543</v>
      </c>
      <c r="AB946" t="s">
        <v>12</v>
      </c>
      <c r="AC946" t="s">
        <v>3488</v>
      </c>
      <c r="AD946" t="s">
        <v>3746</v>
      </c>
    </row>
    <row r="947" spans="1:30">
      <c r="A947" t="s">
        <v>728</v>
      </c>
      <c r="B947" t="str">
        <f>Master_Data_Productivity[[#This Row],[Uniq-ID]]&amp;"-"&amp;Master_Data_Productivity[[#This Row],[Period]]</f>
        <v>PE-Project_Engineer-018-M5</v>
      </c>
      <c r="C947" t="s">
        <v>729</v>
      </c>
      <c r="D947" t="s">
        <v>76</v>
      </c>
      <c r="E947" t="s">
        <v>28</v>
      </c>
      <c r="F947" t="s">
        <v>29</v>
      </c>
      <c r="G947" t="s">
        <v>15</v>
      </c>
      <c r="H947" t="s">
        <v>44</v>
      </c>
      <c r="J947">
        <v>0.52</v>
      </c>
      <c r="K947" t="s">
        <v>12</v>
      </c>
      <c r="L947" t="s">
        <v>12</v>
      </c>
      <c r="M947" t="s">
        <v>12</v>
      </c>
      <c r="Q947" t="s">
        <v>716</v>
      </c>
      <c r="R947" t="s">
        <v>441</v>
      </c>
      <c r="S947" t="s">
        <v>12</v>
      </c>
      <c r="T947" t="s">
        <v>12</v>
      </c>
      <c r="U947" t="s">
        <v>12</v>
      </c>
      <c r="V947" t="s">
        <v>12</v>
      </c>
      <c r="W947" t="s">
        <v>12</v>
      </c>
      <c r="X947" t="s">
        <v>12</v>
      </c>
      <c r="Y947" t="s">
        <v>12</v>
      </c>
      <c r="Z947" t="s">
        <v>3747</v>
      </c>
      <c r="AA947" t="s">
        <v>3748</v>
      </c>
      <c r="AB947" t="s">
        <v>12</v>
      </c>
      <c r="AC947" t="s">
        <v>3446</v>
      </c>
      <c r="AD947" t="s">
        <v>3749</v>
      </c>
    </row>
    <row r="948" spans="1:30">
      <c r="A948" t="s">
        <v>728</v>
      </c>
      <c r="B948" t="str">
        <f>Master_Data_Productivity[[#This Row],[Uniq-ID]]&amp;"-"&amp;Master_Data_Productivity[[#This Row],[Period]]</f>
        <v>PE-Project_Engineer-018-M6</v>
      </c>
      <c r="C948" t="s">
        <v>729</v>
      </c>
      <c r="D948" t="s">
        <v>76</v>
      </c>
      <c r="E948" t="s">
        <v>31</v>
      </c>
      <c r="F948" t="s">
        <v>32</v>
      </c>
      <c r="G948" t="s">
        <v>33</v>
      </c>
      <c r="H948" t="s">
        <v>44</v>
      </c>
      <c r="K948" t="s">
        <v>12</v>
      </c>
      <c r="L948" t="s">
        <v>12</v>
      </c>
      <c r="M948" t="s">
        <v>12</v>
      </c>
      <c r="Q948" t="s">
        <v>716</v>
      </c>
      <c r="R948" t="s">
        <v>441</v>
      </c>
      <c r="S948" t="s">
        <v>12</v>
      </c>
      <c r="T948" t="s">
        <v>12</v>
      </c>
      <c r="U948" t="s">
        <v>12</v>
      </c>
      <c r="V948" t="s">
        <v>12</v>
      </c>
      <c r="W948" t="s">
        <v>12</v>
      </c>
      <c r="X948" t="s">
        <v>12</v>
      </c>
      <c r="Y948" t="s">
        <v>12</v>
      </c>
      <c r="Z948" t="s">
        <v>12</v>
      </c>
      <c r="AA948" t="s">
        <v>12</v>
      </c>
      <c r="AB948" t="s">
        <v>12</v>
      </c>
      <c r="AC948" t="s">
        <v>12</v>
      </c>
      <c r="AD948" t="s">
        <v>12</v>
      </c>
    </row>
    <row r="949" spans="1:30">
      <c r="A949" t="s">
        <v>722</v>
      </c>
      <c r="B949" t="str">
        <f>Master_Data_Productivity[[#This Row],[Uniq-ID]]&amp;"-"&amp;Master_Data_Productivity[[#This Row],[Period]]</f>
        <v>PE-Project_Engineer-084-M1</v>
      </c>
      <c r="C949" t="s">
        <v>723</v>
      </c>
      <c r="D949" t="s">
        <v>48</v>
      </c>
      <c r="E949" t="s">
        <v>13</v>
      </c>
      <c r="F949" t="s">
        <v>26</v>
      </c>
      <c r="G949" t="s">
        <v>15</v>
      </c>
      <c r="H949" t="s">
        <v>16</v>
      </c>
      <c r="J949">
        <v>1.5</v>
      </c>
      <c r="K949" t="s">
        <v>12</v>
      </c>
      <c r="L949" t="s">
        <v>12</v>
      </c>
      <c r="M949" t="s">
        <v>12</v>
      </c>
      <c r="Q949" t="s">
        <v>716</v>
      </c>
      <c r="R949" t="s">
        <v>457</v>
      </c>
      <c r="S949" t="s">
        <v>12</v>
      </c>
      <c r="T949" t="s">
        <v>12</v>
      </c>
      <c r="U949" t="s">
        <v>12</v>
      </c>
      <c r="V949" t="s">
        <v>12</v>
      </c>
      <c r="W949" t="s">
        <v>12</v>
      </c>
      <c r="X949" t="s">
        <v>12</v>
      </c>
      <c r="Y949" t="s">
        <v>3750</v>
      </c>
      <c r="Z949" t="s">
        <v>3751</v>
      </c>
      <c r="AA949" t="s">
        <v>3752</v>
      </c>
      <c r="AB949" t="s">
        <v>12</v>
      </c>
      <c r="AC949" t="s">
        <v>3753</v>
      </c>
      <c r="AD949" t="s">
        <v>3754</v>
      </c>
    </row>
    <row r="950" spans="1:30">
      <c r="A950" t="s">
        <v>722</v>
      </c>
      <c r="B950" t="str">
        <f>Master_Data_Productivity[[#This Row],[Uniq-ID]]&amp;"-"&amp;Master_Data_Productivity[[#This Row],[Period]]</f>
        <v>PE-Project_Engineer-084-M2</v>
      </c>
      <c r="C950" t="s">
        <v>723</v>
      </c>
      <c r="D950" t="s">
        <v>48</v>
      </c>
      <c r="E950" t="s">
        <v>18</v>
      </c>
      <c r="F950" t="s">
        <v>29</v>
      </c>
      <c r="G950" t="s">
        <v>15</v>
      </c>
      <c r="H950" t="s">
        <v>16</v>
      </c>
      <c r="J950">
        <v>1.3</v>
      </c>
      <c r="K950" t="s">
        <v>12</v>
      </c>
      <c r="L950" t="s">
        <v>12</v>
      </c>
      <c r="M950" t="s">
        <v>12</v>
      </c>
      <c r="Q950" t="s">
        <v>716</v>
      </c>
      <c r="R950" t="s">
        <v>457</v>
      </c>
      <c r="S950" t="s">
        <v>12</v>
      </c>
      <c r="T950" t="s">
        <v>12</v>
      </c>
      <c r="U950" t="s">
        <v>12</v>
      </c>
      <c r="V950" t="s">
        <v>12</v>
      </c>
      <c r="W950" t="s">
        <v>12</v>
      </c>
      <c r="X950" t="s">
        <v>12</v>
      </c>
      <c r="Y950" t="s">
        <v>3755</v>
      </c>
      <c r="Z950" t="s">
        <v>3756</v>
      </c>
      <c r="AA950" t="s">
        <v>3757</v>
      </c>
      <c r="AB950" t="s">
        <v>12</v>
      </c>
      <c r="AC950" t="s">
        <v>3758</v>
      </c>
      <c r="AD950" t="s">
        <v>3759</v>
      </c>
    </row>
    <row r="951" spans="1:30">
      <c r="A951" t="s">
        <v>722</v>
      </c>
      <c r="B951" t="str">
        <f>Master_Data_Productivity[[#This Row],[Uniq-ID]]&amp;"-"&amp;Master_Data_Productivity[[#This Row],[Period]]</f>
        <v>PE-Project_Engineer-084-M3</v>
      </c>
      <c r="C951" t="s">
        <v>723</v>
      </c>
      <c r="D951" t="s">
        <v>48</v>
      </c>
      <c r="E951" t="s">
        <v>22</v>
      </c>
      <c r="F951" t="s">
        <v>32</v>
      </c>
      <c r="G951" t="s">
        <v>33</v>
      </c>
      <c r="H951" t="s">
        <v>44</v>
      </c>
      <c r="J951">
        <v>0.61</v>
      </c>
      <c r="K951" t="s">
        <v>12</v>
      </c>
      <c r="L951" t="s">
        <v>12</v>
      </c>
      <c r="M951" t="s">
        <v>12</v>
      </c>
      <c r="Q951" t="s">
        <v>716</v>
      </c>
      <c r="R951" t="s">
        <v>457</v>
      </c>
      <c r="S951" t="s">
        <v>12</v>
      </c>
      <c r="T951" t="s">
        <v>12</v>
      </c>
      <c r="U951" t="s">
        <v>12</v>
      </c>
      <c r="V951" t="s">
        <v>12</v>
      </c>
      <c r="W951" t="s">
        <v>12</v>
      </c>
      <c r="X951" t="s">
        <v>12</v>
      </c>
      <c r="Y951" t="s">
        <v>3465</v>
      </c>
      <c r="Z951" t="s">
        <v>3522</v>
      </c>
      <c r="AA951" t="s">
        <v>3760</v>
      </c>
      <c r="AB951" t="s">
        <v>12</v>
      </c>
      <c r="AC951" t="s">
        <v>3761</v>
      </c>
      <c r="AD951" t="s">
        <v>3762</v>
      </c>
    </row>
    <row r="952" spans="1:30">
      <c r="A952" t="s">
        <v>736</v>
      </c>
      <c r="B952" t="str">
        <f>Master_Data_Productivity[[#This Row],[Uniq-ID]]&amp;"-"&amp;Master_Data_Productivity[[#This Row],[Period]]</f>
        <v>PE-Project_Engineer-017-M1</v>
      </c>
      <c r="C952" t="s">
        <v>737</v>
      </c>
      <c r="D952" t="s">
        <v>76</v>
      </c>
      <c r="E952" t="s">
        <v>13</v>
      </c>
      <c r="F952" t="s">
        <v>14</v>
      </c>
      <c r="G952" t="s">
        <v>15</v>
      </c>
      <c r="H952" t="s">
        <v>16</v>
      </c>
      <c r="J952">
        <v>1.5</v>
      </c>
      <c r="K952" t="s">
        <v>12</v>
      </c>
      <c r="L952" t="s">
        <v>12</v>
      </c>
      <c r="M952" t="s">
        <v>12</v>
      </c>
      <c r="Q952" t="s">
        <v>716</v>
      </c>
      <c r="R952" t="s">
        <v>441</v>
      </c>
      <c r="S952" t="s">
        <v>12</v>
      </c>
      <c r="T952" t="s">
        <v>12</v>
      </c>
      <c r="U952" t="s">
        <v>12</v>
      </c>
      <c r="V952" t="s">
        <v>12</v>
      </c>
      <c r="W952" t="s">
        <v>12</v>
      </c>
      <c r="X952" t="s">
        <v>12</v>
      </c>
      <c r="Y952" t="s">
        <v>3763</v>
      </c>
      <c r="Z952" t="s">
        <v>3685</v>
      </c>
      <c r="AA952" t="s">
        <v>3764</v>
      </c>
      <c r="AB952" t="s">
        <v>12</v>
      </c>
      <c r="AC952" t="s">
        <v>3621</v>
      </c>
      <c r="AD952" t="s">
        <v>3765</v>
      </c>
    </row>
    <row r="953" spans="1:30">
      <c r="A953" t="s">
        <v>736</v>
      </c>
      <c r="B953" t="str">
        <f>Master_Data_Productivity[[#This Row],[Uniq-ID]]&amp;"-"&amp;Master_Data_Productivity[[#This Row],[Period]]</f>
        <v>PE-Project_Engineer-017-M2</v>
      </c>
      <c r="C953" t="s">
        <v>737</v>
      </c>
      <c r="D953" t="s">
        <v>76</v>
      </c>
      <c r="E953" t="s">
        <v>18</v>
      </c>
      <c r="F953" t="s">
        <v>19</v>
      </c>
      <c r="G953" t="s">
        <v>15</v>
      </c>
      <c r="H953" t="s">
        <v>719</v>
      </c>
      <c r="J953">
        <v>1</v>
      </c>
      <c r="K953" t="s">
        <v>12</v>
      </c>
      <c r="L953" t="s">
        <v>12</v>
      </c>
      <c r="M953" t="s">
        <v>12</v>
      </c>
      <c r="Q953" t="s">
        <v>716</v>
      </c>
      <c r="R953" t="s">
        <v>441</v>
      </c>
      <c r="S953" t="s">
        <v>12</v>
      </c>
      <c r="T953" t="s">
        <v>12</v>
      </c>
      <c r="U953" t="s">
        <v>12</v>
      </c>
      <c r="V953" t="s">
        <v>12</v>
      </c>
      <c r="W953" t="s">
        <v>12</v>
      </c>
      <c r="X953" t="s">
        <v>12</v>
      </c>
      <c r="Y953" t="s">
        <v>3766</v>
      </c>
      <c r="Z953" t="s">
        <v>3767</v>
      </c>
      <c r="AA953" t="s">
        <v>3747</v>
      </c>
      <c r="AB953" t="s">
        <v>12</v>
      </c>
      <c r="AC953" t="s">
        <v>3768</v>
      </c>
      <c r="AD953" t="s">
        <v>3769</v>
      </c>
    </row>
    <row r="954" spans="1:30">
      <c r="A954" t="s">
        <v>736</v>
      </c>
      <c r="B954" t="str">
        <f>Master_Data_Productivity[[#This Row],[Uniq-ID]]&amp;"-"&amp;Master_Data_Productivity[[#This Row],[Period]]</f>
        <v>PE-Project_Engineer-017-M3</v>
      </c>
      <c r="C954" t="s">
        <v>737</v>
      </c>
      <c r="D954" t="s">
        <v>76</v>
      </c>
      <c r="E954" t="s">
        <v>22</v>
      </c>
      <c r="F954" t="s">
        <v>23</v>
      </c>
      <c r="G954" t="s">
        <v>15</v>
      </c>
      <c r="H954" t="s">
        <v>719</v>
      </c>
      <c r="J954">
        <v>1</v>
      </c>
      <c r="K954" t="s">
        <v>12</v>
      </c>
      <c r="L954" t="s">
        <v>12</v>
      </c>
      <c r="M954" t="s">
        <v>12</v>
      </c>
      <c r="Q954" t="s">
        <v>716</v>
      </c>
      <c r="R954" t="s">
        <v>441</v>
      </c>
      <c r="S954" t="s">
        <v>12</v>
      </c>
      <c r="T954" t="s">
        <v>12</v>
      </c>
      <c r="U954" t="s">
        <v>12</v>
      </c>
      <c r="V954" t="s">
        <v>12</v>
      </c>
      <c r="W954" t="s">
        <v>12</v>
      </c>
      <c r="X954" t="s">
        <v>12</v>
      </c>
      <c r="Y954" t="s">
        <v>3770</v>
      </c>
      <c r="Z954" t="s">
        <v>3771</v>
      </c>
      <c r="AA954" t="s">
        <v>3772</v>
      </c>
      <c r="AB954" t="s">
        <v>12</v>
      </c>
      <c r="AC954" t="s">
        <v>3773</v>
      </c>
      <c r="AD954" t="s">
        <v>3774</v>
      </c>
    </row>
    <row r="955" spans="1:30">
      <c r="A955" t="s">
        <v>736</v>
      </c>
      <c r="B955" t="str">
        <f>Master_Data_Productivity[[#This Row],[Uniq-ID]]&amp;"-"&amp;Master_Data_Productivity[[#This Row],[Period]]</f>
        <v>PE-Project_Engineer-017-M4</v>
      </c>
      <c r="C955" t="s">
        <v>737</v>
      </c>
      <c r="D955" t="s">
        <v>76</v>
      </c>
      <c r="E955" t="s">
        <v>25</v>
      </c>
      <c r="F955" t="s">
        <v>26</v>
      </c>
      <c r="G955" t="s">
        <v>15</v>
      </c>
      <c r="H955" t="s">
        <v>719</v>
      </c>
      <c r="J955">
        <v>1</v>
      </c>
      <c r="K955" t="s">
        <v>12</v>
      </c>
      <c r="L955" t="s">
        <v>12</v>
      </c>
      <c r="M955" t="s">
        <v>12</v>
      </c>
      <c r="Q955" t="s">
        <v>716</v>
      </c>
      <c r="R955" t="s">
        <v>441</v>
      </c>
      <c r="S955" t="s">
        <v>12</v>
      </c>
      <c r="T955" t="s">
        <v>12</v>
      </c>
      <c r="U955" t="s">
        <v>12</v>
      </c>
      <c r="V955" t="s">
        <v>12</v>
      </c>
      <c r="W955" t="s">
        <v>12</v>
      </c>
      <c r="X955" t="s">
        <v>12</v>
      </c>
      <c r="Y955" t="s">
        <v>3775</v>
      </c>
      <c r="Z955" t="s">
        <v>3776</v>
      </c>
      <c r="AA955" t="s">
        <v>3777</v>
      </c>
      <c r="AB955" t="s">
        <v>12</v>
      </c>
      <c r="AC955" t="s">
        <v>3532</v>
      </c>
      <c r="AD955" t="s">
        <v>3778</v>
      </c>
    </row>
    <row r="956" spans="1:30">
      <c r="A956" t="s">
        <v>736</v>
      </c>
      <c r="B956" t="str">
        <f>Master_Data_Productivity[[#This Row],[Uniq-ID]]&amp;"-"&amp;Master_Data_Productivity[[#This Row],[Period]]</f>
        <v>PE-Project_Engineer-017-M5</v>
      </c>
      <c r="C956" t="s">
        <v>737</v>
      </c>
      <c r="D956" t="s">
        <v>76</v>
      </c>
      <c r="E956" t="s">
        <v>28</v>
      </c>
      <c r="F956" t="s">
        <v>29</v>
      </c>
      <c r="G956" t="s">
        <v>15</v>
      </c>
      <c r="H956" t="s">
        <v>719</v>
      </c>
      <c r="J956">
        <v>1</v>
      </c>
      <c r="K956" t="s">
        <v>12</v>
      </c>
      <c r="L956" t="s">
        <v>12</v>
      </c>
      <c r="M956" t="s">
        <v>12</v>
      </c>
      <c r="Q956" t="s">
        <v>716</v>
      </c>
      <c r="R956" t="s">
        <v>441</v>
      </c>
      <c r="S956" t="s">
        <v>12</v>
      </c>
      <c r="T956" t="s">
        <v>12</v>
      </c>
      <c r="U956" t="s">
        <v>12</v>
      </c>
      <c r="V956" t="s">
        <v>12</v>
      </c>
      <c r="W956" t="s">
        <v>12</v>
      </c>
      <c r="X956" t="s">
        <v>12</v>
      </c>
      <c r="Y956" t="s">
        <v>3779</v>
      </c>
      <c r="Z956" t="s">
        <v>3780</v>
      </c>
      <c r="AA956" t="s">
        <v>3781</v>
      </c>
      <c r="AB956" t="s">
        <v>12</v>
      </c>
      <c r="AC956" t="s">
        <v>3782</v>
      </c>
      <c r="AD956" t="s">
        <v>3783</v>
      </c>
    </row>
    <row r="957" spans="1:30">
      <c r="A957" t="s">
        <v>736</v>
      </c>
      <c r="B957" t="str">
        <f>Master_Data_Productivity[[#This Row],[Uniq-ID]]&amp;"-"&amp;Master_Data_Productivity[[#This Row],[Period]]</f>
        <v>PE-Project_Engineer-017-M6</v>
      </c>
      <c r="C957" t="s">
        <v>737</v>
      </c>
      <c r="D957" t="s">
        <v>76</v>
      </c>
      <c r="E957" t="s">
        <v>31</v>
      </c>
      <c r="F957" t="s">
        <v>32</v>
      </c>
      <c r="G957" t="s">
        <v>33</v>
      </c>
      <c r="H957" t="s">
        <v>44</v>
      </c>
      <c r="K957" t="s">
        <v>12</v>
      </c>
      <c r="L957" t="s">
        <v>12</v>
      </c>
      <c r="M957" t="s">
        <v>12</v>
      </c>
      <c r="Q957" t="s">
        <v>716</v>
      </c>
      <c r="R957" t="s">
        <v>441</v>
      </c>
      <c r="S957" t="s">
        <v>12</v>
      </c>
      <c r="T957" t="s">
        <v>12</v>
      </c>
      <c r="U957" t="s">
        <v>12</v>
      </c>
      <c r="V957" t="s">
        <v>12</v>
      </c>
      <c r="W957" t="s">
        <v>12</v>
      </c>
      <c r="X957" t="s">
        <v>12</v>
      </c>
      <c r="Y957" t="s">
        <v>12</v>
      </c>
      <c r="Z957" t="s">
        <v>12</v>
      </c>
      <c r="AA957" t="s">
        <v>12</v>
      </c>
      <c r="AB957" t="s">
        <v>12</v>
      </c>
      <c r="AC957" t="s">
        <v>12</v>
      </c>
      <c r="AD957" t="s">
        <v>12</v>
      </c>
    </row>
    <row r="958" spans="1:30">
      <c r="A958" t="s">
        <v>738</v>
      </c>
      <c r="B958" t="str">
        <f>Master_Data_Productivity[[#This Row],[Uniq-ID]]&amp;"-"&amp;Master_Data_Productivity[[#This Row],[Period]]</f>
        <v>PE-Project_Engineer-016-M1</v>
      </c>
      <c r="C958" t="s">
        <v>739</v>
      </c>
      <c r="D958" t="s">
        <v>48</v>
      </c>
      <c r="E958" t="s">
        <v>13</v>
      </c>
      <c r="F958" t="s">
        <v>14</v>
      </c>
      <c r="G958" t="s">
        <v>15</v>
      </c>
      <c r="H958" t="s">
        <v>16</v>
      </c>
      <c r="J958">
        <v>1.5</v>
      </c>
      <c r="K958" t="s">
        <v>12</v>
      </c>
      <c r="L958" t="s">
        <v>12</v>
      </c>
      <c r="M958" t="s">
        <v>12</v>
      </c>
      <c r="Q958" t="s">
        <v>716</v>
      </c>
      <c r="R958" t="s">
        <v>441</v>
      </c>
      <c r="S958" t="s">
        <v>12</v>
      </c>
      <c r="T958" t="s">
        <v>12</v>
      </c>
      <c r="U958" t="s">
        <v>12</v>
      </c>
      <c r="V958" t="s">
        <v>12</v>
      </c>
      <c r="W958" t="s">
        <v>12</v>
      </c>
      <c r="X958" t="s">
        <v>12</v>
      </c>
      <c r="Y958" t="s">
        <v>3784</v>
      </c>
      <c r="Z958" t="s">
        <v>3785</v>
      </c>
      <c r="AA958" t="s">
        <v>3786</v>
      </c>
      <c r="AB958" t="s">
        <v>12</v>
      </c>
      <c r="AC958" t="s">
        <v>3787</v>
      </c>
      <c r="AD958" t="s">
        <v>3788</v>
      </c>
    </row>
    <row r="959" spans="1:30">
      <c r="A959" t="s">
        <v>738</v>
      </c>
      <c r="B959" t="str">
        <f>Master_Data_Productivity[[#This Row],[Uniq-ID]]&amp;"-"&amp;Master_Data_Productivity[[#This Row],[Period]]</f>
        <v>PE-Project_Engineer-016-M2</v>
      </c>
      <c r="C959" t="s">
        <v>739</v>
      </c>
      <c r="D959" t="s">
        <v>48</v>
      </c>
      <c r="E959" t="s">
        <v>18</v>
      </c>
      <c r="F959" t="s">
        <v>19</v>
      </c>
      <c r="G959" t="s">
        <v>15</v>
      </c>
      <c r="H959" t="s">
        <v>44</v>
      </c>
      <c r="J959">
        <v>0.5</v>
      </c>
      <c r="K959" t="s">
        <v>12</v>
      </c>
      <c r="L959" t="s">
        <v>12</v>
      </c>
      <c r="M959" t="s">
        <v>12</v>
      </c>
      <c r="Q959" t="s">
        <v>716</v>
      </c>
      <c r="R959" t="s">
        <v>441</v>
      </c>
      <c r="S959" t="s">
        <v>12</v>
      </c>
      <c r="T959" t="s">
        <v>12</v>
      </c>
      <c r="U959" t="s">
        <v>12</v>
      </c>
      <c r="V959" t="s">
        <v>12</v>
      </c>
      <c r="W959" t="s">
        <v>12</v>
      </c>
      <c r="X959" t="s">
        <v>12</v>
      </c>
      <c r="Y959" t="s">
        <v>12</v>
      </c>
      <c r="Z959" t="s">
        <v>3488</v>
      </c>
      <c r="AA959" t="s">
        <v>3789</v>
      </c>
      <c r="AB959" t="s">
        <v>12</v>
      </c>
      <c r="AC959" t="s">
        <v>3790</v>
      </c>
      <c r="AD959" t="s">
        <v>3791</v>
      </c>
    </row>
    <row r="960" spans="1:30">
      <c r="A960" t="s">
        <v>738</v>
      </c>
      <c r="B960" t="str">
        <f>Master_Data_Productivity[[#This Row],[Uniq-ID]]&amp;"-"&amp;Master_Data_Productivity[[#This Row],[Period]]</f>
        <v>PE-Project_Engineer-016-M3</v>
      </c>
      <c r="C960" t="s">
        <v>739</v>
      </c>
      <c r="D960" t="s">
        <v>48</v>
      </c>
      <c r="E960" t="s">
        <v>22</v>
      </c>
      <c r="F960" t="s">
        <v>23</v>
      </c>
      <c r="G960" t="s">
        <v>15</v>
      </c>
      <c r="H960" t="s">
        <v>44</v>
      </c>
      <c r="J960">
        <v>0.5</v>
      </c>
      <c r="K960" t="s">
        <v>12</v>
      </c>
      <c r="L960" t="s">
        <v>12</v>
      </c>
      <c r="M960" t="s">
        <v>12</v>
      </c>
      <c r="Q960" t="s">
        <v>716</v>
      </c>
      <c r="R960" t="s">
        <v>441</v>
      </c>
      <c r="S960" t="s">
        <v>12</v>
      </c>
      <c r="T960" t="s">
        <v>12</v>
      </c>
      <c r="U960" t="s">
        <v>12</v>
      </c>
      <c r="V960" t="s">
        <v>12</v>
      </c>
      <c r="W960" t="s">
        <v>12</v>
      </c>
      <c r="X960" t="s">
        <v>12</v>
      </c>
      <c r="Y960" t="s">
        <v>12</v>
      </c>
      <c r="Z960" t="s">
        <v>12</v>
      </c>
      <c r="AA960" t="s">
        <v>12</v>
      </c>
      <c r="AB960" t="s">
        <v>12</v>
      </c>
      <c r="AC960" t="s">
        <v>3428</v>
      </c>
      <c r="AD960" t="s">
        <v>3428</v>
      </c>
    </row>
    <row r="961" spans="1:30">
      <c r="A961" t="s">
        <v>738</v>
      </c>
      <c r="B961" t="str">
        <f>Master_Data_Productivity[[#This Row],[Uniq-ID]]&amp;"-"&amp;Master_Data_Productivity[[#This Row],[Period]]</f>
        <v>PE-Project_Engineer-016-M4</v>
      </c>
      <c r="C961" t="s">
        <v>739</v>
      </c>
      <c r="D961" t="s">
        <v>48</v>
      </c>
      <c r="E961" t="s">
        <v>25</v>
      </c>
      <c r="F961" t="s">
        <v>26</v>
      </c>
      <c r="G961" t="s">
        <v>15</v>
      </c>
      <c r="H961" t="s">
        <v>44</v>
      </c>
      <c r="J961">
        <v>0.5</v>
      </c>
      <c r="K961" t="s">
        <v>12</v>
      </c>
      <c r="L961" t="s">
        <v>12</v>
      </c>
      <c r="M961" t="s">
        <v>12</v>
      </c>
      <c r="Q961" t="s">
        <v>716</v>
      </c>
      <c r="R961" t="s">
        <v>441</v>
      </c>
      <c r="S961" t="s">
        <v>12</v>
      </c>
      <c r="T961" t="s">
        <v>12</v>
      </c>
      <c r="U961" t="s">
        <v>12</v>
      </c>
      <c r="V961" t="s">
        <v>12</v>
      </c>
      <c r="W961" t="s">
        <v>12</v>
      </c>
      <c r="X961" t="s">
        <v>12</v>
      </c>
      <c r="Y961" t="s">
        <v>12</v>
      </c>
      <c r="Z961" t="s">
        <v>3410</v>
      </c>
      <c r="AA961" t="s">
        <v>3446</v>
      </c>
      <c r="AB961" t="s">
        <v>12</v>
      </c>
      <c r="AC961" t="s">
        <v>3425</v>
      </c>
      <c r="AD961" t="s">
        <v>3792</v>
      </c>
    </row>
    <row r="962" spans="1:30">
      <c r="A962" t="s">
        <v>738</v>
      </c>
      <c r="B962" t="str">
        <f>Master_Data_Productivity[[#This Row],[Uniq-ID]]&amp;"-"&amp;Master_Data_Productivity[[#This Row],[Period]]</f>
        <v>PE-Project_Engineer-016-M5</v>
      </c>
      <c r="C962" t="s">
        <v>739</v>
      </c>
      <c r="D962" t="s">
        <v>48</v>
      </c>
      <c r="E962" t="s">
        <v>28</v>
      </c>
      <c r="F962" t="s">
        <v>29</v>
      </c>
      <c r="G962" t="s">
        <v>15</v>
      </c>
      <c r="H962" t="s">
        <v>44</v>
      </c>
      <c r="J962">
        <v>0.5</v>
      </c>
      <c r="K962" t="s">
        <v>12</v>
      </c>
      <c r="L962" t="s">
        <v>12</v>
      </c>
      <c r="M962" t="s">
        <v>12</v>
      </c>
      <c r="Q962" t="s">
        <v>716</v>
      </c>
      <c r="R962" t="s">
        <v>441</v>
      </c>
      <c r="S962" t="s">
        <v>12</v>
      </c>
      <c r="T962" t="s">
        <v>12</v>
      </c>
      <c r="U962" t="s">
        <v>12</v>
      </c>
      <c r="V962" t="s">
        <v>12</v>
      </c>
      <c r="W962" t="s">
        <v>12</v>
      </c>
      <c r="X962" t="s">
        <v>12</v>
      </c>
      <c r="Y962" t="s">
        <v>3462</v>
      </c>
      <c r="Z962" t="s">
        <v>12</v>
      </c>
      <c r="AA962" t="s">
        <v>3407</v>
      </c>
      <c r="AB962" t="s">
        <v>12</v>
      </c>
      <c r="AC962" t="s">
        <v>3485</v>
      </c>
      <c r="AD962" t="s">
        <v>3484</v>
      </c>
    </row>
    <row r="963" spans="1:30">
      <c r="A963" t="s">
        <v>738</v>
      </c>
      <c r="B963" t="str">
        <f>Master_Data_Productivity[[#This Row],[Uniq-ID]]&amp;"-"&amp;Master_Data_Productivity[[#This Row],[Period]]</f>
        <v>PE-Project_Engineer-016-M6</v>
      </c>
      <c r="C963" t="s">
        <v>739</v>
      </c>
      <c r="D963" t="s">
        <v>48</v>
      </c>
      <c r="E963" t="s">
        <v>31</v>
      </c>
      <c r="F963" t="s">
        <v>32</v>
      </c>
      <c r="G963" t="s">
        <v>33</v>
      </c>
      <c r="H963" t="s">
        <v>44</v>
      </c>
      <c r="K963" t="s">
        <v>12</v>
      </c>
      <c r="L963" t="s">
        <v>12</v>
      </c>
      <c r="M963" t="s">
        <v>12</v>
      </c>
      <c r="Q963" t="s">
        <v>716</v>
      </c>
      <c r="R963" t="s">
        <v>441</v>
      </c>
      <c r="S963" t="s">
        <v>12</v>
      </c>
      <c r="T963" t="s">
        <v>12</v>
      </c>
      <c r="U963" t="s">
        <v>12</v>
      </c>
      <c r="V963" t="s">
        <v>12</v>
      </c>
      <c r="W963" t="s">
        <v>12</v>
      </c>
      <c r="X963" t="s">
        <v>12</v>
      </c>
      <c r="Y963" t="s">
        <v>12</v>
      </c>
      <c r="Z963" t="s">
        <v>12</v>
      </c>
      <c r="AA963" t="s">
        <v>12</v>
      </c>
      <c r="AB963" t="s">
        <v>12</v>
      </c>
      <c r="AC963" t="s">
        <v>12</v>
      </c>
      <c r="AD963" t="s">
        <v>12</v>
      </c>
    </row>
    <row r="964" spans="1:30">
      <c r="A964" t="s">
        <v>777</v>
      </c>
      <c r="B964" t="str">
        <f>Master_Data_Productivity[[#This Row],[Uniq-ID]]&amp;"-"&amp;Master_Data_Productivity[[#This Row],[Period]]</f>
        <v>PE-Project_Engineer-003-M1</v>
      </c>
      <c r="C964" t="s">
        <v>778</v>
      </c>
      <c r="D964" t="s">
        <v>48</v>
      </c>
      <c r="E964" t="s">
        <v>13</v>
      </c>
      <c r="F964" t="s">
        <v>49</v>
      </c>
      <c r="G964" t="s">
        <v>15</v>
      </c>
      <c r="H964" t="s">
        <v>719</v>
      </c>
      <c r="J964">
        <v>1</v>
      </c>
      <c r="K964" t="s">
        <v>12</v>
      </c>
      <c r="L964" t="s">
        <v>12</v>
      </c>
      <c r="M964" t="s">
        <v>12</v>
      </c>
      <c r="Q964" t="s">
        <v>716</v>
      </c>
      <c r="R964" t="s">
        <v>475</v>
      </c>
      <c r="S964" t="s">
        <v>12</v>
      </c>
      <c r="T964" t="s">
        <v>12</v>
      </c>
      <c r="U964" t="s">
        <v>12</v>
      </c>
      <c r="V964" t="s">
        <v>12</v>
      </c>
      <c r="W964" t="s">
        <v>12</v>
      </c>
      <c r="X964" t="s">
        <v>12</v>
      </c>
      <c r="Y964" t="s">
        <v>3793</v>
      </c>
      <c r="Z964" t="s">
        <v>3794</v>
      </c>
      <c r="AA964" t="s">
        <v>3795</v>
      </c>
      <c r="AB964" t="s">
        <v>12</v>
      </c>
      <c r="AC964" t="s">
        <v>3796</v>
      </c>
      <c r="AD964" t="s">
        <v>3797</v>
      </c>
    </row>
    <row r="965" spans="1:30">
      <c r="A965" t="s">
        <v>777</v>
      </c>
      <c r="B965" t="str">
        <f>Master_Data_Productivity[[#This Row],[Uniq-ID]]&amp;"-"&amp;Master_Data_Productivity[[#This Row],[Period]]</f>
        <v>PE-Project_Engineer-003-M2</v>
      </c>
      <c r="C965" t="s">
        <v>778</v>
      </c>
      <c r="D965" t="s">
        <v>48</v>
      </c>
      <c r="E965" t="s">
        <v>18</v>
      </c>
      <c r="F965" t="s">
        <v>51</v>
      </c>
      <c r="G965" t="s">
        <v>15</v>
      </c>
      <c r="H965" t="s">
        <v>44</v>
      </c>
      <c r="J965">
        <v>0.5</v>
      </c>
      <c r="K965" t="s">
        <v>12</v>
      </c>
      <c r="L965" t="s">
        <v>12</v>
      </c>
      <c r="M965" t="s">
        <v>12</v>
      </c>
      <c r="Q965" t="s">
        <v>716</v>
      </c>
      <c r="R965" t="s">
        <v>475</v>
      </c>
      <c r="S965" t="s">
        <v>12</v>
      </c>
      <c r="T965" t="s">
        <v>12</v>
      </c>
      <c r="U965" t="s">
        <v>12</v>
      </c>
      <c r="V965" t="s">
        <v>12</v>
      </c>
      <c r="W965" t="s">
        <v>12</v>
      </c>
      <c r="X965" t="s">
        <v>12</v>
      </c>
      <c r="Y965" t="s">
        <v>12</v>
      </c>
      <c r="Z965" t="s">
        <v>3410</v>
      </c>
      <c r="AA965" t="s">
        <v>3798</v>
      </c>
      <c r="AB965" t="s">
        <v>12</v>
      </c>
      <c r="AC965" t="s">
        <v>3799</v>
      </c>
      <c r="AD965" t="s">
        <v>3800</v>
      </c>
    </row>
    <row r="966" spans="1:30">
      <c r="A966" t="s">
        <v>777</v>
      </c>
      <c r="B966" t="str">
        <f>Master_Data_Productivity[[#This Row],[Uniq-ID]]&amp;"-"&amp;Master_Data_Productivity[[#This Row],[Period]]</f>
        <v>PE-Project_Engineer-003-M3</v>
      </c>
      <c r="C966" t="s">
        <v>778</v>
      </c>
      <c r="D966" t="s">
        <v>48</v>
      </c>
      <c r="E966" t="s">
        <v>22</v>
      </c>
      <c r="F966" t="s">
        <v>52</v>
      </c>
      <c r="G966" t="s">
        <v>15</v>
      </c>
      <c r="H966" t="s">
        <v>44</v>
      </c>
      <c r="J966">
        <v>0.5</v>
      </c>
      <c r="K966" t="s">
        <v>12</v>
      </c>
      <c r="L966" t="s">
        <v>12</v>
      </c>
      <c r="M966" t="s">
        <v>12</v>
      </c>
      <c r="Q966" t="s">
        <v>716</v>
      </c>
      <c r="R966" t="s">
        <v>475</v>
      </c>
      <c r="S966" t="s">
        <v>12</v>
      </c>
      <c r="T966" t="s">
        <v>12</v>
      </c>
      <c r="U966" t="s">
        <v>12</v>
      </c>
      <c r="V966" t="s">
        <v>12</v>
      </c>
      <c r="W966" t="s">
        <v>12</v>
      </c>
      <c r="X966" t="s">
        <v>12</v>
      </c>
      <c r="Y966" t="s">
        <v>12</v>
      </c>
      <c r="Z966" t="s">
        <v>12</v>
      </c>
      <c r="AA966" t="s">
        <v>12</v>
      </c>
      <c r="AB966" t="s">
        <v>12</v>
      </c>
      <c r="AC966" t="s">
        <v>3734</v>
      </c>
      <c r="AD966" t="s">
        <v>3734</v>
      </c>
    </row>
    <row r="967" spans="1:30">
      <c r="A967" t="s">
        <v>777</v>
      </c>
      <c r="B967" t="str">
        <f>Master_Data_Productivity[[#This Row],[Uniq-ID]]&amp;"-"&amp;Master_Data_Productivity[[#This Row],[Period]]</f>
        <v>PE-Project_Engineer-003-M4</v>
      </c>
      <c r="C967" t="s">
        <v>778</v>
      </c>
      <c r="D967" t="s">
        <v>48</v>
      </c>
      <c r="E967" t="s">
        <v>25</v>
      </c>
      <c r="F967" t="s">
        <v>54</v>
      </c>
      <c r="G967" t="s">
        <v>15</v>
      </c>
      <c r="H967" t="s">
        <v>44</v>
      </c>
      <c r="K967" t="s">
        <v>12</v>
      </c>
      <c r="L967" t="s">
        <v>12</v>
      </c>
      <c r="M967" t="s">
        <v>12</v>
      </c>
      <c r="Q967" t="s">
        <v>716</v>
      </c>
      <c r="R967" t="s">
        <v>475</v>
      </c>
      <c r="S967" t="s">
        <v>12</v>
      </c>
      <c r="T967" t="s">
        <v>12</v>
      </c>
      <c r="U967" t="s">
        <v>12</v>
      </c>
      <c r="V967" t="s">
        <v>12</v>
      </c>
      <c r="W967" t="s">
        <v>12</v>
      </c>
      <c r="X967" t="s">
        <v>12</v>
      </c>
      <c r="Y967" t="s">
        <v>12</v>
      </c>
      <c r="Z967" t="s">
        <v>12</v>
      </c>
      <c r="AA967" t="s">
        <v>12</v>
      </c>
      <c r="AB967" t="s">
        <v>12</v>
      </c>
      <c r="AC967" t="s">
        <v>12</v>
      </c>
      <c r="AD967" t="s">
        <v>12</v>
      </c>
    </row>
    <row r="968" spans="1:30">
      <c r="A968" t="s">
        <v>777</v>
      </c>
      <c r="B968" t="str">
        <f>Master_Data_Productivity[[#This Row],[Uniq-ID]]&amp;"-"&amp;Master_Data_Productivity[[#This Row],[Period]]</f>
        <v>PE-Project_Engineer-003-M5</v>
      </c>
      <c r="C968" t="s">
        <v>778</v>
      </c>
      <c r="D968" t="s">
        <v>48</v>
      </c>
      <c r="E968" t="s">
        <v>28</v>
      </c>
      <c r="F968" t="s">
        <v>56</v>
      </c>
      <c r="G968" t="s">
        <v>15</v>
      </c>
      <c r="H968" t="s">
        <v>44</v>
      </c>
      <c r="K968" t="s">
        <v>12</v>
      </c>
      <c r="L968" t="s">
        <v>12</v>
      </c>
      <c r="M968" t="s">
        <v>12</v>
      </c>
      <c r="Q968" t="s">
        <v>716</v>
      </c>
      <c r="R968" t="s">
        <v>475</v>
      </c>
      <c r="S968" t="s">
        <v>12</v>
      </c>
      <c r="T968" t="s">
        <v>12</v>
      </c>
      <c r="U968" t="s">
        <v>12</v>
      </c>
      <c r="V968" t="s">
        <v>12</v>
      </c>
      <c r="W968" t="s">
        <v>12</v>
      </c>
      <c r="X968" t="s">
        <v>12</v>
      </c>
      <c r="Y968" t="s">
        <v>12</v>
      </c>
      <c r="Z968" t="s">
        <v>12</v>
      </c>
      <c r="AA968" t="s">
        <v>12</v>
      </c>
      <c r="AB968" t="s">
        <v>12</v>
      </c>
      <c r="AC968" t="s">
        <v>12</v>
      </c>
      <c r="AD968" t="s">
        <v>12</v>
      </c>
    </row>
    <row r="969" spans="1:30">
      <c r="A969" t="s">
        <v>777</v>
      </c>
      <c r="B969" t="str">
        <f>Master_Data_Productivity[[#This Row],[Uniq-ID]]&amp;"-"&amp;Master_Data_Productivity[[#This Row],[Period]]</f>
        <v>PE-Project_Engineer-003-M6</v>
      </c>
      <c r="C969" t="s">
        <v>778</v>
      </c>
      <c r="D969" t="s">
        <v>48</v>
      </c>
      <c r="E969" t="s">
        <v>31</v>
      </c>
      <c r="F969" t="s">
        <v>57</v>
      </c>
      <c r="G969" t="s">
        <v>33</v>
      </c>
      <c r="H969" t="s">
        <v>44</v>
      </c>
      <c r="K969" t="s">
        <v>12</v>
      </c>
      <c r="L969" t="s">
        <v>12</v>
      </c>
      <c r="M969" t="s">
        <v>12</v>
      </c>
      <c r="Q969" t="s">
        <v>716</v>
      </c>
      <c r="R969" t="s">
        <v>475</v>
      </c>
      <c r="S969" t="s">
        <v>12</v>
      </c>
      <c r="T969" t="s">
        <v>12</v>
      </c>
      <c r="U969" t="s">
        <v>12</v>
      </c>
      <c r="V969" t="s">
        <v>12</v>
      </c>
      <c r="W969" t="s">
        <v>12</v>
      </c>
      <c r="X969" t="s">
        <v>12</v>
      </c>
      <c r="Y969" t="s">
        <v>12</v>
      </c>
      <c r="Z969" t="s">
        <v>12</v>
      </c>
      <c r="AA969" t="s">
        <v>12</v>
      </c>
      <c r="AB969" t="s">
        <v>12</v>
      </c>
      <c r="AC969" t="s">
        <v>12</v>
      </c>
      <c r="AD969" t="s">
        <v>12</v>
      </c>
    </row>
    <row r="970" spans="1:30">
      <c r="A970" t="s">
        <v>779</v>
      </c>
      <c r="B970" t="str">
        <f>Master_Data_Productivity[[#This Row],[Uniq-ID]]&amp;"-"&amp;Master_Data_Productivity[[#This Row],[Period]]</f>
        <v>PE-Project_Engineer-028-M1</v>
      </c>
      <c r="C970" t="s">
        <v>780</v>
      </c>
      <c r="D970" t="s">
        <v>11</v>
      </c>
      <c r="E970" t="s">
        <v>13</v>
      </c>
      <c r="F970" t="s">
        <v>458</v>
      </c>
      <c r="G970" t="s">
        <v>15</v>
      </c>
      <c r="H970" t="s">
        <v>719</v>
      </c>
      <c r="J970">
        <v>1</v>
      </c>
      <c r="K970" t="s">
        <v>12</v>
      </c>
      <c r="L970" t="s">
        <v>12</v>
      </c>
      <c r="M970" t="s">
        <v>12</v>
      </c>
      <c r="Q970" t="s">
        <v>716</v>
      </c>
      <c r="R970" t="s">
        <v>441</v>
      </c>
      <c r="S970" t="s">
        <v>12</v>
      </c>
      <c r="T970" t="s">
        <v>12</v>
      </c>
      <c r="U970" t="s">
        <v>12</v>
      </c>
      <c r="V970" t="s">
        <v>12</v>
      </c>
      <c r="W970" t="s">
        <v>12</v>
      </c>
      <c r="X970" t="s">
        <v>12</v>
      </c>
      <c r="Y970" t="s">
        <v>3801</v>
      </c>
      <c r="Z970" t="s">
        <v>3802</v>
      </c>
      <c r="AA970" t="s">
        <v>3803</v>
      </c>
      <c r="AB970" t="s">
        <v>12</v>
      </c>
      <c r="AC970" t="s">
        <v>3804</v>
      </c>
      <c r="AD970" t="s">
        <v>3554</v>
      </c>
    </row>
    <row r="971" spans="1:30">
      <c r="A971" t="s">
        <v>779</v>
      </c>
      <c r="B971" t="str">
        <f>Master_Data_Productivity[[#This Row],[Uniq-ID]]&amp;"-"&amp;Master_Data_Productivity[[#This Row],[Period]]</f>
        <v>PE-Project_Engineer-028-M2</v>
      </c>
      <c r="C971" t="s">
        <v>780</v>
      </c>
      <c r="D971" t="s">
        <v>11</v>
      </c>
      <c r="E971" t="s">
        <v>18</v>
      </c>
      <c r="F971" t="s">
        <v>268</v>
      </c>
      <c r="G971" t="s">
        <v>15</v>
      </c>
      <c r="H971" t="s">
        <v>719</v>
      </c>
      <c r="J971">
        <v>1</v>
      </c>
      <c r="K971" t="s">
        <v>12</v>
      </c>
      <c r="L971" t="s">
        <v>12</v>
      </c>
      <c r="M971" t="s">
        <v>12</v>
      </c>
      <c r="Q971" t="s">
        <v>716</v>
      </c>
      <c r="R971" t="s">
        <v>441</v>
      </c>
      <c r="S971" t="s">
        <v>12</v>
      </c>
      <c r="T971" t="s">
        <v>12</v>
      </c>
      <c r="U971" t="s">
        <v>12</v>
      </c>
      <c r="V971" t="s">
        <v>12</v>
      </c>
      <c r="W971" t="s">
        <v>12</v>
      </c>
      <c r="X971" t="s">
        <v>12</v>
      </c>
      <c r="Y971" t="s">
        <v>3805</v>
      </c>
      <c r="Z971" t="s">
        <v>3729</v>
      </c>
      <c r="AA971" t="s">
        <v>3806</v>
      </c>
      <c r="AB971" t="s">
        <v>12</v>
      </c>
      <c r="AC971" t="s">
        <v>3807</v>
      </c>
      <c r="AD971" t="s">
        <v>3808</v>
      </c>
    </row>
    <row r="972" spans="1:30">
      <c r="A972" t="s">
        <v>779</v>
      </c>
      <c r="B972" t="str">
        <f>Master_Data_Productivity[[#This Row],[Uniq-ID]]&amp;"-"&amp;Master_Data_Productivity[[#This Row],[Period]]</f>
        <v>PE-Project_Engineer-028-M3</v>
      </c>
      <c r="C972" t="s">
        <v>780</v>
      </c>
      <c r="D972" t="s">
        <v>11</v>
      </c>
      <c r="E972" t="s">
        <v>22</v>
      </c>
      <c r="F972" t="s">
        <v>270</v>
      </c>
      <c r="G972" t="s">
        <v>15</v>
      </c>
      <c r="H972" t="s">
        <v>719</v>
      </c>
      <c r="J972">
        <v>1</v>
      </c>
      <c r="K972" t="s">
        <v>12</v>
      </c>
      <c r="L972" t="s">
        <v>12</v>
      </c>
      <c r="M972" t="s">
        <v>12</v>
      </c>
      <c r="Q972" t="s">
        <v>716</v>
      </c>
      <c r="R972" t="s">
        <v>441</v>
      </c>
      <c r="S972" t="s">
        <v>12</v>
      </c>
      <c r="T972" t="s">
        <v>12</v>
      </c>
      <c r="U972" t="s">
        <v>12</v>
      </c>
      <c r="V972" t="s">
        <v>12</v>
      </c>
      <c r="W972" t="s">
        <v>12</v>
      </c>
      <c r="X972" t="s">
        <v>12</v>
      </c>
      <c r="Y972" t="s">
        <v>3523</v>
      </c>
      <c r="Z972" t="s">
        <v>3809</v>
      </c>
      <c r="AA972" t="s">
        <v>3810</v>
      </c>
      <c r="AB972" t="s">
        <v>12</v>
      </c>
      <c r="AC972" t="s">
        <v>3811</v>
      </c>
      <c r="AD972" t="s">
        <v>3812</v>
      </c>
    </row>
    <row r="973" spans="1:30">
      <c r="A973" t="s">
        <v>779</v>
      </c>
      <c r="B973" t="str">
        <f>Master_Data_Productivity[[#This Row],[Uniq-ID]]&amp;"-"&amp;Master_Data_Productivity[[#This Row],[Period]]</f>
        <v>PE-Project_Engineer-028-M4</v>
      </c>
      <c r="C973" t="s">
        <v>780</v>
      </c>
      <c r="D973" t="s">
        <v>11</v>
      </c>
      <c r="E973" t="s">
        <v>25</v>
      </c>
      <c r="F973" t="s">
        <v>272</v>
      </c>
      <c r="G973" t="s">
        <v>15</v>
      </c>
      <c r="H973" t="s">
        <v>719</v>
      </c>
      <c r="J973">
        <v>1</v>
      </c>
      <c r="K973" t="s">
        <v>12</v>
      </c>
      <c r="L973" t="s">
        <v>12</v>
      </c>
      <c r="M973" t="s">
        <v>12</v>
      </c>
      <c r="Q973" t="s">
        <v>716</v>
      </c>
      <c r="R973" t="s">
        <v>441</v>
      </c>
      <c r="S973" t="s">
        <v>12</v>
      </c>
      <c r="T973" t="s">
        <v>12</v>
      </c>
      <c r="U973" t="s">
        <v>12</v>
      </c>
      <c r="V973" t="s">
        <v>12</v>
      </c>
      <c r="W973" t="s">
        <v>12</v>
      </c>
      <c r="X973" t="s">
        <v>12</v>
      </c>
      <c r="Y973" t="s">
        <v>3571</v>
      </c>
      <c r="Z973" t="s">
        <v>3813</v>
      </c>
      <c r="AA973" t="s">
        <v>3532</v>
      </c>
      <c r="AB973" t="s">
        <v>12</v>
      </c>
      <c r="AC973" t="s">
        <v>3814</v>
      </c>
      <c r="AD973" t="s">
        <v>3632</v>
      </c>
    </row>
    <row r="974" spans="1:30">
      <c r="A974" t="s">
        <v>779</v>
      </c>
      <c r="B974" t="str">
        <f>Master_Data_Productivity[[#This Row],[Uniq-ID]]&amp;"-"&amp;Master_Data_Productivity[[#This Row],[Period]]</f>
        <v>PE-Project_Engineer-028-M5</v>
      </c>
      <c r="C974" t="s">
        <v>780</v>
      </c>
      <c r="D974" t="s">
        <v>11</v>
      </c>
      <c r="E974" t="s">
        <v>28</v>
      </c>
      <c r="F974" t="s">
        <v>274</v>
      </c>
      <c r="G974" t="s">
        <v>33</v>
      </c>
      <c r="H974" t="s">
        <v>44</v>
      </c>
      <c r="J974">
        <v>0.5</v>
      </c>
      <c r="K974" t="s">
        <v>12</v>
      </c>
      <c r="L974" t="s">
        <v>12</v>
      </c>
      <c r="M974" t="s">
        <v>12</v>
      </c>
      <c r="Q974" t="s">
        <v>716</v>
      </c>
      <c r="R974" t="s">
        <v>441</v>
      </c>
      <c r="S974" t="s">
        <v>12</v>
      </c>
      <c r="T974" t="s">
        <v>12</v>
      </c>
      <c r="U974" t="s">
        <v>12</v>
      </c>
      <c r="V974" t="s">
        <v>12</v>
      </c>
      <c r="W974" t="s">
        <v>12</v>
      </c>
      <c r="X974" t="s">
        <v>12</v>
      </c>
      <c r="Y974" t="s">
        <v>3465</v>
      </c>
      <c r="Z974" t="s">
        <v>3488</v>
      </c>
      <c r="AA974" t="s">
        <v>12</v>
      </c>
      <c r="AB974" t="s">
        <v>12</v>
      </c>
      <c r="AC974" t="s">
        <v>3815</v>
      </c>
      <c r="AD974" t="s">
        <v>3816</v>
      </c>
    </row>
    <row r="975" spans="1:30">
      <c r="A975" t="s">
        <v>794</v>
      </c>
      <c r="B975" t="str">
        <f>Master_Data_Productivity[[#This Row],[Uniq-ID]]&amp;"-"&amp;Master_Data_Productivity[[#This Row],[Period]]</f>
        <v>PE-Project_Engineer-082-M1</v>
      </c>
      <c r="C975" t="s">
        <v>795</v>
      </c>
      <c r="D975" t="s">
        <v>76</v>
      </c>
      <c r="E975" t="s">
        <v>13</v>
      </c>
      <c r="F975" t="s">
        <v>796</v>
      </c>
      <c r="G975" t="s">
        <v>15</v>
      </c>
      <c r="H975" t="s">
        <v>719</v>
      </c>
      <c r="J975">
        <v>1</v>
      </c>
      <c r="K975" t="s">
        <v>12</v>
      </c>
      <c r="L975" t="s">
        <v>12</v>
      </c>
      <c r="M975" t="s">
        <v>12</v>
      </c>
      <c r="Q975" t="s">
        <v>716</v>
      </c>
      <c r="R975" t="s">
        <v>441</v>
      </c>
      <c r="S975" t="s">
        <v>12</v>
      </c>
      <c r="T975" t="s">
        <v>12</v>
      </c>
      <c r="U975" t="s">
        <v>12</v>
      </c>
      <c r="V975" t="s">
        <v>12</v>
      </c>
      <c r="W975" t="s">
        <v>12</v>
      </c>
      <c r="X975" t="s">
        <v>12</v>
      </c>
      <c r="Y975" t="s">
        <v>3543</v>
      </c>
      <c r="Z975" t="s">
        <v>3569</v>
      </c>
      <c r="AA975" t="s">
        <v>3817</v>
      </c>
      <c r="AB975" t="s">
        <v>12</v>
      </c>
      <c r="AC975" t="s">
        <v>3806</v>
      </c>
      <c r="AD975" t="s">
        <v>3818</v>
      </c>
    </row>
    <row r="976" spans="1:30">
      <c r="A976" t="s">
        <v>794</v>
      </c>
      <c r="B976" t="str">
        <f>Master_Data_Productivity[[#This Row],[Uniq-ID]]&amp;"-"&amp;Master_Data_Productivity[[#This Row],[Period]]</f>
        <v>PE-Project_Engineer-082-M2</v>
      </c>
      <c r="C976" t="s">
        <v>795</v>
      </c>
      <c r="D976" t="s">
        <v>76</v>
      </c>
      <c r="E976" t="s">
        <v>18</v>
      </c>
      <c r="F976" t="s">
        <v>404</v>
      </c>
      <c r="G976" t="s">
        <v>33</v>
      </c>
      <c r="H976" t="s">
        <v>44</v>
      </c>
      <c r="J976">
        <v>0.5</v>
      </c>
      <c r="K976" t="s">
        <v>12</v>
      </c>
      <c r="L976" t="s">
        <v>12</v>
      </c>
      <c r="M976" t="s">
        <v>12</v>
      </c>
      <c r="Q976" t="s">
        <v>716</v>
      </c>
      <c r="R976" t="s">
        <v>441</v>
      </c>
      <c r="S976" t="s">
        <v>12</v>
      </c>
      <c r="T976" t="s">
        <v>12</v>
      </c>
      <c r="U976" t="s">
        <v>12</v>
      </c>
      <c r="V976" t="s">
        <v>12</v>
      </c>
      <c r="W976" t="s">
        <v>12</v>
      </c>
      <c r="X976" t="s">
        <v>12</v>
      </c>
      <c r="Y976" t="s">
        <v>3462</v>
      </c>
      <c r="Z976" t="s">
        <v>3410</v>
      </c>
      <c r="AA976" t="s">
        <v>3617</v>
      </c>
      <c r="AB976" t="s">
        <v>12</v>
      </c>
      <c r="AC976" t="s">
        <v>12</v>
      </c>
      <c r="AD976" t="s">
        <v>3728</v>
      </c>
    </row>
    <row r="977" spans="1:30">
      <c r="A977" t="s">
        <v>794</v>
      </c>
      <c r="B977" t="str">
        <f>Master_Data_Productivity[[#This Row],[Uniq-ID]]&amp;"-"&amp;Master_Data_Productivity[[#This Row],[Period]]</f>
        <v>PE-Project_Engineer-082-M3</v>
      </c>
      <c r="C977" t="s">
        <v>795</v>
      </c>
      <c r="D977" t="s">
        <v>76</v>
      </c>
      <c r="E977" t="s">
        <v>22</v>
      </c>
      <c r="F977" t="s">
        <v>3405</v>
      </c>
      <c r="G977" t="s">
        <v>225</v>
      </c>
      <c r="H977" t="s">
        <v>44</v>
      </c>
      <c r="K977" t="s">
        <v>12</v>
      </c>
      <c r="L977" t="s">
        <v>12</v>
      </c>
      <c r="M977" t="s">
        <v>12</v>
      </c>
      <c r="Q977" t="s">
        <v>716</v>
      </c>
      <c r="R977" t="s">
        <v>441</v>
      </c>
      <c r="S977" t="s">
        <v>12</v>
      </c>
      <c r="T977" t="s">
        <v>12</v>
      </c>
      <c r="U977" t="s">
        <v>12</v>
      </c>
      <c r="V977" t="s">
        <v>12</v>
      </c>
      <c r="W977" t="s">
        <v>12</v>
      </c>
      <c r="X977" t="s">
        <v>12</v>
      </c>
      <c r="Y977" t="s">
        <v>12</v>
      </c>
      <c r="Z977" t="s">
        <v>12</v>
      </c>
      <c r="AA977" t="s">
        <v>12</v>
      </c>
      <c r="AB977" t="s">
        <v>12</v>
      </c>
      <c r="AC977" t="s">
        <v>12</v>
      </c>
      <c r="AD977" t="s">
        <v>12</v>
      </c>
    </row>
    <row r="978" spans="1:30">
      <c r="A978" t="s">
        <v>766</v>
      </c>
      <c r="B978" t="str">
        <f>Master_Data_Productivity[[#This Row],[Uniq-ID]]&amp;"-"&amp;Master_Data_Productivity[[#This Row],[Period]]</f>
        <v>PE-Project_Engineer-023-M1</v>
      </c>
      <c r="C978" t="s">
        <v>767</v>
      </c>
      <c r="D978" t="s">
        <v>11</v>
      </c>
      <c r="E978" t="s">
        <v>13</v>
      </c>
      <c r="F978" t="s">
        <v>14</v>
      </c>
      <c r="G978" t="s">
        <v>15</v>
      </c>
      <c r="H978" t="s">
        <v>719</v>
      </c>
      <c r="J978">
        <v>1</v>
      </c>
      <c r="K978" t="s">
        <v>12</v>
      </c>
      <c r="L978" t="s">
        <v>12</v>
      </c>
      <c r="M978" t="s">
        <v>12</v>
      </c>
      <c r="Q978" t="s">
        <v>716</v>
      </c>
      <c r="R978" t="s">
        <v>468</v>
      </c>
      <c r="S978" t="s">
        <v>12</v>
      </c>
      <c r="T978" t="s">
        <v>12</v>
      </c>
      <c r="U978" t="s">
        <v>12</v>
      </c>
      <c r="V978" t="s">
        <v>12</v>
      </c>
      <c r="W978" t="s">
        <v>12</v>
      </c>
      <c r="X978" t="s">
        <v>12</v>
      </c>
      <c r="Y978" t="s">
        <v>3819</v>
      </c>
      <c r="Z978" t="s">
        <v>3820</v>
      </c>
      <c r="AA978" t="s">
        <v>3789</v>
      </c>
      <c r="AB978" t="s">
        <v>12</v>
      </c>
      <c r="AC978" t="s">
        <v>3746</v>
      </c>
      <c r="AD978" t="s">
        <v>3821</v>
      </c>
    </row>
    <row r="979" spans="1:30">
      <c r="A979" t="s">
        <v>766</v>
      </c>
      <c r="B979" t="str">
        <f>Master_Data_Productivity[[#This Row],[Uniq-ID]]&amp;"-"&amp;Master_Data_Productivity[[#This Row],[Period]]</f>
        <v>PE-Project_Engineer-023-M2</v>
      </c>
      <c r="C979" t="s">
        <v>767</v>
      </c>
      <c r="D979" t="s">
        <v>11</v>
      </c>
      <c r="E979" t="s">
        <v>18</v>
      </c>
      <c r="F979" t="s">
        <v>19</v>
      </c>
      <c r="G979" t="s">
        <v>15</v>
      </c>
      <c r="H979" t="s">
        <v>16</v>
      </c>
      <c r="J979">
        <v>1.5</v>
      </c>
      <c r="K979" t="s">
        <v>12</v>
      </c>
      <c r="L979" t="s">
        <v>12</v>
      </c>
      <c r="M979" t="s">
        <v>12</v>
      </c>
      <c r="Q979" t="s">
        <v>716</v>
      </c>
      <c r="R979" t="s">
        <v>468</v>
      </c>
      <c r="S979" t="s">
        <v>12</v>
      </c>
      <c r="T979" t="s">
        <v>12</v>
      </c>
      <c r="U979" t="s">
        <v>12</v>
      </c>
      <c r="V979" t="s">
        <v>12</v>
      </c>
      <c r="W979" t="s">
        <v>12</v>
      </c>
      <c r="X979" t="s">
        <v>12</v>
      </c>
      <c r="Y979" t="s">
        <v>3822</v>
      </c>
      <c r="Z979" t="s">
        <v>3823</v>
      </c>
      <c r="AA979" t="s">
        <v>3407</v>
      </c>
      <c r="AB979" t="s">
        <v>12</v>
      </c>
      <c r="AC979" t="s">
        <v>3824</v>
      </c>
      <c r="AD979" t="s">
        <v>3825</v>
      </c>
    </row>
    <row r="980" spans="1:30">
      <c r="A980" t="s">
        <v>766</v>
      </c>
      <c r="B980" t="str">
        <f>Master_Data_Productivity[[#This Row],[Uniq-ID]]&amp;"-"&amp;Master_Data_Productivity[[#This Row],[Period]]</f>
        <v>PE-Project_Engineer-023-M3</v>
      </c>
      <c r="C980" t="s">
        <v>767</v>
      </c>
      <c r="D980" t="s">
        <v>11</v>
      </c>
      <c r="E980" t="s">
        <v>22</v>
      </c>
      <c r="F980" t="s">
        <v>23</v>
      </c>
      <c r="G980" t="s">
        <v>15</v>
      </c>
      <c r="H980" t="s">
        <v>16</v>
      </c>
      <c r="J980">
        <v>1.5</v>
      </c>
      <c r="K980" t="s">
        <v>12</v>
      </c>
      <c r="L980" t="s">
        <v>12</v>
      </c>
      <c r="M980" t="s">
        <v>12</v>
      </c>
      <c r="Q980" t="s">
        <v>716</v>
      </c>
      <c r="R980" t="s">
        <v>468</v>
      </c>
      <c r="S980" t="s">
        <v>12</v>
      </c>
      <c r="T980" t="s">
        <v>12</v>
      </c>
      <c r="U980" t="s">
        <v>12</v>
      </c>
      <c r="V980" t="s">
        <v>12</v>
      </c>
      <c r="W980" t="s">
        <v>12</v>
      </c>
      <c r="X980" t="s">
        <v>12</v>
      </c>
      <c r="Y980" t="s">
        <v>3826</v>
      </c>
      <c r="Z980" t="s">
        <v>3827</v>
      </c>
      <c r="AA980" t="s">
        <v>3828</v>
      </c>
      <c r="AB980" t="s">
        <v>12</v>
      </c>
      <c r="AC980" t="s">
        <v>3829</v>
      </c>
      <c r="AD980" t="s">
        <v>3830</v>
      </c>
    </row>
    <row r="981" spans="1:30">
      <c r="A981" t="s">
        <v>766</v>
      </c>
      <c r="B981" t="str">
        <f>Master_Data_Productivity[[#This Row],[Uniq-ID]]&amp;"-"&amp;Master_Data_Productivity[[#This Row],[Period]]</f>
        <v>PE-Project_Engineer-023-M4</v>
      </c>
      <c r="C981" t="s">
        <v>767</v>
      </c>
      <c r="D981" t="s">
        <v>11</v>
      </c>
      <c r="E981" t="s">
        <v>25</v>
      </c>
      <c r="F981" t="s">
        <v>26</v>
      </c>
      <c r="G981" t="s">
        <v>15</v>
      </c>
      <c r="H981" t="s">
        <v>16</v>
      </c>
      <c r="J981">
        <v>1.49</v>
      </c>
      <c r="K981" t="s">
        <v>12</v>
      </c>
      <c r="L981" t="s">
        <v>12</v>
      </c>
      <c r="M981" t="s">
        <v>12</v>
      </c>
      <c r="Q981" t="s">
        <v>716</v>
      </c>
      <c r="R981" t="s">
        <v>468</v>
      </c>
      <c r="S981" t="s">
        <v>12</v>
      </c>
      <c r="T981" t="s">
        <v>12</v>
      </c>
      <c r="U981" t="s">
        <v>12</v>
      </c>
      <c r="V981" t="s">
        <v>12</v>
      </c>
      <c r="W981" t="s">
        <v>12</v>
      </c>
      <c r="X981" t="s">
        <v>12</v>
      </c>
      <c r="Y981" t="s">
        <v>3831</v>
      </c>
      <c r="Z981" t="s">
        <v>3832</v>
      </c>
      <c r="AA981" t="s">
        <v>3833</v>
      </c>
      <c r="AB981" t="s">
        <v>12</v>
      </c>
      <c r="AC981" t="s">
        <v>3834</v>
      </c>
      <c r="AD981" t="s">
        <v>3835</v>
      </c>
    </row>
    <row r="982" spans="1:30">
      <c r="A982" t="s">
        <v>766</v>
      </c>
      <c r="B982" t="str">
        <f>Master_Data_Productivity[[#This Row],[Uniq-ID]]&amp;"-"&amp;Master_Data_Productivity[[#This Row],[Period]]</f>
        <v>PE-Project_Engineer-023-M5</v>
      </c>
      <c r="C982" t="s">
        <v>767</v>
      </c>
      <c r="D982" t="s">
        <v>11</v>
      </c>
      <c r="E982" t="s">
        <v>28</v>
      </c>
      <c r="F982" t="s">
        <v>29</v>
      </c>
      <c r="G982" t="s">
        <v>15</v>
      </c>
      <c r="H982" t="s">
        <v>719</v>
      </c>
      <c r="J982">
        <v>1</v>
      </c>
      <c r="K982" t="s">
        <v>12</v>
      </c>
      <c r="L982" t="s">
        <v>12</v>
      </c>
      <c r="M982" t="s">
        <v>12</v>
      </c>
      <c r="Q982" t="s">
        <v>716</v>
      </c>
      <c r="R982" t="s">
        <v>468</v>
      </c>
      <c r="S982" t="s">
        <v>12</v>
      </c>
      <c r="T982" t="s">
        <v>12</v>
      </c>
      <c r="U982" t="s">
        <v>12</v>
      </c>
      <c r="V982" t="s">
        <v>12</v>
      </c>
      <c r="W982" t="s">
        <v>12</v>
      </c>
      <c r="X982" t="s">
        <v>12</v>
      </c>
      <c r="Y982" t="s">
        <v>3836</v>
      </c>
      <c r="Z982" t="s">
        <v>3711</v>
      </c>
      <c r="AA982" t="s">
        <v>3837</v>
      </c>
      <c r="AB982" t="s">
        <v>12</v>
      </c>
      <c r="AC982" t="s">
        <v>3838</v>
      </c>
      <c r="AD982" t="s">
        <v>3839</v>
      </c>
    </row>
    <row r="983" spans="1:30">
      <c r="A983" t="s">
        <v>766</v>
      </c>
      <c r="B983" t="str">
        <f>Master_Data_Productivity[[#This Row],[Uniq-ID]]&amp;"-"&amp;Master_Data_Productivity[[#This Row],[Period]]</f>
        <v>PE-Project_Engineer-023-M6</v>
      </c>
      <c r="C983" t="s">
        <v>767</v>
      </c>
      <c r="D983" t="s">
        <v>11</v>
      </c>
      <c r="E983" t="s">
        <v>31</v>
      </c>
      <c r="F983" t="s">
        <v>32</v>
      </c>
      <c r="G983" t="s">
        <v>33</v>
      </c>
      <c r="H983" t="s">
        <v>44</v>
      </c>
      <c r="K983" t="s">
        <v>12</v>
      </c>
      <c r="L983" t="s">
        <v>12</v>
      </c>
      <c r="M983" t="s">
        <v>12</v>
      </c>
      <c r="Q983" t="s">
        <v>716</v>
      </c>
      <c r="R983" t="s">
        <v>468</v>
      </c>
      <c r="S983" t="s">
        <v>12</v>
      </c>
      <c r="T983" t="s">
        <v>12</v>
      </c>
      <c r="U983" t="s">
        <v>12</v>
      </c>
      <c r="V983" t="s">
        <v>12</v>
      </c>
      <c r="W983" t="s">
        <v>12</v>
      </c>
      <c r="X983" t="s">
        <v>12</v>
      </c>
      <c r="Y983" t="s">
        <v>12</v>
      </c>
      <c r="Z983" t="s">
        <v>12</v>
      </c>
      <c r="AA983" t="s">
        <v>12</v>
      </c>
      <c r="AB983" t="s">
        <v>12</v>
      </c>
      <c r="AC983" t="s">
        <v>12</v>
      </c>
      <c r="AD983" t="s">
        <v>12</v>
      </c>
    </row>
    <row r="984" spans="1:30">
      <c r="A984" t="s">
        <v>770</v>
      </c>
      <c r="B984" t="str">
        <f>Master_Data_Productivity[[#This Row],[Uniq-ID]]&amp;"-"&amp;Master_Data_Productivity[[#This Row],[Period]]</f>
        <v>PE-Project_Engineer-085-M1</v>
      </c>
      <c r="C984" t="s">
        <v>771</v>
      </c>
      <c r="D984" t="s">
        <v>290</v>
      </c>
      <c r="E984" t="s">
        <v>13</v>
      </c>
      <c r="F984" t="s">
        <v>14</v>
      </c>
      <c r="G984" t="s">
        <v>15</v>
      </c>
      <c r="H984" t="s">
        <v>719</v>
      </c>
      <c r="J984">
        <v>1</v>
      </c>
      <c r="K984" t="s">
        <v>12</v>
      </c>
      <c r="L984" t="s">
        <v>12</v>
      </c>
      <c r="M984" t="s">
        <v>12</v>
      </c>
      <c r="Q984" t="s">
        <v>716</v>
      </c>
      <c r="R984" t="s">
        <v>446</v>
      </c>
      <c r="S984" t="s">
        <v>12</v>
      </c>
      <c r="T984" t="s">
        <v>12</v>
      </c>
      <c r="U984" t="s">
        <v>12</v>
      </c>
      <c r="V984" t="s">
        <v>12</v>
      </c>
      <c r="W984" t="s">
        <v>12</v>
      </c>
      <c r="X984" t="s">
        <v>12</v>
      </c>
      <c r="Y984" t="s">
        <v>3840</v>
      </c>
      <c r="Z984" t="s">
        <v>3841</v>
      </c>
      <c r="AA984" t="s">
        <v>3543</v>
      </c>
      <c r="AB984" t="s">
        <v>12</v>
      </c>
      <c r="AC984" t="s">
        <v>3547</v>
      </c>
      <c r="AD984" t="s">
        <v>3828</v>
      </c>
    </row>
    <row r="985" spans="1:30">
      <c r="A985" t="s">
        <v>770</v>
      </c>
      <c r="B985" t="str">
        <f>Master_Data_Productivity[[#This Row],[Uniq-ID]]&amp;"-"&amp;Master_Data_Productivity[[#This Row],[Period]]</f>
        <v>PE-Project_Engineer-085-M2</v>
      </c>
      <c r="C985" t="s">
        <v>771</v>
      </c>
      <c r="D985" t="s">
        <v>290</v>
      </c>
      <c r="E985" t="s">
        <v>18</v>
      </c>
      <c r="F985" t="s">
        <v>19</v>
      </c>
      <c r="G985" t="s">
        <v>15</v>
      </c>
      <c r="H985" t="s">
        <v>719</v>
      </c>
      <c r="J985">
        <v>1</v>
      </c>
      <c r="K985" t="s">
        <v>12</v>
      </c>
      <c r="L985" t="s">
        <v>12</v>
      </c>
      <c r="M985" t="s">
        <v>12</v>
      </c>
      <c r="Q985" t="s">
        <v>716</v>
      </c>
      <c r="R985" t="s">
        <v>446</v>
      </c>
      <c r="S985" t="s">
        <v>12</v>
      </c>
      <c r="T985" t="s">
        <v>12</v>
      </c>
      <c r="U985" t="s">
        <v>12</v>
      </c>
      <c r="V985" t="s">
        <v>12</v>
      </c>
      <c r="W985" t="s">
        <v>12</v>
      </c>
      <c r="X985" t="s">
        <v>12</v>
      </c>
      <c r="Y985" t="s">
        <v>3842</v>
      </c>
      <c r="Z985" t="s">
        <v>3843</v>
      </c>
      <c r="AA985" t="s">
        <v>3844</v>
      </c>
      <c r="AB985" t="s">
        <v>12</v>
      </c>
      <c r="AC985" t="s">
        <v>3845</v>
      </c>
      <c r="AD985" t="s">
        <v>3846</v>
      </c>
    </row>
    <row r="986" spans="1:30">
      <c r="A986" t="s">
        <v>770</v>
      </c>
      <c r="B986" t="str">
        <f>Master_Data_Productivity[[#This Row],[Uniq-ID]]&amp;"-"&amp;Master_Data_Productivity[[#This Row],[Period]]</f>
        <v>PE-Project_Engineer-085-M3</v>
      </c>
      <c r="C986" t="s">
        <v>771</v>
      </c>
      <c r="D986" t="s">
        <v>290</v>
      </c>
      <c r="E986" t="s">
        <v>22</v>
      </c>
      <c r="F986" t="s">
        <v>23</v>
      </c>
      <c r="G986" t="s">
        <v>15</v>
      </c>
      <c r="H986" t="s">
        <v>719</v>
      </c>
      <c r="J986">
        <v>1</v>
      </c>
      <c r="K986" t="s">
        <v>12</v>
      </c>
      <c r="L986" t="s">
        <v>12</v>
      </c>
      <c r="M986" t="s">
        <v>12</v>
      </c>
      <c r="Q986" t="s">
        <v>716</v>
      </c>
      <c r="R986" t="s">
        <v>446</v>
      </c>
      <c r="S986" t="s">
        <v>12</v>
      </c>
      <c r="T986" t="s">
        <v>12</v>
      </c>
      <c r="U986" t="s">
        <v>12</v>
      </c>
      <c r="V986" t="s">
        <v>12</v>
      </c>
      <c r="W986" t="s">
        <v>12</v>
      </c>
      <c r="X986" t="s">
        <v>12</v>
      </c>
      <c r="Y986" t="s">
        <v>3847</v>
      </c>
      <c r="Z986" t="s">
        <v>3848</v>
      </c>
      <c r="AA986" t="s">
        <v>3849</v>
      </c>
      <c r="AB986" t="s">
        <v>12</v>
      </c>
      <c r="AC986" t="s">
        <v>3850</v>
      </c>
      <c r="AD986" t="s">
        <v>3851</v>
      </c>
    </row>
    <row r="987" spans="1:30">
      <c r="A987" t="s">
        <v>770</v>
      </c>
      <c r="B987" t="str">
        <f>Master_Data_Productivity[[#This Row],[Uniq-ID]]&amp;"-"&amp;Master_Data_Productivity[[#This Row],[Period]]</f>
        <v>PE-Project_Engineer-085-M4</v>
      </c>
      <c r="C987" t="s">
        <v>771</v>
      </c>
      <c r="D987" t="s">
        <v>290</v>
      </c>
      <c r="E987" t="s">
        <v>25</v>
      </c>
      <c r="F987" t="s">
        <v>26</v>
      </c>
      <c r="G987" t="s">
        <v>15</v>
      </c>
      <c r="H987" t="s">
        <v>719</v>
      </c>
      <c r="J987">
        <v>1</v>
      </c>
      <c r="K987" t="s">
        <v>12</v>
      </c>
      <c r="L987" t="s">
        <v>12</v>
      </c>
      <c r="M987" t="s">
        <v>12</v>
      </c>
      <c r="Q987" t="s">
        <v>716</v>
      </c>
      <c r="R987" t="s">
        <v>446</v>
      </c>
      <c r="S987" t="s">
        <v>12</v>
      </c>
      <c r="T987" t="s">
        <v>12</v>
      </c>
      <c r="U987" t="s">
        <v>12</v>
      </c>
      <c r="V987" t="s">
        <v>12</v>
      </c>
      <c r="W987" t="s">
        <v>12</v>
      </c>
      <c r="X987" t="s">
        <v>12</v>
      </c>
      <c r="Y987" t="s">
        <v>3852</v>
      </c>
      <c r="Z987" t="s">
        <v>3722</v>
      </c>
      <c r="AA987" t="s">
        <v>3574</v>
      </c>
      <c r="AB987" t="s">
        <v>12</v>
      </c>
      <c r="AC987" t="s">
        <v>3853</v>
      </c>
      <c r="AD987" t="s">
        <v>3854</v>
      </c>
    </row>
    <row r="988" spans="1:30">
      <c r="A988" t="s">
        <v>770</v>
      </c>
      <c r="B988" t="str">
        <f>Master_Data_Productivity[[#This Row],[Uniq-ID]]&amp;"-"&amp;Master_Data_Productivity[[#This Row],[Period]]</f>
        <v>PE-Project_Engineer-085-M5</v>
      </c>
      <c r="C988" t="s">
        <v>771</v>
      </c>
      <c r="D988" t="s">
        <v>290</v>
      </c>
      <c r="E988" t="s">
        <v>28</v>
      </c>
      <c r="F988" t="s">
        <v>29</v>
      </c>
      <c r="G988" t="s">
        <v>15</v>
      </c>
      <c r="H988" t="s">
        <v>719</v>
      </c>
      <c r="J988">
        <v>1</v>
      </c>
      <c r="K988" t="s">
        <v>12</v>
      </c>
      <c r="L988" t="s">
        <v>12</v>
      </c>
      <c r="M988" t="s">
        <v>12</v>
      </c>
      <c r="Q988" t="s">
        <v>716</v>
      </c>
      <c r="R988" t="s">
        <v>446</v>
      </c>
      <c r="S988" t="s">
        <v>12</v>
      </c>
      <c r="T988" t="s">
        <v>12</v>
      </c>
      <c r="U988" t="s">
        <v>12</v>
      </c>
      <c r="V988" t="s">
        <v>12</v>
      </c>
      <c r="W988" t="s">
        <v>12</v>
      </c>
      <c r="X988" t="s">
        <v>12</v>
      </c>
      <c r="Y988" t="s">
        <v>3810</v>
      </c>
      <c r="Z988" t="s">
        <v>3794</v>
      </c>
      <c r="AA988" t="s">
        <v>3855</v>
      </c>
      <c r="AB988" t="s">
        <v>12</v>
      </c>
      <c r="AC988" t="s">
        <v>3856</v>
      </c>
      <c r="AD988" t="s">
        <v>3857</v>
      </c>
    </row>
    <row r="989" spans="1:30">
      <c r="A989" t="s">
        <v>770</v>
      </c>
      <c r="B989" t="str">
        <f>Master_Data_Productivity[[#This Row],[Uniq-ID]]&amp;"-"&amp;Master_Data_Productivity[[#This Row],[Period]]</f>
        <v>PE-Project_Engineer-085-M6</v>
      </c>
      <c r="C989" t="s">
        <v>771</v>
      </c>
      <c r="D989" t="s">
        <v>290</v>
      </c>
      <c r="E989" t="s">
        <v>31</v>
      </c>
      <c r="F989" t="s">
        <v>32</v>
      </c>
      <c r="G989" t="s">
        <v>33</v>
      </c>
      <c r="H989" t="s">
        <v>44</v>
      </c>
      <c r="K989" t="s">
        <v>12</v>
      </c>
      <c r="L989" t="s">
        <v>12</v>
      </c>
      <c r="M989" t="s">
        <v>12</v>
      </c>
      <c r="Q989" t="s">
        <v>716</v>
      </c>
      <c r="R989" t="s">
        <v>446</v>
      </c>
      <c r="S989" t="s">
        <v>12</v>
      </c>
      <c r="T989" t="s">
        <v>12</v>
      </c>
      <c r="U989" t="s">
        <v>12</v>
      </c>
      <c r="V989" t="s">
        <v>12</v>
      </c>
      <c r="W989" t="s">
        <v>12</v>
      </c>
      <c r="X989" t="s">
        <v>12</v>
      </c>
      <c r="Y989" t="s">
        <v>12</v>
      </c>
      <c r="Z989" t="s">
        <v>12</v>
      </c>
      <c r="AA989" t="s">
        <v>12</v>
      </c>
      <c r="AB989" t="s">
        <v>12</v>
      </c>
      <c r="AC989" t="s">
        <v>12</v>
      </c>
      <c r="AD989" t="s">
        <v>12</v>
      </c>
    </row>
    <row r="990" spans="1:30">
      <c r="A990" t="s">
        <v>781</v>
      </c>
      <c r="B990" t="str">
        <f>Master_Data_Productivity[[#This Row],[Uniq-ID]]&amp;"-"&amp;Master_Data_Productivity[[#This Row],[Period]]</f>
        <v>PE-Project_Engineer-032-M1</v>
      </c>
      <c r="C990" t="s">
        <v>782</v>
      </c>
      <c r="D990" t="s">
        <v>112</v>
      </c>
      <c r="E990" t="s">
        <v>13</v>
      </c>
      <c r="F990" t="s">
        <v>783</v>
      </c>
      <c r="G990" t="s">
        <v>15</v>
      </c>
      <c r="H990" t="s">
        <v>719</v>
      </c>
      <c r="J990">
        <v>1</v>
      </c>
      <c r="K990" t="s">
        <v>12</v>
      </c>
      <c r="L990" t="s">
        <v>12</v>
      </c>
      <c r="M990" t="s">
        <v>12</v>
      </c>
      <c r="Q990" t="s">
        <v>716</v>
      </c>
      <c r="R990" t="s">
        <v>457</v>
      </c>
      <c r="S990" t="s">
        <v>12</v>
      </c>
      <c r="T990" t="s">
        <v>12</v>
      </c>
      <c r="U990" t="s">
        <v>12</v>
      </c>
      <c r="V990" t="s">
        <v>12</v>
      </c>
      <c r="W990" t="s">
        <v>12</v>
      </c>
      <c r="X990" t="s">
        <v>12</v>
      </c>
      <c r="Y990" t="s">
        <v>3834</v>
      </c>
      <c r="Z990" t="s">
        <v>3858</v>
      </c>
      <c r="AA990" t="s">
        <v>3859</v>
      </c>
      <c r="AB990" t="s">
        <v>12</v>
      </c>
      <c r="AC990" t="s">
        <v>12</v>
      </c>
      <c r="AD990" t="s">
        <v>3860</v>
      </c>
    </row>
    <row r="991" spans="1:30">
      <c r="A991" t="s">
        <v>781</v>
      </c>
      <c r="B991" t="str">
        <f>Master_Data_Productivity[[#This Row],[Uniq-ID]]&amp;"-"&amp;Master_Data_Productivity[[#This Row],[Period]]</f>
        <v>PE-Project_Engineer-032-M2</v>
      </c>
      <c r="C991" t="s">
        <v>782</v>
      </c>
      <c r="D991" t="s">
        <v>112</v>
      </c>
      <c r="E991" t="s">
        <v>18</v>
      </c>
      <c r="F991" t="s">
        <v>784</v>
      </c>
      <c r="G991" t="s">
        <v>15</v>
      </c>
      <c r="H991" t="s">
        <v>719</v>
      </c>
      <c r="J991">
        <v>1</v>
      </c>
      <c r="K991" t="s">
        <v>12</v>
      </c>
      <c r="L991" t="s">
        <v>12</v>
      </c>
      <c r="M991" t="s">
        <v>12</v>
      </c>
      <c r="Q991" t="s">
        <v>716</v>
      </c>
      <c r="R991" t="s">
        <v>457</v>
      </c>
      <c r="S991" t="s">
        <v>12</v>
      </c>
      <c r="T991" t="s">
        <v>12</v>
      </c>
      <c r="U991" t="s">
        <v>12</v>
      </c>
      <c r="V991" t="s">
        <v>12</v>
      </c>
      <c r="W991" t="s">
        <v>12</v>
      </c>
      <c r="X991" t="s">
        <v>12</v>
      </c>
      <c r="Y991" t="s">
        <v>3861</v>
      </c>
      <c r="Z991" t="s">
        <v>3862</v>
      </c>
      <c r="AA991" t="s">
        <v>3752</v>
      </c>
      <c r="AB991" t="s">
        <v>12</v>
      </c>
      <c r="AC991" t="s">
        <v>12</v>
      </c>
      <c r="AD991" t="s">
        <v>3863</v>
      </c>
    </row>
    <row r="992" spans="1:30">
      <c r="A992" t="s">
        <v>781</v>
      </c>
      <c r="B992" t="str">
        <f>Master_Data_Productivity[[#This Row],[Uniq-ID]]&amp;"-"&amp;Master_Data_Productivity[[#This Row],[Period]]</f>
        <v>PE-Project_Engineer-032-M3</v>
      </c>
      <c r="C992" t="s">
        <v>782</v>
      </c>
      <c r="D992" t="s">
        <v>112</v>
      </c>
      <c r="E992" t="s">
        <v>22</v>
      </c>
      <c r="F992" t="s">
        <v>785</v>
      </c>
      <c r="G992" t="s">
        <v>15</v>
      </c>
      <c r="H992" t="s">
        <v>719</v>
      </c>
      <c r="J992">
        <v>1</v>
      </c>
      <c r="K992" t="s">
        <v>12</v>
      </c>
      <c r="L992" t="s">
        <v>12</v>
      </c>
      <c r="M992" t="s">
        <v>12</v>
      </c>
      <c r="Q992" t="s">
        <v>716</v>
      </c>
      <c r="R992" t="s">
        <v>457</v>
      </c>
      <c r="S992" t="s">
        <v>12</v>
      </c>
      <c r="T992" t="s">
        <v>12</v>
      </c>
      <c r="U992" t="s">
        <v>12</v>
      </c>
      <c r="V992" t="s">
        <v>12</v>
      </c>
      <c r="W992" t="s">
        <v>12</v>
      </c>
      <c r="X992" t="s">
        <v>12</v>
      </c>
      <c r="Y992" t="s">
        <v>3864</v>
      </c>
      <c r="Z992" t="s">
        <v>3865</v>
      </c>
      <c r="AA992" t="s">
        <v>3866</v>
      </c>
      <c r="AB992" t="s">
        <v>12</v>
      </c>
      <c r="AC992" t="s">
        <v>12</v>
      </c>
      <c r="AD992" t="s">
        <v>3867</v>
      </c>
    </row>
    <row r="993" spans="1:30">
      <c r="A993" t="s">
        <v>781</v>
      </c>
      <c r="B993" t="str">
        <f>Master_Data_Productivity[[#This Row],[Uniq-ID]]&amp;"-"&amp;Master_Data_Productivity[[#This Row],[Period]]</f>
        <v>PE-Project_Engineer-032-M4</v>
      </c>
      <c r="C993" t="s">
        <v>782</v>
      </c>
      <c r="D993" t="s">
        <v>112</v>
      </c>
      <c r="E993" t="s">
        <v>25</v>
      </c>
      <c r="F993" t="s">
        <v>373</v>
      </c>
      <c r="G993" t="s">
        <v>33</v>
      </c>
      <c r="H993" t="s">
        <v>719</v>
      </c>
      <c r="J993">
        <v>1</v>
      </c>
      <c r="K993" t="s">
        <v>12</v>
      </c>
      <c r="L993" t="s">
        <v>12</v>
      </c>
      <c r="M993" t="s">
        <v>12</v>
      </c>
      <c r="Q993" t="s">
        <v>716</v>
      </c>
      <c r="R993" t="s">
        <v>457</v>
      </c>
      <c r="S993" t="s">
        <v>12</v>
      </c>
      <c r="T993" t="s">
        <v>12</v>
      </c>
      <c r="U993" t="s">
        <v>12</v>
      </c>
      <c r="V993" t="s">
        <v>12</v>
      </c>
      <c r="W993" t="s">
        <v>12</v>
      </c>
      <c r="X993" t="s">
        <v>12</v>
      </c>
      <c r="Y993" t="s">
        <v>3868</v>
      </c>
      <c r="Z993" t="s">
        <v>3869</v>
      </c>
      <c r="AA993" t="s">
        <v>3870</v>
      </c>
      <c r="AB993" t="s">
        <v>12</v>
      </c>
      <c r="AC993" t="s">
        <v>12</v>
      </c>
      <c r="AD993" t="s">
        <v>3871</v>
      </c>
    </row>
    <row r="994" spans="1:30">
      <c r="A994" t="s">
        <v>748</v>
      </c>
      <c r="B994" t="str">
        <f>Master_Data_Productivity[[#This Row],[Uniq-ID]]&amp;"-"&amp;Master_Data_Productivity[[#This Row],[Period]]</f>
        <v>PE-Project_Engineer-068-M1</v>
      </c>
      <c r="C994" t="s">
        <v>749</v>
      </c>
      <c r="D994" t="s">
        <v>76</v>
      </c>
      <c r="E994" t="s">
        <v>13</v>
      </c>
      <c r="F994" t="s">
        <v>26</v>
      </c>
      <c r="G994" t="s">
        <v>15</v>
      </c>
      <c r="H994" t="s">
        <v>719</v>
      </c>
      <c r="J994">
        <v>1</v>
      </c>
      <c r="K994" t="s">
        <v>12</v>
      </c>
      <c r="L994" t="s">
        <v>12</v>
      </c>
      <c r="M994" t="s">
        <v>12</v>
      </c>
      <c r="Q994" t="s">
        <v>716</v>
      </c>
      <c r="R994" t="s">
        <v>441</v>
      </c>
      <c r="S994" t="s">
        <v>12</v>
      </c>
      <c r="T994" t="s">
        <v>12</v>
      </c>
      <c r="U994" t="s">
        <v>12</v>
      </c>
      <c r="V994" t="s">
        <v>12</v>
      </c>
      <c r="W994" t="s">
        <v>12</v>
      </c>
      <c r="X994" t="s">
        <v>12</v>
      </c>
      <c r="Y994" t="s">
        <v>3872</v>
      </c>
      <c r="Z994" t="s">
        <v>3873</v>
      </c>
      <c r="AA994" t="s">
        <v>3874</v>
      </c>
      <c r="AB994" t="s">
        <v>12</v>
      </c>
      <c r="AC994" t="s">
        <v>3875</v>
      </c>
      <c r="AD994" t="s">
        <v>3876</v>
      </c>
    </row>
    <row r="995" spans="1:30">
      <c r="A995" t="s">
        <v>748</v>
      </c>
      <c r="B995" t="str">
        <f>Master_Data_Productivity[[#This Row],[Uniq-ID]]&amp;"-"&amp;Master_Data_Productivity[[#This Row],[Period]]</f>
        <v>PE-Project_Engineer-068-M2</v>
      </c>
      <c r="C995" t="s">
        <v>749</v>
      </c>
      <c r="D995" t="s">
        <v>76</v>
      </c>
      <c r="E995" t="s">
        <v>18</v>
      </c>
      <c r="F995" t="s">
        <v>29</v>
      </c>
      <c r="G995" t="s">
        <v>15</v>
      </c>
      <c r="H995" t="s">
        <v>719</v>
      </c>
      <c r="J995">
        <v>1</v>
      </c>
      <c r="K995" t="s">
        <v>12</v>
      </c>
      <c r="L995" t="s">
        <v>12</v>
      </c>
      <c r="M995" t="s">
        <v>12</v>
      </c>
      <c r="Q995" t="s">
        <v>716</v>
      </c>
      <c r="R995" t="s">
        <v>441</v>
      </c>
      <c r="S995" t="s">
        <v>12</v>
      </c>
      <c r="T995" t="s">
        <v>12</v>
      </c>
      <c r="U995" t="s">
        <v>12</v>
      </c>
      <c r="V995" t="s">
        <v>12</v>
      </c>
      <c r="W995" t="s">
        <v>12</v>
      </c>
      <c r="X995" t="s">
        <v>12</v>
      </c>
      <c r="Y995" t="s">
        <v>3877</v>
      </c>
      <c r="Z995" t="s">
        <v>3805</v>
      </c>
      <c r="AA995" t="s">
        <v>3878</v>
      </c>
      <c r="AB995" t="s">
        <v>12</v>
      </c>
      <c r="AC995" t="s">
        <v>3879</v>
      </c>
      <c r="AD995" t="s">
        <v>3880</v>
      </c>
    </row>
    <row r="996" spans="1:30">
      <c r="A996" t="s">
        <v>748</v>
      </c>
      <c r="B996" t="str">
        <f>Master_Data_Productivity[[#This Row],[Uniq-ID]]&amp;"-"&amp;Master_Data_Productivity[[#This Row],[Period]]</f>
        <v>PE-Project_Engineer-068-M3</v>
      </c>
      <c r="C996" t="s">
        <v>749</v>
      </c>
      <c r="D996" t="s">
        <v>76</v>
      </c>
      <c r="E996" t="s">
        <v>22</v>
      </c>
      <c r="F996" t="s">
        <v>32</v>
      </c>
      <c r="G996" t="s">
        <v>33</v>
      </c>
      <c r="H996" t="s">
        <v>44</v>
      </c>
      <c r="J996">
        <v>0.5</v>
      </c>
      <c r="K996" t="s">
        <v>12</v>
      </c>
      <c r="L996" t="s">
        <v>12</v>
      </c>
      <c r="M996" t="s">
        <v>12</v>
      </c>
      <c r="Q996" t="s">
        <v>716</v>
      </c>
      <c r="R996" t="s">
        <v>441</v>
      </c>
      <c r="S996" t="s">
        <v>12</v>
      </c>
      <c r="T996" t="s">
        <v>12</v>
      </c>
      <c r="U996" t="s">
        <v>12</v>
      </c>
      <c r="V996" t="s">
        <v>12</v>
      </c>
      <c r="W996" t="s">
        <v>12</v>
      </c>
      <c r="X996" t="s">
        <v>12</v>
      </c>
      <c r="Y996" t="s">
        <v>3462</v>
      </c>
      <c r="Z996" t="s">
        <v>3410</v>
      </c>
      <c r="AA996" t="s">
        <v>12</v>
      </c>
      <c r="AB996" t="s">
        <v>12</v>
      </c>
      <c r="AC996" t="s">
        <v>12</v>
      </c>
      <c r="AD996" t="s">
        <v>3497</v>
      </c>
    </row>
    <row r="997" spans="1:30">
      <c r="A997" t="s">
        <v>772</v>
      </c>
      <c r="B997" t="str">
        <f>Master_Data_Productivity[[#This Row],[Uniq-ID]]&amp;"-"&amp;Master_Data_Productivity[[#This Row],[Period]]</f>
        <v>PE-Project_Engineer-080-M1</v>
      </c>
      <c r="C997" t="s">
        <v>773</v>
      </c>
      <c r="D997" t="s">
        <v>112</v>
      </c>
      <c r="E997" t="s">
        <v>13</v>
      </c>
      <c r="F997" t="s">
        <v>774</v>
      </c>
      <c r="G997" t="s">
        <v>15</v>
      </c>
      <c r="H997" t="s">
        <v>719</v>
      </c>
      <c r="J997">
        <v>1</v>
      </c>
      <c r="K997" t="s">
        <v>12</v>
      </c>
      <c r="L997" t="s">
        <v>12</v>
      </c>
      <c r="M997" t="s">
        <v>12</v>
      </c>
      <c r="Q997" t="s">
        <v>716</v>
      </c>
      <c r="R997" t="s">
        <v>457</v>
      </c>
      <c r="S997" t="s">
        <v>12</v>
      </c>
      <c r="T997" t="s">
        <v>12</v>
      </c>
      <c r="U997" t="s">
        <v>12</v>
      </c>
      <c r="V997" t="s">
        <v>12</v>
      </c>
      <c r="W997" t="s">
        <v>12</v>
      </c>
      <c r="X997" t="s">
        <v>12</v>
      </c>
      <c r="Y997" t="s">
        <v>3691</v>
      </c>
      <c r="Z997" t="s">
        <v>3881</v>
      </c>
      <c r="AA997" t="s">
        <v>3628</v>
      </c>
      <c r="AB997" t="s">
        <v>12</v>
      </c>
      <c r="AC997" t="s">
        <v>12</v>
      </c>
      <c r="AD997" t="s">
        <v>3882</v>
      </c>
    </row>
    <row r="998" spans="1:30">
      <c r="A998" t="s">
        <v>772</v>
      </c>
      <c r="B998" t="str">
        <f>Master_Data_Productivity[[#This Row],[Uniq-ID]]&amp;"-"&amp;Master_Data_Productivity[[#This Row],[Period]]</f>
        <v>PE-Project_Engineer-080-M2</v>
      </c>
      <c r="C998" t="s">
        <v>773</v>
      </c>
      <c r="D998" t="s">
        <v>112</v>
      </c>
      <c r="E998" t="s">
        <v>18</v>
      </c>
      <c r="F998" t="s">
        <v>775</v>
      </c>
      <c r="G998" t="s">
        <v>15</v>
      </c>
      <c r="H998" t="s">
        <v>16</v>
      </c>
      <c r="J998">
        <v>1.1000000000000001</v>
      </c>
      <c r="K998" t="s">
        <v>12</v>
      </c>
      <c r="L998" t="s">
        <v>12</v>
      </c>
      <c r="M998" t="s">
        <v>12</v>
      </c>
      <c r="Q998" t="s">
        <v>716</v>
      </c>
      <c r="R998" t="s">
        <v>457</v>
      </c>
      <c r="S998" t="s">
        <v>12</v>
      </c>
      <c r="T998" t="s">
        <v>12</v>
      </c>
      <c r="U998" t="s">
        <v>12</v>
      </c>
      <c r="V998" t="s">
        <v>12</v>
      </c>
      <c r="W998" t="s">
        <v>12</v>
      </c>
      <c r="X998" t="s">
        <v>12</v>
      </c>
      <c r="Y998" t="s">
        <v>3883</v>
      </c>
      <c r="Z998" t="s">
        <v>3884</v>
      </c>
      <c r="AA998" t="s">
        <v>3885</v>
      </c>
      <c r="AB998" t="s">
        <v>12</v>
      </c>
      <c r="AC998" t="s">
        <v>12</v>
      </c>
      <c r="AD998" t="s">
        <v>3886</v>
      </c>
    </row>
    <row r="999" spans="1:30">
      <c r="A999" t="s">
        <v>772</v>
      </c>
      <c r="B999" t="str">
        <f>Master_Data_Productivity[[#This Row],[Uniq-ID]]&amp;"-"&amp;Master_Data_Productivity[[#This Row],[Period]]</f>
        <v>PE-Project_Engineer-080-M3</v>
      </c>
      <c r="C999" t="s">
        <v>773</v>
      </c>
      <c r="D999" t="s">
        <v>112</v>
      </c>
      <c r="E999" t="s">
        <v>22</v>
      </c>
      <c r="F999" t="s">
        <v>776</v>
      </c>
      <c r="G999" t="s">
        <v>33</v>
      </c>
      <c r="H999" t="s">
        <v>44</v>
      </c>
      <c r="K999" t="s">
        <v>12</v>
      </c>
      <c r="L999" t="s">
        <v>12</v>
      </c>
      <c r="M999" t="s">
        <v>12</v>
      </c>
      <c r="Q999" t="s">
        <v>716</v>
      </c>
      <c r="R999" t="s">
        <v>457</v>
      </c>
      <c r="S999" t="s">
        <v>12</v>
      </c>
      <c r="T999" t="s">
        <v>12</v>
      </c>
      <c r="U999" t="s">
        <v>12</v>
      </c>
      <c r="V999" t="s">
        <v>12</v>
      </c>
      <c r="W999" t="s">
        <v>12</v>
      </c>
      <c r="X999" t="s">
        <v>12</v>
      </c>
      <c r="Y999" t="s">
        <v>12</v>
      </c>
      <c r="Z999" t="s">
        <v>12</v>
      </c>
      <c r="AA999" t="s">
        <v>12</v>
      </c>
      <c r="AB999" t="s">
        <v>12</v>
      </c>
      <c r="AC999" t="s">
        <v>12</v>
      </c>
      <c r="AD999" t="s">
        <v>12</v>
      </c>
    </row>
    <row r="1000" spans="1:30">
      <c r="A1000" t="s">
        <v>799</v>
      </c>
      <c r="B1000" t="str">
        <f>Master_Data_Productivity[[#This Row],[Uniq-ID]]&amp;"-"&amp;Master_Data_Productivity[[#This Row],[Period]]</f>
        <v>PE-Project_Engineer-038-M1</v>
      </c>
      <c r="C1000" t="s">
        <v>800</v>
      </c>
      <c r="D1000" t="s">
        <v>76</v>
      </c>
      <c r="E1000" t="s">
        <v>13</v>
      </c>
      <c r="F1000" t="s">
        <v>37</v>
      </c>
      <c r="G1000" t="s">
        <v>15</v>
      </c>
      <c r="H1000" t="s">
        <v>719</v>
      </c>
      <c r="J1000">
        <v>1</v>
      </c>
      <c r="K1000" t="s">
        <v>12</v>
      </c>
      <c r="L1000" t="s">
        <v>12</v>
      </c>
      <c r="M1000" t="s">
        <v>12</v>
      </c>
      <c r="Q1000" t="s">
        <v>716</v>
      </c>
      <c r="R1000" t="s">
        <v>461</v>
      </c>
      <c r="S1000" t="s">
        <v>12</v>
      </c>
      <c r="T1000" t="s">
        <v>12</v>
      </c>
      <c r="U1000" t="s">
        <v>12</v>
      </c>
      <c r="V1000" t="s">
        <v>12</v>
      </c>
      <c r="W1000" t="s">
        <v>12</v>
      </c>
      <c r="X1000" t="s">
        <v>12</v>
      </c>
      <c r="Y1000" t="s">
        <v>3887</v>
      </c>
      <c r="Z1000" t="s">
        <v>3888</v>
      </c>
      <c r="AA1000" t="s">
        <v>3889</v>
      </c>
      <c r="AB1000" t="s">
        <v>12</v>
      </c>
      <c r="AC1000" t="s">
        <v>3805</v>
      </c>
      <c r="AD1000" t="s">
        <v>3890</v>
      </c>
    </row>
    <row r="1001" spans="1:30">
      <c r="A1001" t="s">
        <v>799</v>
      </c>
      <c r="B1001" t="str">
        <f>Master_Data_Productivity[[#This Row],[Uniq-ID]]&amp;"-"&amp;Master_Data_Productivity[[#This Row],[Period]]</f>
        <v>PE-Project_Engineer-038-M2</v>
      </c>
      <c r="C1001" t="s">
        <v>800</v>
      </c>
      <c r="D1001" t="s">
        <v>76</v>
      </c>
      <c r="E1001" t="s">
        <v>18</v>
      </c>
      <c r="F1001" t="s">
        <v>39</v>
      </c>
      <c r="G1001" t="s">
        <v>15</v>
      </c>
      <c r="H1001" t="s">
        <v>16</v>
      </c>
      <c r="J1001">
        <v>1.17</v>
      </c>
      <c r="K1001" t="s">
        <v>12</v>
      </c>
      <c r="L1001" t="s">
        <v>12</v>
      </c>
      <c r="M1001" t="s">
        <v>12</v>
      </c>
      <c r="Q1001" t="s">
        <v>716</v>
      </c>
      <c r="R1001" t="s">
        <v>461</v>
      </c>
      <c r="S1001" t="s">
        <v>12</v>
      </c>
      <c r="T1001" t="s">
        <v>12</v>
      </c>
      <c r="U1001" t="s">
        <v>12</v>
      </c>
      <c r="V1001" t="s">
        <v>12</v>
      </c>
      <c r="W1001" t="s">
        <v>12</v>
      </c>
      <c r="X1001" t="s">
        <v>12</v>
      </c>
      <c r="Y1001" t="s">
        <v>3891</v>
      </c>
      <c r="Z1001" t="s">
        <v>3892</v>
      </c>
      <c r="AA1001" t="s">
        <v>3893</v>
      </c>
      <c r="AB1001" t="s">
        <v>12</v>
      </c>
      <c r="AC1001" t="s">
        <v>3866</v>
      </c>
      <c r="AD1001" t="s">
        <v>3894</v>
      </c>
    </row>
    <row r="1002" spans="1:30">
      <c r="A1002" t="s">
        <v>799</v>
      </c>
      <c r="B1002" t="str">
        <f>Master_Data_Productivity[[#This Row],[Uniq-ID]]&amp;"-"&amp;Master_Data_Productivity[[#This Row],[Period]]</f>
        <v>PE-Project_Engineer-038-M3</v>
      </c>
      <c r="C1002" t="s">
        <v>800</v>
      </c>
      <c r="D1002" t="s">
        <v>76</v>
      </c>
      <c r="E1002" t="s">
        <v>22</v>
      </c>
      <c r="F1002" t="s">
        <v>41</v>
      </c>
      <c r="G1002" t="s">
        <v>15</v>
      </c>
      <c r="H1002" t="s">
        <v>16</v>
      </c>
      <c r="J1002">
        <v>1.48</v>
      </c>
      <c r="K1002" t="s">
        <v>12</v>
      </c>
      <c r="L1002" t="s">
        <v>12</v>
      </c>
      <c r="M1002" t="s">
        <v>12</v>
      </c>
      <c r="Q1002" t="s">
        <v>716</v>
      </c>
      <c r="R1002" t="s">
        <v>461</v>
      </c>
      <c r="S1002" t="s">
        <v>12</v>
      </c>
      <c r="T1002" t="s">
        <v>12</v>
      </c>
      <c r="U1002" t="s">
        <v>12</v>
      </c>
      <c r="V1002" t="s">
        <v>12</v>
      </c>
      <c r="W1002" t="s">
        <v>12</v>
      </c>
      <c r="X1002" t="s">
        <v>12</v>
      </c>
      <c r="Y1002" t="s">
        <v>3895</v>
      </c>
      <c r="Z1002" t="s">
        <v>3896</v>
      </c>
      <c r="AA1002" t="s">
        <v>3897</v>
      </c>
      <c r="AB1002" t="s">
        <v>12</v>
      </c>
      <c r="AC1002" t="s">
        <v>3898</v>
      </c>
      <c r="AD1002" t="s">
        <v>3899</v>
      </c>
    </row>
    <row r="1003" spans="1:30">
      <c r="A1003" t="s">
        <v>799</v>
      </c>
      <c r="B1003" t="str">
        <f>Master_Data_Productivity[[#This Row],[Uniq-ID]]&amp;"-"&amp;Master_Data_Productivity[[#This Row],[Period]]</f>
        <v>PE-Project_Engineer-038-M4</v>
      </c>
      <c r="C1003" t="s">
        <v>800</v>
      </c>
      <c r="D1003" t="s">
        <v>76</v>
      </c>
      <c r="E1003" t="s">
        <v>25</v>
      </c>
      <c r="F1003" t="s">
        <v>43</v>
      </c>
      <c r="G1003" t="s">
        <v>33</v>
      </c>
      <c r="H1003" t="s">
        <v>44</v>
      </c>
      <c r="J1003">
        <v>0.5</v>
      </c>
      <c r="K1003" t="s">
        <v>12</v>
      </c>
      <c r="L1003" t="s">
        <v>12</v>
      </c>
      <c r="M1003" t="s">
        <v>12</v>
      </c>
      <c r="Q1003" t="s">
        <v>716</v>
      </c>
      <c r="R1003" t="s">
        <v>461</v>
      </c>
      <c r="S1003" t="s">
        <v>12</v>
      </c>
      <c r="T1003" t="s">
        <v>12</v>
      </c>
      <c r="U1003" t="s">
        <v>12</v>
      </c>
      <c r="V1003" t="s">
        <v>12</v>
      </c>
      <c r="W1003" t="s">
        <v>12</v>
      </c>
      <c r="X1003" t="s">
        <v>12</v>
      </c>
      <c r="Y1003" t="s">
        <v>3900</v>
      </c>
      <c r="Z1003" t="s">
        <v>3628</v>
      </c>
      <c r="AA1003" t="s">
        <v>12</v>
      </c>
      <c r="AB1003" t="s">
        <v>12</v>
      </c>
      <c r="AC1003" t="s">
        <v>3539</v>
      </c>
      <c r="AD1003" t="s">
        <v>3901</v>
      </c>
    </row>
    <row r="1004" spans="1:30">
      <c r="A1004" t="s">
        <v>764</v>
      </c>
      <c r="B1004" t="str">
        <f>Master_Data_Productivity[[#This Row],[Uniq-ID]]&amp;"-"&amp;Master_Data_Productivity[[#This Row],[Period]]</f>
        <v>PE-Project_Engineer-066-M1</v>
      </c>
      <c r="C1004" t="s">
        <v>765</v>
      </c>
      <c r="D1004" t="s">
        <v>76</v>
      </c>
      <c r="E1004" t="s">
        <v>13</v>
      </c>
      <c r="F1004" t="s">
        <v>26</v>
      </c>
      <c r="G1004" t="s">
        <v>15</v>
      </c>
      <c r="H1004" t="s">
        <v>719</v>
      </c>
      <c r="J1004">
        <v>1</v>
      </c>
      <c r="K1004" t="s">
        <v>12</v>
      </c>
      <c r="L1004" t="s">
        <v>12</v>
      </c>
      <c r="M1004" t="s">
        <v>12</v>
      </c>
      <c r="Q1004" t="s">
        <v>716</v>
      </c>
      <c r="R1004" t="s">
        <v>441</v>
      </c>
      <c r="S1004" t="s">
        <v>12</v>
      </c>
      <c r="T1004" t="s">
        <v>12</v>
      </c>
      <c r="U1004" t="s">
        <v>12</v>
      </c>
      <c r="V1004" t="s">
        <v>12</v>
      </c>
      <c r="W1004" t="s">
        <v>12</v>
      </c>
      <c r="X1004" t="s">
        <v>12</v>
      </c>
      <c r="Y1004" t="s">
        <v>3526</v>
      </c>
      <c r="Z1004" t="s">
        <v>3902</v>
      </c>
      <c r="AA1004" t="s">
        <v>3780</v>
      </c>
      <c r="AB1004" t="s">
        <v>12</v>
      </c>
      <c r="AC1004" t="s">
        <v>3903</v>
      </c>
      <c r="AD1004" t="s">
        <v>3904</v>
      </c>
    </row>
    <row r="1005" spans="1:30">
      <c r="A1005" t="s">
        <v>764</v>
      </c>
      <c r="B1005" t="str">
        <f>Master_Data_Productivity[[#This Row],[Uniq-ID]]&amp;"-"&amp;Master_Data_Productivity[[#This Row],[Period]]</f>
        <v>PE-Project_Engineer-066-M2</v>
      </c>
      <c r="C1005" t="s">
        <v>765</v>
      </c>
      <c r="D1005" t="s">
        <v>76</v>
      </c>
      <c r="E1005" t="s">
        <v>18</v>
      </c>
      <c r="F1005" t="s">
        <v>29</v>
      </c>
      <c r="G1005" t="s">
        <v>15</v>
      </c>
      <c r="H1005" t="s">
        <v>16</v>
      </c>
      <c r="J1005">
        <v>1.18</v>
      </c>
      <c r="K1005" t="s">
        <v>12</v>
      </c>
      <c r="L1005" t="s">
        <v>12</v>
      </c>
      <c r="M1005" t="s">
        <v>12</v>
      </c>
      <c r="Q1005" t="s">
        <v>716</v>
      </c>
      <c r="R1005" t="s">
        <v>441</v>
      </c>
      <c r="S1005" t="s">
        <v>12</v>
      </c>
      <c r="T1005" t="s">
        <v>12</v>
      </c>
      <c r="U1005" t="s">
        <v>12</v>
      </c>
      <c r="V1005" t="s">
        <v>12</v>
      </c>
      <c r="W1005" t="s">
        <v>12</v>
      </c>
      <c r="X1005" t="s">
        <v>12</v>
      </c>
      <c r="Y1005" t="s">
        <v>3410</v>
      </c>
      <c r="Z1005" t="s">
        <v>3905</v>
      </c>
      <c r="AA1005" t="s">
        <v>3906</v>
      </c>
      <c r="AB1005" t="s">
        <v>12</v>
      </c>
      <c r="AC1005" t="s">
        <v>3903</v>
      </c>
      <c r="AD1005" t="s">
        <v>3907</v>
      </c>
    </row>
    <row r="1006" spans="1:30">
      <c r="A1006" t="s">
        <v>764</v>
      </c>
      <c r="B1006" t="str">
        <f>Master_Data_Productivity[[#This Row],[Uniq-ID]]&amp;"-"&amp;Master_Data_Productivity[[#This Row],[Period]]</f>
        <v>PE-Project_Engineer-066-M3</v>
      </c>
      <c r="C1006" t="s">
        <v>765</v>
      </c>
      <c r="D1006" t="s">
        <v>76</v>
      </c>
      <c r="E1006" t="s">
        <v>22</v>
      </c>
      <c r="F1006" t="s">
        <v>32</v>
      </c>
      <c r="G1006" t="s">
        <v>33</v>
      </c>
      <c r="H1006" t="s">
        <v>44</v>
      </c>
      <c r="J1006">
        <v>0.5</v>
      </c>
      <c r="K1006" t="s">
        <v>12</v>
      </c>
      <c r="L1006" t="s">
        <v>12</v>
      </c>
      <c r="M1006" t="s">
        <v>12</v>
      </c>
      <c r="Q1006" t="s">
        <v>716</v>
      </c>
      <c r="R1006" t="s">
        <v>441</v>
      </c>
      <c r="S1006" t="s">
        <v>12</v>
      </c>
      <c r="T1006" t="s">
        <v>12</v>
      </c>
      <c r="U1006" t="s">
        <v>12</v>
      </c>
      <c r="V1006" t="s">
        <v>12</v>
      </c>
      <c r="W1006" t="s">
        <v>12</v>
      </c>
      <c r="X1006" t="s">
        <v>12</v>
      </c>
      <c r="Y1006" t="s">
        <v>3410</v>
      </c>
      <c r="Z1006" t="s">
        <v>3809</v>
      </c>
      <c r="AA1006" t="s">
        <v>3410</v>
      </c>
      <c r="AB1006" t="s">
        <v>12</v>
      </c>
      <c r="AC1006" t="s">
        <v>3773</v>
      </c>
      <c r="AD1006" t="s">
        <v>3781</v>
      </c>
    </row>
    <row r="1007" spans="1:30">
      <c r="A1007" t="s">
        <v>788</v>
      </c>
      <c r="B1007" t="str">
        <f>Master_Data_Productivity[[#This Row],[Uniq-ID]]&amp;"-"&amp;Master_Data_Productivity[[#This Row],[Period]]</f>
        <v>PE-Project_Engineer-071-M1</v>
      </c>
      <c r="C1007" t="s">
        <v>789</v>
      </c>
      <c r="D1007" t="s">
        <v>11</v>
      </c>
      <c r="E1007" t="s">
        <v>13</v>
      </c>
      <c r="F1007" t="s">
        <v>332</v>
      </c>
      <c r="G1007" t="s">
        <v>15</v>
      </c>
      <c r="H1007" t="s">
        <v>719</v>
      </c>
      <c r="J1007">
        <v>1</v>
      </c>
      <c r="K1007" t="s">
        <v>12</v>
      </c>
      <c r="L1007" t="s">
        <v>12</v>
      </c>
      <c r="M1007" t="s">
        <v>12</v>
      </c>
      <c r="Q1007" t="s">
        <v>716</v>
      </c>
      <c r="R1007" t="s">
        <v>441</v>
      </c>
      <c r="S1007" t="s">
        <v>12</v>
      </c>
      <c r="T1007" t="s">
        <v>12</v>
      </c>
      <c r="U1007" t="s">
        <v>12</v>
      </c>
      <c r="V1007" t="s">
        <v>12</v>
      </c>
      <c r="W1007" t="s">
        <v>12</v>
      </c>
      <c r="X1007" t="s">
        <v>12</v>
      </c>
      <c r="Y1007" t="s">
        <v>3698</v>
      </c>
      <c r="Z1007" t="s">
        <v>3627</v>
      </c>
      <c r="AA1007" t="s">
        <v>3908</v>
      </c>
      <c r="AB1007" t="s">
        <v>12</v>
      </c>
      <c r="AC1007" t="s">
        <v>3667</v>
      </c>
      <c r="AD1007" t="s">
        <v>3909</v>
      </c>
    </row>
    <row r="1008" spans="1:30">
      <c r="A1008" t="s">
        <v>788</v>
      </c>
      <c r="B1008" t="str">
        <f>Master_Data_Productivity[[#This Row],[Uniq-ID]]&amp;"-"&amp;Master_Data_Productivity[[#This Row],[Period]]</f>
        <v>PE-Project_Engineer-071-M2</v>
      </c>
      <c r="C1008" t="s">
        <v>789</v>
      </c>
      <c r="D1008" t="s">
        <v>11</v>
      </c>
      <c r="E1008" t="s">
        <v>18</v>
      </c>
      <c r="F1008" t="s">
        <v>334</v>
      </c>
      <c r="G1008" t="s">
        <v>15</v>
      </c>
      <c r="H1008" t="s">
        <v>719</v>
      </c>
      <c r="J1008">
        <v>1</v>
      </c>
      <c r="K1008" t="s">
        <v>12</v>
      </c>
      <c r="L1008" t="s">
        <v>12</v>
      </c>
      <c r="M1008" t="s">
        <v>12</v>
      </c>
      <c r="Q1008" t="s">
        <v>716</v>
      </c>
      <c r="R1008" t="s">
        <v>441</v>
      </c>
      <c r="S1008" t="s">
        <v>12</v>
      </c>
      <c r="T1008" t="s">
        <v>12</v>
      </c>
      <c r="U1008" t="s">
        <v>12</v>
      </c>
      <c r="V1008" t="s">
        <v>12</v>
      </c>
      <c r="W1008" t="s">
        <v>12</v>
      </c>
      <c r="X1008" t="s">
        <v>12</v>
      </c>
      <c r="Y1008" t="s">
        <v>3613</v>
      </c>
      <c r="Z1008" t="s">
        <v>3910</v>
      </c>
      <c r="AA1008" t="s">
        <v>3548</v>
      </c>
      <c r="AB1008" t="s">
        <v>12</v>
      </c>
      <c r="AC1008" t="s">
        <v>3599</v>
      </c>
      <c r="AD1008" t="s">
        <v>3911</v>
      </c>
    </row>
    <row r="1009" spans="1:30">
      <c r="A1009" t="s">
        <v>788</v>
      </c>
      <c r="B1009" t="str">
        <f>Master_Data_Productivity[[#This Row],[Uniq-ID]]&amp;"-"&amp;Master_Data_Productivity[[#This Row],[Period]]</f>
        <v>PE-Project_Engineer-071-M3</v>
      </c>
      <c r="C1009" t="s">
        <v>789</v>
      </c>
      <c r="D1009" t="s">
        <v>11</v>
      </c>
      <c r="E1009" t="s">
        <v>22</v>
      </c>
      <c r="F1009" t="s">
        <v>336</v>
      </c>
      <c r="G1009" t="s">
        <v>15</v>
      </c>
      <c r="H1009" t="s">
        <v>719</v>
      </c>
      <c r="J1009">
        <v>1</v>
      </c>
      <c r="K1009" t="s">
        <v>12</v>
      </c>
      <c r="L1009" t="s">
        <v>12</v>
      </c>
      <c r="M1009" t="s">
        <v>12</v>
      </c>
      <c r="Q1009" t="s">
        <v>716</v>
      </c>
      <c r="R1009" t="s">
        <v>441</v>
      </c>
      <c r="S1009" t="s">
        <v>12</v>
      </c>
      <c r="T1009" t="s">
        <v>12</v>
      </c>
      <c r="U1009" t="s">
        <v>12</v>
      </c>
      <c r="V1009" t="s">
        <v>12</v>
      </c>
      <c r="W1009" t="s">
        <v>12</v>
      </c>
      <c r="X1009" t="s">
        <v>12</v>
      </c>
      <c r="Y1009" t="s">
        <v>3599</v>
      </c>
      <c r="Z1009" t="s">
        <v>3912</v>
      </c>
      <c r="AA1009" t="s">
        <v>3749</v>
      </c>
      <c r="AB1009" t="s">
        <v>12</v>
      </c>
      <c r="AC1009" t="s">
        <v>3913</v>
      </c>
      <c r="AD1009" t="s">
        <v>3914</v>
      </c>
    </row>
    <row r="1010" spans="1:30">
      <c r="A1010" t="s">
        <v>788</v>
      </c>
      <c r="B1010" t="str">
        <f>Master_Data_Productivity[[#This Row],[Uniq-ID]]&amp;"-"&amp;Master_Data_Productivity[[#This Row],[Period]]</f>
        <v>PE-Project_Engineer-071-M4</v>
      </c>
      <c r="C1010" t="s">
        <v>789</v>
      </c>
      <c r="D1010" t="s">
        <v>11</v>
      </c>
      <c r="E1010" t="s">
        <v>25</v>
      </c>
      <c r="F1010" t="s">
        <v>337</v>
      </c>
      <c r="G1010" t="s">
        <v>15</v>
      </c>
      <c r="H1010" t="s">
        <v>719</v>
      </c>
      <c r="J1010">
        <v>1</v>
      </c>
      <c r="K1010" t="s">
        <v>12</v>
      </c>
      <c r="L1010" t="s">
        <v>12</v>
      </c>
      <c r="M1010" t="s">
        <v>12</v>
      </c>
      <c r="Q1010" t="s">
        <v>716</v>
      </c>
      <c r="R1010" t="s">
        <v>441</v>
      </c>
      <c r="S1010" t="s">
        <v>12</v>
      </c>
      <c r="T1010" t="s">
        <v>12</v>
      </c>
      <c r="U1010" t="s">
        <v>12</v>
      </c>
      <c r="V1010" t="s">
        <v>12</v>
      </c>
      <c r="W1010" t="s">
        <v>12</v>
      </c>
      <c r="X1010" t="s">
        <v>12</v>
      </c>
      <c r="Y1010" t="s">
        <v>3878</v>
      </c>
      <c r="Z1010" t="s">
        <v>3915</v>
      </c>
      <c r="AA1010" t="s">
        <v>3916</v>
      </c>
      <c r="AB1010" t="s">
        <v>12</v>
      </c>
      <c r="AC1010" t="s">
        <v>3917</v>
      </c>
      <c r="AD1010" t="s">
        <v>3918</v>
      </c>
    </row>
    <row r="1011" spans="1:30">
      <c r="A1011" t="s">
        <v>788</v>
      </c>
      <c r="B1011" t="str">
        <f>Master_Data_Productivity[[#This Row],[Uniq-ID]]&amp;"-"&amp;Master_Data_Productivity[[#This Row],[Period]]</f>
        <v>PE-Project_Engineer-071-M5</v>
      </c>
      <c r="C1011" t="s">
        <v>789</v>
      </c>
      <c r="D1011" t="s">
        <v>11</v>
      </c>
      <c r="E1011" t="s">
        <v>28</v>
      </c>
      <c r="F1011" t="s">
        <v>338</v>
      </c>
      <c r="G1011" t="s">
        <v>15</v>
      </c>
      <c r="H1011" t="s">
        <v>44</v>
      </c>
      <c r="J1011">
        <v>0.57999999999999996</v>
      </c>
      <c r="K1011" t="s">
        <v>12</v>
      </c>
      <c r="L1011" t="s">
        <v>12</v>
      </c>
      <c r="M1011" t="s">
        <v>12</v>
      </c>
      <c r="Q1011" t="s">
        <v>716</v>
      </c>
      <c r="R1011" t="s">
        <v>441</v>
      </c>
      <c r="S1011" t="s">
        <v>12</v>
      </c>
      <c r="T1011" t="s">
        <v>12</v>
      </c>
      <c r="U1011" t="s">
        <v>12</v>
      </c>
      <c r="V1011" t="s">
        <v>12</v>
      </c>
      <c r="W1011" t="s">
        <v>12</v>
      </c>
      <c r="X1011" t="s">
        <v>12</v>
      </c>
      <c r="Y1011" t="s">
        <v>3500</v>
      </c>
      <c r="Z1011" t="s">
        <v>3919</v>
      </c>
      <c r="AA1011" t="s">
        <v>3920</v>
      </c>
      <c r="AB1011" t="s">
        <v>12</v>
      </c>
      <c r="AC1011" t="s">
        <v>3921</v>
      </c>
      <c r="AD1011" t="s">
        <v>3922</v>
      </c>
    </row>
    <row r="1012" spans="1:30">
      <c r="A1012" t="s">
        <v>788</v>
      </c>
      <c r="B1012" t="str">
        <f>Master_Data_Productivity[[#This Row],[Uniq-ID]]&amp;"-"&amp;Master_Data_Productivity[[#This Row],[Period]]</f>
        <v>PE-Project_Engineer-071-M6</v>
      </c>
      <c r="C1012" t="s">
        <v>789</v>
      </c>
      <c r="D1012" t="s">
        <v>11</v>
      </c>
      <c r="E1012" t="s">
        <v>31</v>
      </c>
      <c r="F1012" t="s">
        <v>339</v>
      </c>
      <c r="G1012" t="s">
        <v>33</v>
      </c>
      <c r="H1012" t="s">
        <v>44</v>
      </c>
      <c r="K1012" t="s">
        <v>12</v>
      </c>
      <c r="L1012" t="s">
        <v>12</v>
      </c>
      <c r="M1012" t="s">
        <v>12</v>
      </c>
      <c r="Q1012" t="s">
        <v>716</v>
      </c>
      <c r="R1012" t="s">
        <v>441</v>
      </c>
      <c r="S1012" t="s">
        <v>12</v>
      </c>
      <c r="T1012" t="s">
        <v>12</v>
      </c>
      <c r="U1012" t="s">
        <v>12</v>
      </c>
      <c r="V1012" t="s">
        <v>12</v>
      </c>
      <c r="W1012" t="s">
        <v>12</v>
      </c>
      <c r="X1012" t="s">
        <v>12</v>
      </c>
      <c r="Y1012" t="s">
        <v>12</v>
      </c>
      <c r="Z1012" t="s">
        <v>12</v>
      </c>
      <c r="AA1012" t="s">
        <v>12</v>
      </c>
      <c r="AB1012" t="s">
        <v>12</v>
      </c>
      <c r="AC1012" t="s">
        <v>12</v>
      </c>
      <c r="AD1012" t="s">
        <v>12</v>
      </c>
    </row>
    <row r="1013" spans="1:30">
      <c r="A1013" t="s">
        <v>797</v>
      </c>
      <c r="B1013" t="str">
        <f>Master_Data_Productivity[[#This Row],[Uniq-ID]]&amp;"-"&amp;Master_Data_Productivity[[#This Row],[Period]]</f>
        <v>PE-Project_Engineer-011-M1</v>
      </c>
      <c r="C1013" t="s">
        <v>798</v>
      </c>
      <c r="D1013" t="s">
        <v>290</v>
      </c>
      <c r="E1013" t="s">
        <v>13</v>
      </c>
      <c r="F1013" t="s">
        <v>122</v>
      </c>
      <c r="G1013" t="s">
        <v>15</v>
      </c>
      <c r="H1013" t="s">
        <v>719</v>
      </c>
      <c r="J1013">
        <v>1</v>
      </c>
      <c r="K1013" t="s">
        <v>12</v>
      </c>
      <c r="L1013" t="s">
        <v>12</v>
      </c>
      <c r="M1013" t="s">
        <v>12</v>
      </c>
      <c r="Q1013" t="s">
        <v>716</v>
      </c>
      <c r="R1013" t="s">
        <v>457</v>
      </c>
      <c r="S1013" t="s">
        <v>12</v>
      </c>
      <c r="T1013" t="s">
        <v>12</v>
      </c>
      <c r="U1013" t="s">
        <v>12</v>
      </c>
      <c r="V1013" t="s">
        <v>12</v>
      </c>
      <c r="W1013" t="s">
        <v>12</v>
      </c>
      <c r="X1013" t="s">
        <v>12</v>
      </c>
      <c r="Y1013" t="s">
        <v>3923</v>
      </c>
      <c r="Z1013" t="s">
        <v>3924</v>
      </c>
      <c r="AA1013" t="s">
        <v>3925</v>
      </c>
      <c r="AB1013" t="s">
        <v>12</v>
      </c>
      <c r="AC1013" t="s">
        <v>3926</v>
      </c>
      <c r="AD1013" t="s">
        <v>3927</v>
      </c>
    </row>
    <row r="1014" spans="1:30">
      <c r="A1014" t="s">
        <v>797</v>
      </c>
      <c r="B1014" t="str">
        <f>Master_Data_Productivity[[#This Row],[Uniq-ID]]&amp;"-"&amp;Master_Data_Productivity[[#This Row],[Period]]</f>
        <v>PE-Project_Engineer-011-M2</v>
      </c>
      <c r="C1014" t="s">
        <v>798</v>
      </c>
      <c r="D1014" t="s">
        <v>290</v>
      </c>
      <c r="E1014" t="s">
        <v>18</v>
      </c>
      <c r="F1014" t="s">
        <v>124</v>
      </c>
      <c r="G1014" t="s">
        <v>15</v>
      </c>
      <c r="H1014" t="s">
        <v>44</v>
      </c>
      <c r="J1014">
        <v>0.71</v>
      </c>
      <c r="K1014" t="s">
        <v>12</v>
      </c>
      <c r="L1014" t="s">
        <v>12</v>
      </c>
      <c r="M1014" t="s">
        <v>12</v>
      </c>
      <c r="Q1014" t="s">
        <v>716</v>
      </c>
      <c r="R1014" t="s">
        <v>457</v>
      </c>
      <c r="S1014" t="s">
        <v>12</v>
      </c>
      <c r="T1014" t="s">
        <v>12</v>
      </c>
      <c r="U1014" t="s">
        <v>12</v>
      </c>
      <c r="V1014" t="s">
        <v>12</v>
      </c>
      <c r="W1014" t="s">
        <v>12</v>
      </c>
      <c r="X1014" t="s">
        <v>12</v>
      </c>
      <c r="Y1014" t="s">
        <v>3928</v>
      </c>
      <c r="Z1014" t="s">
        <v>3929</v>
      </c>
      <c r="AA1014" t="s">
        <v>3803</v>
      </c>
      <c r="AB1014" t="s">
        <v>12</v>
      </c>
      <c r="AC1014" t="s">
        <v>3930</v>
      </c>
      <c r="AD1014" t="s">
        <v>3931</v>
      </c>
    </row>
    <row r="1015" spans="1:30">
      <c r="A1015" t="s">
        <v>797</v>
      </c>
      <c r="B1015" t="str">
        <f>Master_Data_Productivity[[#This Row],[Uniq-ID]]&amp;"-"&amp;Master_Data_Productivity[[#This Row],[Period]]</f>
        <v>PE-Project_Engineer-011-M3</v>
      </c>
      <c r="C1015" t="s">
        <v>798</v>
      </c>
      <c r="D1015" t="s">
        <v>290</v>
      </c>
      <c r="E1015" t="s">
        <v>22</v>
      </c>
      <c r="F1015" t="s">
        <v>126</v>
      </c>
      <c r="G1015" t="s">
        <v>15</v>
      </c>
      <c r="H1015" t="s">
        <v>719</v>
      </c>
      <c r="J1015">
        <v>1</v>
      </c>
      <c r="K1015" t="s">
        <v>12</v>
      </c>
      <c r="L1015" t="s">
        <v>12</v>
      </c>
      <c r="M1015" t="s">
        <v>12</v>
      </c>
      <c r="Q1015" t="s">
        <v>716</v>
      </c>
      <c r="R1015" t="s">
        <v>457</v>
      </c>
      <c r="S1015" t="s">
        <v>12</v>
      </c>
      <c r="T1015" t="s">
        <v>12</v>
      </c>
      <c r="U1015" t="s">
        <v>12</v>
      </c>
      <c r="V1015" t="s">
        <v>12</v>
      </c>
      <c r="W1015" t="s">
        <v>12</v>
      </c>
      <c r="X1015" t="s">
        <v>12</v>
      </c>
      <c r="Y1015" t="s">
        <v>3847</v>
      </c>
      <c r="Z1015" t="s">
        <v>3819</v>
      </c>
      <c r="AA1015" t="s">
        <v>3897</v>
      </c>
      <c r="AB1015" t="s">
        <v>12</v>
      </c>
      <c r="AC1015" t="s">
        <v>3932</v>
      </c>
      <c r="AD1015" t="s">
        <v>3933</v>
      </c>
    </row>
    <row r="1016" spans="1:30">
      <c r="A1016" t="s">
        <v>797</v>
      </c>
      <c r="B1016" t="str">
        <f>Master_Data_Productivity[[#This Row],[Uniq-ID]]&amp;"-"&amp;Master_Data_Productivity[[#This Row],[Period]]</f>
        <v>PE-Project_Engineer-011-M4</v>
      </c>
      <c r="C1016" t="s">
        <v>798</v>
      </c>
      <c r="D1016" t="s">
        <v>290</v>
      </c>
      <c r="E1016" t="s">
        <v>25</v>
      </c>
      <c r="F1016" t="s">
        <v>128</v>
      </c>
      <c r="G1016" t="s">
        <v>15</v>
      </c>
      <c r="H1016" t="s">
        <v>16</v>
      </c>
      <c r="J1016">
        <v>1.5</v>
      </c>
      <c r="K1016" t="s">
        <v>12</v>
      </c>
      <c r="L1016" t="s">
        <v>12</v>
      </c>
      <c r="M1016" t="s">
        <v>12</v>
      </c>
      <c r="Q1016" t="s">
        <v>716</v>
      </c>
      <c r="R1016" t="s">
        <v>457</v>
      </c>
      <c r="S1016" t="s">
        <v>12</v>
      </c>
      <c r="T1016" t="s">
        <v>12</v>
      </c>
      <c r="U1016" t="s">
        <v>12</v>
      </c>
      <c r="V1016" t="s">
        <v>12</v>
      </c>
      <c r="W1016" t="s">
        <v>12</v>
      </c>
      <c r="X1016" t="s">
        <v>12</v>
      </c>
      <c r="Y1016" t="s">
        <v>3934</v>
      </c>
      <c r="Z1016" t="s">
        <v>3935</v>
      </c>
      <c r="AA1016" t="s">
        <v>3936</v>
      </c>
      <c r="AB1016" t="s">
        <v>12</v>
      </c>
      <c r="AC1016" t="s">
        <v>3937</v>
      </c>
      <c r="AD1016" t="s">
        <v>3938</v>
      </c>
    </row>
    <row r="1017" spans="1:30">
      <c r="A1017" t="s">
        <v>797</v>
      </c>
      <c r="B1017" t="str">
        <f>Master_Data_Productivity[[#This Row],[Uniq-ID]]&amp;"-"&amp;Master_Data_Productivity[[#This Row],[Period]]</f>
        <v>PE-Project_Engineer-011-M5</v>
      </c>
      <c r="C1017" t="s">
        <v>798</v>
      </c>
      <c r="D1017" t="s">
        <v>290</v>
      </c>
      <c r="E1017" t="s">
        <v>28</v>
      </c>
      <c r="F1017" t="s">
        <v>130</v>
      </c>
      <c r="G1017" t="s">
        <v>15</v>
      </c>
      <c r="H1017" t="s">
        <v>16</v>
      </c>
      <c r="J1017">
        <v>1.5</v>
      </c>
      <c r="K1017" t="s">
        <v>12</v>
      </c>
      <c r="L1017" t="s">
        <v>12</v>
      </c>
      <c r="M1017" t="s">
        <v>12</v>
      </c>
      <c r="Q1017" t="s">
        <v>716</v>
      </c>
      <c r="R1017" t="s">
        <v>457</v>
      </c>
      <c r="S1017" t="s">
        <v>12</v>
      </c>
      <c r="T1017" t="s">
        <v>12</v>
      </c>
      <c r="U1017" t="s">
        <v>12</v>
      </c>
      <c r="V1017" t="s">
        <v>12</v>
      </c>
      <c r="W1017" t="s">
        <v>12</v>
      </c>
      <c r="X1017" t="s">
        <v>12</v>
      </c>
      <c r="Y1017" t="s">
        <v>3939</v>
      </c>
      <c r="Z1017" t="s">
        <v>3574</v>
      </c>
      <c r="AA1017" t="s">
        <v>3940</v>
      </c>
      <c r="AB1017" t="s">
        <v>12</v>
      </c>
      <c r="AC1017" t="s">
        <v>3941</v>
      </c>
      <c r="AD1017" t="s">
        <v>3942</v>
      </c>
    </row>
    <row r="1018" spans="1:30">
      <c r="A1018" t="s">
        <v>797</v>
      </c>
      <c r="B1018" t="str">
        <f>Master_Data_Productivity[[#This Row],[Uniq-ID]]&amp;"-"&amp;Master_Data_Productivity[[#This Row],[Period]]</f>
        <v>PE-Project_Engineer-011-M6</v>
      </c>
      <c r="C1018" t="s">
        <v>798</v>
      </c>
      <c r="D1018" t="s">
        <v>290</v>
      </c>
      <c r="E1018" t="s">
        <v>31</v>
      </c>
      <c r="F1018" t="s">
        <v>132</v>
      </c>
      <c r="G1018" t="s">
        <v>33</v>
      </c>
      <c r="H1018" t="s">
        <v>44</v>
      </c>
      <c r="K1018" t="s">
        <v>12</v>
      </c>
      <c r="L1018" t="s">
        <v>12</v>
      </c>
      <c r="M1018" t="s">
        <v>12</v>
      </c>
      <c r="Q1018" t="s">
        <v>716</v>
      </c>
      <c r="R1018" t="s">
        <v>457</v>
      </c>
      <c r="S1018" t="s">
        <v>12</v>
      </c>
      <c r="T1018" t="s">
        <v>12</v>
      </c>
      <c r="U1018" t="s">
        <v>12</v>
      </c>
      <c r="V1018" t="s">
        <v>12</v>
      </c>
      <c r="W1018" t="s">
        <v>12</v>
      </c>
      <c r="X1018" t="s">
        <v>12</v>
      </c>
      <c r="Y1018" t="s">
        <v>12</v>
      </c>
      <c r="Z1018" t="s">
        <v>12</v>
      </c>
      <c r="AA1018" t="s">
        <v>12</v>
      </c>
      <c r="AB1018" t="s">
        <v>12</v>
      </c>
      <c r="AC1018" t="s">
        <v>12</v>
      </c>
      <c r="AD1018" t="s">
        <v>12</v>
      </c>
    </row>
    <row r="1019" spans="1:30">
      <c r="A1019" t="s">
        <v>856</v>
      </c>
      <c r="B1019" t="str">
        <f>Master_Data_Productivity[[#This Row],[Uniq-ID]]&amp;"-"&amp;Master_Data_Productivity[[#This Row],[Period]]</f>
        <v>PE-Project_Engineer-001-M1</v>
      </c>
      <c r="C1019" t="s">
        <v>857</v>
      </c>
      <c r="D1019" t="s">
        <v>76</v>
      </c>
      <c r="E1019" t="s">
        <v>13</v>
      </c>
      <c r="F1019" t="s">
        <v>49</v>
      </c>
      <c r="G1019" t="s">
        <v>15</v>
      </c>
      <c r="H1019" t="s">
        <v>719</v>
      </c>
      <c r="J1019">
        <v>1</v>
      </c>
      <c r="K1019" t="s">
        <v>12</v>
      </c>
      <c r="L1019" t="s">
        <v>12</v>
      </c>
      <c r="M1019" t="s">
        <v>12</v>
      </c>
      <c r="Q1019" t="s">
        <v>716</v>
      </c>
      <c r="R1019" t="s">
        <v>461</v>
      </c>
      <c r="S1019" t="s">
        <v>12</v>
      </c>
      <c r="T1019" t="s">
        <v>12</v>
      </c>
      <c r="U1019" t="s">
        <v>12</v>
      </c>
      <c r="V1019" t="s">
        <v>12</v>
      </c>
      <c r="W1019" t="s">
        <v>12</v>
      </c>
      <c r="X1019" t="s">
        <v>12</v>
      </c>
      <c r="Y1019" t="s">
        <v>3587</v>
      </c>
      <c r="Z1019" t="s">
        <v>3943</v>
      </c>
      <c r="AA1019" t="s">
        <v>3746</v>
      </c>
      <c r="AB1019" t="s">
        <v>12</v>
      </c>
      <c r="AC1019" t="s">
        <v>3481</v>
      </c>
      <c r="AD1019" t="s">
        <v>3944</v>
      </c>
    </row>
    <row r="1020" spans="1:30">
      <c r="A1020" t="s">
        <v>856</v>
      </c>
      <c r="B1020" t="str">
        <f>Master_Data_Productivity[[#This Row],[Uniq-ID]]&amp;"-"&amp;Master_Data_Productivity[[#This Row],[Period]]</f>
        <v>PE-Project_Engineer-001-M2</v>
      </c>
      <c r="C1020" t="s">
        <v>857</v>
      </c>
      <c r="D1020" t="s">
        <v>76</v>
      </c>
      <c r="E1020" t="s">
        <v>18</v>
      </c>
      <c r="F1020" t="s">
        <v>51</v>
      </c>
      <c r="G1020" t="s">
        <v>15</v>
      </c>
      <c r="H1020" t="s">
        <v>719</v>
      </c>
      <c r="J1020">
        <v>1</v>
      </c>
      <c r="K1020" t="s">
        <v>12</v>
      </c>
      <c r="L1020" t="s">
        <v>12</v>
      </c>
      <c r="M1020" t="s">
        <v>12</v>
      </c>
      <c r="Q1020" t="s">
        <v>716</v>
      </c>
      <c r="R1020" t="s">
        <v>461</v>
      </c>
      <c r="S1020" t="s">
        <v>12</v>
      </c>
      <c r="T1020" t="s">
        <v>12</v>
      </c>
      <c r="U1020" t="s">
        <v>12</v>
      </c>
      <c r="V1020" t="s">
        <v>12</v>
      </c>
      <c r="W1020" t="s">
        <v>12</v>
      </c>
      <c r="X1020" t="s">
        <v>12</v>
      </c>
      <c r="Y1020" t="s">
        <v>3945</v>
      </c>
      <c r="Z1020" t="s">
        <v>3946</v>
      </c>
      <c r="AA1020" t="s">
        <v>3947</v>
      </c>
      <c r="AB1020" t="s">
        <v>12</v>
      </c>
      <c r="AC1020" t="s">
        <v>3879</v>
      </c>
      <c r="AD1020" t="s">
        <v>3948</v>
      </c>
    </row>
    <row r="1021" spans="1:30">
      <c r="A1021" t="s">
        <v>856</v>
      </c>
      <c r="B1021" t="str">
        <f>Master_Data_Productivity[[#This Row],[Uniq-ID]]&amp;"-"&amp;Master_Data_Productivity[[#This Row],[Period]]</f>
        <v>PE-Project_Engineer-001-M3</v>
      </c>
      <c r="C1021" t="s">
        <v>857</v>
      </c>
      <c r="D1021" t="s">
        <v>76</v>
      </c>
      <c r="E1021" t="s">
        <v>22</v>
      </c>
      <c r="F1021" t="s">
        <v>52</v>
      </c>
      <c r="G1021" t="s">
        <v>15</v>
      </c>
      <c r="H1021" t="s">
        <v>719</v>
      </c>
      <c r="J1021">
        <v>1</v>
      </c>
      <c r="K1021" t="s">
        <v>12</v>
      </c>
      <c r="L1021" t="s">
        <v>12</v>
      </c>
      <c r="M1021" t="s">
        <v>12</v>
      </c>
      <c r="Q1021" t="s">
        <v>716</v>
      </c>
      <c r="R1021" t="s">
        <v>461</v>
      </c>
      <c r="S1021" t="s">
        <v>12</v>
      </c>
      <c r="T1021" t="s">
        <v>12</v>
      </c>
      <c r="U1021" t="s">
        <v>12</v>
      </c>
      <c r="V1021" t="s">
        <v>12</v>
      </c>
      <c r="W1021" t="s">
        <v>12</v>
      </c>
      <c r="X1021" t="s">
        <v>12</v>
      </c>
      <c r="Y1021" t="s">
        <v>3741</v>
      </c>
      <c r="Z1021" t="s">
        <v>3949</v>
      </c>
      <c r="AA1021" t="s">
        <v>3950</v>
      </c>
      <c r="AB1021" t="s">
        <v>12</v>
      </c>
      <c r="AC1021" t="s">
        <v>3951</v>
      </c>
      <c r="AD1021" t="s">
        <v>3952</v>
      </c>
    </row>
    <row r="1022" spans="1:30">
      <c r="A1022" t="s">
        <v>856</v>
      </c>
      <c r="B1022" t="str">
        <f>Master_Data_Productivity[[#This Row],[Uniq-ID]]&amp;"-"&amp;Master_Data_Productivity[[#This Row],[Period]]</f>
        <v>PE-Project_Engineer-001-M4</v>
      </c>
      <c r="C1022" t="s">
        <v>857</v>
      </c>
      <c r="D1022" t="s">
        <v>76</v>
      </c>
      <c r="E1022" t="s">
        <v>25</v>
      </c>
      <c r="F1022" t="s">
        <v>54</v>
      </c>
      <c r="G1022" t="s">
        <v>15</v>
      </c>
      <c r="H1022" t="s">
        <v>719</v>
      </c>
      <c r="J1022">
        <v>1</v>
      </c>
      <c r="K1022" t="s">
        <v>12</v>
      </c>
      <c r="L1022" t="s">
        <v>12</v>
      </c>
      <c r="M1022" t="s">
        <v>12</v>
      </c>
      <c r="Q1022" t="s">
        <v>716</v>
      </c>
      <c r="R1022" t="s">
        <v>461</v>
      </c>
      <c r="S1022" t="s">
        <v>12</v>
      </c>
      <c r="T1022" t="s">
        <v>12</v>
      </c>
      <c r="U1022" t="s">
        <v>12</v>
      </c>
      <c r="V1022" t="s">
        <v>12</v>
      </c>
      <c r="W1022" t="s">
        <v>12</v>
      </c>
      <c r="X1022" t="s">
        <v>12</v>
      </c>
      <c r="Y1022" t="s">
        <v>3953</v>
      </c>
      <c r="Z1022" t="s">
        <v>3954</v>
      </c>
      <c r="AA1022" t="s">
        <v>3955</v>
      </c>
      <c r="AB1022" t="s">
        <v>12</v>
      </c>
      <c r="AC1022" t="s">
        <v>3820</v>
      </c>
      <c r="AD1022" t="s">
        <v>3956</v>
      </c>
    </row>
    <row r="1023" spans="1:30">
      <c r="A1023" t="s">
        <v>856</v>
      </c>
      <c r="B1023" t="str">
        <f>Master_Data_Productivity[[#This Row],[Uniq-ID]]&amp;"-"&amp;Master_Data_Productivity[[#This Row],[Period]]</f>
        <v>PE-Project_Engineer-001-M5</v>
      </c>
      <c r="C1023" t="s">
        <v>857</v>
      </c>
      <c r="D1023" t="s">
        <v>76</v>
      </c>
      <c r="E1023" t="s">
        <v>28</v>
      </c>
      <c r="F1023" t="s">
        <v>56</v>
      </c>
      <c r="G1023" t="s">
        <v>15</v>
      </c>
      <c r="H1023" t="s">
        <v>719</v>
      </c>
      <c r="J1023">
        <v>1</v>
      </c>
      <c r="K1023" t="s">
        <v>12</v>
      </c>
      <c r="L1023" t="s">
        <v>12</v>
      </c>
      <c r="M1023" t="s">
        <v>12</v>
      </c>
      <c r="Q1023" t="s">
        <v>716</v>
      </c>
      <c r="R1023" t="s">
        <v>461</v>
      </c>
      <c r="S1023" t="s">
        <v>12</v>
      </c>
      <c r="T1023" t="s">
        <v>12</v>
      </c>
      <c r="U1023" t="s">
        <v>12</v>
      </c>
      <c r="V1023" t="s">
        <v>12</v>
      </c>
      <c r="W1023" t="s">
        <v>12</v>
      </c>
      <c r="X1023" t="s">
        <v>12</v>
      </c>
      <c r="Y1023" t="s">
        <v>3957</v>
      </c>
      <c r="Z1023" t="s">
        <v>3958</v>
      </c>
      <c r="AA1023" t="s">
        <v>3723</v>
      </c>
      <c r="AB1023" t="s">
        <v>12</v>
      </c>
      <c r="AC1023" t="s">
        <v>3959</v>
      </c>
      <c r="AD1023" t="s">
        <v>3960</v>
      </c>
    </row>
    <row r="1024" spans="1:30">
      <c r="A1024" t="s">
        <v>856</v>
      </c>
      <c r="B1024" t="str">
        <f>Master_Data_Productivity[[#This Row],[Uniq-ID]]&amp;"-"&amp;Master_Data_Productivity[[#This Row],[Period]]</f>
        <v>PE-Project_Engineer-001-M6</v>
      </c>
      <c r="C1024" t="s">
        <v>857</v>
      </c>
      <c r="D1024" t="s">
        <v>76</v>
      </c>
      <c r="E1024" t="s">
        <v>31</v>
      </c>
      <c r="F1024" t="s">
        <v>57</v>
      </c>
      <c r="G1024" t="s">
        <v>33</v>
      </c>
      <c r="H1024" t="s">
        <v>44</v>
      </c>
      <c r="K1024" t="s">
        <v>12</v>
      </c>
      <c r="L1024" t="s">
        <v>12</v>
      </c>
      <c r="M1024" t="s">
        <v>12</v>
      </c>
      <c r="Q1024" t="s">
        <v>716</v>
      </c>
      <c r="R1024" t="s">
        <v>461</v>
      </c>
      <c r="S1024" t="s">
        <v>12</v>
      </c>
      <c r="T1024" t="s">
        <v>12</v>
      </c>
      <c r="U1024" t="s">
        <v>12</v>
      </c>
      <c r="V1024" t="s">
        <v>12</v>
      </c>
      <c r="W1024" t="s">
        <v>12</v>
      </c>
      <c r="X1024" t="s">
        <v>12</v>
      </c>
      <c r="Y1024" t="s">
        <v>12</v>
      </c>
      <c r="Z1024" t="s">
        <v>12</v>
      </c>
      <c r="AA1024" t="s">
        <v>12</v>
      </c>
      <c r="AB1024" t="s">
        <v>12</v>
      </c>
      <c r="AC1024" t="s">
        <v>12</v>
      </c>
      <c r="AD1024" t="s">
        <v>12</v>
      </c>
    </row>
    <row r="1025" spans="1:30">
      <c r="A1025" t="s">
        <v>768</v>
      </c>
      <c r="B1025" t="str">
        <f>Master_Data_Productivity[[#This Row],[Uniq-ID]]&amp;"-"&amp;Master_Data_Productivity[[#This Row],[Period]]</f>
        <v>PE-Project_Engineer-039-M1</v>
      </c>
      <c r="C1025" t="s">
        <v>769</v>
      </c>
      <c r="D1025" t="s">
        <v>76</v>
      </c>
      <c r="E1025" t="s">
        <v>13</v>
      </c>
      <c r="F1025" t="s">
        <v>37</v>
      </c>
      <c r="G1025" t="s">
        <v>15</v>
      </c>
      <c r="H1025" t="s">
        <v>719</v>
      </c>
      <c r="J1025">
        <v>1</v>
      </c>
      <c r="K1025" t="s">
        <v>12</v>
      </c>
      <c r="L1025" t="s">
        <v>12</v>
      </c>
      <c r="M1025" t="s">
        <v>12</v>
      </c>
      <c r="Q1025" t="s">
        <v>716</v>
      </c>
      <c r="R1025" t="s">
        <v>461</v>
      </c>
      <c r="S1025" t="s">
        <v>12</v>
      </c>
      <c r="T1025" t="s">
        <v>12</v>
      </c>
      <c r="U1025" t="s">
        <v>12</v>
      </c>
      <c r="V1025" t="s">
        <v>12</v>
      </c>
      <c r="W1025" t="s">
        <v>12</v>
      </c>
      <c r="X1025" t="s">
        <v>12</v>
      </c>
      <c r="Y1025" t="s">
        <v>3961</v>
      </c>
      <c r="Z1025" t="s">
        <v>3962</v>
      </c>
      <c r="AA1025" t="s">
        <v>3837</v>
      </c>
      <c r="AB1025" t="s">
        <v>12</v>
      </c>
      <c r="AC1025" t="s">
        <v>3856</v>
      </c>
      <c r="AD1025" t="s">
        <v>3963</v>
      </c>
    </row>
    <row r="1026" spans="1:30">
      <c r="A1026" t="s">
        <v>768</v>
      </c>
      <c r="B1026" t="str">
        <f>Master_Data_Productivity[[#This Row],[Uniq-ID]]&amp;"-"&amp;Master_Data_Productivity[[#This Row],[Period]]</f>
        <v>PE-Project_Engineer-039-M2</v>
      </c>
      <c r="C1026" t="s">
        <v>769</v>
      </c>
      <c r="D1026" t="s">
        <v>76</v>
      </c>
      <c r="E1026" t="s">
        <v>18</v>
      </c>
      <c r="F1026" t="s">
        <v>39</v>
      </c>
      <c r="G1026" t="s">
        <v>15</v>
      </c>
      <c r="H1026" t="s">
        <v>719</v>
      </c>
      <c r="J1026">
        <v>1</v>
      </c>
      <c r="K1026" t="s">
        <v>12</v>
      </c>
      <c r="L1026" t="s">
        <v>12</v>
      </c>
      <c r="M1026" t="s">
        <v>12</v>
      </c>
      <c r="Q1026" t="s">
        <v>716</v>
      </c>
      <c r="R1026" t="s">
        <v>461</v>
      </c>
      <c r="S1026" t="s">
        <v>12</v>
      </c>
      <c r="T1026" t="s">
        <v>12</v>
      </c>
      <c r="U1026" t="s">
        <v>12</v>
      </c>
      <c r="V1026" t="s">
        <v>12</v>
      </c>
      <c r="W1026" t="s">
        <v>12</v>
      </c>
      <c r="X1026" t="s">
        <v>12</v>
      </c>
      <c r="Y1026" t="s">
        <v>3844</v>
      </c>
      <c r="Z1026" t="s">
        <v>3802</v>
      </c>
      <c r="AA1026" t="s">
        <v>3964</v>
      </c>
      <c r="AB1026" t="s">
        <v>12</v>
      </c>
      <c r="AC1026" t="s">
        <v>3965</v>
      </c>
      <c r="AD1026" t="s">
        <v>3966</v>
      </c>
    </row>
    <row r="1027" spans="1:30">
      <c r="A1027" t="s">
        <v>768</v>
      </c>
      <c r="B1027" t="str">
        <f>Master_Data_Productivity[[#This Row],[Uniq-ID]]&amp;"-"&amp;Master_Data_Productivity[[#This Row],[Period]]</f>
        <v>PE-Project_Engineer-039-M3</v>
      </c>
      <c r="C1027" t="s">
        <v>769</v>
      </c>
      <c r="D1027" t="s">
        <v>76</v>
      </c>
      <c r="E1027" t="s">
        <v>22</v>
      </c>
      <c r="F1027" t="s">
        <v>41</v>
      </c>
      <c r="G1027" t="s">
        <v>15</v>
      </c>
      <c r="H1027" t="s">
        <v>719</v>
      </c>
      <c r="J1027">
        <v>1</v>
      </c>
      <c r="K1027" t="s">
        <v>12</v>
      </c>
      <c r="L1027" t="s">
        <v>12</v>
      </c>
      <c r="M1027" t="s">
        <v>12</v>
      </c>
      <c r="Q1027" t="s">
        <v>716</v>
      </c>
      <c r="R1027" t="s">
        <v>461</v>
      </c>
      <c r="S1027" t="s">
        <v>12</v>
      </c>
      <c r="T1027" t="s">
        <v>12</v>
      </c>
      <c r="U1027" t="s">
        <v>12</v>
      </c>
      <c r="V1027" t="s">
        <v>12</v>
      </c>
      <c r="W1027" t="s">
        <v>12</v>
      </c>
      <c r="X1027" t="s">
        <v>12</v>
      </c>
      <c r="Y1027" t="s">
        <v>3729</v>
      </c>
      <c r="Z1027" t="s">
        <v>3530</v>
      </c>
      <c r="AA1027" t="s">
        <v>3967</v>
      </c>
      <c r="AB1027" t="s">
        <v>12</v>
      </c>
      <c r="AC1027" t="s">
        <v>3968</v>
      </c>
      <c r="AD1027" t="s">
        <v>3969</v>
      </c>
    </row>
    <row r="1028" spans="1:30">
      <c r="A1028" t="s">
        <v>768</v>
      </c>
      <c r="B1028" t="str">
        <f>Master_Data_Productivity[[#This Row],[Uniq-ID]]&amp;"-"&amp;Master_Data_Productivity[[#This Row],[Period]]</f>
        <v>PE-Project_Engineer-039-M4</v>
      </c>
      <c r="C1028" t="s">
        <v>769</v>
      </c>
      <c r="D1028" t="s">
        <v>76</v>
      </c>
      <c r="E1028" t="s">
        <v>25</v>
      </c>
      <c r="F1028" t="s">
        <v>43</v>
      </c>
      <c r="G1028" t="s">
        <v>33</v>
      </c>
      <c r="H1028" t="s">
        <v>44</v>
      </c>
      <c r="J1028">
        <v>0.5</v>
      </c>
      <c r="K1028" t="s">
        <v>12</v>
      </c>
      <c r="L1028" t="s">
        <v>12</v>
      </c>
      <c r="M1028" t="s">
        <v>12</v>
      </c>
      <c r="Q1028" t="s">
        <v>716</v>
      </c>
      <c r="R1028" t="s">
        <v>461</v>
      </c>
      <c r="S1028" t="s">
        <v>12</v>
      </c>
      <c r="T1028" t="s">
        <v>12</v>
      </c>
      <c r="U1028" t="s">
        <v>12</v>
      </c>
      <c r="V1028" t="s">
        <v>12</v>
      </c>
      <c r="W1028" t="s">
        <v>12</v>
      </c>
      <c r="X1028" t="s">
        <v>12</v>
      </c>
      <c r="Y1028" t="s">
        <v>3446</v>
      </c>
      <c r="Z1028" t="s">
        <v>3970</v>
      </c>
      <c r="AA1028" t="s">
        <v>3971</v>
      </c>
      <c r="AB1028" t="s">
        <v>12</v>
      </c>
      <c r="AC1028" t="s">
        <v>3425</v>
      </c>
      <c r="AD1028" t="s">
        <v>3972</v>
      </c>
    </row>
    <row r="1029" spans="1:30">
      <c r="A1029" t="s">
        <v>754</v>
      </c>
      <c r="B1029" t="str">
        <f>Master_Data_Productivity[[#This Row],[Uniq-ID]]&amp;"-"&amp;Master_Data_Productivity[[#This Row],[Period]]</f>
        <v>PE-Project_Engineer-047-M1</v>
      </c>
      <c r="C1029" t="s">
        <v>755</v>
      </c>
      <c r="D1029" t="s">
        <v>76</v>
      </c>
      <c r="E1029" t="s">
        <v>13</v>
      </c>
      <c r="F1029" t="s">
        <v>37</v>
      </c>
      <c r="G1029" t="s">
        <v>15</v>
      </c>
      <c r="H1029" t="s">
        <v>719</v>
      </c>
      <c r="J1029">
        <v>1</v>
      </c>
      <c r="K1029" t="s">
        <v>12</v>
      </c>
      <c r="L1029" t="s">
        <v>12</v>
      </c>
      <c r="M1029" t="s">
        <v>12</v>
      </c>
      <c r="Q1029" t="s">
        <v>716</v>
      </c>
      <c r="R1029" t="s">
        <v>468</v>
      </c>
      <c r="S1029" t="s">
        <v>12</v>
      </c>
      <c r="T1029" t="s">
        <v>12</v>
      </c>
      <c r="U1029" t="s">
        <v>12</v>
      </c>
      <c r="V1029" t="s">
        <v>12</v>
      </c>
      <c r="W1029" t="s">
        <v>12</v>
      </c>
      <c r="X1029" t="s">
        <v>12</v>
      </c>
      <c r="Y1029" t="s">
        <v>3973</v>
      </c>
      <c r="Z1029" t="s">
        <v>3767</v>
      </c>
      <c r="AA1029" t="s">
        <v>3974</v>
      </c>
      <c r="AB1029" t="s">
        <v>12</v>
      </c>
      <c r="AC1029" t="s">
        <v>3975</v>
      </c>
      <c r="AD1029" t="s">
        <v>3976</v>
      </c>
    </row>
    <row r="1030" spans="1:30">
      <c r="A1030" t="s">
        <v>754</v>
      </c>
      <c r="B1030" t="str">
        <f>Master_Data_Productivity[[#This Row],[Uniq-ID]]&amp;"-"&amp;Master_Data_Productivity[[#This Row],[Period]]</f>
        <v>PE-Project_Engineer-047-M2</v>
      </c>
      <c r="C1030" t="s">
        <v>755</v>
      </c>
      <c r="D1030" t="s">
        <v>76</v>
      </c>
      <c r="E1030" t="s">
        <v>18</v>
      </c>
      <c r="F1030" t="s">
        <v>39</v>
      </c>
      <c r="G1030" t="s">
        <v>15</v>
      </c>
      <c r="H1030" t="s">
        <v>719</v>
      </c>
      <c r="J1030">
        <v>1</v>
      </c>
      <c r="K1030" t="s">
        <v>12</v>
      </c>
      <c r="L1030" t="s">
        <v>12</v>
      </c>
      <c r="M1030" t="s">
        <v>12</v>
      </c>
      <c r="Q1030" t="s">
        <v>716</v>
      </c>
      <c r="R1030" t="s">
        <v>468</v>
      </c>
      <c r="S1030" t="s">
        <v>12</v>
      </c>
      <c r="T1030" t="s">
        <v>12</v>
      </c>
      <c r="U1030" t="s">
        <v>12</v>
      </c>
      <c r="V1030" t="s">
        <v>12</v>
      </c>
      <c r="W1030" t="s">
        <v>12</v>
      </c>
      <c r="X1030" t="s">
        <v>12</v>
      </c>
      <c r="Y1030" t="s">
        <v>3921</v>
      </c>
      <c r="Z1030" t="s">
        <v>3977</v>
      </c>
      <c r="AA1030" t="s">
        <v>3726</v>
      </c>
      <c r="AB1030" t="s">
        <v>12</v>
      </c>
      <c r="AC1030" t="s">
        <v>3811</v>
      </c>
      <c r="AD1030" t="s">
        <v>3978</v>
      </c>
    </row>
    <row r="1031" spans="1:30">
      <c r="A1031" t="s">
        <v>754</v>
      </c>
      <c r="B1031" t="str">
        <f>Master_Data_Productivity[[#This Row],[Uniq-ID]]&amp;"-"&amp;Master_Data_Productivity[[#This Row],[Period]]</f>
        <v>PE-Project_Engineer-047-M3</v>
      </c>
      <c r="C1031" t="s">
        <v>755</v>
      </c>
      <c r="D1031" t="s">
        <v>76</v>
      </c>
      <c r="E1031" t="s">
        <v>22</v>
      </c>
      <c r="F1031" t="s">
        <v>41</v>
      </c>
      <c r="G1031" t="s">
        <v>15</v>
      </c>
      <c r="H1031" t="s">
        <v>719</v>
      </c>
      <c r="J1031">
        <v>1</v>
      </c>
      <c r="K1031" t="s">
        <v>12</v>
      </c>
      <c r="L1031" t="s">
        <v>12</v>
      </c>
      <c r="M1031" t="s">
        <v>12</v>
      </c>
      <c r="Q1031" t="s">
        <v>716</v>
      </c>
      <c r="R1031" t="s">
        <v>468</v>
      </c>
      <c r="S1031" t="s">
        <v>12</v>
      </c>
      <c r="T1031" t="s">
        <v>12</v>
      </c>
      <c r="U1031" t="s">
        <v>12</v>
      </c>
      <c r="V1031" t="s">
        <v>12</v>
      </c>
      <c r="W1031" t="s">
        <v>12</v>
      </c>
      <c r="X1031" t="s">
        <v>12</v>
      </c>
      <c r="Y1031" t="s">
        <v>3523</v>
      </c>
      <c r="Z1031" t="s">
        <v>3979</v>
      </c>
      <c r="AA1031" t="s">
        <v>3801</v>
      </c>
      <c r="AB1031" t="s">
        <v>12</v>
      </c>
      <c r="AC1031" t="s">
        <v>3980</v>
      </c>
      <c r="AD1031" t="s">
        <v>3981</v>
      </c>
    </row>
    <row r="1032" spans="1:30">
      <c r="A1032" t="s">
        <v>754</v>
      </c>
      <c r="B1032" t="str">
        <f>Master_Data_Productivity[[#This Row],[Uniq-ID]]&amp;"-"&amp;Master_Data_Productivity[[#This Row],[Period]]</f>
        <v>PE-Project_Engineer-047-M4</v>
      </c>
      <c r="C1032" t="s">
        <v>755</v>
      </c>
      <c r="D1032" t="s">
        <v>76</v>
      </c>
      <c r="E1032" t="s">
        <v>25</v>
      </c>
      <c r="F1032" t="s">
        <v>43</v>
      </c>
      <c r="G1032" t="s">
        <v>33</v>
      </c>
      <c r="H1032" t="s">
        <v>44</v>
      </c>
      <c r="J1032">
        <v>0.5</v>
      </c>
      <c r="K1032" t="s">
        <v>12</v>
      </c>
      <c r="L1032" t="s">
        <v>12</v>
      </c>
      <c r="M1032" t="s">
        <v>12</v>
      </c>
      <c r="Q1032" t="s">
        <v>716</v>
      </c>
      <c r="R1032" t="s">
        <v>468</v>
      </c>
      <c r="S1032" t="s">
        <v>12</v>
      </c>
      <c r="T1032" t="s">
        <v>12</v>
      </c>
      <c r="U1032" t="s">
        <v>12</v>
      </c>
      <c r="V1032" t="s">
        <v>12</v>
      </c>
      <c r="W1032" t="s">
        <v>12</v>
      </c>
      <c r="X1032" t="s">
        <v>12</v>
      </c>
      <c r="Y1032" t="s">
        <v>3982</v>
      </c>
      <c r="Z1032" t="s">
        <v>3983</v>
      </c>
      <c r="AA1032" t="s">
        <v>12</v>
      </c>
      <c r="AB1032" t="s">
        <v>12</v>
      </c>
      <c r="AC1032" t="s">
        <v>3746</v>
      </c>
      <c r="AD1032" t="s">
        <v>3598</v>
      </c>
    </row>
    <row r="1033" spans="1:30">
      <c r="A1033" t="s">
        <v>790</v>
      </c>
      <c r="B1033" t="str">
        <f>Master_Data_Productivity[[#This Row],[Uniq-ID]]&amp;"-"&amp;Master_Data_Productivity[[#This Row],[Period]]</f>
        <v>PE-Project_Engineer-027-M1</v>
      </c>
      <c r="C1033" t="s">
        <v>791</v>
      </c>
      <c r="D1033" t="s">
        <v>76</v>
      </c>
      <c r="E1033" t="s">
        <v>13</v>
      </c>
      <c r="F1033" t="s">
        <v>14</v>
      </c>
      <c r="G1033" t="s">
        <v>15</v>
      </c>
      <c r="H1033" t="s">
        <v>719</v>
      </c>
      <c r="J1033">
        <v>1</v>
      </c>
      <c r="K1033" t="s">
        <v>12</v>
      </c>
      <c r="L1033" t="s">
        <v>12</v>
      </c>
      <c r="M1033" t="s">
        <v>12</v>
      </c>
      <c r="Q1033" t="s">
        <v>716</v>
      </c>
      <c r="R1033" t="s">
        <v>475</v>
      </c>
      <c r="S1033" t="s">
        <v>12</v>
      </c>
      <c r="T1033" t="s">
        <v>12</v>
      </c>
      <c r="U1033" t="s">
        <v>12</v>
      </c>
      <c r="V1033" t="s">
        <v>12</v>
      </c>
      <c r="W1033" t="s">
        <v>12</v>
      </c>
      <c r="X1033" t="s">
        <v>12</v>
      </c>
      <c r="Y1033" t="s">
        <v>3645</v>
      </c>
      <c r="Z1033" t="s">
        <v>3584</v>
      </c>
      <c r="AA1033" t="s">
        <v>3805</v>
      </c>
      <c r="AB1033" t="s">
        <v>12</v>
      </c>
      <c r="AC1033" t="s">
        <v>3497</v>
      </c>
      <c r="AD1033" t="s">
        <v>3629</v>
      </c>
    </row>
    <row r="1034" spans="1:30">
      <c r="A1034" t="s">
        <v>790</v>
      </c>
      <c r="B1034" t="str">
        <f>Master_Data_Productivity[[#This Row],[Uniq-ID]]&amp;"-"&amp;Master_Data_Productivity[[#This Row],[Period]]</f>
        <v>PE-Project_Engineer-027-M2</v>
      </c>
      <c r="C1034" t="s">
        <v>791</v>
      </c>
      <c r="D1034" t="s">
        <v>76</v>
      </c>
      <c r="E1034" t="s">
        <v>18</v>
      </c>
      <c r="F1034" t="s">
        <v>19</v>
      </c>
      <c r="G1034" t="s">
        <v>15</v>
      </c>
      <c r="H1034" t="s">
        <v>719</v>
      </c>
      <c r="J1034">
        <v>1</v>
      </c>
      <c r="K1034" t="s">
        <v>12</v>
      </c>
      <c r="L1034" t="s">
        <v>12</v>
      </c>
      <c r="M1034" t="s">
        <v>12</v>
      </c>
      <c r="Q1034" t="s">
        <v>716</v>
      </c>
      <c r="R1034" t="s">
        <v>475</v>
      </c>
      <c r="S1034" t="s">
        <v>12</v>
      </c>
      <c r="T1034" t="s">
        <v>12</v>
      </c>
      <c r="U1034" t="s">
        <v>12</v>
      </c>
      <c r="V1034" t="s">
        <v>12</v>
      </c>
      <c r="W1034" t="s">
        <v>12</v>
      </c>
      <c r="X1034" t="s">
        <v>12</v>
      </c>
      <c r="Y1034" t="s">
        <v>3878</v>
      </c>
      <c r="Z1034" t="s">
        <v>3984</v>
      </c>
      <c r="AA1034" t="s">
        <v>3901</v>
      </c>
      <c r="AB1034" t="s">
        <v>12</v>
      </c>
      <c r="AC1034" t="s">
        <v>3522</v>
      </c>
      <c r="AD1034" t="s">
        <v>3985</v>
      </c>
    </row>
    <row r="1035" spans="1:30">
      <c r="A1035" t="s">
        <v>790</v>
      </c>
      <c r="B1035" t="str">
        <f>Master_Data_Productivity[[#This Row],[Uniq-ID]]&amp;"-"&amp;Master_Data_Productivity[[#This Row],[Period]]</f>
        <v>PE-Project_Engineer-027-M3</v>
      </c>
      <c r="C1035" t="s">
        <v>791</v>
      </c>
      <c r="D1035" t="s">
        <v>76</v>
      </c>
      <c r="E1035" t="s">
        <v>22</v>
      </c>
      <c r="F1035" t="s">
        <v>23</v>
      </c>
      <c r="G1035" t="s">
        <v>15</v>
      </c>
      <c r="H1035" t="s">
        <v>719</v>
      </c>
      <c r="J1035">
        <v>1</v>
      </c>
      <c r="K1035" t="s">
        <v>12</v>
      </c>
      <c r="L1035" t="s">
        <v>12</v>
      </c>
      <c r="M1035" t="s">
        <v>12</v>
      </c>
      <c r="Q1035" t="s">
        <v>716</v>
      </c>
      <c r="R1035" t="s">
        <v>475</v>
      </c>
      <c r="S1035" t="s">
        <v>12</v>
      </c>
      <c r="T1035" t="s">
        <v>12</v>
      </c>
      <c r="U1035" t="s">
        <v>12</v>
      </c>
      <c r="V1035" t="s">
        <v>12</v>
      </c>
      <c r="W1035" t="s">
        <v>12</v>
      </c>
      <c r="X1035" t="s">
        <v>12</v>
      </c>
      <c r="Y1035" t="s">
        <v>3695</v>
      </c>
      <c r="Z1035" t="s">
        <v>3599</v>
      </c>
      <c r="AA1035" t="s">
        <v>3986</v>
      </c>
      <c r="AB1035" t="s">
        <v>12</v>
      </c>
      <c r="AC1035" t="s">
        <v>3779</v>
      </c>
      <c r="AD1035" t="s">
        <v>3987</v>
      </c>
    </row>
    <row r="1036" spans="1:30">
      <c r="A1036" t="s">
        <v>790</v>
      </c>
      <c r="B1036" t="str">
        <f>Master_Data_Productivity[[#This Row],[Uniq-ID]]&amp;"-"&amp;Master_Data_Productivity[[#This Row],[Period]]</f>
        <v>PE-Project_Engineer-027-M4</v>
      </c>
      <c r="C1036" t="s">
        <v>791</v>
      </c>
      <c r="D1036" t="s">
        <v>76</v>
      </c>
      <c r="E1036" t="s">
        <v>25</v>
      </c>
      <c r="F1036" t="s">
        <v>26</v>
      </c>
      <c r="G1036" t="s">
        <v>15</v>
      </c>
      <c r="H1036" t="s">
        <v>16</v>
      </c>
      <c r="J1036">
        <v>1.5</v>
      </c>
      <c r="K1036" t="s">
        <v>12</v>
      </c>
      <c r="L1036" t="s">
        <v>12</v>
      </c>
      <c r="M1036" t="s">
        <v>12</v>
      </c>
      <c r="Q1036" t="s">
        <v>716</v>
      </c>
      <c r="R1036" t="s">
        <v>475</v>
      </c>
      <c r="S1036" t="s">
        <v>12</v>
      </c>
      <c r="T1036" t="s">
        <v>12</v>
      </c>
      <c r="U1036" t="s">
        <v>12</v>
      </c>
      <c r="V1036" t="s">
        <v>12</v>
      </c>
      <c r="W1036" t="s">
        <v>12</v>
      </c>
      <c r="X1036" t="s">
        <v>12</v>
      </c>
      <c r="Y1036" t="s">
        <v>3714</v>
      </c>
      <c r="Z1036" t="s">
        <v>3988</v>
      </c>
      <c r="AA1036" t="s">
        <v>3565</v>
      </c>
      <c r="AB1036" t="s">
        <v>12</v>
      </c>
      <c r="AC1036" t="s">
        <v>3989</v>
      </c>
      <c r="AD1036" t="s">
        <v>3990</v>
      </c>
    </row>
    <row r="1037" spans="1:30">
      <c r="A1037" t="s">
        <v>790</v>
      </c>
      <c r="B1037" t="str">
        <f>Master_Data_Productivity[[#This Row],[Uniq-ID]]&amp;"-"&amp;Master_Data_Productivity[[#This Row],[Period]]</f>
        <v>PE-Project_Engineer-027-M5</v>
      </c>
      <c r="C1037" t="s">
        <v>791</v>
      </c>
      <c r="D1037" t="s">
        <v>76</v>
      </c>
      <c r="E1037" t="s">
        <v>28</v>
      </c>
      <c r="F1037" t="s">
        <v>29</v>
      </c>
      <c r="G1037" t="s">
        <v>15</v>
      </c>
      <c r="H1037" t="s">
        <v>16</v>
      </c>
      <c r="J1037">
        <v>1.03</v>
      </c>
      <c r="K1037" t="s">
        <v>12</v>
      </c>
      <c r="L1037" t="s">
        <v>12</v>
      </c>
      <c r="M1037" t="s">
        <v>12</v>
      </c>
      <c r="Q1037" t="s">
        <v>716</v>
      </c>
      <c r="R1037" t="s">
        <v>475</v>
      </c>
      <c r="S1037" t="s">
        <v>12</v>
      </c>
      <c r="T1037" t="s">
        <v>12</v>
      </c>
      <c r="U1037" t="s">
        <v>12</v>
      </c>
      <c r="V1037" t="s">
        <v>12</v>
      </c>
      <c r="W1037" t="s">
        <v>12</v>
      </c>
      <c r="X1037" t="s">
        <v>12</v>
      </c>
      <c r="Y1037" t="s">
        <v>3991</v>
      </c>
      <c r="Z1037" t="s">
        <v>3992</v>
      </c>
      <c r="AA1037" t="s">
        <v>3993</v>
      </c>
      <c r="AB1037" t="s">
        <v>12</v>
      </c>
      <c r="AC1037" t="s">
        <v>3994</v>
      </c>
      <c r="AD1037" t="s">
        <v>3995</v>
      </c>
    </row>
    <row r="1038" spans="1:30">
      <c r="A1038" t="s">
        <v>790</v>
      </c>
      <c r="B1038" t="str">
        <f>Master_Data_Productivity[[#This Row],[Uniq-ID]]&amp;"-"&amp;Master_Data_Productivity[[#This Row],[Period]]</f>
        <v>PE-Project_Engineer-027-M6</v>
      </c>
      <c r="C1038" t="s">
        <v>791</v>
      </c>
      <c r="D1038" t="s">
        <v>76</v>
      </c>
      <c r="E1038" t="s">
        <v>31</v>
      </c>
      <c r="F1038" t="s">
        <v>32</v>
      </c>
      <c r="G1038" t="s">
        <v>33</v>
      </c>
      <c r="H1038" t="s">
        <v>44</v>
      </c>
      <c r="K1038" t="s">
        <v>12</v>
      </c>
      <c r="L1038" t="s">
        <v>12</v>
      </c>
      <c r="M1038" t="s">
        <v>12</v>
      </c>
      <c r="Q1038" t="s">
        <v>716</v>
      </c>
      <c r="R1038" t="s">
        <v>475</v>
      </c>
      <c r="S1038" t="s">
        <v>12</v>
      </c>
      <c r="T1038" t="s">
        <v>12</v>
      </c>
      <c r="U1038" t="s">
        <v>12</v>
      </c>
      <c r="V1038" t="s">
        <v>12</v>
      </c>
      <c r="W1038" t="s">
        <v>12</v>
      </c>
      <c r="X1038" t="s">
        <v>12</v>
      </c>
      <c r="Y1038" t="s">
        <v>12</v>
      </c>
      <c r="Z1038" t="s">
        <v>12</v>
      </c>
      <c r="AA1038" t="s">
        <v>12</v>
      </c>
      <c r="AB1038" t="s">
        <v>12</v>
      </c>
      <c r="AC1038" t="s">
        <v>12</v>
      </c>
      <c r="AD1038" t="s">
        <v>12</v>
      </c>
    </row>
    <row r="1039" spans="1:30">
      <c r="A1039" t="s">
        <v>792</v>
      </c>
      <c r="B1039" t="str">
        <f>Master_Data_Productivity[[#This Row],[Uniq-ID]]&amp;"-"&amp;Master_Data_Productivity[[#This Row],[Period]]</f>
        <v>PE-Project_Engineer-021-M1</v>
      </c>
      <c r="C1039" t="s">
        <v>793</v>
      </c>
      <c r="D1039" t="s">
        <v>76</v>
      </c>
      <c r="E1039" t="s">
        <v>13</v>
      </c>
      <c r="F1039" t="s">
        <v>14</v>
      </c>
      <c r="G1039" t="s">
        <v>15</v>
      </c>
      <c r="H1039" t="s">
        <v>719</v>
      </c>
      <c r="J1039">
        <v>1</v>
      </c>
      <c r="K1039" t="s">
        <v>12</v>
      </c>
      <c r="L1039" t="s">
        <v>12</v>
      </c>
      <c r="M1039" t="s">
        <v>12</v>
      </c>
      <c r="Q1039" t="s">
        <v>716</v>
      </c>
      <c r="R1039" t="s">
        <v>446</v>
      </c>
      <c r="S1039" t="s">
        <v>12</v>
      </c>
      <c r="T1039" t="s">
        <v>12</v>
      </c>
      <c r="U1039" t="s">
        <v>12</v>
      </c>
      <c r="V1039" t="s">
        <v>12</v>
      </c>
      <c r="W1039" t="s">
        <v>12</v>
      </c>
      <c r="X1039" t="s">
        <v>12</v>
      </c>
      <c r="Y1039" t="s">
        <v>3721</v>
      </c>
      <c r="Z1039" t="s">
        <v>3589</v>
      </c>
      <c r="AA1039" t="s">
        <v>3794</v>
      </c>
      <c r="AB1039" t="s">
        <v>12</v>
      </c>
      <c r="AC1039" t="s">
        <v>3618</v>
      </c>
      <c r="AD1039" t="s">
        <v>3996</v>
      </c>
    </row>
    <row r="1040" spans="1:30">
      <c r="A1040" t="s">
        <v>792</v>
      </c>
      <c r="B1040" t="str">
        <f>Master_Data_Productivity[[#This Row],[Uniq-ID]]&amp;"-"&amp;Master_Data_Productivity[[#This Row],[Period]]</f>
        <v>PE-Project_Engineer-021-M2</v>
      </c>
      <c r="C1040" t="s">
        <v>793</v>
      </c>
      <c r="D1040" t="s">
        <v>76</v>
      </c>
      <c r="E1040" t="s">
        <v>18</v>
      </c>
      <c r="F1040" t="s">
        <v>19</v>
      </c>
      <c r="G1040" t="s">
        <v>15</v>
      </c>
      <c r="H1040" t="s">
        <v>719</v>
      </c>
      <c r="J1040">
        <v>1</v>
      </c>
      <c r="K1040" t="s">
        <v>12</v>
      </c>
      <c r="L1040" t="s">
        <v>12</v>
      </c>
      <c r="M1040" t="s">
        <v>12</v>
      </c>
      <c r="Q1040" t="s">
        <v>716</v>
      </c>
      <c r="R1040" t="s">
        <v>446</v>
      </c>
      <c r="S1040" t="s">
        <v>12</v>
      </c>
      <c r="T1040" t="s">
        <v>12</v>
      </c>
      <c r="U1040" t="s">
        <v>12</v>
      </c>
      <c r="V1040" t="s">
        <v>12</v>
      </c>
      <c r="W1040" t="s">
        <v>12</v>
      </c>
      <c r="X1040" t="s">
        <v>12</v>
      </c>
      <c r="Y1040" t="s">
        <v>3997</v>
      </c>
      <c r="Z1040" t="s">
        <v>3998</v>
      </c>
      <c r="AA1040" t="s">
        <v>3834</v>
      </c>
      <c r="AB1040" t="s">
        <v>12</v>
      </c>
      <c r="AC1040" t="s">
        <v>3999</v>
      </c>
      <c r="AD1040" t="s">
        <v>4000</v>
      </c>
    </row>
    <row r="1041" spans="1:30">
      <c r="A1041" t="s">
        <v>792</v>
      </c>
      <c r="B1041" t="str">
        <f>Master_Data_Productivity[[#This Row],[Uniq-ID]]&amp;"-"&amp;Master_Data_Productivity[[#This Row],[Period]]</f>
        <v>PE-Project_Engineer-021-M3</v>
      </c>
      <c r="C1041" t="s">
        <v>793</v>
      </c>
      <c r="D1041" t="s">
        <v>76</v>
      </c>
      <c r="E1041" t="s">
        <v>22</v>
      </c>
      <c r="F1041" t="s">
        <v>23</v>
      </c>
      <c r="G1041" t="s">
        <v>15</v>
      </c>
      <c r="H1041" t="s">
        <v>719</v>
      </c>
      <c r="J1041">
        <v>1</v>
      </c>
      <c r="K1041" t="s">
        <v>12</v>
      </c>
      <c r="L1041" t="s">
        <v>12</v>
      </c>
      <c r="M1041" t="s">
        <v>12</v>
      </c>
      <c r="Q1041" t="s">
        <v>716</v>
      </c>
      <c r="R1041" t="s">
        <v>446</v>
      </c>
      <c r="S1041" t="s">
        <v>12</v>
      </c>
      <c r="T1041" t="s">
        <v>12</v>
      </c>
      <c r="U1041" t="s">
        <v>12</v>
      </c>
      <c r="V1041" t="s">
        <v>12</v>
      </c>
      <c r="W1041" t="s">
        <v>12</v>
      </c>
      <c r="X1041" t="s">
        <v>12</v>
      </c>
      <c r="Y1041" t="s">
        <v>4001</v>
      </c>
      <c r="Z1041" t="s">
        <v>4002</v>
      </c>
      <c r="AA1041" t="s">
        <v>3980</v>
      </c>
      <c r="AB1041" t="s">
        <v>12</v>
      </c>
      <c r="AC1041" t="s">
        <v>4003</v>
      </c>
      <c r="AD1041" t="s">
        <v>4004</v>
      </c>
    </row>
    <row r="1042" spans="1:30">
      <c r="A1042" t="s">
        <v>792</v>
      </c>
      <c r="B1042" t="str">
        <f>Master_Data_Productivity[[#This Row],[Uniq-ID]]&amp;"-"&amp;Master_Data_Productivity[[#This Row],[Period]]</f>
        <v>PE-Project_Engineer-021-M4</v>
      </c>
      <c r="C1042" t="s">
        <v>793</v>
      </c>
      <c r="D1042" t="s">
        <v>76</v>
      </c>
      <c r="E1042" t="s">
        <v>25</v>
      </c>
      <c r="F1042" t="s">
        <v>26</v>
      </c>
      <c r="G1042" t="s">
        <v>15</v>
      </c>
      <c r="H1042" t="s">
        <v>719</v>
      </c>
      <c r="J1042">
        <v>1</v>
      </c>
      <c r="K1042" t="s">
        <v>12</v>
      </c>
      <c r="L1042" t="s">
        <v>12</v>
      </c>
      <c r="M1042" t="s">
        <v>12</v>
      </c>
      <c r="Q1042" t="s">
        <v>716</v>
      </c>
      <c r="R1042" t="s">
        <v>446</v>
      </c>
      <c r="S1042" t="s">
        <v>12</v>
      </c>
      <c r="T1042" t="s">
        <v>12</v>
      </c>
      <c r="U1042" t="s">
        <v>12</v>
      </c>
      <c r="V1042" t="s">
        <v>12</v>
      </c>
      <c r="W1042" t="s">
        <v>12</v>
      </c>
      <c r="X1042" t="s">
        <v>12</v>
      </c>
      <c r="Y1042" t="s">
        <v>4005</v>
      </c>
      <c r="Z1042" t="s">
        <v>4006</v>
      </c>
      <c r="AA1042" t="s">
        <v>4007</v>
      </c>
      <c r="AB1042" t="s">
        <v>12</v>
      </c>
      <c r="AC1042" t="s">
        <v>4008</v>
      </c>
      <c r="AD1042" t="s">
        <v>4009</v>
      </c>
    </row>
    <row r="1043" spans="1:30">
      <c r="A1043" t="s">
        <v>792</v>
      </c>
      <c r="B1043" t="str">
        <f>Master_Data_Productivity[[#This Row],[Uniq-ID]]&amp;"-"&amp;Master_Data_Productivity[[#This Row],[Period]]</f>
        <v>PE-Project_Engineer-021-M5</v>
      </c>
      <c r="C1043" t="s">
        <v>793</v>
      </c>
      <c r="D1043" t="s">
        <v>76</v>
      </c>
      <c r="E1043" t="s">
        <v>28</v>
      </c>
      <c r="F1043" t="s">
        <v>29</v>
      </c>
      <c r="G1043" t="s">
        <v>15</v>
      </c>
      <c r="H1043" t="s">
        <v>719</v>
      </c>
      <c r="J1043">
        <v>1</v>
      </c>
      <c r="K1043" t="s">
        <v>12</v>
      </c>
      <c r="L1043" t="s">
        <v>12</v>
      </c>
      <c r="M1043" t="s">
        <v>12</v>
      </c>
      <c r="Q1043" t="s">
        <v>716</v>
      </c>
      <c r="R1043" t="s">
        <v>446</v>
      </c>
      <c r="S1043" t="s">
        <v>12</v>
      </c>
      <c r="T1043" t="s">
        <v>12</v>
      </c>
      <c r="U1043" t="s">
        <v>12</v>
      </c>
      <c r="V1043" t="s">
        <v>12</v>
      </c>
      <c r="W1043" t="s">
        <v>12</v>
      </c>
      <c r="X1043" t="s">
        <v>12</v>
      </c>
      <c r="Y1043" t="s">
        <v>3569</v>
      </c>
      <c r="Z1043" t="s">
        <v>3584</v>
      </c>
      <c r="AA1043" t="s">
        <v>3726</v>
      </c>
      <c r="AB1043" t="s">
        <v>12</v>
      </c>
      <c r="AC1043" t="s">
        <v>4010</v>
      </c>
      <c r="AD1043" t="s">
        <v>4011</v>
      </c>
    </row>
    <row r="1044" spans="1:30">
      <c r="A1044" t="s">
        <v>792</v>
      </c>
      <c r="B1044" t="str">
        <f>Master_Data_Productivity[[#This Row],[Uniq-ID]]&amp;"-"&amp;Master_Data_Productivity[[#This Row],[Period]]</f>
        <v>PE-Project_Engineer-021-M6</v>
      </c>
      <c r="C1044" t="s">
        <v>793</v>
      </c>
      <c r="D1044" t="s">
        <v>76</v>
      </c>
      <c r="E1044" t="s">
        <v>31</v>
      </c>
      <c r="F1044" t="s">
        <v>32</v>
      </c>
      <c r="G1044" t="s">
        <v>33</v>
      </c>
      <c r="H1044" t="s">
        <v>44</v>
      </c>
      <c r="K1044" t="s">
        <v>12</v>
      </c>
      <c r="L1044" t="s">
        <v>12</v>
      </c>
      <c r="M1044" t="s">
        <v>12</v>
      </c>
      <c r="Q1044" t="s">
        <v>716</v>
      </c>
      <c r="R1044" t="s">
        <v>446</v>
      </c>
      <c r="S1044" t="s">
        <v>12</v>
      </c>
      <c r="T1044" t="s">
        <v>12</v>
      </c>
      <c r="U1044" t="s">
        <v>12</v>
      </c>
      <c r="V1044" t="s">
        <v>12</v>
      </c>
      <c r="W1044" t="s">
        <v>12</v>
      </c>
      <c r="X1044" t="s">
        <v>12</v>
      </c>
      <c r="Y1044" t="s">
        <v>12</v>
      </c>
      <c r="Z1044" t="s">
        <v>12</v>
      </c>
      <c r="AA1044" t="s">
        <v>12</v>
      </c>
      <c r="AB1044" t="s">
        <v>12</v>
      </c>
      <c r="AC1044" t="s">
        <v>12</v>
      </c>
      <c r="AD1044" t="s">
        <v>12</v>
      </c>
    </row>
    <row r="1045" spans="1:30">
      <c r="A1045" t="s">
        <v>756</v>
      </c>
      <c r="B1045" t="str">
        <f>Master_Data_Productivity[[#This Row],[Uniq-ID]]&amp;"-"&amp;Master_Data_Productivity[[#This Row],[Period]]</f>
        <v>PE-Project_Engineer-007-M1</v>
      </c>
      <c r="C1045" t="s">
        <v>757</v>
      </c>
      <c r="D1045" t="s">
        <v>11</v>
      </c>
      <c r="E1045" t="s">
        <v>13</v>
      </c>
      <c r="F1045" t="s">
        <v>758</v>
      </c>
      <c r="G1045" t="s">
        <v>15</v>
      </c>
      <c r="H1045" t="s">
        <v>719</v>
      </c>
      <c r="J1045">
        <v>1</v>
      </c>
      <c r="K1045" t="s">
        <v>12</v>
      </c>
      <c r="L1045" t="s">
        <v>12</v>
      </c>
      <c r="M1045" t="s">
        <v>12</v>
      </c>
      <c r="Q1045" t="s">
        <v>716</v>
      </c>
      <c r="R1045" t="s">
        <v>461</v>
      </c>
      <c r="S1045" t="s">
        <v>12</v>
      </c>
      <c r="T1045" t="s">
        <v>12</v>
      </c>
      <c r="U1045" t="s">
        <v>12</v>
      </c>
      <c r="V1045" t="s">
        <v>12</v>
      </c>
      <c r="W1045" t="s">
        <v>12</v>
      </c>
      <c r="X1045" t="s">
        <v>12</v>
      </c>
      <c r="Y1045" t="s">
        <v>3920</v>
      </c>
      <c r="Z1045" t="s">
        <v>4012</v>
      </c>
      <c r="AA1045" t="s">
        <v>3583</v>
      </c>
      <c r="AB1045" t="s">
        <v>12</v>
      </c>
      <c r="AC1045" t="s">
        <v>4013</v>
      </c>
      <c r="AD1045" t="s">
        <v>4014</v>
      </c>
    </row>
    <row r="1046" spans="1:30">
      <c r="A1046" t="s">
        <v>756</v>
      </c>
      <c r="B1046" t="str">
        <f>Master_Data_Productivity[[#This Row],[Uniq-ID]]&amp;"-"&amp;Master_Data_Productivity[[#This Row],[Period]]</f>
        <v>PE-Project_Engineer-007-M2</v>
      </c>
      <c r="C1046" t="s">
        <v>757</v>
      </c>
      <c r="D1046" t="s">
        <v>11</v>
      </c>
      <c r="E1046" t="s">
        <v>18</v>
      </c>
      <c r="F1046" t="s">
        <v>759</v>
      </c>
      <c r="G1046" t="s">
        <v>15</v>
      </c>
      <c r="H1046" t="s">
        <v>16</v>
      </c>
      <c r="J1046">
        <v>1.5</v>
      </c>
      <c r="K1046" t="s">
        <v>12</v>
      </c>
      <c r="L1046" t="s">
        <v>12</v>
      </c>
      <c r="M1046" t="s">
        <v>12</v>
      </c>
      <c r="Q1046" t="s">
        <v>716</v>
      </c>
      <c r="R1046" t="s">
        <v>461</v>
      </c>
      <c r="S1046" t="s">
        <v>12</v>
      </c>
      <c r="T1046" t="s">
        <v>12</v>
      </c>
      <c r="U1046" t="s">
        <v>12</v>
      </c>
      <c r="V1046" t="s">
        <v>12</v>
      </c>
      <c r="W1046" t="s">
        <v>12</v>
      </c>
      <c r="X1046" t="s">
        <v>12</v>
      </c>
      <c r="Y1046" t="s">
        <v>4015</v>
      </c>
      <c r="Z1046" t="s">
        <v>4016</v>
      </c>
      <c r="AA1046" t="s">
        <v>4017</v>
      </c>
      <c r="AB1046" t="s">
        <v>12</v>
      </c>
      <c r="AC1046" t="s">
        <v>4018</v>
      </c>
      <c r="AD1046" t="s">
        <v>4019</v>
      </c>
    </row>
    <row r="1047" spans="1:30">
      <c r="A1047" t="s">
        <v>756</v>
      </c>
      <c r="B1047" t="str">
        <f>Master_Data_Productivity[[#This Row],[Uniq-ID]]&amp;"-"&amp;Master_Data_Productivity[[#This Row],[Period]]</f>
        <v>PE-Project_Engineer-007-M3</v>
      </c>
      <c r="C1047" t="s">
        <v>757</v>
      </c>
      <c r="D1047" t="s">
        <v>11</v>
      </c>
      <c r="E1047" t="s">
        <v>22</v>
      </c>
      <c r="F1047" t="s">
        <v>760</v>
      </c>
      <c r="G1047" t="s">
        <v>15</v>
      </c>
      <c r="H1047" t="s">
        <v>16</v>
      </c>
      <c r="J1047">
        <v>1.41</v>
      </c>
      <c r="K1047" t="s">
        <v>12</v>
      </c>
      <c r="L1047" t="s">
        <v>12</v>
      </c>
      <c r="M1047" t="s">
        <v>12</v>
      </c>
      <c r="Q1047" t="s">
        <v>716</v>
      </c>
      <c r="R1047" t="s">
        <v>461</v>
      </c>
      <c r="S1047" t="s">
        <v>12</v>
      </c>
      <c r="T1047" t="s">
        <v>12</v>
      </c>
      <c r="U1047" t="s">
        <v>12</v>
      </c>
      <c r="V1047" t="s">
        <v>12</v>
      </c>
      <c r="W1047" t="s">
        <v>12</v>
      </c>
      <c r="X1047" t="s">
        <v>12</v>
      </c>
      <c r="Y1047" t="s">
        <v>3923</v>
      </c>
      <c r="Z1047" t="s">
        <v>4020</v>
      </c>
      <c r="AA1047" t="s">
        <v>4021</v>
      </c>
      <c r="AB1047" t="s">
        <v>12</v>
      </c>
      <c r="AC1047" t="s">
        <v>4022</v>
      </c>
      <c r="AD1047" t="s">
        <v>4023</v>
      </c>
    </row>
    <row r="1048" spans="1:30">
      <c r="A1048" t="s">
        <v>756</v>
      </c>
      <c r="B1048" t="str">
        <f>Master_Data_Productivity[[#This Row],[Uniq-ID]]&amp;"-"&amp;Master_Data_Productivity[[#This Row],[Period]]</f>
        <v>PE-Project_Engineer-007-M4</v>
      </c>
      <c r="C1048" t="s">
        <v>757</v>
      </c>
      <c r="D1048" t="s">
        <v>11</v>
      </c>
      <c r="E1048" t="s">
        <v>25</v>
      </c>
      <c r="F1048" t="s">
        <v>761</v>
      </c>
      <c r="G1048" t="s">
        <v>15</v>
      </c>
      <c r="H1048" t="s">
        <v>16</v>
      </c>
      <c r="J1048">
        <v>1.47</v>
      </c>
      <c r="K1048" t="s">
        <v>12</v>
      </c>
      <c r="L1048" t="s">
        <v>12</v>
      </c>
      <c r="M1048" t="s">
        <v>12</v>
      </c>
      <c r="Q1048" t="s">
        <v>716</v>
      </c>
      <c r="R1048" t="s">
        <v>461</v>
      </c>
      <c r="S1048" t="s">
        <v>12</v>
      </c>
      <c r="T1048" t="s">
        <v>12</v>
      </c>
      <c r="U1048" t="s">
        <v>12</v>
      </c>
      <c r="V1048" t="s">
        <v>12</v>
      </c>
      <c r="W1048" t="s">
        <v>12</v>
      </c>
      <c r="X1048" t="s">
        <v>12</v>
      </c>
      <c r="Y1048" t="s">
        <v>4024</v>
      </c>
      <c r="Z1048" t="s">
        <v>4025</v>
      </c>
      <c r="AA1048" t="s">
        <v>4026</v>
      </c>
      <c r="AB1048" t="s">
        <v>12</v>
      </c>
      <c r="AC1048" t="s">
        <v>3605</v>
      </c>
      <c r="AD1048" t="s">
        <v>4027</v>
      </c>
    </row>
    <row r="1049" spans="1:30">
      <c r="A1049" t="s">
        <v>756</v>
      </c>
      <c r="B1049" t="str">
        <f>Master_Data_Productivity[[#This Row],[Uniq-ID]]&amp;"-"&amp;Master_Data_Productivity[[#This Row],[Period]]</f>
        <v>PE-Project_Engineer-007-M5</v>
      </c>
      <c r="C1049" t="s">
        <v>757</v>
      </c>
      <c r="D1049" t="s">
        <v>11</v>
      </c>
      <c r="E1049" t="s">
        <v>28</v>
      </c>
      <c r="F1049" t="s">
        <v>762</v>
      </c>
      <c r="G1049" t="s">
        <v>15</v>
      </c>
      <c r="H1049" t="s">
        <v>16</v>
      </c>
      <c r="J1049">
        <v>1.5</v>
      </c>
      <c r="K1049" t="s">
        <v>12</v>
      </c>
      <c r="L1049" t="s">
        <v>12</v>
      </c>
      <c r="M1049" t="s">
        <v>12</v>
      </c>
      <c r="Q1049" t="s">
        <v>716</v>
      </c>
      <c r="R1049" t="s">
        <v>461</v>
      </c>
      <c r="S1049" t="s">
        <v>12</v>
      </c>
      <c r="T1049" t="s">
        <v>12</v>
      </c>
      <c r="U1049" t="s">
        <v>12</v>
      </c>
      <c r="V1049" t="s">
        <v>12</v>
      </c>
      <c r="W1049" t="s">
        <v>12</v>
      </c>
      <c r="X1049" t="s">
        <v>12</v>
      </c>
      <c r="Y1049" t="s">
        <v>4028</v>
      </c>
      <c r="Z1049" t="s">
        <v>4029</v>
      </c>
      <c r="AA1049" t="s">
        <v>3794</v>
      </c>
      <c r="AB1049" t="s">
        <v>12</v>
      </c>
      <c r="AC1049" t="s">
        <v>4030</v>
      </c>
      <c r="AD1049" t="s">
        <v>4031</v>
      </c>
    </row>
    <row r="1050" spans="1:30">
      <c r="A1050" t="s">
        <v>756</v>
      </c>
      <c r="B1050" t="str">
        <f>Master_Data_Productivity[[#This Row],[Uniq-ID]]&amp;"-"&amp;Master_Data_Productivity[[#This Row],[Period]]</f>
        <v>PE-Project_Engineer-007-M6</v>
      </c>
      <c r="C1050" t="s">
        <v>757</v>
      </c>
      <c r="D1050" t="s">
        <v>11</v>
      </c>
      <c r="E1050" t="s">
        <v>31</v>
      </c>
      <c r="F1050" t="s">
        <v>763</v>
      </c>
      <c r="G1050" t="s">
        <v>33</v>
      </c>
      <c r="H1050" t="s">
        <v>44</v>
      </c>
      <c r="K1050" t="s">
        <v>12</v>
      </c>
      <c r="L1050" t="s">
        <v>12</v>
      </c>
      <c r="M1050" t="s">
        <v>12</v>
      </c>
      <c r="Q1050" t="s">
        <v>716</v>
      </c>
      <c r="R1050" t="s">
        <v>461</v>
      </c>
      <c r="S1050" t="s">
        <v>12</v>
      </c>
      <c r="T1050" t="s">
        <v>12</v>
      </c>
      <c r="U1050" t="s">
        <v>12</v>
      </c>
      <c r="V1050" t="s">
        <v>12</v>
      </c>
      <c r="W1050" t="s">
        <v>12</v>
      </c>
      <c r="X1050" t="s">
        <v>12</v>
      </c>
      <c r="Y1050" t="s">
        <v>12</v>
      </c>
      <c r="Z1050" t="s">
        <v>12</v>
      </c>
      <c r="AA1050" t="s">
        <v>12</v>
      </c>
      <c r="AB1050" t="s">
        <v>12</v>
      </c>
      <c r="AC1050" t="s">
        <v>12</v>
      </c>
      <c r="AD1050" t="s">
        <v>12</v>
      </c>
    </row>
    <row r="1051" spans="1:30">
      <c r="A1051" t="s">
        <v>750</v>
      </c>
      <c r="B1051" t="str">
        <f>Master_Data_Productivity[[#This Row],[Uniq-ID]]&amp;"-"&amp;Master_Data_Productivity[[#This Row],[Period]]</f>
        <v>PE-Project_Engineer-019-M1</v>
      </c>
      <c r="C1051" t="s">
        <v>751</v>
      </c>
      <c r="D1051" t="s">
        <v>48</v>
      </c>
      <c r="E1051" t="s">
        <v>13</v>
      </c>
      <c r="F1051" t="s">
        <v>14</v>
      </c>
      <c r="G1051" t="s">
        <v>15</v>
      </c>
      <c r="H1051" t="s">
        <v>719</v>
      </c>
      <c r="J1051">
        <v>1</v>
      </c>
      <c r="K1051" t="s">
        <v>12</v>
      </c>
      <c r="L1051" t="s">
        <v>12</v>
      </c>
      <c r="M1051" t="s">
        <v>12</v>
      </c>
      <c r="Q1051" t="s">
        <v>716</v>
      </c>
      <c r="R1051" t="s">
        <v>468</v>
      </c>
      <c r="S1051" t="s">
        <v>12</v>
      </c>
      <c r="T1051" t="s">
        <v>12</v>
      </c>
      <c r="U1051" t="s">
        <v>12</v>
      </c>
      <c r="V1051" t="s">
        <v>12</v>
      </c>
      <c r="W1051" t="s">
        <v>12</v>
      </c>
      <c r="X1051" t="s">
        <v>12</v>
      </c>
      <c r="Y1051" t="s">
        <v>4032</v>
      </c>
      <c r="Z1051" t="s">
        <v>4033</v>
      </c>
      <c r="AA1051" t="s">
        <v>4034</v>
      </c>
      <c r="AB1051" t="s">
        <v>12</v>
      </c>
      <c r="AC1051" t="s">
        <v>3592</v>
      </c>
      <c r="AD1051" t="s">
        <v>4035</v>
      </c>
    </row>
    <row r="1052" spans="1:30">
      <c r="A1052" t="s">
        <v>750</v>
      </c>
      <c r="B1052" t="str">
        <f>Master_Data_Productivity[[#This Row],[Uniq-ID]]&amp;"-"&amp;Master_Data_Productivity[[#This Row],[Period]]</f>
        <v>PE-Project_Engineer-019-M2</v>
      </c>
      <c r="C1052" t="s">
        <v>751</v>
      </c>
      <c r="D1052" t="s">
        <v>48</v>
      </c>
      <c r="E1052" t="s">
        <v>18</v>
      </c>
      <c r="F1052" t="s">
        <v>19</v>
      </c>
      <c r="G1052" t="s">
        <v>15</v>
      </c>
      <c r="H1052" t="s">
        <v>16</v>
      </c>
      <c r="J1052">
        <v>1.5</v>
      </c>
      <c r="K1052" t="s">
        <v>12</v>
      </c>
      <c r="L1052" t="s">
        <v>12</v>
      </c>
      <c r="M1052" t="s">
        <v>12</v>
      </c>
      <c r="Q1052" t="s">
        <v>716</v>
      </c>
      <c r="R1052" t="s">
        <v>468</v>
      </c>
      <c r="S1052" t="s">
        <v>12</v>
      </c>
      <c r="T1052" t="s">
        <v>12</v>
      </c>
      <c r="U1052" t="s">
        <v>12</v>
      </c>
      <c r="V1052" t="s">
        <v>12</v>
      </c>
      <c r="W1052" t="s">
        <v>12</v>
      </c>
      <c r="X1052" t="s">
        <v>12</v>
      </c>
      <c r="Y1052" t="s">
        <v>4036</v>
      </c>
      <c r="Z1052" t="s">
        <v>4037</v>
      </c>
      <c r="AA1052" t="s">
        <v>4038</v>
      </c>
      <c r="AB1052" t="s">
        <v>12</v>
      </c>
      <c r="AC1052" t="s">
        <v>4039</v>
      </c>
      <c r="AD1052" t="s">
        <v>4040</v>
      </c>
    </row>
    <row r="1053" spans="1:30">
      <c r="A1053" t="s">
        <v>750</v>
      </c>
      <c r="B1053" t="str">
        <f>Master_Data_Productivity[[#This Row],[Uniq-ID]]&amp;"-"&amp;Master_Data_Productivity[[#This Row],[Period]]</f>
        <v>PE-Project_Engineer-019-M3</v>
      </c>
      <c r="C1053" t="s">
        <v>751</v>
      </c>
      <c r="D1053" t="s">
        <v>48</v>
      </c>
      <c r="E1053" t="s">
        <v>22</v>
      </c>
      <c r="F1053" t="s">
        <v>23</v>
      </c>
      <c r="G1053" t="s">
        <v>15</v>
      </c>
      <c r="H1053" t="s">
        <v>16</v>
      </c>
      <c r="J1053">
        <v>1.5</v>
      </c>
      <c r="K1053" t="s">
        <v>12</v>
      </c>
      <c r="L1053" t="s">
        <v>12</v>
      </c>
      <c r="M1053" t="s">
        <v>12</v>
      </c>
      <c r="Q1053" t="s">
        <v>716</v>
      </c>
      <c r="R1053" t="s">
        <v>468</v>
      </c>
      <c r="S1053" t="s">
        <v>12</v>
      </c>
      <c r="T1053" t="s">
        <v>12</v>
      </c>
      <c r="U1053" t="s">
        <v>12</v>
      </c>
      <c r="V1053" t="s">
        <v>12</v>
      </c>
      <c r="W1053" t="s">
        <v>12</v>
      </c>
      <c r="X1053" t="s">
        <v>12</v>
      </c>
      <c r="Y1053" t="s">
        <v>4041</v>
      </c>
      <c r="Z1053" t="s">
        <v>4042</v>
      </c>
      <c r="AA1053" t="s">
        <v>4043</v>
      </c>
      <c r="AB1053" t="s">
        <v>12</v>
      </c>
      <c r="AC1053" t="s">
        <v>4044</v>
      </c>
      <c r="AD1053" t="s">
        <v>4045</v>
      </c>
    </row>
    <row r="1054" spans="1:30">
      <c r="A1054" t="s">
        <v>750</v>
      </c>
      <c r="B1054" t="str">
        <f>Master_Data_Productivity[[#This Row],[Uniq-ID]]&amp;"-"&amp;Master_Data_Productivity[[#This Row],[Period]]</f>
        <v>PE-Project_Engineer-019-M4</v>
      </c>
      <c r="C1054" t="s">
        <v>751</v>
      </c>
      <c r="D1054" t="s">
        <v>48</v>
      </c>
      <c r="E1054" t="s">
        <v>25</v>
      </c>
      <c r="F1054" t="s">
        <v>26</v>
      </c>
      <c r="G1054" t="s">
        <v>15</v>
      </c>
      <c r="H1054" t="s">
        <v>16</v>
      </c>
      <c r="J1054">
        <v>1.5</v>
      </c>
      <c r="K1054" t="s">
        <v>12</v>
      </c>
      <c r="L1054" t="s">
        <v>12</v>
      </c>
      <c r="M1054" t="s">
        <v>12</v>
      </c>
      <c r="Q1054" t="s">
        <v>716</v>
      </c>
      <c r="R1054" t="s">
        <v>468</v>
      </c>
      <c r="S1054" t="s">
        <v>12</v>
      </c>
      <c r="T1054" t="s">
        <v>12</v>
      </c>
      <c r="U1054" t="s">
        <v>12</v>
      </c>
      <c r="V1054" t="s">
        <v>12</v>
      </c>
      <c r="W1054" t="s">
        <v>12</v>
      </c>
      <c r="X1054" t="s">
        <v>12</v>
      </c>
      <c r="Y1054" t="s">
        <v>4046</v>
      </c>
      <c r="Z1054" t="s">
        <v>4047</v>
      </c>
      <c r="AA1054" t="s">
        <v>4048</v>
      </c>
      <c r="AB1054" t="s">
        <v>12</v>
      </c>
      <c r="AC1054" t="s">
        <v>4049</v>
      </c>
      <c r="AD1054" t="s">
        <v>4050</v>
      </c>
    </row>
    <row r="1055" spans="1:30">
      <c r="A1055" t="s">
        <v>750</v>
      </c>
      <c r="B1055" t="str">
        <f>Master_Data_Productivity[[#This Row],[Uniq-ID]]&amp;"-"&amp;Master_Data_Productivity[[#This Row],[Period]]</f>
        <v>PE-Project_Engineer-019-M5</v>
      </c>
      <c r="C1055" t="s">
        <v>751</v>
      </c>
      <c r="D1055" t="s">
        <v>48</v>
      </c>
      <c r="E1055" t="s">
        <v>28</v>
      </c>
      <c r="F1055" t="s">
        <v>29</v>
      </c>
      <c r="G1055" t="s">
        <v>15</v>
      </c>
      <c r="H1055" t="s">
        <v>16</v>
      </c>
      <c r="J1055">
        <v>1.5</v>
      </c>
      <c r="K1055" t="s">
        <v>12</v>
      </c>
      <c r="L1055" t="s">
        <v>12</v>
      </c>
      <c r="M1055" t="s">
        <v>12</v>
      </c>
      <c r="Q1055" t="s">
        <v>716</v>
      </c>
      <c r="R1055" t="s">
        <v>468</v>
      </c>
      <c r="S1055" t="s">
        <v>12</v>
      </c>
      <c r="T1055" t="s">
        <v>12</v>
      </c>
      <c r="U1055" t="s">
        <v>12</v>
      </c>
      <c r="V1055" t="s">
        <v>12</v>
      </c>
      <c r="W1055" t="s">
        <v>12</v>
      </c>
      <c r="X1055" t="s">
        <v>12</v>
      </c>
      <c r="Y1055" t="s">
        <v>4051</v>
      </c>
      <c r="Z1055" t="s">
        <v>4052</v>
      </c>
      <c r="AA1055" t="s">
        <v>4053</v>
      </c>
      <c r="AB1055" t="s">
        <v>12</v>
      </c>
      <c r="AC1055" t="s">
        <v>3595</v>
      </c>
      <c r="AD1055" t="s">
        <v>4054</v>
      </c>
    </row>
    <row r="1056" spans="1:30">
      <c r="A1056" t="s">
        <v>750</v>
      </c>
      <c r="B1056" t="str">
        <f>Master_Data_Productivity[[#This Row],[Uniq-ID]]&amp;"-"&amp;Master_Data_Productivity[[#This Row],[Period]]</f>
        <v>PE-Project_Engineer-019-M6</v>
      </c>
      <c r="C1056" t="s">
        <v>751</v>
      </c>
      <c r="D1056" t="s">
        <v>48</v>
      </c>
      <c r="E1056" t="s">
        <v>31</v>
      </c>
      <c r="F1056" t="s">
        <v>32</v>
      </c>
      <c r="G1056" t="s">
        <v>33</v>
      </c>
      <c r="H1056" t="s">
        <v>44</v>
      </c>
      <c r="K1056" t="s">
        <v>12</v>
      </c>
      <c r="L1056" t="s">
        <v>12</v>
      </c>
      <c r="M1056" t="s">
        <v>12</v>
      </c>
      <c r="Q1056" t="s">
        <v>716</v>
      </c>
      <c r="R1056" t="s">
        <v>468</v>
      </c>
      <c r="S1056" t="s">
        <v>12</v>
      </c>
      <c r="T1056" t="s">
        <v>12</v>
      </c>
      <c r="U1056" t="s">
        <v>12</v>
      </c>
      <c r="V1056" t="s">
        <v>12</v>
      </c>
      <c r="W1056" t="s">
        <v>12</v>
      </c>
      <c r="X1056" t="s">
        <v>12</v>
      </c>
      <c r="Y1056" t="s">
        <v>12</v>
      </c>
      <c r="Z1056" t="s">
        <v>12</v>
      </c>
      <c r="AA1056" t="s">
        <v>12</v>
      </c>
      <c r="AB1056" t="s">
        <v>12</v>
      </c>
      <c r="AC1056" t="s">
        <v>12</v>
      </c>
      <c r="AD1056" t="s">
        <v>12</v>
      </c>
    </row>
    <row r="1057" spans="1:30">
      <c r="A1057" t="s">
        <v>786</v>
      </c>
      <c r="B1057" t="str">
        <f>Master_Data_Productivity[[#This Row],[Uniq-ID]]&amp;"-"&amp;Master_Data_Productivity[[#This Row],[Period]]</f>
        <v>PE-Project_Engineer-059-M1</v>
      </c>
      <c r="C1057" t="s">
        <v>787</v>
      </c>
      <c r="D1057" t="s">
        <v>76</v>
      </c>
      <c r="E1057" t="s">
        <v>13</v>
      </c>
      <c r="F1057" t="s">
        <v>26</v>
      </c>
      <c r="G1057" t="s">
        <v>15</v>
      </c>
      <c r="H1057" t="s">
        <v>719</v>
      </c>
      <c r="J1057">
        <v>1</v>
      </c>
      <c r="K1057" t="s">
        <v>12</v>
      </c>
      <c r="L1057" t="s">
        <v>12</v>
      </c>
      <c r="M1057" t="s">
        <v>12</v>
      </c>
      <c r="Q1057" t="s">
        <v>716</v>
      </c>
      <c r="R1057" t="s">
        <v>446</v>
      </c>
      <c r="S1057" t="s">
        <v>12</v>
      </c>
      <c r="T1057" t="s">
        <v>12</v>
      </c>
      <c r="U1057" t="s">
        <v>12</v>
      </c>
      <c r="V1057" t="s">
        <v>12</v>
      </c>
      <c r="W1057" t="s">
        <v>12</v>
      </c>
      <c r="X1057" t="s">
        <v>12</v>
      </c>
      <c r="Y1057" t="s">
        <v>4055</v>
      </c>
      <c r="Z1057" t="s">
        <v>3873</v>
      </c>
      <c r="AA1057" t="s">
        <v>3897</v>
      </c>
      <c r="AB1057" t="s">
        <v>12</v>
      </c>
      <c r="AC1057" t="s">
        <v>4056</v>
      </c>
      <c r="AD1057" t="s">
        <v>4057</v>
      </c>
    </row>
    <row r="1058" spans="1:30">
      <c r="A1058" t="s">
        <v>786</v>
      </c>
      <c r="B1058" t="str">
        <f>Master_Data_Productivity[[#This Row],[Uniq-ID]]&amp;"-"&amp;Master_Data_Productivity[[#This Row],[Period]]</f>
        <v>PE-Project_Engineer-059-M2</v>
      </c>
      <c r="C1058" t="s">
        <v>787</v>
      </c>
      <c r="D1058" t="s">
        <v>76</v>
      </c>
      <c r="E1058" t="s">
        <v>18</v>
      </c>
      <c r="F1058" t="s">
        <v>29</v>
      </c>
      <c r="G1058" t="s">
        <v>15</v>
      </c>
      <c r="H1058" t="s">
        <v>16</v>
      </c>
      <c r="J1058">
        <v>1.22</v>
      </c>
      <c r="K1058" t="s">
        <v>12</v>
      </c>
      <c r="L1058" t="s">
        <v>12</v>
      </c>
      <c r="M1058" t="s">
        <v>12</v>
      </c>
      <c r="Q1058" t="s">
        <v>716</v>
      </c>
      <c r="R1058" t="s">
        <v>446</v>
      </c>
      <c r="S1058" t="s">
        <v>12</v>
      </c>
      <c r="T1058" t="s">
        <v>12</v>
      </c>
      <c r="U1058" t="s">
        <v>12</v>
      </c>
      <c r="V1058" t="s">
        <v>12</v>
      </c>
      <c r="W1058" t="s">
        <v>12</v>
      </c>
      <c r="X1058" t="s">
        <v>12</v>
      </c>
      <c r="Y1058" t="s">
        <v>3569</v>
      </c>
      <c r="Z1058" t="s">
        <v>3780</v>
      </c>
      <c r="AA1058" t="s">
        <v>4058</v>
      </c>
      <c r="AB1058" t="s">
        <v>12</v>
      </c>
      <c r="AC1058" t="s">
        <v>4059</v>
      </c>
      <c r="AD1058" t="s">
        <v>4060</v>
      </c>
    </row>
    <row r="1059" spans="1:30">
      <c r="A1059" t="s">
        <v>786</v>
      </c>
      <c r="B1059" t="str">
        <f>Master_Data_Productivity[[#This Row],[Uniq-ID]]&amp;"-"&amp;Master_Data_Productivity[[#This Row],[Period]]</f>
        <v>PE-Project_Engineer-059-M3</v>
      </c>
      <c r="C1059" t="s">
        <v>787</v>
      </c>
      <c r="D1059" t="s">
        <v>76</v>
      </c>
      <c r="E1059" t="s">
        <v>22</v>
      </c>
      <c r="F1059" t="s">
        <v>32</v>
      </c>
      <c r="G1059" t="s">
        <v>33</v>
      </c>
      <c r="H1059" t="s">
        <v>44</v>
      </c>
      <c r="J1059">
        <v>0.5</v>
      </c>
      <c r="K1059" t="s">
        <v>12</v>
      </c>
      <c r="L1059" t="s">
        <v>12</v>
      </c>
      <c r="M1059" t="s">
        <v>12</v>
      </c>
      <c r="Q1059" t="s">
        <v>716</v>
      </c>
      <c r="R1059" t="s">
        <v>446</v>
      </c>
      <c r="S1059" t="s">
        <v>12</v>
      </c>
      <c r="T1059" t="s">
        <v>12</v>
      </c>
      <c r="U1059" t="s">
        <v>12</v>
      </c>
      <c r="V1059" t="s">
        <v>12</v>
      </c>
      <c r="W1059" t="s">
        <v>12</v>
      </c>
      <c r="X1059" t="s">
        <v>12</v>
      </c>
      <c r="Y1059" t="s">
        <v>12</v>
      </c>
      <c r="Z1059" t="s">
        <v>12</v>
      </c>
      <c r="AA1059" t="s">
        <v>3500</v>
      </c>
      <c r="AB1059" t="s">
        <v>12</v>
      </c>
      <c r="AC1059" t="s">
        <v>12</v>
      </c>
      <c r="AD1059" t="s">
        <v>3500</v>
      </c>
    </row>
    <row r="1060" spans="1:30">
      <c r="A1060" t="s">
        <v>752</v>
      </c>
      <c r="B1060" t="str">
        <f>Master_Data_Productivity[[#This Row],[Uniq-ID]]&amp;"-"&amp;Master_Data_Productivity[[#This Row],[Period]]</f>
        <v>PE-Project_Engineer-012-M1</v>
      </c>
      <c r="C1060" t="s">
        <v>753</v>
      </c>
      <c r="D1060" t="s">
        <v>48</v>
      </c>
      <c r="E1060" t="s">
        <v>13</v>
      </c>
      <c r="F1060" t="s">
        <v>122</v>
      </c>
      <c r="G1060" t="s">
        <v>15</v>
      </c>
      <c r="H1060" t="s">
        <v>719</v>
      </c>
      <c r="J1060">
        <v>1</v>
      </c>
      <c r="K1060" t="s">
        <v>12</v>
      </c>
      <c r="L1060" t="s">
        <v>12</v>
      </c>
      <c r="M1060" t="s">
        <v>12</v>
      </c>
      <c r="Q1060" t="s">
        <v>716</v>
      </c>
      <c r="R1060" t="s">
        <v>446</v>
      </c>
      <c r="S1060" t="s">
        <v>12</v>
      </c>
      <c r="T1060" t="s">
        <v>12</v>
      </c>
      <c r="U1060" t="s">
        <v>12</v>
      </c>
      <c r="V1060" t="s">
        <v>12</v>
      </c>
      <c r="W1060" t="s">
        <v>12</v>
      </c>
      <c r="X1060" t="s">
        <v>12</v>
      </c>
      <c r="Y1060" t="s">
        <v>3741</v>
      </c>
      <c r="Z1060" t="s">
        <v>3722</v>
      </c>
      <c r="AA1060" t="s">
        <v>3834</v>
      </c>
      <c r="AB1060" t="s">
        <v>12</v>
      </c>
      <c r="AC1060" t="s">
        <v>4061</v>
      </c>
      <c r="AD1060" t="s">
        <v>4062</v>
      </c>
    </row>
    <row r="1061" spans="1:30">
      <c r="A1061" t="s">
        <v>752</v>
      </c>
      <c r="B1061" t="str">
        <f>Master_Data_Productivity[[#This Row],[Uniq-ID]]&amp;"-"&amp;Master_Data_Productivity[[#This Row],[Period]]</f>
        <v>PE-Project_Engineer-012-M2</v>
      </c>
      <c r="C1061" t="s">
        <v>753</v>
      </c>
      <c r="D1061" t="s">
        <v>48</v>
      </c>
      <c r="E1061" t="s">
        <v>18</v>
      </c>
      <c r="F1061" t="s">
        <v>124</v>
      </c>
      <c r="G1061" t="s">
        <v>15</v>
      </c>
      <c r="H1061" t="s">
        <v>719</v>
      </c>
      <c r="J1061">
        <v>1</v>
      </c>
      <c r="K1061" t="s">
        <v>12</v>
      </c>
      <c r="L1061" t="s">
        <v>12</v>
      </c>
      <c r="M1061" t="s">
        <v>12</v>
      </c>
      <c r="Q1061" t="s">
        <v>716</v>
      </c>
      <c r="R1061" t="s">
        <v>446</v>
      </c>
      <c r="S1061" t="s">
        <v>12</v>
      </c>
      <c r="T1061" t="s">
        <v>12</v>
      </c>
      <c r="U1061" t="s">
        <v>12</v>
      </c>
      <c r="V1061" t="s">
        <v>12</v>
      </c>
      <c r="W1061" t="s">
        <v>12</v>
      </c>
      <c r="X1061" t="s">
        <v>12</v>
      </c>
      <c r="Y1061" t="s">
        <v>4063</v>
      </c>
      <c r="Z1061" t="s">
        <v>4064</v>
      </c>
      <c r="AA1061" t="s">
        <v>4065</v>
      </c>
      <c r="AB1061" t="s">
        <v>12</v>
      </c>
      <c r="AC1061" t="s">
        <v>3929</v>
      </c>
      <c r="AD1061" t="s">
        <v>4066</v>
      </c>
    </row>
    <row r="1062" spans="1:30">
      <c r="A1062" t="s">
        <v>752</v>
      </c>
      <c r="B1062" t="str">
        <f>Master_Data_Productivity[[#This Row],[Uniq-ID]]&amp;"-"&amp;Master_Data_Productivity[[#This Row],[Period]]</f>
        <v>PE-Project_Engineer-012-M3</v>
      </c>
      <c r="C1062" t="s">
        <v>753</v>
      </c>
      <c r="D1062" t="s">
        <v>48</v>
      </c>
      <c r="E1062" t="s">
        <v>22</v>
      </c>
      <c r="F1062" t="s">
        <v>126</v>
      </c>
      <c r="G1062" t="s">
        <v>15</v>
      </c>
      <c r="H1062" t="s">
        <v>719</v>
      </c>
      <c r="J1062">
        <v>1</v>
      </c>
      <c r="K1062" t="s">
        <v>12</v>
      </c>
      <c r="L1062" t="s">
        <v>12</v>
      </c>
      <c r="M1062" t="s">
        <v>12</v>
      </c>
      <c r="Q1062" t="s">
        <v>716</v>
      </c>
      <c r="R1062" t="s">
        <v>446</v>
      </c>
      <c r="S1062" t="s">
        <v>12</v>
      </c>
      <c r="T1062" t="s">
        <v>12</v>
      </c>
      <c r="U1062" t="s">
        <v>12</v>
      </c>
      <c r="V1062" t="s">
        <v>12</v>
      </c>
      <c r="W1062" t="s">
        <v>12</v>
      </c>
      <c r="X1062" t="s">
        <v>12</v>
      </c>
      <c r="Y1062" t="s">
        <v>3645</v>
      </c>
      <c r="Z1062" t="s">
        <v>3878</v>
      </c>
      <c r="AA1062" t="s">
        <v>3532</v>
      </c>
      <c r="AB1062" t="s">
        <v>12</v>
      </c>
      <c r="AC1062" t="s">
        <v>4063</v>
      </c>
      <c r="AD1062" t="s">
        <v>4067</v>
      </c>
    </row>
    <row r="1063" spans="1:30">
      <c r="A1063" t="s">
        <v>752</v>
      </c>
      <c r="B1063" t="str">
        <f>Master_Data_Productivity[[#This Row],[Uniq-ID]]&amp;"-"&amp;Master_Data_Productivity[[#This Row],[Period]]</f>
        <v>PE-Project_Engineer-012-M4</v>
      </c>
      <c r="C1063" t="s">
        <v>753</v>
      </c>
      <c r="D1063" t="s">
        <v>48</v>
      </c>
      <c r="E1063" t="s">
        <v>25</v>
      </c>
      <c r="F1063" t="s">
        <v>128</v>
      </c>
      <c r="G1063" t="s">
        <v>15</v>
      </c>
      <c r="H1063" t="s">
        <v>44</v>
      </c>
      <c r="J1063">
        <v>0.86</v>
      </c>
      <c r="K1063" t="s">
        <v>12</v>
      </c>
      <c r="L1063" t="s">
        <v>12</v>
      </c>
      <c r="M1063" t="s">
        <v>12</v>
      </c>
      <c r="Q1063" t="s">
        <v>716</v>
      </c>
      <c r="R1063" t="s">
        <v>446</v>
      </c>
      <c r="S1063" t="s">
        <v>12</v>
      </c>
      <c r="T1063" t="s">
        <v>12</v>
      </c>
      <c r="U1063" t="s">
        <v>12</v>
      </c>
      <c r="V1063" t="s">
        <v>12</v>
      </c>
      <c r="W1063" t="s">
        <v>12</v>
      </c>
      <c r="X1063" t="s">
        <v>12</v>
      </c>
      <c r="Y1063" t="s">
        <v>3544</v>
      </c>
      <c r="Z1063" t="s">
        <v>4068</v>
      </c>
      <c r="AA1063" t="s">
        <v>3627</v>
      </c>
      <c r="AB1063" t="s">
        <v>12</v>
      </c>
      <c r="AC1063" t="s">
        <v>4061</v>
      </c>
      <c r="AD1063" t="s">
        <v>4069</v>
      </c>
    </row>
    <row r="1064" spans="1:30">
      <c r="A1064" t="s">
        <v>752</v>
      </c>
      <c r="B1064" t="str">
        <f>Master_Data_Productivity[[#This Row],[Uniq-ID]]&amp;"-"&amp;Master_Data_Productivity[[#This Row],[Period]]</f>
        <v>PE-Project_Engineer-012-M5</v>
      </c>
      <c r="C1064" t="s">
        <v>753</v>
      </c>
      <c r="D1064" t="s">
        <v>48</v>
      </c>
      <c r="E1064" t="s">
        <v>28</v>
      </c>
      <c r="F1064" t="s">
        <v>130</v>
      </c>
      <c r="G1064" t="s">
        <v>15</v>
      </c>
      <c r="H1064" t="s">
        <v>719</v>
      </c>
      <c r="J1064">
        <v>1</v>
      </c>
      <c r="K1064" t="s">
        <v>12</v>
      </c>
      <c r="L1064" t="s">
        <v>12</v>
      </c>
      <c r="M1064" t="s">
        <v>12</v>
      </c>
      <c r="Q1064" t="s">
        <v>716</v>
      </c>
      <c r="R1064" t="s">
        <v>446</v>
      </c>
      <c r="S1064" t="s">
        <v>12</v>
      </c>
      <c r="T1064" t="s">
        <v>12</v>
      </c>
      <c r="U1064" t="s">
        <v>12</v>
      </c>
      <c r="V1064" t="s">
        <v>12</v>
      </c>
      <c r="W1064" t="s">
        <v>12</v>
      </c>
      <c r="X1064" t="s">
        <v>12</v>
      </c>
      <c r="Y1064" t="s">
        <v>3849</v>
      </c>
      <c r="Z1064" t="s">
        <v>4070</v>
      </c>
      <c r="AA1064" t="s">
        <v>4071</v>
      </c>
      <c r="AB1064" t="s">
        <v>12</v>
      </c>
      <c r="AC1064" t="s">
        <v>3732</v>
      </c>
      <c r="AD1064" t="s">
        <v>4072</v>
      </c>
    </row>
    <row r="1065" spans="1:30">
      <c r="A1065" t="s">
        <v>752</v>
      </c>
      <c r="B1065" t="str">
        <f>Master_Data_Productivity[[#This Row],[Uniq-ID]]&amp;"-"&amp;Master_Data_Productivity[[#This Row],[Period]]</f>
        <v>PE-Project_Engineer-012-M6</v>
      </c>
      <c r="C1065" t="s">
        <v>753</v>
      </c>
      <c r="D1065" t="s">
        <v>48</v>
      </c>
      <c r="E1065" t="s">
        <v>31</v>
      </c>
      <c r="F1065" t="s">
        <v>132</v>
      </c>
      <c r="G1065" t="s">
        <v>33</v>
      </c>
      <c r="H1065" t="s">
        <v>44</v>
      </c>
      <c r="K1065" t="s">
        <v>12</v>
      </c>
      <c r="L1065" t="s">
        <v>12</v>
      </c>
      <c r="M1065" t="s">
        <v>12</v>
      </c>
      <c r="Q1065" t="s">
        <v>716</v>
      </c>
      <c r="R1065" t="s">
        <v>446</v>
      </c>
      <c r="S1065" t="s">
        <v>12</v>
      </c>
      <c r="T1065" t="s">
        <v>12</v>
      </c>
      <c r="U1065" t="s">
        <v>12</v>
      </c>
      <c r="V1065" t="s">
        <v>12</v>
      </c>
      <c r="W1065" t="s">
        <v>12</v>
      </c>
      <c r="X1065" t="s">
        <v>12</v>
      </c>
      <c r="Y1065" t="s">
        <v>12</v>
      </c>
      <c r="Z1065" t="s">
        <v>12</v>
      </c>
      <c r="AA1065" t="s">
        <v>12</v>
      </c>
      <c r="AB1065" t="s">
        <v>12</v>
      </c>
      <c r="AC1065" t="s">
        <v>12</v>
      </c>
      <c r="AD1065" t="s">
        <v>12</v>
      </c>
    </row>
    <row r="1066" spans="1:30">
      <c r="A1066" t="s">
        <v>816</v>
      </c>
      <c r="B1066" t="str">
        <f>Master_Data_Productivity[[#This Row],[Uniq-ID]]&amp;"-"&amp;Master_Data_Productivity[[#This Row],[Period]]</f>
        <v>PE-Project_Engineer-030-M1</v>
      </c>
      <c r="C1066" t="s">
        <v>817</v>
      </c>
      <c r="D1066" t="s">
        <v>112</v>
      </c>
      <c r="E1066" t="s">
        <v>13</v>
      </c>
      <c r="F1066" t="s">
        <v>336</v>
      </c>
      <c r="G1066" t="s">
        <v>15</v>
      </c>
      <c r="H1066" t="s">
        <v>44</v>
      </c>
      <c r="J1066">
        <v>0.6</v>
      </c>
      <c r="K1066" t="s">
        <v>12</v>
      </c>
      <c r="L1066" t="s">
        <v>12</v>
      </c>
      <c r="M1066" t="s">
        <v>12</v>
      </c>
      <c r="Q1066" t="s">
        <v>716</v>
      </c>
      <c r="R1066" t="s">
        <v>475</v>
      </c>
      <c r="S1066" t="s">
        <v>12</v>
      </c>
      <c r="T1066" t="s">
        <v>12</v>
      </c>
      <c r="U1066" t="s">
        <v>12</v>
      </c>
      <c r="V1066" t="s">
        <v>12</v>
      </c>
      <c r="W1066" t="s">
        <v>12</v>
      </c>
      <c r="X1066" t="s">
        <v>12</v>
      </c>
      <c r="Y1066" t="s">
        <v>3732</v>
      </c>
      <c r="Z1066" t="s">
        <v>4073</v>
      </c>
      <c r="AA1066" t="s">
        <v>3728</v>
      </c>
      <c r="AB1066" t="s">
        <v>12</v>
      </c>
      <c r="AC1066" t="s">
        <v>12</v>
      </c>
      <c r="AD1066" t="s">
        <v>3721</v>
      </c>
    </row>
    <row r="1067" spans="1:30">
      <c r="A1067" t="s">
        <v>816</v>
      </c>
      <c r="B1067" t="str">
        <f>Master_Data_Productivity[[#This Row],[Uniq-ID]]&amp;"-"&amp;Master_Data_Productivity[[#This Row],[Period]]</f>
        <v>PE-Project_Engineer-030-M2</v>
      </c>
      <c r="C1067" t="s">
        <v>817</v>
      </c>
      <c r="D1067" t="s">
        <v>112</v>
      </c>
      <c r="E1067" t="s">
        <v>18</v>
      </c>
      <c r="F1067" t="s">
        <v>337</v>
      </c>
      <c r="G1067" t="s">
        <v>15</v>
      </c>
      <c r="H1067" t="s">
        <v>719</v>
      </c>
      <c r="J1067">
        <v>1</v>
      </c>
      <c r="K1067" t="s">
        <v>12</v>
      </c>
      <c r="L1067" t="s">
        <v>12</v>
      </c>
      <c r="M1067" t="s">
        <v>12</v>
      </c>
      <c r="Q1067" t="s">
        <v>716</v>
      </c>
      <c r="R1067" t="s">
        <v>475</v>
      </c>
      <c r="S1067" t="s">
        <v>12</v>
      </c>
      <c r="T1067" t="s">
        <v>12</v>
      </c>
      <c r="U1067" t="s">
        <v>12</v>
      </c>
      <c r="V1067" t="s">
        <v>12</v>
      </c>
      <c r="W1067" t="s">
        <v>12</v>
      </c>
      <c r="X1067" t="s">
        <v>12</v>
      </c>
      <c r="Y1067" t="s">
        <v>4073</v>
      </c>
      <c r="Z1067" t="s">
        <v>4074</v>
      </c>
      <c r="AA1067" t="s">
        <v>3583</v>
      </c>
      <c r="AB1067" t="s">
        <v>12</v>
      </c>
      <c r="AC1067" t="s">
        <v>12</v>
      </c>
      <c r="AD1067" t="s">
        <v>4075</v>
      </c>
    </row>
    <row r="1068" spans="1:30">
      <c r="A1068" t="s">
        <v>816</v>
      </c>
      <c r="B1068" t="str">
        <f>Master_Data_Productivity[[#This Row],[Uniq-ID]]&amp;"-"&amp;Master_Data_Productivity[[#This Row],[Period]]</f>
        <v>PE-Project_Engineer-030-M3</v>
      </c>
      <c r="C1068" t="s">
        <v>817</v>
      </c>
      <c r="D1068" t="s">
        <v>112</v>
      </c>
      <c r="E1068" t="s">
        <v>22</v>
      </c>
      <c r="F1068" t="s">
        <v>338</v>
      </c>
      <c r="G1068" t="s">
        <v>15</v>
      </c>
      <c r="H1068" t="s">
        <v>719</v>
      </c>
      <c r="J1068">
        <v>1</v>
      </c>
      <c r="K1068" t="s">
        <v>12</v>
      </c>
      <c r="L1068" t="s">
        <v>12</v>
      </c>
      <c r="M1068" t="s">
        <v>12</v>
      </c>
      <c r="Q1068" t="s">
        <v>716</v>
      </c>
      <c r="R1068" t="s">
        <v>475</v>
      </c>
      <c r="S1068" t="s">
        <v>12</v>
      </c>
      <c r="T1068" t="s">
        <v>12</v>
      </c>
      <c r="U1068" t="s">
        <v>12</v>
      </c>
      <c r="V1068" t="s">
        <v>12</v>
      </c>
      <c r="W1068" t="s">
        <v>12</v>
      </c>
      <c r="X1068" t="s">
        <v>12</v>
      </c>
      <c r="Y1068" t="s">
        <v>3535</v>
      </c>
      <c r="Z1068" t="s">
        <v>4076</v>
      </c>
      <c r="AA1068" t="s">
        <v>3539</v>
      </c>
      <c r="AB1068" t="s">
        <v>12</v>
      </c>
      <c r="AC1068" t="s">
        <v>12</v>
      </c>
      <c r="AD1068" t="s">
        <v>3827</v>
      </c>
    </row>
    <row r="1069" spans="1:30">
      <c r="A1069" t="s">
        <v>816</v>
      </c>
      <c r="B1069" t="str">
        <f>Master_Data_Productivity[[#This Row],[Uniq-ID]]&amp;"-"&amp;Master_Data_Productivity[[#This Row],[Period]]</f>
        <v>PE-Project_Engineer-030-M4</v>
      </c>
      <c r="C1069" t="s">
        <v>817</v>
      </c>
      <c r="D1069" t="s">
        <v>112</v>
      </c>
      <c r="E1069" t="s">
        <v>25</v>
      </c>
      <c r="F1069" t="s">
        <v>339</v>
      </c>
      <c r="G1069" t="s">
        <v>33</v>
      </c>
      <c r="H1069" t="s">
        <v>44</v>
      </c>
      <c r="J1069">
        <v>0.89</v>
      </c>
      <c r="K1069" t="s">
        <v>12</v>
      </c>
      <c r="L1069" t="s">
        <v>12</v>
      </c>
      <c r="M1069" t="s">
        <v>12</v>
      </c>
      <c r="Q1069" t="s">
        <v>716</v>
      </c>
      <c r="R1069" t="s">
        <v>475</v>
      </c>
      <c r="S1069" t="s">
        <v>12</v>
      </c>
      <c r="T1069" t="s">
        <v>12</v>
      </c>
      <c r="U1069" t="s">
        <v>12</v>
      </c>
      <c r="V1069" t="s">
        <v>12</v>
      </c>
      <c r="W1069" t="s">
        <v>12</v>
      </c>
      <c r="X1069" t="s">
        <v>12</v>
      </c>
      <c r="Y1069" t="s">
        <v>4017</v>
      </c>
      <c r="Z1069" t="s">
        <v>3535</v>
      </c>
      <c r="AA1069" t="s">
        <v>12</v>
      </c>
      <c r="AB1069" t="s">
        <v>12</v>
      </c>
      <c r="AC1069" t="s">
        <v>12</v>
      </c>
      <c r="AD1069" t="s">
        <v>4077</v>
      </c>
    </row>
    <row r="1070" spans="1:30">
      <c r="A1070" t="s">
        <v>878</v>
      </c>
      <c r="B1070" t="str">
        <f>Master_Data_Productivity[[#This Row],[Uniq-ID]]&amp;"-"&amp;Master_Data_Productivity[[#This Row],[Period]]</f>
        <v>PE-Project_Engineer-020-M1</v>
      </c>
      <c r="C1070" t="s">
        <v>879</v>
      </c>
      <c r="D1070" t="s">
        <v>48</v>
      </c>
      <c r="E1070" t="s">
        <v>13</v>
      </c>
      <c r="F1070" t="s">
        <v>14</v>
      </c>
      <c r="G1070" t="s">
        <v>15</v>
      </c>
      <c r="H1070" t="s">
        <v>44</v>
      </c>
      <c r="K1070" t="s">
        <v>12</v>
      </c>
      <c r="L1070" t="s">
        <v>12</v>
      </c>
      <c r="M1070" t="s">
        <v>12</v>
      </c>
      <c r="Q1070" t="s">
        <v>716</v>
      </c>
      <c r="R1070" t="s">
        <v>446</v>
      </c>
      <c r="S1070" t="s">
        <v>12</v>
      </c>
      <c r="T1070" t="s">
        <v>12</v>
      </c>
      <c r="U1070" t="s">
        <v>12</v>
      </c>
      <c r="V1070" t="s">
        <v>12</v>
      </c>
      <c r="W1070" t="s">
        <v>12</v>
      </c>
      <c r="X1070" t="s">
        <v>12</v>
      </c>
      <c r="Y1070" t="s">
        <v>12</v>
      </c>
      <c r="Z1070" t="s">
        <v>12</v>
      </c>
      <c r="AA1070" t="s">
        <v>12</v>
      </c>
      <c r="AB1070" t="s">
        <v>12</v>
      </c>
      <c r="AC1070" t="s">
        <v>12</v>
      </c>
      <c r="AD1070" t="s">
        <v>12</v>
      </c>
    </row>
    <row r="1071" spans="1:30">
      <c r="A1071" t="s">
        <v>878</v>
      </c>
      <c r="B1071" t="str">
        <f>Master_Data_Productivity[[#This Row],[Uniq-ID]]&amp;"-"&amp;Master_Data_Productivity[[#This Row],[Period]]</f>
        <v>PE-Project_Engineer-020-M2</v>
      </c>
      <c r="C1071" t="s">
        <v>879</v>
      </c>
      <c r="D1071" t="s">
        <v>48</v>
      </c>
      <c r="E1071" t="s">
        <v>18</v>
      </c>
      <c r="F1071" t="s">
        <v>19</v>
      </c>
      <c r="G1071" t="s">
        <v>15</v>
      </c>
      <c r="H1071" t="s">
        <v>44</v>
      </c>
      <c r="K1071" t="s">
        <v>12</v>
      </c>
      <c r="L1071" t="s">
        <v>12</v>
      </c>
      <c r="M1071" t="s">
        <v>12</v>
      </c>
      <c r="Q1071" t="s">
        <v>716</v>
      </c>
      <c r="R1071" t="s">
        <v>446</v>
      </c>
      <c r="S1071" t="s">
        <v>12</v>
      </c>
      <c r="T1071" t="s">
        <v>12</v>
      </c>
      <c r="U1071" t="s">
        <v>12</v>
      </c>
      <c r="V1071" t="s">
        <v>12</v>
      </c>
      <c r="W1071" t="s">
        <v>12</v>
      </c>
      <c r="X1071" t="s">
        <v>12</v>
      </c>
      <c r="Y1071" t="s">
        <v>12</v>
      </c>
      <c r="Z1071" t="s">
        <v>12</v>
      </c>
      <c r="AA1071" t="s">
        <v>12</v>
      </c>
      <c r="AB1071" t="s">
        <v>12</v>
      </c>
      <c r="AC1071" t="s">
        <v>12</v>
      </c>
      <c r="AD1071" t="s">
        <v>12</v>
      </c>
    </row>
    <row r="1072" spans="1:30">
      <c r="A1072" t="s">
        <v>878</v>
      </c>
      <c r="B1072" t="str">
        <f>Master_Data_Productivity[[#This Row],[Uniq-ID]]&amp;"-"&amp;Master_Data_Productivity[[#This Row],[Period]]</f>
        <v>PE-Project_Engineer-020-M3</v>
      </c>
      <c r="C1072" t="s">
        <v>879</v>
      </c>
      <c r="D1072" t="s">
        <v>48</v>
      </c>
      <c r="E1072" t="s">
        <v>22</v>
      </c>
      <c r="F1072" t="s">
        <v>23</v>
      </c>
      <c r="G1072" t="s">
        <v>15</v>
      </c>
      <c r="H1072" t="s">
        <v>44</v>
      </c>
      <c r="K1072" t="s">
        <v>12</v>
      </c>
      <c r="L1072" t="s">
        <v>12</v>
      </c>
      <c r="M1072" t="s">
        <v>12</v>
      </c>
      <c r="Q1072" t="s">
        <v>716</v>
      </c>
      <c r="R1072" t="s">
        <v>446</v>
      </c>
      <c r="S1072" t="s">
        <v>12</v>
      </c>
      <c r="T1072" t="s">
        <v>12</v>
      </c>
      <c r="U1072" t="s">
        <v>12</v>
      </c>
      <c r="V1072" t="s">
        <v>12</v>
      </c>
      <c r="W1072" t="s">
        <v>12</v>
      </c>
      <c r="X1072" t="s">
        <v>12</v>
      </c>
      <c r="Y1072" t="s">
        <v>12</v>
      </c>
      <c r="Z1072" t="s">
        <v>12</v>
      </c>
      <c r="AA1072" t="s">
        <v>12</v>
      </c>
      <c r="AB1072" t="s">
        <v>12</v>
      </c>
      <c r="AC1072" t="s">
        <v>12</v>
      </c>
      <c r="AD1072" t="s">
        <v>12</v>
      </c>
    </row>
    <row r="1073" spans="1:30">
      <c r="A1073" t="s">
        <v>878</v>
      </c>
      <c r="B1073" t="str">
        <f>Master_Data_Productivity[[#This Row],[Uniq-ID]]&amp;"-"&amp;Master_Data_Productivity[[#This Row],[Period]]</f>
        <v>PE-Project_Engineer-020-M4</v>
      </c>
      <c r="C1073" t="s">
        <v>879</v>
      </c>
      <c r="D1073" t="s">
        <v>48</v>
      </c>
      <c r="E1073" t="s">
        <v>25</v>
      </c>
      <c r="F1073" t="s">
        <v>26</v>
      </c>
      <c r="G1073" t="s">
        <v>15</v>
      </c>
      <c r="H1073" t="s">
        <v>44</v>
      </c>
      <c r="K1073" t="s">
        <v>12</v>
      </c>
      <c r="L1073" t="s">
        <v>12</v>
      </c>
      <c r="M1073" t="s">
        <v>12</v>
      </c>
      <c r="Q1073" t="s">
        <v>716</v>
      </c>
      <c r="R1073" t="s">
        <v>446</v>
      </c>
      <c r="S1073" t="s">
        <v>12</v>
      </c>
      <c r="T1073" t="s">
        <v>12</v>
      </c>
      <c r="U1073" t="s">
        <v>12</v>
      </c>
      <c r="V1073" t="s">
        <v>12</v>
      </c>
      <c r="W1073" t="s">
        <v>12</v>
      </c>
      <c r="X1073" t="s">
        <v>12</v>
      </c>
      <c r="Y1073" t="s">
        <v>12</v>
      </c>
      <c r="Z1073" t="s">
        <v>12</v>
      </c>
      <c r="AA1073" t="s">
        <v>12</v>
      </c>
      <c r="AB1073" t="s">
        <v>12</v>
      </c>
      <c r="AC1073" t="s">
        <v>12</v>
      </c>
      <c r="AD1073" t="s">
        <v>12</v>
      </c>
    </row>
    <row r="1074" spans="1:30">
      <c r="A1074" t="s">
        <v>878</v>
      </c>
      <c r="B1074" t="str">
        <f>Master_Data_Productivity[[#This Row],[Uniq-ID]]&amp;"-"&amp;Master_Data_Productivity[[#This Row],[Period]]</f>
        <v>PE-Project_Engineer-020-M5</v>
      </c>
      <c r="C1074" t="s">
        <v>879</v>
      </c>
      <c r="D1074" t="s">
        <v>48</v>
      </c>
      <c r="E1074" t="s">
        <v>28</v>
      </c>
      <c r="F1074" t="s">
        <v>29</v>
      </c>
      <c r="G1074" t="s">
        <v>15</v>
      </c>
      <c r="H1074" t="s">
        <v>44</v>
      </c>
      <c r="K1074" t="s">
        <v>12</v>
      </c>
      <c r="L1074" t="s">
        <v>12</v>
      </c>
      <c r="M1074" t="s">
        <v>12</v>
      </c>
      <c r="Q1074" t="s">
        <v>716</v>
      </c>
      <c r="R1074" t="s">
        <v>446</v>
      </c>
      <c r="S1074" t="s">
        <v>12</v>
      </c>
      <c r="T1074" t="s">
        <v>12</v>
      </c>
      <c r="U1074" t="s">
        <v>12</v>
      </c>
      <c r="V1074" t="s">
        <v>12</v>
      </c>
      <c r="W1074" t="s">
        <v>12</v>
      </c>
      <c r="X1074" t="s">
        <v>12</v>
      </c>
      <c r="Y1074" t="s">
        <v>12</v>
      </c>
      <c r="Z1074" t="s">
        <v>12</v>
      </c>
      <c r="AA1074" t="s">
        <v>12</v>
      </c>
      <c r="AB1074" t="s">
        <v>12</v>
      </c>
      <c r="AC1074" t="s">
        <v>12</v>
      </c>
      <c r="AD1074" t="s">
        <v>12</v>
      </c>
    </row>
    <row r="1075" spans="1:30">
      <c r="A1075" t="s">
        <v>878</v>
      </c>
      <c r="B1075" t="str">
        <f>Master_Data_Productivity[[#This Row],[Uniq-ID]]&amp;"-"&amp;Master_Data_Productivity[[#This Row],[Period]]</f>
        <v>PE-Project_Engineer-020-M6</v>
      </c>
      <c r="C1075" t="s">
        <v>879</v>
      </c>
      <c r="D1075" t="s">
        <v>48</v>
      </c>
      <c r="E1075" t="s">
        <v>31</v>
      </c>
      <c r="F1075" t="s">
        <v>32</v>
      </c>
      <c r="G1075" t="s">
        <v>33</v>
      </c>
      <c r="H1075" t="s">
        <v>44</v>
      </c>
      <c r="K1075" t="s">
        <v>12</v>
      </c>
      <c r="L1075" t="s">
        <v>12</v>
      </c>
      <c r="M1075" t="s">
        <v>12</v>
      </c>
      <c r="Q1075" t="s">
        <v>716</v>
      </c>
      <c r="R1075" t="s">
        <v>446</v>
      </c>
      <c r="S1075" t="s">
        <v>12</v>
      </c>
      <c r="T1075" t="s">
        <v>12</v>
      </c>
      <c r="U1075" t="s">
        <v>12</v>
      </c>
      <c r="V1075" t="s">
        <v>12</v>
      </c>
      <c r="W1075" t="s">
        <v>12</v>
      </c>
      <c r="X1075" t="s">
        <v>12</v>
      </c>
      <c r="Y1075" t="s">
        <v>12</v>
      </c>
      <c r="Z1075" t="s">
        <v>12</v>
      </c>
      <c r="AA1075" t="s">
        <v>12</v>
      </c>
      <c r="AB1075" t="s">
        <v>12</v>
      </c>
      <c r="AC1075" t="s">
        <v>12</v>
      </c>
      <c r="AD1075" t="s">
        <v>12</v>
      </c>
    </row>
    <row r="1076" spans="1:30">
      <c r="A1076" t="s">
        <v>825</v>
      </c>
      <c r="B1076" t="str">
        <f>Master_Data_Productivity[[#This Row],[Uniq-ID]]&amp;"-"&amp;Master_Data_Productivity[[#This Row],[Period]]</f>
        <v>PE-Project_Engineer-083-M1</v>
      </c>
      <c r="C1076" t="s">
        <v>826</v>
      </c>
      <c r="D1076" t="s">
        <v>76</v>
      </c>
      <c r="E1076" t="s">
        <v>13</v>
      </c>
      <c r="F1076" t="s">
        <v>26</v>
      </c>
      <c r="G1076" t="s">
        <v>15</v>
      </c>
      <c r="H1076" t="s">
        <v>44</v>
      </c>
      <c r="K1076" t="s">
        <v>12</v>
      </c>
      <c r="L1076" t="s">
        <v>12</v>
      </c>
      <c r="M1076" t="s">
        <v>12</v>
      </c>
      <c r="Q1076" t="s">
        <v>716</v>
      </c>
      <c r="R1076" t="s">
        <v>461</v>
      </c>
      <c r="S1076" t="s">
        <v>12</v>
      </c>
      <c r="T1076" t="s">
        <v>12</v>
      </c>
      <c r="U1076" t="s">
        <v>12</v>
      </c>
      <c r="V1076" t="s">
        <v>12</v>
      </c>
      <c r="W1076" t="s">
        <v>12</v>
      </c>
      <c r="X1076" t="s">
        <v>12</v>
      </c>
      <c r="Y1076" t="s">
        <v>12</v>
      </c>
      <c r="Z1076" t="s">
        <v>12</v>
      </c>
      <c r="AA1076" t="s">
        <v>12</v>
      </c>
      <c r="AB1076" t="s">
        <v>12</v>
      </c>
      <c r="AC1076" t="s">
        <v>12</v>
      </c>
      <c r="AD1076" t="s">
        <v>12</v>
      </c>
    </row>
    <row r="1077" spans="1:30">
      <c r="A1077" t="s">
        <v>825</v>
      </c>
      <c r="B1077" t="str">
        <f>Master_Data_Productivity[[#This Row],[Uniq-ID]]&amp;"-"&amp;Master_Data_Productivity[[#This Row],[Period]]</f>
        <v>PE-Project_Engineer-083-M2</v>
      </c>
      <c r="C1077" t="s">
        <v>826</v>
      </c>
      <c r="D1077" t="s">
        <v>76</v>
      </c>
      <c r="E1077" t="s">
        <v>18</v>
      </c>
      <c r="F1077" t="s">
        <v>29</v>
      </c>
      <c r="G1077" t="s">
        <v>15</v>
      </c>
      <c r="H1077" t="s">
        <v>44</v>
      </c>
      <c r="K1077" t="s">
        <v>12</v>
      </c>
      <c r="L1077" t="s">
        <v>12</v>
      </c>
      <c r="M1077" t="s">
        <v>12</v>
      </c>
      <c r="Q1077" t="s">
        <v>716</v>
      </c>
      <c r="R1077" t="s">
        <v>461</v>
      </c>
      <c r="S1077" t="s">
        <v>12</v>
      </c>
      <c r="T1077" t="s">
        <v>12</v>
      </c>
      <c r="U1077" t="s">
        <v>12</v>
      </c>
      <c r="V1077" t="s">
        <v>12</v>
      </c>
      <c r="W1077" t="s">
        <v>12</v>
      </c>
      <c r="X1077" t="s">
        <v>12</v>
      </c>
      <c r="Y1077" t="s">
        <v>12</v>
      </c>
      <c r="Z1077" t="s">
        <v>12</v>
      </c>
      <c r="AA1077" t="s">
        <v>12</v>
      </c>
      <c r="AB1077" t="s">
        <v>12</v>
      </c>
      <c r="AC1077" t="s">
        <v>12</v>
      </c>
      <c r="AD1077" t="s">
        <v>12</v>
      </c>
    </row>
    <row r="1078" spans="1:30">
      <c r="A1078" t="s">
        <v>825</v>
      </c>
      <c r="B1078" t="str">
        <f>Master_Data_Productivity[[#This Row],[Uniq-ID]]&amp;"-"&amp;Master_Data_Productivity[[#This Row],[Period]]</f>
        <v>PE-Project_Engineer-083-M3</v>
      </c>
      <c r="C1078" t="s">
        <v>826</v>
      </c>
      <c r="D1078" t="s">
        <v>76</v>
      </c>
      <c r="E1078" t="s">
        <v>22</v>
      </c>
      <c r="F1078" t="s">
        <v>32</v>
      </c>
      <c r="G1078" t="s">
        <v>33</v>
      </c>
      <c r="H1078" t="s">
        <v>44</v>
      </c>
      <c r="K1078" t="s">
        <v>12</v>
      </c>
      <c r="L1078" t="s">
        <v>12</v>
      </c>
      <c r="M1078" t="s">
        <v>12</v>
      </c>
      <c r="Q1078" t="s">
        <v>716</v>
      </c>
      <c r="R1078" t="s">
        <v>461</v>
      </c>
      <c r="S1078" t="s">
        <v>12</v>
      </c>
      <c r="T1078" t="s">
        <v>12</v>
      </c>
      <c r="U1078" t="s">
        <v>12</v>
      </c>
      <c r="V1078" t="s">
        <v>12</v>
      </c>
      <c r="W1078" t="s">
        <v>12</v>
      </c>
      <c r="X1078" t="s">
        <v>12</v>
      </c>
      <c r="Y1078" t="s">
        <v>12</v>
      </c>
      <c r="Z1078" t="s">
        <v>12</v>
      </c>
      <c r="AA1078" t="s">
        <v>12</v>
      </c>
      <c r="AB1078" t="s">
        <v>12</v>
      </c>
      <c r="AC1078" t="s">
        <v>12</v>
      </c>
      <c r="AD1078" t="s">
        <v>12</v>
      </c>
    </row>
    <row r="1079" spans="1:30">
      <c r="A1079" t="s">
        <v>831</v>
      </c>
      <c r="B1079" t="str">
        <f>Master_Data_Productivity[[#This Row],[Uniq-ID]]&amp;"-"&amp;Master_Data_Productivity[[#This Row],[Period]]</f>
        <v>PE-Project_Engineer-081-M1</v>
      </c>
      <c r="C1079" t="s">
        <v>832</v>
      </c>
      <c r="D1079" t="s">
        <v>48</v>
      </c>
      <c r="E1079" t="s">
        <v>13</v>
      </c>
      <c r="F1079" t="s">
        <v>807</v>
      </c>
      <c r="G1079" t="s">
        <v>15</v>
      </c>
      <c r="H1079" t="s">
        <v>44</v>
      </c>
      <c r="K1079" t="s">
        <v>12</v>
      </c>
      <c r="L1079" t="s">
        <v>12</v>
      </c>
      <c r="M1079" t="s">
        <v>12</v>
      </c>
      <c r="Q1079" t="s">
        <v>716</v>
      </c>
      <c r="R1079" t="s">
        <v>446</v>
      </c>
      <c r="S1079" t="s">
        <v>12</v>
      </c>
      <c r="T1079" t="s">
        <v>12</v>
      </c>
      <c r="U1079" t="s">
        <v>12</v>
      </c>
      <c r="V1079" t="s">
        <v>12</v>
      </c>
      <c r="W1079" t="s">
        <v>12</v>
      </c>
      <c r="X1079" t="s">
        <v>12</v>
      </c>
      <c r="Y1079" t="s">
        <v>12</v>
      </c>
      <c r="Z1079" t="s">
        <v>12</v>
      </c>
      <c r="AA1079" t="s">
        <v>12</v>
      </c>
      <c r="AB1079" t="s">
        <v>12</v>
      </c>
      <c r="AC1079" t="s">
        <v>12</v>
      </c>
      <c r="AD1079" t="s">
        <v>12</v>
      </c>
    </row>
    <row r="1080" spans="1:30">
      <c r="A1080" t="s">
        <v>831</v>
      </c>
      <c r="B1080" t="str">
        <f>Master_Data_Productivity[[#This Row],[Uniq-ID]]&amp;"-"&amp;Master_Data_Productivity[[#This Row],[Period]]</f>
        <v>PE-Project_Engineer-081-M2</v>
      </c>
      <c r="C1080" t="s">
        <v>832</v>
      </c>
      <c r="D1080" t="s">
        <v>48</v>
      </c>
      <c r="E1080" t="s">
        <v>18</v>
      </c>
      <c r="F1080" t="s">
        <v>464</v>
      </c>
      <c r="G1080" t="s">
        <v>15</v>
      </c>
      <c r="H1080" t="s">
        <v>44</v>
      </c>
      <c r="K1080" t="s">
        <v>12</v>
      </c>
      <c r="L1080" t="s">
        <v>12</v>
      </c>
      <c r="M1080" t="s">
        <v>12</v>
      </c>
      <c r="Q1080" t="s">
        <v>716</v>
      </c>
      <c r="R1080" t="s">
        <v>446</v>
      </c>
      <c r="S1080" t="s">
        <v>12</v>
      </c>
      <c r="T1080" t="s">
        <v>12</v>
      </c>
      <c r="U1080" t="s">
        <v>12</v>
      </c>
      <c r="V1080" t="s">
        <v>12</v>
      </c>
      <c r="W1080" t="s">
        <v>12</v>
      </c>
      <c r="X1080" t="s">
        <v>12</v>
      </c>
      <c r="Y1080" t="s">
        <v>12</v>
      </c>
      <c r="Z1080" t="s">
        <v>12</v>
      </c>
      <c r="AA1080" t="s">
        <v>12</v>
      </c>
      <c r="AB1080" t="s">
        <v>12</v>
      </c>
      <c r="AC1080" t="s">
        <v>12</v>
      </c>
      <c r="AD1080" t="s">
        <v>12</v>
      </c>
    </row>
    <row r="1081" spans="1:30">
      <c r="A1081" t="s">
        <v>831</v>
      </c>
      <c r="B1081" t="str">
        <f>Master_Data_Productivity[[#This Row],[Uniq-ID]]&amp;"-"&amp;Master_Data_Productivity[[#This Row],[Period]]</f>
        <v>PE-Project_Engineer-081-M3</v>
      </c>
      <c r="C1081" t="s">
        <v>832</v>
      </c>
      <c r="D1081" t="s">
        <v>48</v>
      </c>
      <c r="E1081" t="s">
        <v>22</v>
      </c>
      <c r="F1081" t="s">
        <v>465</v>
      </c>
      <c r="G1081" t="s">
        <v>33</v>
      </c>
      <c r="H1081" t="s">
        <v>44</v>
      </c>
      <c r="K1081" t="s">
        <v>12</v>
      </c>
      <c r="L1081" t="s">
        <v>12</v>
      </c>
      <c r="M1081" t="s">
        <v>12</v>
      </c>
      <c r="Q1081" t="s">
        <v>716</v>
      </c>
      <c r="R1081" t="s">
        <v>446</v>
      </c>
      <c r="S1081" t="s">
        <v>12</v>
      </c>
      <c r="T1081" t="s">
        <v>12</v>
      </c>
      <c r="U1081" t="s">
        <v>12</v>
      </c>
      <c r="V1081" t="s">
        <v>12</v>
      </c>
      <c r="W1081" t="s">
        <v>12</v>
      </c>
      <c r="X1081" t="s">
        <v>12</v>
      </c>
      <c r="Y1081" t="s">
        <v>12</v>
      </c>
      <c r="Z1081" t="s">
        <v>12</v>
      </c>
      <c r="AA1081" t="s">
        <v>12</v>
      </c>
      <c r="AB1081" t="s">
        <v>12</v>
      </c>
      <c r="AC1081" t="s">
        <v>12</v>
      </c>
      <c r="AD1081" t="s">
        <v>12</v>
      </c>
    </row>
    <row r="1082" spans="1:30">
      <c r="A1082" t="s">
        <v>831</v>
      </c>
      <c r="B1082" t="str">
        <f>Master_Data_Productivity[[#This Row],[Uniq-ID]]&amp;"-"&amp;Master_Data_Productivity[[#This Row],[Period]]</f>
        <v>PE-Project_Engineer-081-M4</v>
      </c>
      <c r="C1082" t="s">
        <v>832</v>
      </c>
      <c r="D1082" t="s">
        <v>48</v>
      </c>
      <c r="E1082" t="s">
        <v>25</v>
      </c>
      <c r="F1082" t="s">
        <v>3448</v>
      </c>
      <c r="G1082" t="s">
        <v>225</v>
      </c>
      <c r="H1082" t="s">
        <v>44</v>
      </c>
      <c r="K1082" t="s">
        <v>12</v>
      </c>
      <c r="L1082" t="s">
        <v>12</v>
      </c>
      <c r="M1082" t="s">
        <v>12</v>
      </c>
      <c r="Q1082" t="s">
        <v>716</v>
      </c>
      <c r="R1082" t="s">
        <v>446</v>
      </c>
      <c r="S1082" t="s">
        <v>12</v>
      </c>
      <c r="T1082" t="s">
        <v>12</v>
      </c>
      <c r="U1082" t="s">
        <v>12</v>
      </c>
      <c r="V1082" t="s">
        <v>12</v>
      </c>
      <c r="W1082" t="s">
        <v>12</v>
      </c>
      <c r="X1082" t="s">
        <v>12</v>
      </c>
      <c r="Y1082" t="s">
        <v>12</v>
      </c>
      <c r="Z1082" t="s">
        <v>12</v>
      </c>
      <c r="AA1082" t="s">
        <v>12</v>
      </c>
      <c r="AB1082" t="s">
        <v>12</v>
      </c>
      <c r="AC1082" t="s">
        <v>12</v>
      </c>
      <c r="AD1082" t="s">
        <v>12</v>
      </c>
    </row>
    <row r="1083" spans="1:30">
      <c r="A1083" t="s">
        <v>841</v>
      </c>
      <c r="B1083" t="str">
        <f>Master_Data_Productivity[[#This Row],[Uniq-ID]]&amp;"-"&amp;Master_Data_Productivity[[#This Row],[Period]]</f>
        <v>PE-Project_Engineer-079-M1</v>
      </c>
      <c r="C1083" t="s">
        <v>842</v>
      </c>
      <c r="D1083" t="s">
        <v>290</v>
      </c>
      <c r="E1083" t="s">
        <v>13</v>
      </c>
      <c r="F1083" t="s">
        <v>531</v>
      </c>
      <c r="G1083" t="s">
        <v>15</v>
      </c>
      <c r="H1083" t="s">
        <v>44</v>
      </c>
      <c r="K1083" t="s">
        <v>12</v>
      </c>
      <c r="L1083" t="s">
        <v>12</v>
      </c>
      <c r="M1083" t="s">
        <v>12</v>
      </c>
      <c r="Q1083" t="s">
        <v>716</v>
      </c>
      <c r="R1083" t="s">
        <v>446</v>
      </c>
      <c r="S1083" t="s">
        <v>12</v>
      </c>
      <c r="T1083" t="s">
        <v>12</v>
      </c>
      <c r="U1083" t="s">
        <v>12</v>
      </c>
      <c r="V1083" t="s">
        <v>12</v>
      </c>
      <c r="W1083" t="s">
        <v>12</v>
      </c>
      <c r="X1083" t="s">
        <v>12</v>
      </c>
      <c r="Y1083" t="s">
        <v>12</v>
      </c>
      <c r="Z1083" t="s">
        <v>12</v>
      </c>
      <c r="AA1083" t="s">
        <v>12</v>
      </c>
      <c r="AB1083" t="s">
        <v>12</v>
      </c>
      <c r="AC1083" t="s">
        <v>12</v>
      </c>
      <c r="AD1083" t="s">
        <v>12</v>
      </c>
    </row>
    <row r="1084" spans="1:30">
      <c r="A1084" t="s">
        <v>841</v>
      </c>
      <c r="B1084" t="str">
        <f>Master_Data_Productivity[[#This Row],[Uniq-ID]]&amp;"-"&amp;Master_Data_Productivity[[#This Row],[Period]]</f>
        <v>PE-Project_Engineer-079-M2</v>
      </c>
      <c r="C1084" t="s">
        <v>842</v>
      </c>
      <c r="D1084" t="s">
        <v>290</v>
      </c>
      <c r="E1084" t="s">
        <v>18</v>
      </c>
      <c r="F1084" t="s">
        <v>302</v>
      </c>
      <c r="G1084" t="s">
        <v>15</v>
      </c>
      <c r="H1084" t="s">
        <v>44</v>
      </c>
      <c r="K1084" t="s">
        <v>12</v>
      </c>
      <c r="L1084" t="s">
        <v>12</v>
      </c>
      <c r="M1084" t="s">
        <v>12</v>
      </c>
      <c r="Q1084" t="s">
        <v>716</v>
      </c>
      <c r="R1084" t="s">
        <v>446</v>
      </c>
      <c r="S1084" t="s">
        <v>12</v>
      </c>
      <c r="T1084" t="s">
        <v>12</v>
      </c>
      <c r="U1084" t="s">
        <v>12</v>
      </c>
      <c r="V1084" t="s">
        <v>12</v>
      </c>
      <c r="W1084" t="s">
        <v>12</v>
      </c>
      <c r="X1084" t="s">
        <v>12</v>
      </c>
      <c r="Y1084" t="s">
        <v>12</v>
      </c>
      <c r="Z1084" t="s">
        <v>12</v>
      </c>
      <c r="AA1084" t="s">
        <v>12</v>
      </c>
      <c r="AB1084" t="s">
        <v>12</v>
      </c>
      <c r="AC1084" t="s">
        <v>12</v>
      </c>
      <c r="AD1084" t="s">
        <v>12</v>
      </c>
    </row>
    <row r="1085" spans="1:30">
      <c r="A1085" t="s">
        <v>841</v>
      </c>
      <c r="B1085" t="str">
        <f>Master_Data_Productivity[[#This Row],[Uniq-ID]]&amp;"-"&amp;Master_Data_Productivity[[#This Row],[Period]]</f>
        <v>PE-Project_Engineer-079-M3</v>
      </c>
      <c r="C1085" t="s">
        <v>842</v>
      </c>
      <c r="D1085" t="s">
        <v>290</v>
      </c>
      <c r="E1085" t="s">
        <v>22</v>
      </c>
      <c r="F1085" t="s">
        <v>303</v>
      </c>
      <c r="G1085" t="s">
        <v>33</v>
      </c>
      <c r="H1085" t="s">
        <v>44</v>
      </c>
      <c r="K1085" t="s">
        <v>12</v>
      </c>
      <c r="L1085" t="s">
        <v>12</v>
      </c>
      <c r="M1085" t="s">
        <v>12</v>
      </c>
      <c r="Q1085" t="s">
        <v>716</v>
      </c>
      <c r="R1085" t="s">
        <v>446</v>
      </c>
      <c r="S1085" t="s">
        <v>12</v>
      </c>
      <c r="T1085" t="s">
        <v>12</v>
      </c>
      <c r="U1085" t="s">
        <v>12</v>
      </c>
      <c r="V1085" t="s">
        <v>12</v>
      </c>
      <c r="W1085" t="s">
        <v>12</v>
      </c>
      <c r="X1085" t="s">
        <v>12</v>
      </c>
      <c r="Y1085" t="s">
        <v>12</v>
      </c>
      <c r="Z1085" t="s">
        <v>12</v>
      </c>
      <c r="AA1085" t="s">
        <v>12</v>
      </c>
      <c r="AB1085" t="s">
        <v>12</v>
      </c>
      <c r="AC1085" t="s">
        <v>12</v>
      </c>
      <c r="AD1085" t="s">
        <v>12</v>
      </c>
    </row>
    <row r="1086" spans="1:30">
      <c r="A1086" t="s">
        <v>843</v>
      </c>
      <c r="B1086" t="str">
        <f>Master_Data_Productivity[[#This Row],[Uniq-ID]]&amp;"-"&amp;Master_Data_Productivity[[#This Row],[Period]]</f>
        <v>PE-Project_Engineer-078-M1</v>
      </c>
      <c r="C1086" t="s">
        <v>844</v>
      </c>
      <c r="D1086" t="s">
        <v>48</v>
      </c>
      <c r="E1086" t="s">
        <v>13</v>
      </c>
      <c r="F1086" t="s">
        <v>531</v>
      </c>
      <c r="G1086" t="s">
        <v>15</v>
      </c>
      <c r="H1086" t="s">
        <v>44</v>
      </c>
      <c r="K1086" t="s">
        <v>12</v>
      </c>
      <c r="L1086" t="s">
        <v>12</v>
      </c>
      <c r="M1086" t="s">
        <v>12</v>
      </c>
      <c r="Q1086" t="s">
        <v>716</v>
      </c>
      <c r="R1086" t="s">
        <v>475</v>
      </c>
      <c r="S1086" t="s">
        <v>12</v>
      </c>
      <c r="T1086" t="s">
        <v>12</v>
      </c>
      <c r="U1086" t="s">
        <v>12</v>
      </c>
      <c r="V1086" t="s">
        <v>12</v>
      </c>
      <c r="W1086" t="s">
        <v>12</v>
      </c>
      <c r="X1086" t="s">
        <v>12</v>
      </c>
      <c r="Y1086" t="s">
        <v>12</v>
      </c>
      <c r="Z1086" t="s">
        <v>12</v>
      </c>
      <c r="AA1086" t="s">
        <v>12</v>
      </c>
      <c r="AB1086" t="s">
        <v>12</v>
      </c>
      <c r="AC1086" t="s">
        <v>12</v>
      </c>
      <c r="AD1086" t="s">
        <v>12</v>
      </c>
    </row>
    <row r="1087" spans="1:30">
      <c r="A1087" t="s">
        <v>843</v>
      </c>
      <c r="B1087" t="str">
        <f>Master_Data_Productivity[[#This Row],[Uniq-ID]]&amp;"-"&amp;Master_Data_Productivity[[#This Row],[Period]]</f>
        <v>PE-Project_Engineer-078-M2</v>
      </c>
      <c r="C1087" t="s">
        <v>844</v>
      </c>
      <c r="D1087" t="s">
        <v>48</v>
      </c>
      <c r="E1087" t="s">
        <v>18</v>
      </c>
      <c r="F1087" t="s">
        <v>302</v>
      </c>
      <c r="G1087" t="s">
        <v>15</v>
      </c>
      <c r="H1087" t="s">
        <v>44</v>
      </c>
      <c r="K1087" t="s">
        <v>12</v>
      </c>
      <c r="L1087" t="s">
        <v>12</v>
      </c>
      <c r="M1087" t="s">
        <v>12</v>
      </c>
      <c r="Q1087" t="s">
        <v>716</v>
      </c>
      <c r="R1087" t="s">
        <v>475</v>
      </c>
      <c r="S1087" t="s">
        <v>12</v>
      </c>
      <c r="T1087" t="s">
        <v>12</v>
      </c>
      <c r="U1087" t="s">
        <v>12</v>
      </c>
      <c r="V1087" t="s">
        <v>12</v>
      </c>
      <c r="W1087" t="s">
        <v>12</v>
      </c>
      <c r="X1087" t="s">
        <v>12</v>
      </c>
      <c r="Y1087" t="s">
        <v>12</v>
      </c>
      <c r="Z1087" t="s">
        <v>12</v>
      </c>
      <c r="AA1087" t="s">
        <v>12</v>
      </c>
      <c r="AB1087" t="s">
        <v>12</v>
      </c>
      <c r="AC1087" t="s">
        <v>12</v>
      </c>
      <c r="AD1087" t="s">
        <v>12</v>
      </c>
    </row>
    <row r="1088" spans="1:30">
      <c r="A1088" t="s">
        <v>843</v>
      </c>
      <c r="B1088" t="str">
        <f>Master_Data_Productivity[[#This Row],[Uniq-ID]]&amp;"-"&amp;Master_Data_Productivity[[#This Row],[Period]]</f>
        <v>PE-Project_Engineer-078-M3</v>
      </c>
      <c r="C1088" t="s">
        <v>844</v>
      </c>
      <c r="D1088" t="s">
        <v>48</v>
      </c>
      <c r="E1088" t="s">
        <v>22</v>
      </c>
      <c r="F1088" t="s">
        <v>303</v>
      </c>
      <c r="G1088" t="s">
        <v>33</v>
      </c>
      <c r="H1088" t="s">
        <v>44</v>
      </c>
      <c r="K1088" t="s">
        <v>12</v>
      </c>
      <c r="L1088" t="s">
        <v>12</v>
      </c>
      <c r="M1088" t="s">
        <v>12</v>
      </c>
      <c r="Q1088" t="s">
        <v>716</v>
      </c>
      <c r="R1088" t="s">
        <v>475</v>
      </c>
      <c r="S1088" t="s">
        <v>12</v>
      </c>
      <c r="T1088" t="s">
        <v>12</v>
      </c>
      <c r="U1088" t="s">
        <v>12</v>
      </c>
      <c r="V1088" t="s">
        <v>12</v>
      </c>
      <c r="W1088" t="s">
        <v>12</v>
      </c>
      <c r="X1088" t="s">
        <v>12</v>
      </c>
      <c r="Y1088" t="s">
        <v>12</v>
      </c>
      <c r="Z1088" t="s">
        <v>12</v>
      </c>
      <c r="AA1088" t="s">
        <v>12</v>
      </c>
      <c r="AB1088" t="s">
        <v>12</v>
      </c>
      <c r="AC1088" t="s">
        <v>12</v>
      </c>
      <c r="AD1088" t="s">
        <v>12</v>
      </c>
    </row>
    <row r="1089" spans="1:30">
      <c r="A1089" t="s">
        <v>848</v>
      </c>
      <c r="B1089" t="str">
        <f>Master_Data_Productivity[[#This Row],[Uniq-ID]]&amp;"-"&amp;Master_Data_Productivity[[#This Row],[Period]]</f>
        <v>PE-Project_Engineer-077-M1</v>
      </c>
      <c r="C1089" t="s">
        <v>849</v>
      </c>
      <c r="D1089" t="s">
        <v>290</v>
      </c>
      <c r="E1089" t="s">
        <v>13</v>
      </c>
      <c r="F1089" t="s">
        <v>14</v>
      </c>
      <c r="G1089" t="s">
        <v>15</v>
      </c>
      <c r="H1089" t="s">
        <v>44</v>
      </c>
      <c r="K1089" t="s">
        <v>12</v>
      </c>
      <c r="L1089" t="s">
        <v>12</v>
      </c>
      <c r="M1089" t="s">
        <v>12</v>
      </c>
      <c r="Q1089" t="s">
        <v>716</v>
      </c>
      <c r="R1089" t="s">
        <v>446</v>
      </c>
      <c r="S1089" t="s">
        <v>12</v>
      </c>
      <c r="T1089" t="s">
        <v>12</v>
      </c>
      <c r="U1089" t="s">
        <v>12</v>
      </c>
      <c r="V1089" t="s">
        <v>12</v>
      </c>
      <c r="W1089" t="s">
        <v>12</v>
      </c>
      <c r="X1089" t="s">
        <v>12</v>
      </c>
      <c r="Y1089" t="s">
        <v>12</v>
      </c>
      <c r="Z1089" t="s">
        <v>12</v>
      </c>
      <c r="AA1089" t="s">
        <v>12</v>
      </c>
      <c r="AB1089" t="s">
        <v>12</v>
      </c>
      <c r="AC1089" t="s">
        <v>12</v>
      </c>
      <c r="AD1089" t="s">
        <v>12</v>
      </c>
    </row>
    <row r="1090" spans="1:30">
      <c r="A1090" t="s">
        <v>848</v>
      </c>
      <c r="B1090" t="str">
        <f>Master_Data_Productivity[[#This Row],[Uniq-ID]]&amp;"-"&amp;Master_Data_Productivity[[#This Row],[Period]]</f>
        <v>PE-Project_Engineer-077-M2</v>
      </c>
      <c r="C1090" t="s">
        <v>849</v>
      </c>
      <c r="D1090" t="s">
        <v>290</v>
      </c>
      <c r="E1090" t="s">
        <v>18</v>
      </c>
      <c r="F1090" t="s">
        <v>19</v>
      </c>
      <c r="G1090" t="s">
        <v>15</v>
      </c>
      <c r="H1090" t="s">
        <v>44</v>
      </c>
      <c r="K1090" t="s">
        <v>12</v>
      </c>
      <c r="L1090" t="s">
        <v>12</v>
      </c>
      <c r="M1090" t="s">
        <v>12</v>
      </c>
      <c r="Q1090" t="s">
        <v>716</v>
      </c>
      <c r="R1090" t="s">
        <v>446</v>
      </c>
      <c r="S1090" t="s">
        <v>12</v>
      </c>
      <c r="T1090" t="s">
        <v>12</v>
      </c>
      <c r="U1090" t="s">
        <v>12</v>
      </c>
      <c r="V1090" t="s">
        <v>12</v>
      </c>
      <c r="W1090" t="s">
        <v>12</v>
      </c>
      <c r="X1090" t="s">
        <v>12</v>
      </c>
      <c r="Y1090" t="s">
        <v>12</v>
      </c>
      <c r="Z1090" t="s">
        <v>12</v>
      </c>
      <c r="AA1090" t="s">
        <v>12</v>
      </c>
      <c r="AB1090" t="s">
        <v>12</v>
      </c>
      <c r="AC1090" t="s">
        <v>12</v>
      </c>
      <c r="AD1090" t="s">
        <v>12</v>
      </c>
    </row>
    <row r="1091" spans="1:30">
      <c r="A1091" t="s">
        <v>848</v>
      </c>
      <c r="B1091" t="str">
        <f>Master_Data_Productivity[[#This Row],[Uniq-ID]]&amp;"-"&amp;Master_Data_Productivity[[#This Row],[Period]]</f>
        <v>PE-Project_Engineer-077-M3</v>
      </c>
      <c r="C1091" t="s">
        <v>849</v>
      </c>
      <c r="D1091" t="s">
        <v>290</v>
      </c>
      <c r="E1091" t="s">
        <v>22</v>
      </c>
      <c r="F1091" t="s">
        <v>23</v>
      </c>
      <c r="G1091" t="s">
        <v>15</v>
      </c>
      <c r="H1091" t="s">
        <v>44</v>
      </c>
      <c r="K1091" t="s">
        <v>12</v>
      </c>
      <c r="L1091" t="s">
        <v>12</v>
      </c>
      <c r="M1091" t="s">
        <v>12</v>
      </c>
      <c r="Q1091" t="s">
        <v>716</v>
      </c>
      <c r="R1091" t="s">
        <v>446</v>
      </c>
      <c r="S1091" t="s">
        <v>12</v>
      </c>
      <c r="T1091" t="s">
        <v>12</v>
      </c>
      <c r="U1091" t="s">
        <v>12</v>
      </c>
      <c r="V1091" t="s">
        <v>12</v>
      </c>
      <c r="W1091" t="s">
        <v>12</v>
      </c>
      <c r="X1091" t="s">
        <v>12</v>
      </c>
      <c r="Y1091" t="s">
        <v>12</v>
      </c>
      <c r="Z1091" t="s">
        <v>12</v>
      </c>
      <c r="AA1091" t="s">
        <v>12</v>
      </c>
      <c r="AB1091" t="s">
        <v>12</v>
      </c>
      <c r="AC1091" t="s">
        <v>12</v>
      </c>
      <c r="AD1091" t="s">
        <v>12</v>
      </c>
    </row>
    <row r="1092" spans="1:30">
      <c r="A1092" t="s">
        <v>848</v>
      </c>
      <c r="B1092" t="str">
        <f>Master_Data_Productivity[[#This Row],[Uniq-ID]]&amp;"-"&amp;Master_Data_Productivity[[#This Row],[Period]]</f>
        <v>PE-Project_Engineer-077-M4</v>
      </c>
      <c r="C1092" t="s">
        <v>849</v>
      </c>
      <c r="D1092" t="s">
        <v>290</v>
      </c>
      <c r="E1092" t="s">
        <v>25</v>
      </c>
      <c r="F1092" t="s">
        <v>26</v>
      </c>
      <c r="G1092" t="s">
        <v>15</v>
      </c>
      <c r="H1092" t="s">
        <v>44</v>
      </c>
      <c r="K1092" t="s">
        <v>12</v>
      </c>
      <c r="L1092" t="s">
        <v>12</v>
      </c>
      <c r="M1092" t="s">
        <v>12</v>
      </c>
      <c r="Q1092" t="s">
        <v>716</v>
      </c>
      <c r="R1092" t="s">
        <v>446</v>
      </c>
      <c r="S1092" t="s">
        <v>12</v>
      </c>
      <c r="T1092" t="s">
        <v>12</v>
      </c>
      <c r="U1092" t="s">
        <v>12</v>
      </c>
      <c r="V1092" t="s">
        <v>12</v>
      </c>
      <c r="W1092" t="s">
        <v>12</v>
      </c>
      <c r="X1092" t="s">
        <v>12</v>
      </c>
      <c r="Y1092" t="s">
        <v>12</v>
      </c>
      <c r="Z1092" t="s">
        <v>12</v>
      </c>
      <c r="AA1092" t="s">
        <v>12</v>
      </c>
      <c r="AB1092" t="s">
        <v>12</v>
      </c>
      <c r="AC1092" t="s">
        <v>12</v>
      </c>
      <c r="AD1092" t="s">
        <v>12</v>
      </c>
    </row>
    <row r="1093" spans="1:30">
      <c r="A1093" t="s">
        <v>848</v>
      </c>
      <c r="B1093" t="str">
        <f>Master_Data_Productivity[[#This Row],[Uniq-ID]]&amp;"-"&amp;Master_Data_Productivity[[#This Row],[Period]]</f>
        <v>PE-Project_Engineer-077-M5</v>
      </c>
      <c r="C1093" t="s">
        <v>849</v>
      </c>
      <c r="D1093" t="s">
        <v>290</v>
      </c>
      <c r="E1093" t="s">
        <v>28</v>
      </c>
      <c r="F1093" t="s">
        <v>29</v>
      </c>
      <c r="G1093" t="s">
        <v>15</v>
      </c>
      <c r="H1093" t="s">
        <v>44</v>
      </c>
      <c r="K1093" t="s">
        <v>12</v>
      </c>
      <c r="L1093" t="s">
        <v>12</v>
      </c>
      <c r="M1093" t="s">
        <v>12</v>
      </c>
      <c r="Q1093" t="s">
        <v>716</v>
      </c>
      <c r="R1093" t="s">
        <v>446</v>
      </c>
      <c r="S1093" t="s">
        <v>12</v>
      </c>
      <c r="T1093" t="s">
        <v>12</v>
      </c>
      <c r="U1093" t="s">
        <v>12</v>
      </c>
      <c r="V1093" t="s">
        <v>12</v>
      </c>
      <c r="W1093" t="s">
        <v>12</v>
      </c>
      <c r="X1093" t="s">
        <v>12</v>
      </c>
      <c r="Y1093" t="s">
        <v>12</v>
      </c>
      <c r="Z1093" t="s">
        <v>12</v>
      </c>
      <c r="AA1093" t="s">
        <v>12</v>
      </c>
      <c r="AB1093" t="s">
        <v>12</v>
      </c>
      <c r="AC1093" t="s">
        <v>12</v>
      </c>
      <c r="AD1093" t="s">
        <v>12</v>
      </c>
    </row>
    <row r="1094" spans="1:30">
      <c r="A1094" t="s">
        <v>848</v>
      </c>
      <c r="B1094" t="str">
        <f>Master_Data_Productivity[[#This Row],[Uniq-ID]]&amp;"-"&amp;Master_Data_Productivity[[#This Row],[Period]]</f>
        <v>PE-Project_Engineer-077-M6</v>
      </c>
      <c r="C1094" t="s">
        <v>849</v>
      </c>
      <c r="D1094" t="s">
        <v>290</v>
      </c>
      <c r="E1094" t="s">
        <v>31</v>
      </c>
      <c r="F1094" t="s">
        <v>32</v>
      </c>
      <c r="G1094" t="s">
        <v>33</v>
      </c>
      <c r="H1094" t="s">
        <v>44</v>
      </c>
      <c r="K1094" t="s">
        <v>12</v>
      </c>
      <c r="L1094" t="s">
        <v>12</v>
      </c>
      <c r="M1094" t="s">
        <v>12</v>
      </c>
      <c r="Q1094" t="s">
        <v>716</v>
      </c>
      <c r="R1094" t="s">
        <v>446</v>
      </c>
      <c r="S1094" t="s">
        <v>12</v>
      </c>
      <c r="T1094" t="s">
        <v>12</v>
      </c>
      <c r="U1094" t="s">
        <v>12</v>
      </c>
      <c r="V1094" t="s">
        <v>12</v>
      </c>
      <c r="W1094" t="s">
        <v>12</v>
      </c>
      <c r="X1094" t="s">
        <v>12</v>
      </c>
      <c r="Y1094" t="s">
        <v>12</v>
      </c>
      <c r="Z1094" t="s">
        <v>12</v>
      </c>
      <c r="AA1094" t="s">
        <v>12</v>
      </c>
      <c r="AB1094" t="s">
        <v>12</v>
      </c>
      <c r="AC1094" t="s">
        <v>12</v>
      </c>
      <c r="AD1094" t="s">
        <v>12</v>
      </c>
    </row>
    <row r="1095" spans="1:30">
      <c r="A1095" t="s">
        <v>850</v>
      </c>
      <c r="B1095" t="str">
        <f>Master_Data_Productivity[[#This Row],[Uniq-ID]]&amp;"-"&amp;Master_Data_Productivity[[#This Row],[Period]]</f>
        <v>PE-Project_Engineer-076-M1</v>
      </c>
      <c r="C1095" t="s">
        <v>851</v>
      </c>
      <c r="D1095" t="s">
        <v>290</v>
      </c>
      <c r="E1095" t="s">
        <v>13</v>
      </c>
      <c r="F1095" t="s">
        <v>14</v>
      </c>
      <c r="G1095" t="s">
        <v>15</v>
      </c>
      <c r="H1095" t="s">
        <v>44</v>
      </c>
      <c r="K1095" t="s">
        <v>12</v>
      </c>
      <c r="L1095" t="s">
        <v>12</v>
      </c>
      <c r="M1095" t="s">
        <v>12</v>
      </c>
      <c r="Q1095" t="s">
        <v>716</v>
      </c>
      <c r="R1095" t="s">
        <v>446</v>
      </c>
      <c r="S1095" t="s">
        <v>12</v>
      </c>
      <c r="T1095" t="s">
        <v>12</v>
      </c>
      <c r="U1095" t="s">
        <v>12</v>
      </c>
      <c r="V1095" t="s">
        <v>12</v>
      </c>
      <c r="W1095" t="s">
        <v>12</v>
      </c>
      <c r="X1095" t="s">
        <v>12</v>
      </c>
      <c r="Y1095" t="s">
        <v>12</v>
      </c>
      <c r="Z1095" t="s">
        <v>12</v>
      </c>
      <c r="AA1095" t="s">
        <v>12</v>
      </c>
      <c r="AB1095" t="s">
        <v>12</v>
      </c>
      <c r="AC1095" t="s">
        <v>12</v>
      </c>
      <c r="AD1095" t="s">
        <v>12</v>
      </c>
    </row>
    <row r="1096" spans="1:30">
      <c r="A1096" t="s">
        <v>850</v>
      </c>
      <c r="B1096" t="str">
        <f>Master_Data_Productivity[[#This Row],[Uniq-ID]]&amp;"-"&amp;Master_Data_Productivity[[#This Row],[Period]]</f>
        <v>PE-Project_Engineer-076-M2</v>
      </c>
      <c r="C1096" t="s">
        <v>851</v>
      </c>
      <c r="D1096" t="s">
        <v>290</v>
      </c>
      <c r="E1096" t="s">
        <v>18</v>
      </c>
      <c r="F1096" t="s">
        <v>19</v>
      </c>
      <c r="G1096" t="s">
        <v>15</v>
      </c>
      <c r="H1096" t="s">
        <v>44</v>
      </c>
      <c r="K1096" t="s">
        <v>12</v>
      </c>
      <c r="L1096" t="s">
        <v>12</v>
      </c>
      <c r="M1096" t="s">
        <v>12</v>
      </c>
      <c r="Q1096" t="s">
        <v>716</v>
      </c>
      <c r="R1096" t="s">
        <v>446</v>
      </c>
      <c r="S1096" t="s">
        <v>12</v>
      </c>
      <c r="T1096" t="s">
        <v>12</v>
      </c>
      <c r="U1096" t="s">
        <v>12</v>
      </c>
      <c r="V1096" t="s">
        <v>12</v>
      </c>
      <c r="W1096" t="s">
        <v>12</v>
      </c>
      <c r="X1096" t="s">
        <v>12</v>
      </c>
      <c r="Y1096" t="s">
        <v>12</v>
      </c>
      <c r="Z1096" t="s">
        <v>12</v>
      </c>
      <c r="AA1096" t="s">
        <v>12</v>
      </c>
      <c r="AB1096" t="s">
        <v>12</v>
      </c>
      <c r="AC1096" t="s">
        <v>12</v>
      </c>
      <c r="AD1096" t="s">
        <v>12</v>
      </c>
    </row>
    <row r="1097" spans="1:30">
      <c r="A1097" t="s">
        <v>850</v>
      </c>
      <c r="B1097" t="str">
        <f>Master_Data_Productivity[[#This Row],[Uniq-ID]]&amp;"-"&amp;Master_Data_Productivity[[#This Row],[Period]]</f>
        <v>PE-Project_Engineer-076-M3</v>
      </c>
      <c r="C1097" t="s">
        <v>851</v>
      </c>
      <c r="D1097" t="s">
        <v>290</v>
      </c>
      <c r="E1097" t="s">
        <v>22</v>
      </c>
      <c r="F1097" t="s">
        <v>23</v>
      </c>
      <c r="G1097" t="s">
        <v>15</v>
      </c>
      <c r="H1097" t="s">
        <v>44</v>
      </c>
      <c r="K1097" t="s">
        <v>12</v>
      </c>
      <c r="L1097" t="s">
        <v>12</v>
      </c>
      <c r="M1097" t="s">
        <v>12</v>
      </c>
      <c r="Q1097" t="s">
        <v>716</v>
      </c>
      <c r="R1097" t="s">
        <v>446</v>
      </c>
      <c r="S1097" t="s">
        <v>12</v>
      </c>
      <c r="T1097" t="s">
        <v>12</v>
      </c>
      <c r="U1097" t="s">
        <v>12</v>
      </c>
      <c r="V1097" t="s">
        <v>12</v>
      </c>
      <c r="W1097" t="s">
        <v>12</v>
      </c>
      <c r="X1097" t="s">
        <v>12</v>
      </c>
      <c r="Y1097" t="s">
        <v>12</v>
      </c>
      <c r="Z1097" t="s">
        <v>12</v>
      </c>
      <c r="AA1097" t="s">
        <v>12</v>
      </c>
      <c r="AB1097" t="s">
        <v>12</v>
      </c>
      <c r="AC1097" t="s">
        <v>12</v>
      </c>
      <c r="AD1097" t="s">
        <v>12</v>
      </c>
    </row>
    <row r="1098" spans="1:30">
      <c r="A1098" t="s">
        <v>850</v>
      </c>
      <c r="B1098" t="str">
        <f>Master_Data_Productivity[[#This Row],[Uniq-ID]]&amp;"-"&amp;Master_Data_Productivity[[#This Row],[Period]]</f>
        <v>PE-Project_Engineer-076-M4</v>
      </c>
      <c r="C1098" t="s">
        <v>851</v>
      </c>
      <c r="D1098" t="s">
        <v>290</v>
      </c>
      <c r="E1098" t="s">
        <v>25</v>
      </c>
      <c r="F1098" t="s">
        <v>26</v>
      </c>
      <c r="G1098" t="s">
        <v>15</v>
      </c>
      <c r="H1098" t="s">
        <v>44</v>
      </c>
      <c r="K1098" t="s">
        <v>12</v>
      </c>
      <c r="L1098" t="s">
        <v>12</v>
      </c>
      <c r="M1098" t="s">
        <v>12</v>
      </c>
      <c r="Q1098" t="s">
        <v>716</v>
      </c>
      <c r="R1098" t="s">
        <v>446</v>
      </c>
      <c r="S1098" t="s">
        <v>12</v>
      </c>
      <c r="T1098" t="s">
        <v>12</v>
      </c>
      <c r="U1098" t="s">
        <v>12</v>
      </c>
      <c r="V1098" t="s">
        <v>12</v>
      </c>
      <c r="W1098" t="s">
        <v>12</v>
      </c>
      <c r="X1098" t="s">
        <v>12</v>
      </c>
      <c r="Y1098" t="s">
        <v>12</v>
      </c>
      <c r="Z1098" t="s">
        <v>12</v>
      </c>
      <c r="AA1098" t="s">
        <v>12</v>
      </c>
      <c r="AB1098" t="s">
        <v>12</v>
      </c>
      <c r="AC1098" t="s">
        <v>12</v>
      </c>
      <c r="AD1098" t="s">
        <v>12</v>
      </c>
    </row>
    <row r="1099" spans="1:30">
      <c r="A1099" t="s">
        <v>850</v>
      </c>
      <c r="B1099" t="str">
        <f>Master_Data_Productivity[[#This Row],[Uniq-ID]]&amp;"-"&amp;Master_Data_Productivity[[#This Row],[Period]]</f>
        <v>PE-Project_Engineer-076-M5</v>
      </c>
      <c r="C1099" t="s">
        <v>851</v>
      </c>
      <c r="D1099" t="s">
        <v>290</v>
      </c>
      <c r="E1099" t="s">
        <v>28</v>
      </c>
      <c r="F1099" t="s">
        <v>29</v>
      </c>
      <c r="G1099" t="s">
        <v>15</v>
      </c>
      <c r="H1099" t="s">
        <v>44</v>
      </c>
      <c r="K1099" t="s">
        <v>12</v>
      </c>
      <c r="L1099" t="s">
        <v>12</v>
      </c>
      <c r="M1099" t="s">
        <v>12</v>
      </c>
      <c r="Q1099" t="s">
        <v>716</v>
      </c>
      <c r="R1099" t="s">
        <v>446</v>
      </c>
      <c r="S1099" t="s">
        <v>12</v>
      </c>
      <c r="T1099" t="s">
        <v>12</v>
      </c>
      <c r="U1099" t="s">
        <v>12</v>
      </c>
      <c r="V1099" t="s">
        <v>12</v>
      </c>
      <c r="W1099" t="s">
        <v>12</v>
      </c>
      <c r="X1099" t="s">
        <v>12</v>
      </c>
      <c r="Y1099" t="s">
        <v>12</v>
      </c>
      <c r="Z1099" t="s">
        <v>12</v>
      </c>
      <c r="AA1099" t="s">
        <v>12</v>
      </c>
      <c r="AB1099" t="s">
        <v>12</v>
      </c>
      <c r="AC1099" t="s">
        <v>12</v>
      </c>
      <c r="AD1099" t="s">
        <v>12</v>
      </c>
    </row>
    <row r="1100" spans="1:30">
      <c r="A1100" t="s">
        <v>850</v>
      </c>
      <c r="B1100" t="str">
        <f>Master_Data_Productivity[[#This Row],[Uniq-ID]]&amp;"-"&amp;Master_Data_Productivity[[#This Row],[Period]]</f>
        <v>PE-Project_Engineer-076-M6</v>
      </c>
      <c r="C1100" t="s">
        <v>851</v>
      </c>
      <c r="D1100" t="s">
        <v>290</v>
      </c>
      <c r="E1100" t="s">
        <v>31</v>
      </c>
      <c r="F1100" t="s">
        <v>32</v>
      </c>
      <c r="G1100" t="s">
        <v>33</v>
      </c>
      <c r="H1100" t="s">
        <v>44</v>
      </c>
      <c r="K1100" t="s">
        <v>12</v>
      </c>
      <c r="L1100" t="s">
        <v>12</v>
      </c>
      <c r="M1100" t="s">
        <v>12</v>
      </c>
      <c r="Q1100" t="s">
        <v>716</v>
      </c>
      <c r="R1100" t="s">
        <v>446</v>
      </c>
      <c r="S1100" t="s">
        <v>12</v>
      </c>
      <c r="T1100" t="s">
        <v>12</v>
      </c>
      <c r="U1100" t="s">
        <v>12</v>
      </c>
      <c r="V1100" t="s">
        <v>12</v>
      </c>
      <c r="W1100" t="s">
        <v>12</v>
      </c>
      <c r="X1100" t="s">
        <v>12</v>
      </c>
      <c r="Y1100" t="s">
        <v>12</v>
      </c>
      <c r="Z1100" t="s">
        <v>12</v>
      </c>
      <c r="AA1100" t="s">
        <v>12</v>
      </c>
      <c r="AB1100" t="s">
        <v>12</v>
      </c>
      <c r="AC1100" t="s">
        <v>12</v>
      </c>
      <c r="AD1100" t="s">
        <v>12</v>
      </c>
    </row>
    <row r="1101" spans="1:30">
      <c r="A1101" t="s">
        <v>833</v>
      </c>
      <c r="B1101" t="str">
        <f>Master_Data_Productivity[[#This Row],[Uniq-ID]]&amp;"-"&amp;Master_Data_Productivity[[#This Row],[Period]]</f>
        <v>PE-Project_Engineer-005-M1</v>
      </c>
      <c r="C1101" t="s">
        <v>834</v>
      </c>
      <c r="D1101" t="s">
        <v>48</v>
      </c>
      <c r="E1101" t="s">
        <v>13</v>
      </c>
      <c r="F1101" t="s">
        <v>835</v>
      </c>
      <c r="G1101" t="s">
        <v>15</v>
      </c>
      <c r="H1101" t="s">
        <v>44</v>
      </c>
      <c r="K1101" t="s">
        <v>12</v>
      </c>
      <c r="L1101" t="s">
        <v>12</v>
      </c>
      <c r="M1101" t="s">
        <v>12</v>
      </c>
      <c r="Q1101" t="s">
        <v>716</v>
      </c>
      <c r="R1101" t="s">
        <v>446</v>
      </c>
      <c r="S1101" t="s">
        <v>12</v>
      </c>
      <c r="T1101" t="s">
        <v>12</v>
      </c>
      <c r="U1101" t="s">
        <v>12</v>
      </c>
      <c r="V1101" t="s">
        <v>12</v>
      </c>
      <c r="W1101" t="s">
        <v>12</v>
      </c>
      <c r="X1101" t="s">
        <v>12</v>
      </c>
      <c r="Y1101" t="s">
        <v>12</v>
      </c>
      <c r="Z1101" t="s">
        <v>12</v>
      </c>
      <c r="AA1101" t="s">
        <v>12</v>
      </c>
      <c r="AB1101" t="s">
        <v>12</v>
      </c>
      <c r="AC1101" t="s">
        <v>12</v>
      </c>
      <c r="AD1101" t="s">
        <v>12</v>
      </c>
    </row>
    <row r="1102" spans="1:30">
      <c r="A1102" t="s">
        <v>833</v>
      </c>
      <c r="B1102" t="str">
        <f>Master_Data_Productivity[[#This Row],[Uniq-ID]]&amp;"-"&amp;Master_Data_Productivity[[#This Row],[Period]]</f>
        <v>PE-Project_Engineer-005-M2</v>
      </c>
      <c r="C1102" t="s">
        <v>834</v>
      </c>
      <c r="D1102" t="s">
        <v>48</v>
      </c>
      <c r="E1102" t="s">
        <v>18</v>
      </c>
      <c r="F1102" t="s">
        <v>836</v>
      </c>
      <c r="G1102" t="s">
        <v>15</v>
      </c>
      <c r="H1102" t="s">
        <v>44</v>
      </c>
      <c r="K1102" t="s">
        <v>12</v>
      </c>
      <c r="L1102" t="s">
        <v>12</v>
      </c>
      <c r="M1102" t="s">
        <v>12</v>
      </c>
      <c r="Q1102" t="s">
        <v>716</v>
      </c>
      <c r="R1102" t="s">
        <v>446</v>
      </c>
      <c r="S1102" t="s">
        <v>12</v>
      </c>
      <c r="T1102" t="s">
        <v>12</v>
      </c>
      <c r="U1102" t="s">
        <v>12</v>
      </c>
      <c r="V1102" t="s">
        <v>12</v>
      </c>
      <c r="W1102" t="s">
        <v>12</v>
      </c>
      <c r="X1102" t="s">
        <v>12</v>
      </c>
      <c r="Y1102" t="s">
        <v>12</v>
      </c>
      <c r="Z1102" t="s">
        <v>12</v>
      </c>
      <c r="AA1102" t="s">
        <v>12</v>
      </c>
      <c r="AB1102" t="s">
        <v>12</v>
      </c>
      <c r="AC1102" t="s">
        <v>12</v>
      </c>
      <c r="AD1102" t="s">
        <v>12</v>
      </c>
    </row>
    <row r="1103" spans="1:30">
      <c r="A1103" t="s">
        <v>833</v>
      </c>
      <c r="B1103" t="str">
        <f>Master_Data_Productivity[[#This Row],[Uniq-ID]]&amp;"-"&amp;Master_Data_Productivity[[#This Row],[Period]]</f>
        <v>PE-Project_Engineer-005-M3</v>
      </c>
      <c r="C1103" t="s">
        <v>834</v>
      </c>
      <c r="D1103" t="s">
        <v>48</v>
      </c>
      <c r="E1103" t="s">
        <v>22</v>
      </c>
      <c r="F1103" t="s">
        <v>113</v>
      </c>
      <c r="G1103" t="s">
        <v>15</v>
      </c>
      <c r="H1103" t="s">
        <v>44</v>
      </c>
      <c r="K1103" t="s">
        <v>12</v>
      </c>
      <c r="L1103" t="s">
        <v>12</v>
      </c>
      <c r="M1103" t="s">
        <v>12</v>
      </c>
      <c r="Q1103" t="s">
        <v>716</v>
      </c>
      <c r="R1103" t="s">
        <v>446</v>
      </c>
      <c r="S1103" t="s">
        <v>12</v>
      </c>
      <c r="T1103" t="s">
        <v>12</v>
      </c>
      <c r="U1103" t="s">
        <v>12</v>
      </c>
      <c r="V1103" t="s">
        <v>12</v>
      </c>
      <c r="W1103" t="s">
        <v>12</v>
      </c>
      <c r="X1103" t="s">
        <v>12</v>
      </c>
      <c r="Y1103" t="s">
        <v>12</v>
      </c>
      <c r="Z1103" t="s">
        <v>12</v>
      </c>
      <c r="AA1103" t="s">
        <v>12</v>
      </c>
      <c r="AB1103" t="s">
        <v>12</v>
      </c>
      <c r="AC1103" t="s">
        <v>12</v>
      </c>
      <c r="AD1103" t="s">
        <v>12</v>
      </c>
    </row>
    <row r="1104" spans="1:30">
      <c r="A1104" t="s">
        <v>833</v>
      </c>
      <c r="B1104" t="str">
        <f>Master_Data_Productivity[[#This Row],[Uniq-ID]]&amp;"-"&amp;Master_Data_Productivity[[#This Row],[Period]]</f>
        <v>PE-Project_Engineer-005-M4</v>
      </c>
      <c r="C1104" t="s">
        <v>834</v>
      </c>
      <c r="D1104" t="s">
        <v>48</v>
      </c>
      <c r="E1104" t="s">
        <v>25</v>
      </c>
      <c r="F1104" t="s">
        <v>115</v>
      </c>
      <c r="G1104" t="s">
        <v>15</v>
      </c>
      <c r="H1104" t="s">
        <v>44</v>
      </c>
      <c r="K1104" t="s">
        <v>12</v>
      </c>
      <c r="L1104" t="s">
        <v>12</v>
      </c>
      <c r="M1104" t="s">
        <v>12</v>
      </c>
      <c r="Q1104" t="s">
        <v>716</v>
      </c>
      <c r="R1104" t="s">
        <v>446</v>
      </c>
      <c r="S1104" t="s">
        <v>12</v>
      </c>
      <c r="T1104" t="s">
        <v>12</v>
      </c>
      <c r="U1104" t="s">
        <v>12</v>
      </c>
      <c r="V1104" t="s">
        <v>12</v>
      </c>
      <c r="W1104" t="s">
        <v>12</v>
      </c>
      <c r="X1104" t="s">
        <v>12</v>
      </c>
      <c r="Y1104" t="s">
        <v>12</v>
      </c>
      <c r="Z1104" t="s">
        <v>12</v>
      </c>
      <c r="AA1104" t="s">
        <v>12</v>
      </c>
      <c r="AB1104" t="s">
        <v>12</v>
      </c>
      <c r="AC1104" t="s">
        <v>12</v>
      </c>
      <c r="AD1104" t="s">
        <v>12</v>
      </c>
    </row>
    <row r="1105" spans="1:30">
      <c r="A1105" t="s">
        <v>833</v>
      </c>
      <c r="B1105" t="str">
        <f>Master_Data_Productivity[[#This Row],[Uniq-ID]]&amp;"-"&amp;Master_Data_Productivity[[#This Row],[Period]]</f>
        <v>PE-Project_Engineer-005-M5</v>
      </c>
      <c r="C1105" t="s">
        <v>834</v>
      </c>
      <c r="D1105" t="s">
        <v>48</v>
      </c>
      <c r="E1105" t="s">
        <v>28</v>
      </c>
      <c r="F1105" t="s">
        <v>117</v>
      </c>
      <c r="G1105" t="s">
        <v>15</v>
      </c>
      <c r="H1105" t="s">
        <v>44</v>
      </c>
      <c r="K1105" t="s">
        <v>12</v>
      </c>
      <c r="L1105" t="s">
        <v>12</v>
      </c>
      <c r="M1105" t="s">
        <v>12</v>
      </c>
      <c r="Q1105" t="s">
        <v>716</v>
      </c>
      <c r="R1105" t="s">
        <v>446</v>
      </c>
      <c r="S1105" t="s">
        <v>12</v>
      </c>
      <c r="T1105" t="s">
        <v>12</v>
      </c>
      <c r="U1105" t="s">
        <v>12</v>
      </c>
      <c r="V1105" t="s">
        <v>12</v>
      </c>
      <c r="W1105" t="s">
        <v>12</v>
      </c>
      <c r="X1105" t="s">
        <v>12</v>
      </c>
      <c r="Y1105" t="s">
        <v>12</v>
      </c>
      <c r="Z1105" t="s">
        <v>12</v>
      </c>
      <c r="AA1105" t="s">
        <v>12</v>
      </c>
      <c r="AB1105" t="s">
        <v>12</v>
      </c>
      <c r="AC1105" t="s">
        <v>12</v>
      </c>
      <c r="AD1105" t="s">
        <v>12</v>
      </c>
    </row>
    <row r="1106" spans="1:30">
      <c r="A1106" t="s">
        <v>833</v>
      </c>
      <c r="B1106" t="str">
        <f>Master_Data_Productivity[[#This Row],[Uniq-ID]]&amp;"-"&amp;Master_Data_Productivity[[#This Row],[Period]]</f>
        <v>PE-Project_Engineer-005-M6</v>
      </c>
      <c r="C1106" t="s">
        <v>834</v>
      </c>
      <c r="D1106" t="s">
        <v>48</v>
      </c>
      <c r="E1106" t="s">
        <v>31</v>
      </c>
      <c r="F1106" t="s">
        <v>119</v>
      </c>
      <c r="G1106" t="s">
        <v>33</v>
      </c>
      <c r="H1106" t="s">
        <v>44</v>
      </c>
      <c r="K1106" t="s">
        <v>12</v>
      </c>
      <c r="L1106" t="s">
        <v>12</v>
      </c>
      <c r="M1106" t="s">
        <v>12</v>
      </c>
      <c r="Q1106" t="s">
        <v>716</v>
      </c>
      <c r="R1106" t="s">
        <v>446</v>
      </c>
      <c r="S1106" t="s">
        <v>12</v>
      </c>
      <c r="T1106" t="s">
        <v>12</v>
      </c>
      <c r="U1106" t="s">
        <v>12</v>
      </c>
      <c r="V1106" t="s">
        <v>12</v>
      </c>
      <c r="W1106" t="s">
        <v>12</v>
      </c>
      <c r="X1106" t="s">
        <v>12</v>
      </c>
      <c r="Y1106" t="s">
        <v>12</v>
      </c>
      <c r="Z1106" t="s">
        <v>12</v>
      </c>
      <c r="AA1106" t="s">
        <v>12</v>
      </c>
      <c r="AB1106" t="s">
        <v>12</v>
      </c>
      <c r="AC1106" t="s">
        <v>12</v>
      </c>
      <c r="AD1106" t="s">
        <v>12</v>
      </c>
    </row>
    <row r="1107" spans="1:30">
      <c r="A1107" t="s">
        <v>803</v>
      </c>
      <c r="B1107" t="str">
        <f>Master_Data_Productivity[[#This Row],[Uniq-ID]]&amp;"-"&amp;Master_Data_Productivity[[#This Row],[Period]]</f>
        <v>PE-Project_Engineer-088-M1</v>
      </c>
      <c r="C1107" t="s">
        <v>804</v>
      </c>
      <c r="D1107" t="s">
        <v>76</v>
      </c>
      <c r="E1107" t="s">
        <v>13</v>
      </c>
      <c r="F1107" t="s">
        <v>465</v>
      </c>
      <c r="G1107" t="s">
        <v>33</v>
      </c>
      <c r="H1107" t="s">
        <v>44</v>
      </c>
      <c r="K1107" t="s">
        <v>12</v>
      </c>
      <c r="L1107" t="s">
        <v>12</v>
      </c>
      <c r="M1107" t="s">
        <v>12</v>
      </c>
      <c r="Q1107" t="s">
        <v>716</v>
      </c>
      <c r="R1107" t="s">
        <v>441</v>
      </c>
      <c r="S1107" t="s">
        <v>12</v>
      </c>
      <c r="T1107" t="s">
        <v>12</v>
      </c>
      <c r="U1107" t="s">
        <v>12</v>
      </c>
      <c r="V1107" t="s">
        <v>12</v>
      </c>
      <c r="W1107" t="s">
        <v>12</v>
      </c>
      <c r="X1107" t="s">
        <v>12</v>
      </c>
      <c r="Y1107" t="s">
        <v>12</v>
      </c>
      <c r="Z1107" t="s">
        <v>12</v>
      </c>
      <c r="AA1107" t="s">
        <v>12</v>
      </c>
      <c r="AB1107" t="s">
        <v>12</v>
      </c>
      <c r="AC1107" t="s">
        <v>12</v>
      </c>
      <c r="AD1107" t="s">
        <v>12</v>
      </c>
    </row>
    <row r="1108" spans="1:30">
      <c r="A1108" t="s">
        <v>803</v>
      </c>
      <c r="B1108" t="str">
        <f>Master_Data_Productivity[[#This Row],[Uniq-ID]]&amp;"-"&amp;Master_Data_Productivity[[#This Row],[Period]]</f>
        <v>PE-Project_Engineer-088-M2</v>
      </c>
      <c r="C1108" t="s">
        <v>804</v>
      </c>
      <c r="D1108" t="s">
        <v>76</v>
      </c>
      <c r="E1108" t="s">
        <v>18</v>
      </c>
      <c r="F1108" t="s">
        <v>3448</v>
      </c>
      <c r="G1108" t="s">
        <v>225</v>
      </c>
      <c r="H1108" t="s">
        <v>44</v>
      </c>
      <c r="K1108" t="s">
        <v>12</v>
      </c>
      <c r="L1108" t="s">
        <v>12</v>
      </c>
      <c r="M1108" t="s">
        <v>12</v>
      </c>
      <c r="Q1108" t="s">
        <v>716</v>
      </c>
      <c r="R1108" t="s">
        <v>441</v>
      </c>
      <c r="S1108" t="s">
        <v>12</v>
      </c>
      <c r="T1108" t="s">
        <v>12</v>
      </c>
      <c r="U1108" t="s">
        <v>12</v>
      </c>
      <c r="V1108" t="s">
        <v>12</v>
      </c>
      <c r="W1108" t="s">
        <v>12</v>
      </c>
      <c r="X1108" t="s">
        <v>12</v>
      </c>
      <c r="Y1108" t="s">
        <v>12</v>
      </c>
      <c r="Z1108" t="s">
        <v>12</v>
      </c>
      <c r="AA1108" t="s">
        <v>12</v>
      </c>
      <c r="AB1108" t="s">
        <v>12</v>
      </c>
      <c r="AC1108" t="s">
        <v>12</v>
      </c>
      <c r="AD1108" t="s">
        <v>12</v>
      </c>
    </row>
    <row r="1109" spans="1:30">
      <c r="A1109" t="s">
        <v>852</v>
      </c>
      <c r="B1109" t="str">
        <f>Master_Data_Productivity[[#This Row],[Uniq-ID]]&amp;"-"&amp;Master_Data_Productivity[[#This Row],[Period]]</f>
        <v>PE-Project_Engineer-075-M1</v>
      </c>
      <c r="C1109" t="s">
        <v>853</v>
      </c>
      <c r="D1109" t="s">
        <v>250</v>
      </c>
      <c r="E1109" t="s">
        <v>13</v>
      </c>
      <c r="F1109" t="s">
        <v>26</v>
      </c>
      <c r="G1109" t="s">
        <v>15</v>
      </c>
      <c r="H1109" t="s">
        <v>44</v>
      </c>
      <c r="K1109" t="s">
        <v>12</v>
      </c>
      <c r="L1109" t="s">
        <v>12</v>
      </c>
      <c r="M1109" t="s">
        <v>12</v>
      </c>
      <c r="Q1109" t="s">
        <v>716</v>
      </c>
      <c r="R1109" t="s">
        <v>446</v>
      </c>
      <c r="S1109" t="s">
        <v>12</v>
      </c>
      <c r="T1109" t="s">
        <v>12</v>
      </c>
      <c r="U1109" t="s">
        <v>12</v>
      </c>
      <c r="V1109" t="s">
        <v>12</v>
      </c>
      <c r="W1109" t="s">
        <v>12</v>
      </c>
      <c r="X1109" t="s">
        <v>12</v>
      </c>
      <c r="Y1109" t="s">
        <v>12</v>
      </c>
      <c r="Z1109" t="s">
        <v>12</v>
      </c>
      <c r="AA1109" t="s">
        <v>12</v>
      </c>
      <c r="AB1109" t="s">
        <v>12</v>
      </c>
      <c r="AC1109" t="s">
        <v>12</v>
      </c>
      <c r="AD1109" t="s">
        <v>12</v>
      </c>
    </row>
    <row r="1110" spans="1:30">
      <c r="A1110" t="s">
        <v>852</v>
      </c>
      <c r="B1110" t="str">
        <f>Master_Data_Productivity[[#This Row],[Uniq-ID]]&amp;"-"&amp;Master_Data_Productivity[[#This Row],[Period]]</f>
        <v>PE-Project_Engineer-075-M2</v>
      </c>
      <c r="C1110" t="s">
        <v>853</v>
      </c>
      <c r="D1110" t="s">
        <v>250</v>
      </c>
      <c r="E1110" t="s">
        <v>18</v>
      </c>
      <c r="F1110" t="s">
        <v>29</v>
      </c>
      <c r="G1110" t="s">
        <v>15</v>
      </c>
      <c r="H1110" t="s">
        <v>44</v>
      </c>
      <c r="K1110" t="s">
        <v>12</v>
      </c>
      <c r="L1110" t="s">
        <v>12</v>
      </c>
      <c r="M1110" t="s">
        <v>12</v>
      </c>
      <c r="Q1110" t="s">
        <v>716</v>
      </c>
      <c r="R1110" t="s">
        <v>446</v>
      </c>
      <c r="S1110" t="s">
        <v>12</v>
      </c>
      <c r="T1110" t="s">
        <v>12</v>
      </c>
      <c r="U1110" t="s">
        <v>12</v>
      </c>
      <c r="V1110" t="s">
        <v>12</v>
      </c>
      <c r="W1110" t="s">
        <v>12</v>
      </c>
      <c r="X1110" t="s">
        <v>12</v>
      </c>
      <c r="Y1110" t="s">
        <v>12</v>
      </c>
      <c r="Z1110" t="s">
        <v>12</v>
      </c>
      <c r="AA1110" t="s">
        <v>12</v>
      </c>
      <c r="AB1110" t="s">
        <v>12</v>
      </c>
      <c r="AC1110" t="s">
        <v>12</v>
      </c>
      <c r="AD1110" t="s">
        <v>12</v>
      </c>
    </row>
    <row r="1111" spans="1:30">
      <c r="A1111" t="s">
        <v>852</v>
      </c>
      <c r="B1111" t="str">
        <f>Master_Data_Productivity[[#This Row],[Uniq-ID]]&amp;"-"&amp;Master_Data_Productivity[[#This Row],[Period]]</f>
        <v>PE-Project_Engineer-075-M3</v>
      </c>
      <c r="C1111" t="s">
        <v>853</v>
      </c>
      <c r="D1111" t="s">
        <v>250</v>
      </c>
      <c r="E1111" t="s">
        <v>22</v>
      </c>
      <c r="F1111" t="s">
        <v>32</v>
      </c>
      <c r="G1111" t="s">
        <v>33</v>
      </c>
      <c r="H1111" t="s">
        <v>44</v>
      </c>
      <c r="K1111" t="s">
        <v>12</v>
      </c>
      <c r="L1111" t="s">
        <v>12</v>
      </c>
      <c r="M1111" t="s">
        <v>12</v>
      </c>
      <c r="Q1111" t="s">
        <v>716</v>
      </c>
      <c r="R1111" t="s">
        <v>446</v>
      </c>
      <c r="S1111" t="s">
        <v>12</v>
      </c>
      <c r="T1111" t="s">
        <v>12</v>
      </c>
      <c r="U1111" t="s">
        <v>12</v>
      </c>
      <c r="V1111" t="s">
        <v>12</v>
      </c>
      <c r="W1111" t="s">
        <v>12</v>
      </c>
      <c r="X1111" t="s">
        <v>12</v>
      </c>
      <c r="Y1111" t="s">
        <v>12</v>
      </c>
      <c r="Z1111" t="s">
        <v>12</v>
      </c>
      <c r="AA1111" t="s">
        <v>12</v>
      </c>
      <c r="AB1111" t="s">
        <v>12</v>
      </c>
      <c r="AC1111" t="s">
        <v>12</v>
      </c>
      <c r="AD1111" t="s">
        <v>12</v>
      </c>
    </row>
    <row r="1112" spans="1:30">
      <c r="A1112" t="s">
        <v>858</v>
      </c>
      <c r="B1112" t="str">
        <f>Master_Data_Productivity[[#This Row],[Uniq-ID]]&amp;"-"&amp;Master_Data_Productivity[[#This Row],[Period]]</f>
        <v>PE-Project_Engineer-074-M1</v>
      </c>
      <c r="C1112" t="s">
        <v>859</v>
      </c>
      <c r="D1112" t="s">
        <v>76</v>
      </c>
      <c r="E1112" t="s">
        <v>13</v>
      </c>
      <c r="F1112" t="s">
        <v>26</v>
      </c>
      <c r="G1112" t="s">
        <v>15</v>
      </c>
      <c r="H1112" t="s">
        <v>44</v>
      </c>
      <c r="J1112">
        <v>0.5</v>
      </c>
      <c r="K1112" t="s">
        <v>12</v>
      </c>
      <c r="L1112" t="s">
        <v>12</v>
      </c>
      <c r="M1112" t="s">
        <v>12</v>
      </c>
      <c r="Q1112" t="s">
        <v>716</v>
      </c>
      <c r="R1112" t="s">
        <v>446</v>
      </c>
      <c r="S1112" t="s">
        <v>12</v>
      </c>
      <c r="T1112" t="s">
        <v>12</v>
      </c>
      <c r="U1112" t="s">
        <v>12</v>
      </c>
      <c r="V1112" t="s">
        <v>12</v>
      </c>
      <c r="W1112" t="s">
        <v>12</v>
      </c>
      <c r="X1112" t="s">
        <v>12</v>
      </c>
      <c r="Y1112" t="s">
        <v>3407</v>
      </c>
      <c r="Z1112" t="s">
        <v>3522</v>
      </c>
      <c r="AA1112" t="s">
        <v>3971</v>
      </c>
      <c r="AB1112" t="s">
        <v>12</v>
      </c>
      <c r="AC1112" t="s">
        <v>3626</v>
      </c>
      <c r="AD1112" t="s">
        <v>4078</v>
      </c>
    </row>
    <row r="1113" spans="1:30">
      <c r="A1113" t="s">
        <v>858</v>
      </c>
      <c r="B1113" t="str">
        <f>Master_Data_Productivity[[#This Row],[Uniq-ID]]&amp;"-"&amp;Master_Data_Productivity[[#This Row],[Period]]</f>
        <v>PE-Project_Engineer-074-M2</v>
      </c>
      <c r="C1113" t="s">
        <v>859</v>
      </c>
      <c r="D1113" t="s">
        <v>76</v>
      </c>
      <c r="E1113" t="s">
        <v>18</v>
      </c>
      <c r="F1113" t="s">
        <v>29</v>
      </c>
      <c r="G1113" t="s">
        <v>15</v>
      </c>
      <c r="H1113" t="s">
        <v>44</v>
      </c>
      <c r="J1113">
        <v>0.5</v>
      </c>
      <c r="K1113" t="s">
        <v>12</v>
      </c>
      <c r="L1113" t="s">
        <v>12</v>
      </c>
      <c r="M1113" t="s">
        <v>12</v>
      </c>
      <c r="Q1113" t="s">
        <v>716</v>
      </c>
      <c r="R1113" t="s">
        <v>446</v>
      </c>
      <c r="S1113" t="s">
        <v>12</v>
      </c>
      <c r="T1113" t="s">
        <v>12</v>
      </c>
      <c r="U1113" t="s">
        <v>12</v>
      </c>
      <c r="V1113" t="s">
        <v>12</v>
      </c>
      <c r="W1113" t="s">
        <v>12</v>
      </c>
      <c r="X1113" t="s">
        <v>12</v>
      </c>
      <c r="Y1113" t="s">
        <v>12</v>
      </c>
      <c r="Z1113" t="s">
        <v>3502</v>
      </c>
      <c r="AA1113" t="s">
        <v>3728</v>
      </c>
      <c r="AB1113" t="s">
        <v>12</v>
      </c>
      <c r="AC1113" t="s">
        <v>4079</v>
      </c>
      <c r="AD1113" t="s">
        <v>4010</v>
      </c>
    </row>
    <row r="1114" spans="1:30">
      <c r="A1114" t="s">
        <v>858</v>
      </c>
      <c r="B1114" t="str">
        <f>Master_Data_Productivity[[#This Row],[Uniq-ID]]&amp;"-"&amp;Master_Data_Productivity[[#This Row],[Period]]</f>
        <v>PE-Project_Engineer-074-M3</v>
      </c>
      <c r="C1114" t="s">
        <v>859</v>
      </c>
      <c r="D1114" t="s">
        <v>76</v>
      </c>
      <c r="E1114" t="s">
        <v>22</v>
      </c>
      <c r="F1114" t="s">
        <v>32</v>
      </c>
      <c r="G1114" t="s">
        <v>33</v>
      </c>
      <c r="H1114" t="s">
        <v>44</v>
      </c>
      <c r="K1114" t="s">
        <v>12</v>
      </c>
      <c r="L1114" t="s">
        <v>12</v>
      </c>
      <c r="M1114" t="s">
        <v>12</v>
      </c>
      <c r="Q1114" t="s">
        <v>716</v>
      </c>
      <c r="R1114" t="s">
        <v>446</v>
      </c>
      <c r="S1114" t="s">
        <v>12</v>
      </c>
      <c r="T1114" t="s">
        <v>12</v>
      </c>
      <c r="U1114" t="s">
        <v>12</v>
      </c>
      <c r="V1114" t="s">
        <v>12</v>
      </c>
      <c r="W1114" t="s">
        <v>12</v>
      </c>
      <c r="X1114" t="s">
        <v>12</v>
      </c>
      <c r="Y1114" t="s">
        <v>12</v>
      </c>
      <c r="Z1114" t="s">
        <v>12</v>
      </c>
      <c r="AA1114" t="s">
        <v>12</v>
      </c>
      <c r="AB1114" t="s">
        <v>12</v>
      </c>
      <c r="AC1114" t="s">
        <v>12</v>
      </c>
      <c r="AD1114" t="s">
        <v>12</v>
      </c>
    </row>
    <row r="1115" spans="1:30">
      <c r="A1115" t="s">
        <v>860</v>
      </c>
      <c r="B1115" t="str">
        <f>Master_Data_Productivity[[#This Row],[Uniq-ID]]&amp;"-"&amp;Master_Data_Productivity[[#This Row],[Period]]</f>
        <v>PE-Project_Engineer-073-M1</v>
      </c>
      <c r="C1115" t="s">
        <v>861</v>
      </c>
      <c r="D1115" t="s">
        <v>48</v>
      </c>
      <c r="E1115" t="s">
        <v>13</v>
      </c>
      <c r="F1115" t="s">
        <v>54</v>
      </c>
      <c r="G1115" t="s">
        <v>15</v>
      </c>
      <c r="H1115" t="s">
        <v>44</v>
      </c>
      <c r="K1115" t="s">
        <v>12</v>
      </c>
      <c r="L1115" t="s">
        <v>12</v>
      </c>
      <c r="M1115" t="s">
        <v>12</v>
      </c>
      <c r="Q1115" t="s">
        <v>716</v>
      </c>
      <c r="R1115" t="s">
        <v>446</v>
      </c>
      <c r="S1115" t="s">
        <v>12</v>
      </c>
      <c r="T1115" t="s">
        <v>12</v>
      </c>
      <c r="U1115" t="s">
        <v>12</v>
      </c>
      <c r="V1115" t="s">
        <v>12</v>
      </c>
      <c r="W1115" t="s">
        <v>12</v>
      </c>
      <c r="X1115" t="s">
        <v>12</v>
      </c>
      <c r="Y1115" t="s">
        <v>12</v>
      </c>
      <c r="Z1115" t="s">
        <v>12</v>
      </c>
      <c r="AA1115" t="s">
        <v>12</v>
      </c>
      <c r="AB1115" t="s">
        <v>12</v>
      </c>
      <c r="AC1115" t="s">
        <v>12</v>
      </c>
      <c r="AD1115" t="s">
        <v>12</v>
      </c>
    </row>
    <row r="1116" spans="1:30">
      <c r="A1116" t="s">
        <v>860</v>
      </c>
      <c r="B1116" t="str">
        <f>Master_Data_Productivity[[#This Row],[Uniq-ID]]&amp;"-"&amp;Master_Data_Productivity[[#This Row],[Period]]</f>
        <v>PE-Project_Engineer-073-M2</v>
      </c>
      <c r="C1116" t="s">
        <v>861</v>
      </c>
      <c r="D1116" t="s">
        <v>48</v>
      </c>
      <c r="E1116" t="s">
        <v>18</v>
      </c>
      <c r="F1116" t="s">
        <v>56</v>
      </c>
      <c r="G1116" t="s">
        <v>15</v>
      </c>
      <c r="H1116" t="s">
        <v>44</v>
      </c>
      <c r="K1116" t="s">
        <v>12</v>
      </c>
      <c r="L1116" t="s">
        <v>12</v>
      </c>
      <c r="M1116" t="s">
        <v>12</v>
      </c>
      <c r="Q1116" t="s">
        <v>716</v>
      </c>
      <c r="R1116" t="s">
        <v>446</v>
      </c>
      <c r="S1116" t="s">
        <v>12</v>
      </c>
      <c r="T1116" t="s">
        <v>12</v>
      </c>
      <c r="U1116" t="s">
        <v>12</v>
      </c>
      <c r="V1116" t="s">
        <v>12</v>
      </c>
      <c r="W1116" t="s">
        <v>12</v>
      </c>
      <c r="X1116" t="s">
        <v>12</v>
      </c>
      <c r="Y1116" t="s">
        <v>12</v>
      </c>
      <c r="Z1116" t="s">
        <v>12</v>
      </c>
      <c r="AA1116" t="s">
        <v>12</v>
      </c>
      <c r="AB1116" t="s">
        <v>12</v>
      </c>
      <c r="AC1116" t="s">
        <v>12</v>
      </c>
      <c r="AD1116" t="s">
        <v>12</v>
      </c>
    </row>
    <row r="1117" spans="1:30">
      <c r="A1117" t="s">
        <v>860</v>
      </c>
      <c r="B1117" t="str">
        <f>Master_Data_Productivity[[#This Row],[Uniq-ID]]&amp;"-"&amp;Master_Data_Productivity[[#This Row],[Period]]</f>
        <v>PE-Project_Engineer-073-M3</v>
      </c>
      <c r="C1117" t="s">
        <v>861</v>
      </c>
      <c r="D1117" t="s">
        <v>48</v>
      </c>
      <c r="E1117" t="s">
        <v>22</v>
      </c>
      <c r="F1117" t="s">
        <v>57</v>
      </c>
      <c r="G1117" t="s">
        <v>33</v>
      </c>
      <c r="H1117" t="s">
        <v>44</v>
      </c>
      <c r="K1117" t="s">
        <v>12</v>
      </c>
      <c r="L1117" t="s">
        <v>12</v>
      </c>
      <c r="M1117" t="s">
        <v>12</v>
      </c>
      <c r="Q1117" t="s">
        <v>716</v>
      </c>
      <c r="R1117" t="s">
        <v>446</v>
      </c>
      <c r="S1117" t="s">
        <v>12</v>
      </c>
      <c r="T1117" t="s">
        <v>12</v>
      </c>
      <c r="U1117" t="s">
        <v>12</v>
      </c>
      <c r="V1117" t="s">
        <v>12</v>
      </c>
      <c r="W1117" t="s">
        <v>12</v>
      </c>
      <c r="X1117" t="s">
        <v>12</v>
      </c>
      <c r="Y1117" t="s">
        <v>12</v>
      </c>
      <c r="Z1117" t="s">
        <v>12</v>
      </c>
      <c r="AA1117" t="s">
        <v>12</v>
      </c>
      <c r="AB1117" t="s">
        <v>12</v>
      </c>
      <c r="AC1117" t="s">
        <v>12</v>
      </c>
      <c r="AD1117" t="s">
        <v>12</v>
      </c>
    </row>
    <row r="1118" spans="1:30">
      <c r="A1118" t="s">
        <v>868</v>
      </c>
      <c r="B1118" t="str">
        <f>Master_Data_Productivity[[#This Row],[Uniq-ID]]&amp;"-"&amp;Master_Data_Productivity[[#This Row],[Period]]</f>
        <v>PE-Project_Engineer-072-M1</v>
      </c>
      <c r="C1118" t="s">
        <v>869</v>
      </c>
      <c r="D1118" t="s">
        <v>48</v>
      </c>
      <c r="E1118" t="s">
        <v>13</v>
      </c>
      <c r="F1118" t="s">
        <v>54</v>
      </c>
      <c r="G1118" t="s">
        <v>15</v>
      </c>
      <c r="H1118" t="s">
        <v>44</v>
      </c>
      <c r="K1118" t="s">
        <v>12</v>
      </c>
      <c r="L1118" t="s">
        <v>12</v>
      </c>
      <c r="M1118" t="s">
        <v>12</v>
      </c>
      <c r="Q1118" t="s">
        <v>716</v>
      </c>
      <c r="R1118" t="s">
        <v>446</v>
      </c>
      <c r="S1118" t="s">
        <v>12</v>
      </c>
      <c r="T1118" t="s">
        <v>12</v>
      </c>
      <c r="U1118" t="s">
        <v>12</v>
      </c>
      <c r="V1118" t="s">
        <v>12</v>
      </c>
      <c r="W1118" t="s">
        <v>12</v>
      </c>
      <c r="X1118" t="s">
        <v>12</v>
      </c>
      <c r="Y1118" t="s">
        <v>12</v>
      </c>
      <c r="Z1118" t="s">
        <v>12</v>
      </c>
      <c r="AA1118" t="s">
        <v>12</v>
      </c>
      <c r="AB1118" t="s">
        <v>12</v>
      </c>
      <c r="AC1118" t="s">
        <v>12</v>
      </c>
      <c r="AD1118" t="s">
        <v>12</v>
      </c>
    </row>
    <row r="1119" spans="1:30">
      <c r="A1119" t="s">
        <v>868</v>
      </c>
      <c r="B1119" t="str">
        <f>Master_Data_Productivity[[#This Row],[Uniq-ID]]&amp;"-"&amp;Master_Data_Productivity[[#This Row],[Period]]</f>
        <v>PE-Project_Engineer-072-M2</v>
      </c>
      <c r="C1119" t="s">
        <v>869</v>
      </c>
      <c r="D1119" t="s">
        <v>48</v>
      </c>
      <c r="E1119" t="s">
        <v>18</v>
      </c>
      <c r="F1119" t="s">
        <v>56</v>
      </c>
      <c r="G1119" t="s">
        <v>15</v>
      </c>
      <c r="H1119" t="s">
        <v>44</v>
      </c>
      <c r="K1119" t="s">
        <v>12</v>
      </c>
      <c r="L1119" t="s">
        <v>12</v>
      </c>
      <c r="M1119" t="s">
        <v>12</v>
      </c>
      <c r="Q1119" t="s">
        <v>716</v>
      </c>
      <c r="R1119" t="s">
        <v>446</v>
      </c>
      <c r="S1119" t="s">
        <v>12</v>
      </c>
      <c r="T1119" t="s">
        <v>12</v>
      </c>
      <c r="U1119" t="s">
        <v>12</v>
      </c>
      <c r="V1119" t="s">
        <v>12</v>
      </c>
      <c r="W1119" t="s">
        <v>12</v>
      </c>
      <c r="X1119" t="s">
        <v>12</v>
      </c>
      <c r="Y1119" t="s">
        <v>12</v>
      </c>
      <c r="Z1119" t="s">
        <v>12</v>
      </c>
      <c r="AA1119" t="s">
        <v>12</v>
      </c>
      <c r="AB1119" t="s">
        <v>12</v>
      </c>
      <c r="AC1119" t="s">
        <v>12</v>
      </c>
      <c r="AD1119" t="s">
        <v>12</v>
      </c>
    </row>
    <row r="1120" spans="1:30">
      <c r="A1120" t="s">
        <v>868</v>
      </c>
      <c r="B1120" t="str">
        <f>Master_Data_Productivity[[#This Row],[Uniq-ID]]&amp;"-"&amp;Master_Data_Productivity[[#This Row],[Period]]</f>
        <v>PE-Project_Engineer-072-M3</v>
      </c>
      <c r="C1120" t="s">
        <v>869</v>
      </c>
      <c r="D1120" t="s">
        <v>48</v>
      </c>
      <c r="E1120" t="s">
        <v>22</v>
      </c>
      <c r="F1120" t="s">
        <v>57</v>
      </c>
      <c r="G1120" t="s">
        <v>33</v>
      </c>
      <c r="H1120" t="s">
        <v>44</v>
      </c>
      <c r="K1120" t="s">
        <v>12</v>
      </c>
      <c r="L1120" t="s">
        <v>12</v>
      </c>
      <c r="M1120" t="s">
        <v>12</v>
      </c>
      <c r="Q1120" t="s">
        <v>716</v>
      </c>
      <c r="R1120" t="s">
        <v>446</v>
      </c>
      <c r="S1120" t="s">
        <v>12</v>
      </c>
      <c r="T1120" t="s">
        <v>12</v>
      </c>
      <c r="U1120" t="s">
        <v>12</v>
      </c>
      <c r="V1120" t="s">
        <v>12</v>
      </c>
      <c r="W1120" t="s">
        <v>12</v>
      </c>
      <c r="X1120" t="s">
        <v>12</v>
      </c>
      <c r="Y1120" t="s">
        <v>12</v>
      </c>
      <c r="Z1120" t="s">
        <v>12</v>
      </c>
      <c r="AA1120" t="s">
        <v>12</v>
      </c>
      <c r="AB1120" t="s">
        <v>12</v>
      </c>
      <c r="AC1120" t="s">
        <v>12</v>
      </c>
      <c r="AD1120" t="s">
        <v>12</v>
      </c>
    </row>
    <row r="1121" spans="1:30">
      <c r="A1121" t="s">
        <v>845</v>
      </c>
      <c r="B1121" t="str">
        <f>Master_Data_Productivity[[#This Row],[Uniq-ID]]&amp;"-"&amp;Master_Data_Productivity[[#This Row],[Period]]</f>
        <v>PE-Project_Engineer-006-M1</v>
      </c>
      <c r="C1121" t="s">
        <v>846</v>
      </c>
      <c r="D1121" t="s">
        <v>847</v>
      </c>
      <c r="E1121" t="s">
        <v>13</v>
      </c>
      <c r="F1121" t="s">
        <v>332</v>
      </c>
      <c r="G1121" t="s">
        <v>15</v>
      </c>
      <c r="H1121" t="s">
        <v>44</v>
      </c>
      <c r="K1121" t="s">
        <v>12</v>
      </c>
      <c r="L1121" t="s">
        <v>12</v>
      </c>
      <c r="M1121" t="s">
        <v>12</v>
      </c>
      <c r="Q1121" t="s">
        <v>716</v>
      </c>
      <c r="R1121" t="s">
        <v>446</v>
      </c>
      <c r="S1121" t="s">
        <v>12</v>
      </c>
      <c r="T1121" t="s">
        <v>12</v>
      </c>
      <c r="U1121" t="s">
        <v>12</v>
      </c>
      <c r="V1121" t="s">
        <v>12</v>
      </c>
      <c r="W1121" t="s">
        <v>12</v>
      </c>
      <c r="X1121" t="s">
        <v>12</v>
      </c>
      <c r="Y1121" t="s">
        <v>12</v>
      </c>
      <c r="Z1121" t="s">
        <v>12</v>
      </c>
      <c r="AA1121" t="s">
        <v>12</v>
      </c>
      <c r="AB1121" t="s">
        <v>12</v>
      </c>
      <c r="AC1121" t="s">
        <v>12</v>
      </c>
      <c r="AD1121" t="s">
        <v>12</v>
      </c>
    </row>
    <row r="1122" spans="1:30">
      <c r="A1122" t="s">
        <v>845</v>
      </c>
      <c r="B1122" t="str">
        <f>Master_Data_Productivity[[#This Row],[Uniq-ID]]&amp;"-"&amp;Master_Data_Productivity[[#This Row],[Period]]</f>
        <v>PE-Project_Engineer-006-M2</v>
      </c>
      <c r="C1122" t="s">
        <v>846</v>
      </c>
      <c r="D1122" t="s">
        <v>847</v>
      </c>
      <c r="E1122" t="s">
        <v>18</v>
      </c>
      <c r="F1122" t="s">
        <v>334</v>
      </c>
      <c r="G1122" t="s">
        <v>15</v>
      </c>
      <c r="H1122" t="s">
        <v>44</v>
      </c>
      <c r="K1122" t="s">
        <v>12</v>
      </c>
      <c r="L1122" t="s">
        <v>12</v>
      </c>
      <c r="M1122" t="s">
        <v>12</v>
      </c>
      <c r="Q1122" t="s">
        <v>716</v>
      </c>
      <c r="R1122" t="s">
        <v>446</v>
      </c>
      <c r="S1122" t="s">
        <v>12</v>
      </c>
      <c r="T1122" t="s">
        <v>12</v>
      </c>
      <c r="U1122" t="s">
        <v>12</v>
      </c>
      <c r="V1122" t="s">
        <v>12</v>
      </c>
      <c r="W1122" t="s">
        <v>12</v>
      </c>
      <c r="X1122" t="s">
        <v>12</v>
      </c>
      <c r="Y1122" t="s">
        <v>12</v>
      </c>
      <c r="Z1122" t="s">
        <v>12</v>
      </c>
      <c r="AA1122" t="s">
        <v>12</v>
      </c>
      <c r="AB1122" t="s">
        <v>12</v>
      </c>
      <c r="AC1122" t="s">
        <v>12</v>
      </c>
      <c r="AD1122" t="s">
        <v>12</v>
      </c>
    </row>
    <row r="1123" spans="1:30">
      <c r="A1123" t="s">
        <v>845</v>
      </c>
      <c r="B1123" t="str">
        <f>Master_Data_Productivity[[#This Row],[Uniq-ID]]&amp;"-"&amp;Master_Data_Productivity[[#This Row],[Period]]</f>
        <v>PE-Project_Engineer-006-M3</v>
      </c>
      <c r="C1123" t="s">
        <v>846</v>
      </c>
      <c r="D1123" t="s">
        <v>847</v>
      </c>
      <c r="E1123" t="s">
        <v>22</v>
      </c>
      <c r="F1123" t="s">
        <v>336</v>
      </c>
      <c r="G1123" t="s">
        <v>15</v>
      </c>
      <c r="H1123" t="s">
        <v>44</v>
      </c>
      <c r="K1123" t="s">
        <v>12</v>
      </c>
      <c r="L1123" t="s">
        <v>12</v>
      </c>
      <c r="M1123" t="s">
        <v>12</v>
      </c>
      <c r="Q1123" t="s">
        <v>716</v>
      </c>
      <c r="R1123" t="s">
        <v>446</v>
      </c>
      <c r="S1123" t="s">
        <v>12</v>
      </c>
      <c r="T1123" t="s">
        <v>12</v>
      </c>
      <c r="U1123" t="s">
        <v>12</v>
      </c>
      <c r="V1123" t="s">
        <v>12</v>
      </c>
      <c r="W1123" t="s">
        <v>12</v>
      </c>
      <c r="X1123" t="s">
        <v>12</v>
      </c>
      <c r="Y1123" t="s">
        <v>12</v>
      </c>
      <c r="Z1123" t="s">
        <v>12</v>
      </c>
      <c r="AA1123" t="s">
        <v>12</v>
      </c>
      <c r="AB1123" t="s">
        <v>12</v>
      </c>
      <c r="AC1123" t="s">
        <v>12</v>
      </c>
      <c r="AD1123" t="s">
        <v>12</v>
      </c>
    </row>
    <row r="1124" spans="1:30">
      <c r="A1124" t="s">
        <v>845</v>
      </c>
      <c r="B1124" t="str">
        <f>Master_Data_Productivity[[#This Row],[Uniq-ID]]&amp;"-"&amp;Master_Data_Productivity[[#This Row],[Period]]</f>
        <v>PE-Project_Engineer-006-M4</v>
      </c>
      <c r="C1124" t="s">
        <v>846</v>
      </c>
      <c r="D1124" t="s">
        <v>847</v>
      </c>
      <c r="E1124" t="s">
        <v>25</v>
      </c>
      <c r="F1124" t="s">
        <v>337</v>
      </c>
      <c r="G1124" t="s">
        <v>15</v>
      </c>
      <c r="H1124" t="s">
        <v>44</v>
      </c>
      <c r="K1124" t="s">
        <v>12</v>
      </c>
      <c r="L1124" t="s">
        <v>12</v>
      </c>
      <c r="M1124" t="s">
        <v>12</v>
      </c>
      <c r="Q1124" t="s">
        <v>716</v>
      </c>
      <c r="R1124" t="s">
        <v>446</v>
      </c>
      <c r="S1124" t="s">
        <v>12</v>
      </c>
      <c r="T1124" t="s">
        <v>12</v>
      </c>
      <c r="U1124" t="s">
        <v>12</v>
      </c>
      <c r="V1124" t="s">
        <v>12</v>
      </c>
      <c r="W1124" t="s">
        <v>12</v>
      </c>
      <c r="X1124" t="s">
        <v>12</v>
      </c>
      <c r="Y1124" t="s">
        <v>12</v>
      </c>
      <c r="Z1124" t="s">
        <v>12</v>
      </c>
      <c r="AA1124" t="s">
        <v>12</v>
      </c>
      <c r="AB1124" t="s">
        <v>12</v>
      </c>
      <c r="AC1124" t="s">
        <v>12</v>
      </c>
      <c r="AD1124" t="s">
        <v>12</v>
      </c>
    </row>
    <row r="1125" spans="1:30">
      <c r="A1125" t="s">
        <v>845</v>
      </c>
      <c r="B1125" t="str">
        <f>Master_Data_Productivity[[#This Row],[Uniq-ID]]&amp;"-"&amp;Master_Data_Productivity[[#This Row],[Period]]</f>
        <v>PE-Project_Engineer-006-M5</v>
      </c>
      <c r="C1125" t="s">
        <v>846</v>
      </c>
      <c r="D1125" t="s">
        <v>847</v>
      </c>
      <c r="E1125" t="s">
        <v>28</v>
      </c>
      <c r="F1125" t="s">
        <v>338</v>
      </c>
      <c r="G1125" t="s">
        <v>15</v>
      </c>
      <c r="H1125" t="s">
        <v>44</v>
      </c>
      <c r="K1125" t="s">
        <v>12</v>
      </c>
      <c r="L1125" t="s">
        <v>12</v>
      </c>
      <c r="M1125" t="s">
        <v>12</v>
      </c>
      <c r="Q1125" t="s">
        <v>716</v>
      </c>
      <c r="R1125" t="s">
        <v>446</v>
      </c>
      <c r="S1125" t="s">
        <v>12</v>
      </c>
      <c r="T1125" t="s">
        <v>12</v>
      </c>
      <c r="U1125" t="s">
        <v>12</v>
      </c>
      <c r="V1125" t="s">
        <v>12</v>
      </c>
      <c r="W1125" t="s">
        <v>12</v>
      </c>
      <c r="X1125" t="s">
        <v>12</v>
      </c>
      <c r="Y1125" t="s">
        <v>12</v>
      </c>
      <c r="Z1125" t="s">
        <v>12</v>
      </c>
      <c r="AA1125" t="s">
        <v>12</v>
      </c>
      <c r="AB1125" t="s">
        <v>12</v>
      </c>
      <c r="AC1125" t="s">
        <v>12</v>
      </c>
      <c r="AD1125" t="s">
        <v>12</v>
      </c>
    </row>
    <row r="1126" spans="1:30">
      <c r="A1126" t="s">
        <v>845</v>
      </c>
      <c r="B1126" t="str">
        <f>Master_Data_Productivity[[#This Row],[Uniq-ID]]&amp;"-"&amp;Master_Data_Productivity[[#This Row],[Period]]</f>
        <v>PE-Project_Engineer-006-M6</v>
      </c>
      <c r="C1126" t="s">
        <v>846</v>
      </c>
      <c r="D1126" t="s">
        <v>847</v>
      </c>
      <c r="E1126" t="s">
        <v>31</v>
      </c>
      <c r="F1126" t="s">
        <v>339</v>
      </c>
      <c r="G1126" t="s">
        <v>33</v>
      </c>
      <c r="H1126" t="s">
        <v>44</v>
      </c>
      <c r="K1126" t="s">
        <v>12</v>
      </c>
      <c r="L1126" t="s">
        <v>12</v>
      </c>
      <c r="M1126" t="s">
        <v>12</v>
      </c>
      <c r="Q1126" t="s">
        <v>716</v>
      </c>
      <c r="R1126" t="s">
        <v>446</v>
      </c>
      <c r="S1126" t="s">
        <v>12</v>
      </c>
      <c r="T1126" t="s">
        <v>12</v>
      </c>
      <c r="U1126" t="s">
        <v>12</v>
      </c>
      <c r="V1126" t="s">
        <v>12</v>
      </c>
      <c r="W1126" t="s">
        <v>12</v>
      </c>
      <c r="X1126" t="s">
        <v>12</v>
      </c>
      <c r="Y1126" t="s">
        <v>12</v>
      </c>
      <c r="Z1126" t="s">
        <v>12</v>
      </c>
      <c r="AA1126" t="s">
        <v>12</v>
      </c>
      <c r="AB1126" t="s">
        <v>12</v>
      </c>
      <c r="AC1126" t="s">
        <v>12</v>
      </c>
      <c r="AD1126" t="s">
        <v>12</v>
      </c>
    </row>
    <row r="1127" spans="1:30">
      <c r="A1127" t="s">
        <v>888</v>
      </c>
      <c r="B1127" t="str">
        <f>Master_Data_Productivity[[#This Row],[Uniq-ID]]&amp;"-"&amp;Master_Data_Productivity[[#This Row],[Period]]</f>
        <v>PE-Project_Engineer-086-M1</v>
      </c>
      <c r="C1127" t="s">
        <v>889</v>
      </c>
      <c r="D1127" t="s">
        <v>11</v>
      </c>
      <c r="E1127" t="s">
        <v>13</v>
      </c>
      <c r="F1127" t="s">
        <v>71</v>
      </c>
      <c r="G1127" t="s">
        <v>15</v>
      </c>
      <c r="H1127" t="s">
        <v>44</v>
      </c>
      <c r="K1127" t="s">
        <v>12</v>
      </c>
      <c r="L1127" t="s">
        <v>12</v>
      </c>
      <c r="M1127" t="s">
        <v>12</v>
      </c>
      <c r="Q1127" t="s">
        <v>716</v>
      </c>
      <c r="R1127" t="s">
        <v>446</v>
      </c>
      <c r="S1127" t="s">
        <v>12</v>
      </c>
      <c r="T1127" t="s">
        <v>12</v>
      </c>
      <c r="U1127" t="s">
        <v>12</v>
      </c>
      <c r="V1127" t="s">
        <v>12</v>
      </c>
      <c r="W1127" t="s">
        <v>12</v>
      </c>
      <c r="X1127" t="s">
        <v>12</v>
      </c>
      <c r="Y1127" t="s">
        <v>12</v>
      </c>
      <c r="Z1127" t="s">
        <v>12</v>
      </c>
      <c r="AA1127" t="s">
        <v>12</v>
      </c>
      <c r="AB1127" t="s">
        <v>12</v>
      </c>
      <c r="AC1127" t="s">
        <v>12</v>
      </c>
      <c r="AD1127" t="s">
        <v>12</v>
      </c>
    </row>
    <row r="1128" spans="1:30">
      <c r="A1128" t="s">
        <v>888</v>
      </c>
      <c r="B1128" t="str">
        <f>Master_Data_Productivity[[#This Row],[Uniq-ID]]&amp;"-"&amp;Master_Data_Productivity[[#This Row],[Period]]</f>
        <v>PE-Project_Engineer-086-M2</v>
      </c>
      <c r="C1128" t="s">
        <v>889</v>
      </c>
      <c r="D1128" t="s">
        <v>11</v>
      </c>
      <c r="E1128" t="s">
        <v>18</v>
      </c>
      <c r="F1128" t="s">
        <v>73</v>
      </c>
      <c r="G1128" t="s">
        <v>33</v>
      </c>
      <c r="H1128" t="s">
        <v>44</v>
      </c>
      <c r="K1128" t="s">
        <v>12</v>
      </c>
      <c r="L1128" t="s">
        <v>12</v>
      </c>
      <c r="M1128" t="s">
        <v>12</v>
      </c>
      <c r="Q1128" t="s">
        <v>716</v>
      </c>
      <c r="R1128" t="s">
        <v>446</v>
      </c>
      <c r="S1128" t="s">
        <v>12</v>
      </c>
      <c r="T1128" t="s">
        <v>12</v>
      </c>
      <c r="U1128" t="s">
        <v>12</v>
      </c>
      <c r="V1128" t="s">
        <v>12</v>
      </c>
      <c r="W1128" t="s">
        <v>12</v>
      </c>
      <c r="X1128" t="s">
        <v>12</v>
      </c>
      <c r="Y1128" t="s">
        <v>12</v>
      </c>
      <c r="Z1128" t="s">
        <v>12</v>
      </c>
      <c r="AA1128" t="s">
        <v>12</v>
      </c>
      <c r="AB1128" t="s">
        <v>12</v>
      </c>
      <c r="AC1128" t="s">
        <v>12</v>
      </c>
      <c r="AD1128" t="s">
        <v>12</v>
      </c>
    </row>
    <row r="1129" spans="1:30">
      <c r="A1129" t="s">
        <v>872</v>
      </c>
      <c r="B1129" t="str">
        <f>Master_Data_Productivity[[#This Row],[Uniq-ID]]&amp;"-"&amp;Master_Data_Productivity[[#This Row],[Period]]</f>
        <v>PE-Project_Engineer-069-M1</v>
      </c>
      <c r="C1129" t="s">
        <v>873</v>
      </c>
      <c r="D1129" t="s">
        <v>76</v>
      </c>
      <c r="E1129" t="s">
        <v>13</v>
      </c>
      <c r="F1129" t="s">
        <v>26</v>
      </c>
      <c r="G1129" t="s">
        <v>15</v>
      </c>
      <c r="H1129" t="s">
        <v>44</v>
      </c>
      <c r="K1129" t="s">
        <v>12</v>
      </c>
      <c r="L1129" t="s">
        <v>12</v>
      </c>
      <c r="M1129" t="s">
        <v>12</v>
      </c>
      <c r="Q1129" t="s">
        <v>716</v>
      </c>
      <c r="R1129" t="s">
        <v>441</v>
      </c>
      <c r="S1129" t="s">
        <v>12</v>
      </c>
      <c r="T1129" t="s">
        <v>12</v>
      </c>
      <c r="U1129" t="s">
        <v>12</v>
      </c>
      <c r="V1129" t="s">
        <v>12</v>
      </c>
      <c r="W1129" t="s">
        <v>12</v>
      </c>
      <c r="X1129" t="s">
        <v>12</v>
      </c>
      <c r="Y1129" t="s">
        <v>12</v>
      </c>
      <c r="Z1129" t="s">
        <v>12</v>
      </c>
      <c r="AA1129" t="s">
        <v>12</v>
      </c>
      <c r="AB1129" t="s">
        <v>12</v>
      </c>
      <c r="AC1129" t="s">
        <v>12</v>
      </c>
      <c r="AD1129" t="s">
        <v>12</v>
      </c>
    </row>
    <row r="1130" spans="1:30">
      <c r="A1130" t="s">
        <v>872</v>
      </c>
      <c r="B1130" t="str">
        <f>Master_Data_Productivity[[#This Row],[Uniq-ID]]&amp;"-"&amp;Master_Data_Productivity[[#This Row],[Period]]</f>
        <v>PE-Project_Engineer-069-M2</v>
      </c>
      <c r="C1130" t="s">
        <v>873</v>
      </c>
      <c r="D1130" t="s">
        <v>76</v>
      </c>
      <c r="E1130" t="s">
        <v>18</v>
      </c>
      <c r="F1130" t="s">
        <v>29</v>
      </c>
      <c r="G1130" t="s">
        <v>15</v>
      </c>
      <c r="H1130" t="s">
        <v>44</v>
      </c>
      <c r="K1130" t="s">
        <v>12</v>
      </c>
      <c r="L1130" t="s">
        <v>12</v>
      </c>
      <c r="M1130" t="s">
        <v>12</v>
      </c>
      <c r="Q1130" t="s">
        <v>716</v>
      </c>
      <c r="R1130" t="s">
        <v>441</v>
      </c>
      <c r="S1130" t="s">
        <v>12</v>
      </c>
      <c r="T1130" t="s">
        <v>12</v>
      </c>
      <c r="U1130" t="s">
        <v>12</v>
      </c>
      <c r="V1130" t="s">
        <v>12</v>
      </c>
      <c r="W1130" t="s">
        <v>12</v>
      </c>
      <c r="X1130" t="s">
        <v>12</v>
      </c>
      <c r="Y1130" t="s">
        <v>12</v>
      </c>
      <c r="Z1130" t="s">
        <v>12</v>
      </c>
      <c r="AA1130" t="s">
        <v>12</v>
      </c>
      <c r="AB1130" t="s">
        <v>12</v>
      </c>
      <c r="AC1130" t="s">
        <v>12</v>
      </c>
      <c r="AD1130" t="s">
        <v>12</v>
      </c>
    </row>
    <row r="1131" spans="1:30">
      <c r="A1131" t="s">
        <v>872</v>
      </c>
      <c r="B1131" t="str">
        <f>Master_Data_Productivity[[#This Row],[Uniq-ID]]&amp;"-"&amp;Master_Data_Productivity[[#This Row],[Period]]</f>
        <v>PE-Project_Engineer-069-M3</v>
      </c>
      <c r="C1131" t="s">
        <v>873</v>
      </c>
      <c r="D1131" t="s">
        <v>76</v>
      </c>
      <c r="E1131" t="s">
        <v>22</v>
      </c>
      <c r="F1131" t="s">
        <v>32</v>
      </c>
      <c r="G1131" t="s">
        <v>33</v>
      </c>
      <c r="H1131" t="s">
        <v>44</v>
      </c>
      <c r="K1131" t="s">
        <v>12</v>
      </c>
      <c r="L1131" t="s">
        <v>12</v>
      </c>
      <c r="M1131" t="s">
        <v>12</v>
      </c>
      <c r="Q1131" t="s">
        <v>716</v>
      </c>
      <c r="R1131" t="s">
        <v>441</v>
      </c>
      <c r="S1131" t="s">
        <v>12</v>
      </c>
      <c r="T1131" t="s">
        <v>12</v>
      </c>
      <c r="U1131" t="s">
        <v>12</v>
      </c>
      <c r="V1131" t="s">
        <v>12</v>
      </c>
      <c r="W1131" t="s">
        <v>12</v>
      </c>
      <c r="X1131" t="s">
        <v>12</v>
      </c>
      <c r="Y1131" t="s">
        <v>12</v>
      </c>
      <c r="Z1131" t="s">
        <v>12</v>
      </c>
      <c r="AA1131" t="s">
        <v>12</v>
      </c>
      <c r="AB1131" t="s">
        <v>12</v>
      </c>
      <c r="AC1131" t="s">
        <v>12</v>
      </c>
      <c r="AD1131" t="s">
        <v>12</v>
      </c>
    </row>
    <row r="1132" spans="1:30">
      <c r="A1132" t="s">
        <v>880</v>
      </c>
      <c r="B1132" t="str">
        <f>Master_Data_Productivity[[#This Row],[Uniq-ID]]&amp;"-"&amp;Master_Data_Productivity[[#This Row],[Period]]</f>
        <v>PE-Project_Engineer-067-M1</v>
      </c>
      <c r="C1132" t="s">
        <v>881</v>
      </c>
      <c r="D1132" t="s">
        <v>76</v>
      </c>
      <c r="E1132" t="s">
        <v>13</v>
      </c>
      <c r="F1132" t="s">
        <v>26</v>
      </c>
      <c r="G1132" t="s">
        <v>15</v>
      </c>
      <c r="H1132" t="s">
        <v>44</v>
      </c>
      <c r="K1132" t="s">
        <v>12</v>
      </c>
      <c r="L1132" t="s">
        <v>12</v>
      </c>
      <c r="M1132" t="s">
        <v>12</v>
      </c>
      <c r="Q1132" t="s">
        <v>716</v>
      </c>
      <c r="R1132" t="s">
        <v>441</v>
      </c>
      <c r="S1132" t="s">
        <v>12</v>
      </c>
      <c r="T1132" t="s">
        <v>12</v>
      </c>
      <c r="U1132" t="s">
        <v>12</v>
      </c>
      <c r="V1132" t="s">
        <v>12</v>
      </c>
      <c r="W1132" t="s">
        <v>12</v>
      </c>
      <c r="X1132" t="s">
        <v>12</v>
      </c>
      <c r="Y1132" t="s">
        <v>12</v>
      </c>
      <c r="Z1132" t="s">
        <v>12</v>
      </c>
      <c r="AA1132" t="s">
        <v>12</v>
      </c>
      <c r="AB1132" t="s">
        <v>12</v>
      </c>
      <c r="AC1132" t="s">
        <v>12</v>
      </c>
      <c r="AD1132" t="s">
        <v>12</v>
      </c>
    </row>
    <row r="1133" spans="1:30">
      <c r="A1133" t="s">
        <v>880</v>
      </c>
      <c r="B1133" t="str">
        <f>Master_Data_Productivity[[#This Row],[Uniq-ID]]&amp;"-"&amp;Master_Data_Productivity[[#This Row],[Period]]</f>
        <v>PE-Project_Engineer-067-M2</v>
      </c>
      <c r="C1133" t="s">
        <v>881</v>
      </c>
      <c r="D1133" t="s">
        <v>76</v>
      </c>
      <c r="E1133" t="s">
        <v>18</v>
      </c>
      <c r="F1133" t="s">
        <v>29</v>
      </c>
      <c r="G1133" t="s">
        <v>15</v>
      </c>
      <c r="H1133" t="s">
        <v>44</v>
      </c>
      <c r="K1133" t="s">
        <v>12</v>
      </c>
      <c r="L1133" t="s">
        <v>12</v>
      </c>
      <c r="M1133" t="s">
        <v>12</v>
      </c>
      <c r="Q1133" t="s">
        <v>716</v>
      </c>
      <c r="R1133" t="s">
        <v>441</v>
      </c>
      <c r="S1133" t="s">
        <v>12</v>
      </c>
      <c r="T1133" t="s">
        <v>12</v>
      </c>
      <c r="U1133" t="s">
        <v>12</v>
      </c>
      <c r="V1133" t="s">
        <v>12</v>
      </c>
      <c r="W1133" t="s">
        <v>12</v>
      </c>
      <c r="X1133" t="s">
        <v>12</v>
      </c>
      <c r="Y1133" t="s">
        <v>12</v>
      </c>
      <c r="Z1133" t="s">
        <v>12</v>
      </c>
      <c r="AA1133" t="s">
        <v>12</v>
      </c>
      <c r="AB1133" t="s">
        <v>12</v>
      </c>
      <c r="AC1133" t="s">
        <v>12</v>
      </c>
      <c r="AD1133" t="s">
        <v>12</v>
      </c>
    </row>
    <row r="1134" spans="1:30">
      <c r="A1134" t="s">
        <v>880</v>
      </c>
      <c r="B1134" t="str">
        <f>Master_Data_Productivity[[#This Row],[Uniq-ID]]&amp;"-"&amp;Master_Data_Productivity[[#This Row],[Period]]</f>
        <v>PE-Project_Engineer-067-M3</v>
      </c>
      <c r="C1134" t="s">
        <v>881</v>
      </c>
      <c r="D1134" t="s">
        <v>76</v>
      </c>
      <c r="E1134" t="s">
        <v>22</v>
      </c>
      <c r="F1134" t="s">
        <v>32</v>
      </c>
      <c r="G1134" t="s">
        <v>33</v>
      </c>
      <c r="H1134" t="s">
        <v>44</v>
      </c>
      <c r="K1134" t="s">
        <v>12</v>
      </c>
      <c r="L1134" t="s">
        <v>12</v>
      </c>
      <c r="M1134" t="s">
        <v>12</v>
      </c>
      <c r="Q1134" t="s">
        <v>716</v>
      </c>
      <c r="R1134" t="s">
        <v>441</v>
      </c>
      <c r="S1134" t="s">
        <v>12</v>
      </c>
      <c r="T1134" t="s">
        <v>12</v>
      </c>
      <c r="U1134" t="s">
        <v>12</v>
      </c>
      <c r="V1134" t="s">
        <v>12</v>
      </c>
      <c r="W1134" t="s">
        <v>12</v>
      </c>
      <c r="X1134" t="s">
        <v>12</v>
      </c>
      <c r="Y1134" t="s">
        <v>12</v>
      </c>
      <c r="Z1134" t="s">
        <v>12</v>
      </c>
      <c r="AA1134" t="s">
        <v>12</v>
      </c>
      <c r="AB1134" t="s">
        <v>12</v>
      </c>
      <c r="AC1134" t="s">
        <v>12</v>
      </c>
      <c r="AD1134" t="s">
        <v>12</v>
      </c>
    </row>
    <row r="1135" spans="1:30">
      <c r="A1135" t="s">
        <v>854</v>
      </c>
      <c r="B1135" t="str">
        <f>Master_Data_Productivity[[#This Row],[Uniq-ID]]&amp;"-"&amp;Master_Data_Productivity[[#This Row],[Period]]</f>
        <v>PE-Project_Engineer-008-M1</v>
      </c>
      <c r="C1135" t="s">
        <v>855</v>
      </c>
      <c r="D1135" t="s">
        <v>48</v>
      </c>
      <c r="E1135" t="s">
        <v>13</v>
      </c>
      <c r="F1135" t="s">
        <v>758</v>
      </c>
      <c r="G1135" t="s">
        <v>15</v>
      </c>
      <c r="H1135" t="s">
        <v>44</v>
      </c>
      <c r="J1135">
        <v>0.5</v>
      </c>
      <c r="K1135" t="s">
        <v>12</v>
      </c>
      <c r="L1135" t="s">
        <v>12</v>
      </c>
      <c r="M1135" t="s">
        <v>12</v>
      </c>
      <c r="Q1135" t="s">
        <v>716</v>
      </c>
      <c r="R1135" t="s">
        <v>446</v>
      </c>
      <c r="S1135" t="s">
        <v>12</v>
      </c>
      <c r="T1135" t="s">
        <v>12</v>
      </c>
      <c r="U1135" t="s">
        <v>12</v>
      </c>
      <c r="V1135" t="s">
        <v>12</v>
      </c>
      <c r="W1135" t="s">
        <v>12</v>
      </c>
      <c r="X1135" t="s">
        <v>12</v>
      </c>
      <c r="Y1135" t="s">
        <v>3502</v>
      </c>
      <c r="Z1135" t="s">
        <v>3502</v>
      </c>
      <c r="AA1135" t="s">
        <v>3497</v>
      </c>
      <c r="AB1135" t="s">
        <v>12</v>
      </c>
      <c r="AC1135" t="s">
        <v>4079</v>
      </c>
      <c r="AD1135" t="s">
        <v>3845</v>
      </c>
    </row>
    <row r="1136" spans="1:30">
      <c r="A1136" t="s">
        <v>854</v>
      </c>
      <c r="B1136" t="str">
        <f>Master_Data_Productivity[[#This Row],[Uniq-ID]]&amp;"-"&amp;Master_Data_Productivity[[#This Row],[Period]]</f>
        <v>PE-Project_Engineer-008-M2</v>
      </c>
      <c r="C1136" t="s">
        <v>855</v>
      </c>
      <c r="D1136" t="s">
        <v>48</v>
      </c>
      <c r="E1136" t="s">
        <v>18</v>
      </c>
      <c r="F1136" t="s">
        <v>759</v>
      </c>
      <c r="G1136" t="s">
        <v>15</v>
      </c>
      <c r="H1136" t="s">
        <v>719</v>
      </c>
      <c r="J1136">
        <v>1</v>
      </c>
      <c r="K1136" t="s">
        <v>12</v>
      </c>
      <c r="L1136" t="s">
        <v>12</v>
      </c>
      <c r="M1136" t="s">
        <v>12</v>
      </c>
      <c r="Q1136" t="s">
        <v>716</v>
      </c>
      <c r="R1136" t="s">
        <v>446</v>
      </c>
      <c r="S1136" t="s">
        <v>12</v>
      </c>
      <c r="T1136" t="s">
        <v>12</v>
      </c>
      <c r="U1136" t="s">
        <v>12</v>
      </c>
      <c r="V1136" t="s">
        <v>12</v>
      </c>
      <c r="W1136" t="s">
        <v>12</v>
      </c>
      <c r="X1136" t="s">
        <v>12</v>
      </c>
      <c r="Y1136" t="s">
        <v>3923</v>
      </c>
      <c r="Z1136" t="s">
        <v>4080</v>
      </c>
      <c r="AA1136" t="s">
        <v>4081</v>
      </c>
      <c r="AB1136" t="s">
        <v>12</v>
      </c>
      <c r="AC1136" t="s">
        <v>4082</v>
      </c>
      <c r="AD1136" t="s">
        <v>4083</v>
      </c>
    </row>
    <row r="1137" spans="1:30">
      <c r="A1137" t="s">
        <v>854</v>
      </c>
      <c r="B1137" t="str">
        <f>Master_Data_Productivity[[#This Row],[Uniq-ID]]&amp;"-"&amp;Master_Data_Productivity[[#This Row],[Period]]</f>
        <v>PE-Project_Engineer-008-M3</v>
      </c>
      <c r="C1137" t="s">
        <v>855</v>
      </c>
      <c r="D1137" t="s">
        <v>48</v>
      </c>
      <c r="E1137" t="s">
        <v>22</v>
      </c>
      <c r="F1137" t="s">
        <v>760</v>
      </c>
      <c r="G1137" t="s">
        <v>15</v>
      </c>
      <c r="H1137" t="s">
        <v>16</v>
      </c>
      <c r="J1137">
        <v>1.22</v>
      </c>
      <c r="K1137" t="s">
        <v>12</v>
      </c>
      <c r="L1137" t="s">
        <v>12</v>
      </c>
      <c r="M1137" t="s">
        <v>12</v>
      </c>
      <c r="Q1137" t="s">
        <v>716</v>
      </c>
      <c r="R1137" t="s">
        <v>446</v>
      </c>
      <c r="S1137" t="s">
        <v>12</v>
      </c>
      <c r="T1137" t="s">
        <v>12</v>
      </c>
      <c r="U1137" t="s">
        <v>12</v>
      </c>
      <c r="V1137" t="s">
        <v>12</v>
      </c>
      <c r="W1137" t="s">
        <v>12</v>
      </c>
      <c r="X1137" t="s">
        <v>12</v>
      </c>
      <c r="Y1137" t="s">
        <v>3858</v>
      </c>
      <c r="Z1137" t="s">
        <v>4084</v>
      </c>
      <c r="AA1137" t="s">
        <v>3590</v>
      </c>
      <c r="AB1137" t="s">
        <v>12</v>
      </c>
      <c r="AC1137" t="s">
        <v>4085</v>
      </c>
      <c r="AD1137" t="s">
        <v>4086</v>
      </c>
    </row>
    <row r="1138" spans="1:30">
      <c r="A1138" t="s">
        <v>854</v>
      </c>
      <c r="B1138" t="str">
        <f>Master_Data_Productivity[[#This Row],[Uniq-ID]]&amp;"-"&amp;Master_Data_Productivity[[#This Row],[Period]]</f>
        <v>PE-Project_Engineer-008-M4</v>
      </c>
      <c r="C1138" t="s">
        <v>855</v>
      </c>
      <c r="D1138" t="s">
        <v>48</v>
      </c>
      <c r="E1138" t="s">
        <v>25</v>
      </c>
      <c r="F1138" t="s">
        <v>761</v>
      </c>
      <c r="G1138" t="s">
        <v>15</v>
      </c>
      <c r="H1138" t="s">
        <v>16</v>
      </c>
      <c r="J1138">
        <v>1.27</v>
      </c>
      <c r="K1138" t="s">
        <v>12</v>
      </c>
      <c r="L1138" t="s">
        <v>12</v>
      </c>
      <c r="M1138" t="s">
        <v>12</v>
      </c>
      <c r="Q1138" t="s">
        <v>716</v>
      </c>
      <c r="R1138" t="s">
        <v>446</v>
      </c>
      <c r="S1138" t="s">
        <v>12</v>
      </c>
      <c r="T1138" t="s">
        <v>12</v>
      </c>
      <c r="U1138" t="s">
        <v>12</v>
      </c>
      <c r="V1138" t="s">
        <v>12</v>
      </c>
      <c r="W1138" t="s">
        <v>12</v>
      </c>
      <c r="X1138" t="s">
        <v>12</v>
      </c>
      <c r="Y1138" t="s">
        <v>3864</v>
      </c>
      <c r="Z1138" t="s">
        <v>3579</v>
      </c>
      <c r="AA1138" t="s">
        <v>4087</v>
      </c>
      <c r="AB1138" t="s">
        <v>12</v>
      </c>
      <c r="AC1138" t="s">
        <v>4088</v>
      </c>
      <c r="AD1138" t="s">
        <v>4089</v>
      </c>
    </row>
    <row r="1139" spans="1:30">
      <c r="A1139" t="s">
        <v>854</v>
      </c>
      <c r="B1139" t="str">
        <f>Master_Data_Productivity[[#This Row],[Uniq-ID]]&amp;"-"&amp;Master_Data_Productivity[[#This Row],[Period]]</f>
        <v>PE-Project_Engineer-008-M5</v>
      </c>
      <c r="C1139" t="s">
        <v>855</v>
      </c>
      <c r="D1139" t="s">
        <v>48</v>
      </c>
      <c r="E1139" t="s">
        <v>28</v>
      </c>
      <c r="F1139" t="s">
        <v>762</v>
      </c>
      <c r="G1139" t="s">
        <v>15</v>
      </c>
      <c r="H1139" t="s">
        <v>719</v>
      </c>
      <c r="J1139">
        <v>1</v>
      </c>
      <c r="K1139" t="s">
        <v>12</v>
      </c>
      <c r="L1139" t="s">
        <v>12</v>
      </c>
      <c r="M1139" t="s">
        <v>12</v>
      </c>
      <c r="Q1139" t="s">
        <v>716</v>
      </c>
      <c r="R1139" t="s">
        <v>446</v>
      </c>
      <c r="S1139" t="s">
        <v>12</v>
      </c>
      <c r="T1139" t="s">
        <v>12</v>
      </c>
      <c r="U1139" t="s">
        <v>12</v>
      </c>
      <c r="V1139" t="s">
        <v>12</v>
      </c>
      <c r="W1139" t="s">
        <v>12</v>
      </c>
      <c r="X1139" t="s">
        <v>12</v>
      </c>
      <c r="Y1139" t="s">
        <v>4090</v>
      </c>
      <c r="Z1139" t="s">
        <v>3722</v>
      </c>
      <c r="AA1139" t="s">
        <v>4091</v>
      </c>
      <c r="AB1139" t="s">
        <v>12</v>
      </c>
      <c r="AC1139" t="s">
        <v>4092</v>
      </c>
      <c r="AD1139" t="s">
        <v>4093</v>
      </c>
    </row>
    <row r="1140" spans="1:30">
      <c r="A1140" t="s">
        <v>854</v>
      </c>
      <c r="B1140" t="str">
        <f>Master_Data_Productivity[[#This Row],[Uniq-ID]]&amp;"-"&amp;Master_Data_Productivity[[#This Row],[Period]]</f>
        <v>PE-Project_Engineer-008-M6</v>
      </c>
      <c r="C1140" t="s">
        <v>855</v>
      </c>
      <c r="D1140" t="s">
        <v>48</v>
      </c>
      <c r="E1140" t="s">
        <v>31</v>
      </c>
      <c r="F1140" t="s">
        <v>763</v>
      </c>
      <c r="G1140" t="s">
        <v>33</v>
      </c>
      <c r="H1140" t="s">
        <v>44</v>
      </c>
      <c r="K1140" t="s">
        <v>12</v>
      </c>
      <c r="L1140" t="s">
        <v>12</v>
      </c>
      <c r="M1140" t="s">
        <v>12</v>
      </c>
      <c r="Q1140" t="s">
        <v>716</v>
      </c>
      <c r="R1140" t="s">
        <v>446</v>
      </c>
      <c r="S1140" t="s">
        <v>12</v>
      </c>
      <c r="T1140" t="s">
        <v>12</v>
      </c>
      <c r="U1140" t="s">
        <v>12</v>
      </c>
      <c r="V1140" t="s">
        <v>12</v>
      </c>
      <c r="W1140" t="s">
        <v>12</v>
      </c>
      <c r="X1140" t="s">
        <v>12</v>
      </c>
      <c r="Y1140" t="s">
        <v>12</v>
      </c>
      <c r="Z1140" t="s">
        <v>12</v>
      </c>
      <c r="AA1140" t="s">
        <v>12</v>
      </c>
      <c r="AB1140" t="s">
        <v>12</v>
      </c>
      <c r="AC1140" t="s">
        <v>12</v>
      </c>
      <c r="AD1140" t="s">
        <v>12</v>
      </c>
    </row>
    <row r="1141" spans="1:30">
      <c r="A1141" t="s">
        <v>882</v>
      </c>
      <c r="B1141" t="str">
        <f>Master_Data_Productivity[[#This Row],[Uniq-ID]]&amp;"-"&amp;Master_Data_Productivity[[#This Row],[Period]]</f>
        <v>PE-Project_Engineer-065-M1</v>
      </c>
      <c r="C1141" t="s">
        <v>883</v>
      </c>
      <c r="D1141" t="s">
        <v>76</v>
      </c>
      <c r="E1141" t="s">
        <v>13</v>
      </c>
      <c r="F1141" t="s">
        <v>26</v>
      </c>
      <c r="G1141" t="s">
        <v>15</v>
      </c>
      <c r="H1141" t="s">
        <v>44</v>
      </c>
      <c r="K1141" t="s">
        <v>12</v>
      </c>
      <c r="L1141" t="s">
        <v>12</v>
      </c>
      <c r="M1141" t="s">
        <v>12</v>
      </c>
      <c r="Q1141" t="s">
        <v>716</v>
      </c>
      <c r="R1141" t="s">
        <v>441</v>
      </c>
      <c r="S1141" t="s">
        <v>12</v>
      </c>
      <c r="T1141" t="s">
        <v>12</v>
      </c>
      <c r="U1141" t="s">
        <v>12</v>
      </c>
      <c r="V1141" t="s">
        <v>12</v>
      </c>
      <c r="W1141" t="s">
        <v>12</v>
      </c>
      <c r="X1141" t="s">
        <v>12</v>
      </c>
      <c r="Y1141" t="s">
        <v>12</v>
      </c>
      <c r="Z1141" t="s">
        <v>12</v>
      </c>
      <c r="AA1141" t="s">
        <v>12</v>
      </c>
      <c r="AB1141" t="s">
        <v>12</v>
      </c>
      <c r="AC1141" t="s">
        <v>12</v>
      </c>
      <c r="AD1141" t="s">
        <v>12</v>
      </c>
    </row>
    <row r="1142" spans="1:30">
      <c r="A1142" t="s">
        <v>882</v>
      </c>
      <c r="B1142" t="str">
        <f>Master_Data_Productivity[[#This Row],[Uniq-ID]]&amp;"-"&amp;Master_Data_Productivity[[#This Row],[Period]]</f>
        <v>PE-Project_Engineer-065-M2</v>
      </c>
      <c r="C1142" t="s">
        <v>883</v>
      </c>
      <c r="D1142" t="s">
        <v>76</v>
      </c>
      <c r="E1142" t="s">
        <v>18</v>
      </c>
      <c r="F1142" t="s">
        <v>29</v>
      </c>
      <c r="G1142" t="s">
        <v>15</v>
      </c>
      <c r="H1142" t="s">
        <v>44</v>
      </c>
      <c r="K1142" t="s">
        <v>12</v>
      </c>
      <c r="L1142" t="s">
        <v>12</v>
      </c>
      <c r="M1142" t="s">
        <v>12</v>
      </c>
      <c r="Q1142" t="s">
        <v>716</v>
      </c>
      <c r="R1142" t="s">
        <v>441</v>
      </c>
      <c r="S1142" t="s">
        <v>12</v>
      </c>
      <c r="T1142" t="s">
        <v>12</v>
      </c>
      <c r="U1142" t="s">
        <v>12</v>
      </c>
      <c r="V1142" t="s">
        <v>12</v>
      </c>
      <c r="W1142" t="s">
        <v>12</v>
      </c>
      <c r="X1142" t="s">
        <v>12</v>
      </c>
      <c r="Y1142" t="s">
        <v>12</v>
      </c>
      <c r="Z1142" t="s">
        <v>12</v>
      </c>
      <c r="AA1142" t="s">
        <v>12</v>
      </c>
      <c r="AB1142" t="s">
        <v>12</v>
      </c>
      <c r="AC1142" t="s">
        <v>12</v>
      </c>
      <c r="AD1142" t="s">
        <v>12</v>
      </c>
    </row>
    <row r="1143" spans="1:30">
      <c r="A1143" t="s">
        <v>882</v>
      </c>
      <c r="B1143" t="str">
        <f>Master_Data_Productivity[[#This Row],[Uniq-ID]]&amp;"-"&amp;Master_Data_Productivity[[#This Row],[Period]]</f>
        <v>PE-Project_Engineer-065-M3</v>
      </c>
      <c r="C1143" t="s">
        <v>883</v>
      </c>
      <c r="D1143" t="s">
        <v>76</v>
      </c>
      <c r="E1143" t="s">
        <v>22</v>
      </c>
      <c r="F1143" t="s">
        <v>32</v>
      </c>
      <c r="G1143" t="s">
        <v>33</v>
      </c>
      <c r="H1143" t="s">
        <v>44</v>
      </c>
      <c r="K1143" t="s">
        <v>12</v>
      </c>
      <c r="L1143" t="s">
        <v>12</v>
      </c>
      <c r="M1143" t="s">
        <v>12</v>
      </c>
      <c r="Q1143" t="s">
        <v>716</v>
      </c>
      <c r="R1143" t="s">
        <v>441</v>
      </c>
      <c r="S1143" t="s">
        <v>12</v>
      </c>
      <c r="T1143" t="s">
        <v>12</v>
      </c>
      <c r="U1143" t="s">
        <v>12</v>
      </c>
      <c r="V1143" t="s">
        <v>12</v>
      </c>
      <c r="W1143" t="s">
        <v>12</v>
      </c>
      <c r="X1143" t="s">
        <v>12</v>
      </c>
      <c r="Y1143" t="s">
        <v>12</v>
      </c>
      <c r="Z1143" t="s">
        <v>12</v>
      </c>
      <c r="AA1143" t="s">
        <v>12</v>
      </c>
      <c r="AB1143" t="s">
        <v>12</v>
      </c>
      <c r="AC1143" t="s">
        <v>12</v>
      </c>
      <c r="AD1143" t="s">
        <v>12</v>
      </c>
    </row>
    <row r="1144" spans="1:30">
      <c r="A1144" t="s">
        <v>886</v>
      </c>
      <c r="B1144" t="str">
        <f>Master_Data_Productivity[[#This Row],[Uniq-ID]]&amp;"-"&amp;Master_Data_Productivity[[#This Row],[Period]]</f>
        <v>PE-Project_Engineer-060-M1</v>
      </c>
      <c r="C1144" t="s">
        <v>887</v>
      </c>
      <c r="D1144" t="s">
        <v>76</v>
      </c>
      <c r="E1144" t="s">
        <v>13</v>
      </c>
      <c r="F1144" t="s">
        <v>26</v>
      </c>
      <c r="G1144" t="s">
        <v>15</v>
      </c>
      <c r="H1144" t="s">
        <v>44</v>
      </c>
      <c r="K1144" t="s">
        <v>12</v>
      </c>
      <c r="L1144" t="s">
        <v>12</v>
      </c>
      <c r="M1144" t="s">
        <v>12</v>
      </c>
      <c r="Q1144" t="s">
        <v>716</v>
      </c>
      <c r="R1144" t="s">
        <v>461</v>
      </c>
      <c r="S1144" t="s">
        <v>12</v>
      </c>
      <c r="T1144" t="s">
        <v>12</v>
      </c>
      <c r="U1144" t="s">
        <v>12</v>
      </c>
      <c r="V1144" t="s">
        <v>12</v>
      </c>
      <c r="W1144" t="s">
        <v>12</v>
      </c>
      <c r="X1144" t="s">
        <v>12</v>
      </c>
      <c r="Y1144" t="s">
        <v>12</v>
      </c>
      <c r="Z1144" t="s">
        <v>12</v>
      </c>
      <c r="AA1144" t="s">
        <v>12</v>
      </c>
      <c r="AB1144" t="s">
        <v>12</v>
      </c>
      <c r="AC1144" t="s">
        <v>12</v>
      </c>
      <c r="AD1144" t="s">
        <v>12</v>
      </c>
    </row>
    <row r="1145" spans="1:30">
      <c r="A1145" t="s">
        <v>886</v>
      </c>
      <c r="B1145" t="str">
        <f>Master_Data_Productivity[[#This Row],[Uniq-ID]]&amp;"-"&amp;Master_Data_Productivity[[#This Row],[Period]]</f>
        <v>PE-Project_Engineer-060-M2</v>
      </c>
      <c r="C1145" t="s">
        <v>887</v>
      </c>
      <c r="D1145" t="s">
        <v>76</v>
      </c>
      <c r="E1145" t="s">
        <v>18</v>
      </c>
      <c r="F1145" t="s">
        <v>29</v>
      </c>
      <c r="G1145" t="s">
        <v>15</v>
      </c>
      <c r="H1145" t="s">
        <v>44</v>
      </c>
      <c r="K1145" t="s">
        <v>12</v>
      </c>
      <c r="L1145" t="s">
        <v>12</v>
      </c>
      <c r="M1145" t="s">
        <v>12</v>
      </c>
      <c r="Q1145" t="s">
        <v>716</v>
      </c>
      <c r="R1145" t="s">
        <v>461</v>
      </c>
      <c r="S1145" t="s">
        <v>12</v>
      </c>
      <c r="T1145" t="s">
        <v>12</v>
      </c>
      <c r="U1145" t="s">
        <v>12</v>
      </c>
      <c r="V1145" t="s">
        <v>12</v>
      </c>
      <c r="W1145" t="s">
        <v>12</v>
      </c>
      <c r="X1145" t="s">
        <v>12</v>
      </c>
      <c r="Y1145" t="s">
        <v>12</v>
      </c>
      <c r="Z1145" t="s">
        <v>12</v>
      </c>
      <c r="AA1145" t="s">
        <v>12</v>
      </c>
      <c r="AB1145" t="s">
        <v>12</v>
      </c>
      <c r="AC1145" t="s">
        <v>12</v>
      </c>
      <c r="AD1145" t="s">
        <v>12</v>
      </c>
    </row>
    <row r="1146" spans="1:30">
      <c r="A1146" t="s">
        <v>886</v>
      </c>
      <c r="B1146" t="str">
        <f>Master_Data_Productivity[[#This Row],[Uniq-ID]]&amp;"-"&amp;Master_Data_Productivity[[#This Row],[Period]]</f>
        <v>PE-Project_Engineer-060-M3</v>
      </c>
      <c r="C1146" t="s">
        <v>887</v>
      </c>
      <c r="D1146" t="s">
        <v>76</v>
      </c>
      <c r="E1146" t="s">
        <v>22</v>
      </c>
      <c r="F1146" t="s">
        <v>32</v>
      </c>
      <c r="G1146" t="s">
        <v>33</v>
      </c>
      <c r="H1146" t="s">
        <v>44</v>
      </c>
      <c r="K1146" t="s">
        <v>12</v>
      </c>
      <c r="L1146" t="s">
        <v>12</v>
      </c>
      <c r="M1146" t="s">
        <v>12</v>
      </c>
      <c r="Q1146" t="s">
        <v>716</v>
      </c>
      <c r="R1146" t="s">
        <v>461</v>
      </c>
      <c r="S1146" t="s">
        <v>12</v>
      </c>
      <c r="T1146" t="s">
        <v>12</v>
      </c>
      <c r="U1146" t="s">
        <v>12</v>
      </c>
      <c r="V1146" t="s">
        <v>12</v>
      </c>
      <c r="W1146" t="s">
        <v>12</v>
      </c>
      <c r="X1146" t="s">
        <v>12</v>
      </c>
      <c r="Y1146" t="s">
        <v>12</v>
      </c>
      <c r="Z1146" t="s">
        <v>12</v>
      </c>
      <c r="AA1146" t="s">
        <v>12</v>
      </c>
      <c r="AB1146" t="s">
        <v>12</v>
      </c>
      <c r="AC1146" t="s">
        <v>12</v>
      </c>
      <c r="AD1146" t="s">
        <v>12</v>
      </c>
    </row>
    <row r="1147" spans="1:30">
      <c r="A1147" t="s">
        <v>805</v>
      </c>
      <c r="B1147" t="str">
        <f>Master_Data_Productivity[[#This Row],[Uniq-ID]]&amp;"-"&amp;Master_Data_Productivity[[#This Row],[Period]]</f>
        <v>PE-Project_Engineer-056-M1</v>
      </c>
      <c r="C1147" t="s">
        <v>806</v>
      </c>
      <c r="D1147" t="s">
        <v>290</v>
      </c>
      <c r="E1147" t="s">
        <v>13</v>
      </c>
      <c r="F1147" t="s">
        <v>807</v>
      </c>
      <c r="G1147" t="s">
        <v>15</v>
      </c>
      <c r="H1147" t="s">
        <v>44</v>
      </c>
      <c r="K1147" t="s">
        <v>12</v>
      </c>
      <c r="L1147" t="s">
        <v>12</v>
      </c>
      <c r="M1147" t="s">
        <v>12</v>
      </c>
      <c r="Q1147" t="s">
        <v>716</v>
      </c>
      <c r="R1147" t="s">
        <v>446</v>
      </c>
      <c r="S1147" t="s">
        <v>12</v>
      </c>
      <c r="T1147" t="s">
        <v>12</v>
      </c>
      <c r="U1147" t="s">
        <v>12</v>
      </c>
      <c r="V1147" t="s">
        <v>12</v>
      </c>
      <c r="W1147" t="s">
        <v>12</v>
      </c>
      <c r="X1147" t="s">
        <v>12</v>
      </c>
      <c r="Y1147" t="s">
        <v>12</v>
      </c>
      <c r="Z1147" t="s">
        <v>12</v>
      </c>
      <c r="AA1147" t="s">
        <v>12</v>
      </c>
      <c r="AB1147" t="s">
        <v>12</v>
      </c>
      <c r="AC1147" t="s">
        <v>12</v>
      </c>
      <c r="AD1147" t="s">
        <v>12</v>
      </c>
    </row>
    <row r="1148" spans="1:30">
      <c r="A1148" t="s">
        <v>805</v>
      </c>
      <c r="B1148" t="str">
        <f>Master_Data_Productivity[[#This Row],[Uniq-ID]]&amp;"-"&amp;Master_Data_Productivity[[#This Row],[Period]]</f>
        <v>PE-Project_Engineer-056-M2</v>
      </c>
      <c r="C1148" t="s">
        <v>806</v>
      </c>
      <c r="D1148" t="s">
        <v>290</v>
      </c>
      <c r="E1148" t="s">
        <v>18</v>
      </c>
      <c r="F1148" t="s">
        <v>464</v>
      </c>
      <c r="G1148" t="s">
        <v>15</v>
      </c>
      <c r="H1148" t="s">
        <v>44</v>
      </c>
      <c r="K1148" t="s">
        <v>12</v>
      </c>
      <c r="L1148" t="s">
        <v>12</v>
      </c>
      <c r="M1148" t="s">
        <v>12</v>
      </c>
      <c r="Q1148" t="s">
        <v>716</v>
      </c>
      <c r="R1148" t="s">
        <v>446</v>
      </c>
      <c r="S1148" t="s">
        <v>12</v>
      </c>
      <c r="T1148" t="s">
        <v>12</v>
      </c>
      <c r="U1148" t="s">
        <v>12</v>
      </c>
      <c r="V1148" t="s">
        <v>12</v>
      </c>
      <c r="W1148" t="s">
        <v>12</v>
      </c>
      <c r="X1148" t="s">
        <v>12</v>
      </c>
      <c r="Y1148" t="s">
        <v>12</v>
      </c>
      <c r="Z1148" t="s">
        <v>12</v>
      </c>
      <c r="AA1148" t="s">
        <v>12</v>
      </c>
      <c r="AB1148" t="s">
        <v>12</v>
      </c>
      <c r="AC1148" t="s">
        <v>12</v>
      </c>
      <c r="AD1148" t="s">
        <v>12</v>
      </c>
    </row>
    <row r="1149" spans="1:30">
      <c r="A1149" t="s">
        <v>805</v>
      </c>
      <c r="B1149" t="str">
        <f>Master_Data_Productivity[[#This Row],[Uniq-ID]]&amp;"-"&amp;Master_Data_Productivity[[#This Row],[Period]]</f>
        <v>PE-Project_Engineer-056-M3</v>
      </c>
      <c r="C1149" t="s">
        <v>806</v>
      </c>
      <c r="D1149" t="s">
        <v>290</v>
      </c>
      <c r="E1149" t="s">
        <v>22</v>
      </c>
      <c r="F1149" t="s">
        <v>465</v>
      </c>
      <c r="G1149" t="s">
        <v>33</v>
      </c>
      <c r="H1149" t="s">
        <v>44</v>
      </c>
      <c r="K1149" t="s">
        <v>12</v>
      </c>
      <c r="L1149" t="s">
        <v>12</v>
      </c>
      <c r="M1149" t="s">
        <v>12</v>
      </c>
      <c r="Q1149" t="s">
        <v>716</v>
      </c>
      <c r="R1149" t="s">
        <v>446</v>
      </c>
      <c r="S1149" t="s">
        <v>12</v>
      </c>
      <c r="T1149" t="s">
        <v>12</v>
      </c>
      <c r="U1149" t="s">
        <v>12</v>
      </c>
      <c r="V1149" t="s">
        <v>12</v>
      </c>
      <c r="W1149" t="s">
        <v>12</v>
      </c>
      <c r="X1149" t="s">
        <v>12</v>
      </c>
      <c r="Y1149" t="s">
        <v>12</v>
      </c>
      <c r="Z1149" t="s">
        <v>12</v>
      </c>
      <c r="AA1149" t="s">
        <v>12</v>
      </c>
      <c r="AB1149" t="s">
        <v>12</v>
      </c>
      <c r="AC1149" t="s">
        <v>12</v>
      </c>
      <c r="AD1149" t="s">
        <v>12</v>
      </c>
    </row>
    <row r="1150" spans="1:30">
      <c r="A1150" t="s">
        <v>805</v>
      </c>
      <c r="B1150" t="str">
        <f>Master_Data_Productivity[[#This Row],[Uniq-ID]]&amp;"-"&amp;Master_Data_Productivity[[#This Row],[Period]]</f>
        <v>PE-Project_Engineer-056-M4</v>
      </c>
      <c r="C1150" t="s">
        <v>806</v>
      </c>
      <c r="D1150" t="s">
        <v>290</v>
      </c>
      <c r="E1150" t="s">
        <v>25</v>
      </c>
      <c r="F1150" t="s">
        <v>3448</v>
      </c>
      <c r="G1150" t="s">
        <v>225</v>
      </c>
      <c r="H1150" t="s">
        <v>44</v>
      </c>
      <c r="K1150" t="s">
        <v>12</v>
      </c>
      <c r="L1150" t="s">
        <v>12</v>
      </c>
      <c r="M1150" t="s">
        <v>12</v>
      </c>
      <c r="Q1150" t="s">
        <v>716</v>
      </c>
      <c r="R1150" t="s">
        <v>446</v>
      </c>
      <c r="S1150" t="s">
        <v>12</v>
      </c>
      <c r="T1150" t="s">
        <v>12</v>
      </c>
      <c r="U1150" t="s">
        <v>12</v>
      </c>
      <c r="V1150" t="s">
        <v>12</v>
      </c>
      <c r="W1150" t="s">
        <v>12</v>
      </c>
      <c r="X1150" t="s">
        <v>12</v>
      </c>
      <c r="Y1150" t="s">
        <v>12</v>
      </c>
      <c r="Z1150" t="s">
        <v>12</v>
      </c>
      <c r="AA1150" t="s">
        <v>12</v>
      </c>
      <c r="AB1150" t="s">
        <v>12</v>
      </c>
      <c r="AC1150" t="s">
        <v>12</v>
      </c>
      <c r="AD1150" t="s">
        <v>12</v>
      </c>
    </row>
    <row r="1151" spans="1:30">
      <c r="A1151" t="s">
        <v>808</v>
      </c>
      <c r="B1151" t="str">
        <f>Master_Data_Productivity[[#This Row],[Uniq-ID]]&amp;"-"&amp;Master_Data_Productivity[[#This Row],[Period]]</f>
        <v>PE-Project_Engineer-055-M1</v>
      </c>
      <c r="C1151" t="s">
        <v>809</v>
      </c>
      <c r="D1151" t="s">
        <v>76</v>
      </c>
      <c r="E1151" t="s">
        <v>13</v>
      </c>
      <c r="F1151" t="s">
        <v>37</v>
      </c>
      <c r="G1151" t="s">
        <v>15</v>
      </c>
      <c r="H1151" t="s">
        <v>44</v>
      </c>
      <c r="K1151" t="s">
        <v>12</v>
      </c>
      <c r="L1151" t="s">
        <v>12</v>
      </c>
      <c r="M1151" t="s">
        <v>12</v>
      </c>
      <c r="Q1151" t="s">
        <v>716</v>
      </c>
      <c r="R1151" t="s">
        <v>446</v>
      </c>
      <c r="S1151" t="s">
        <v>12</v>
      </c>
      <c r="T1151" t="s">
        <v>12</v>
      </c>
      <c r="U1151" t="s">
        <v>12</v>
      </c>
      <c r="V1151" t="s">
        <v>12</v>
      </c>
      <c r="W1151" t="s">
        <v>12</v>
      </c>
      <c r="X1151" t="s">
        <v>12</v>
      </c>
      <c r="Y1151" t="s">
        <v>12</v>
      </c>
      <c r="Z1151" t="s">
        <v>12</v>
      </c>
      <c r="AA1151" t="s">
        <v>12</v>
      </c>
      <c r="AB1151" t="s">
        <v>12</v>
      </c>
      <c r="AC1151" t="s">
        <v>12</v>
      </c>
      <c r="AD1151" t="s">
        <v>12</v>
      </c>
    </row>
    <row r="1152" spans="1:30">
      <c r="A1152" t="s">
        <v>808</v>
      </c>
      <c r="B1152" t="str">
        <f>Master_Data_Productivity[[#This Row],[Uniq-ID]]&amp;"-"&amp;Master_Data_Productivity[[#This Row],[Period]]</f>
        <v>PE-Project_Engineer-055-M2</v>
      </c>
      <c r="C1152" t="s">
        <v>809</v>
      </c>
      <c r="D1152" t="s">
        <v>76</v>
      </c>
      <c r="E1152" t="s">
        <v>18</v>
      </c>
      <c r="F1152" t="s">
        <v>39</v>
      </c>
      <c r="G1152" t="s">
        <v>15</v>
      </c>
      <c r="H1152" t="s">
        <v>44</v>
      </c>
      <c r="K1152" t="s">
        <v>12</v>
      </c>
      <c r="L1152" t="s">
        <v>12</v>
      </c>
      <c r="M1152" t="s">
        <v>12</v>
      </c>
      <c r="Q1152" t="s">
        <v>716</v>
      </c>
      <c r="R1152" t="s">
        <v>446</v>
      </c>
      <c r="S1152" t="s">
        <v>12</v>
      </c>
      <c r="T1152" t="s">
        <v>12</v>
      </c>
      <c r="U1152" t="s">
        <v>12</v>
      </c>
      <c r="V1152" t="s">
        <v>12</v>
      </c>
      <c r="W1152" t="s">
        <v>12</v>
      </c>
      <c r="X1152" t="s">
        <v>12</v>
      </c>
      <c r="Y1152" t="s">
        <v>12</v>
      </c>
      <c r="Z1152" t="s">
        <v>12</v>
      </c>
      <c r="AA1152" t="s">
        <v>12</v>
      </c>
      <c r="AB1152" t="s">
        <v>12</v>
      </c>
      <c r="AC1152" t="s">
        <v>12</v>
      </c>
      <c r="AD1152" t="s">
        <v>12</v>
      </c>
    </row>
    <row r="1153" spans="1:30">
      <c r="A1153" t="s">
        <v>808</v>
      </c>
      <c r="B1153" t="str">
        <f>Master_Data_Productivity[[#This Row],[Uniq-ID]]&amp;"-"&amp;Master_Data_Productivity[[#This Row],[Period]]</f>
        <v>PE-Project_Engineer-055-M3</v>
      </c>
      <c r="C1153" t="s">
        <v>809</v>
      </c>
      <c r="D1153" t="s">
        <v>76</v>
      </c>
      <c r="E1153" t="s">
        <v>22</v>
      </c>
      <c r="F1153" t="s">
        <v>41</v>
      </c>
      <c r="G1153" t="s">
        <v>15</v>
      </c>
      <c r="H1153" t="s">
        <v>44</v>
      </c>
      <c r="K1153" t="s">
        <v>12</v>
      </c>
      <c r="L1153" t="s">
        <v>12</v>
      </c>
      <c r="M1153" t="s">
        <v>12</v>
      </c>
      <c r="Q1153" t="s">
        <v>716</v>
      </c>
      <c r="R1153" t="s">
        <v>446</v>
      </c>
      <c r="S1153" t="s">
        <v>12</v>
      </c>
      <c r="T1153" t="s">
        <v>12</v>
      </c>
      <c r="U1153" t="s">
        <v>12</v>
      </c>
      <c r="V1153" t="s">
        <v>12</v>
      </c>
      <c r="W1153" t="s">
        <v>12</v>
      </c>
      <c r="X1153" t="s">
        <v>12</v>
      </c>
      <c r="Y1153" t="s">
        <v>12</v>
      </c>
      <c r="Z1153" t="s">
        <v>12</v>
      </c>
      <c r="AA1153" t="s">
        <v>12</v>
      </c>
      <c r="AB1153" t="s">
        <v>12</v>
      </c>
      <c r="AC1153" t="s">
        <v>12</v>
      </c>
      <c r="AD1153" t="s">
        <v>12</v>
      </c>
    </row>
    <row r="1154" spans="1:30">
      <c r="A1154" t="s">
        <v>808</v>
      </c>
      <c r="B1154" t="str">
        <f>Master_Data_Productivity[[#This Row],[Uniq-ID]]&amp;"-"&amp;Master_Data_Productivity[[#This Row],[Period]]</f>
        <v>PE-Project_Engineer-055-M4</v>
      </c>
      <c r="C1154" t="s">
        <v>809</v>
      </c>
      <c r="D1154" t="s">
        <v>76</v>
      </c>
      <c r="E1154" t="s">
        <v>25</v>
      </c>
      <c r="F1154" t="s">
        <v>43</v>
      </c>
      <c r="G1154" t="s">
        <v>33</v>
      </c>
      <c r="H1154" t="s">
        <v>44</v>
      </c>
      <c r="K1154" t="s">
        <v>12</v>
      </c>
      <c r="L1154" t="s">
        <v>12</v>
      </c>
      <c r="M1154" t="s">
        <v>12</v>
      </c>
      <c r="Q1154" t="s">
        <v>716</v>
      </c>
      <c r="R1154" t="s">
        <v>446</v>
      </c>
      <c r="S1154" t="s">
        <v>12</v>
      </c>
      <c r="T1154" t="s">
        <v>12</v>
      </c>
      <c r="U1154" t="s">
        <v>12</v>
      </c>
      <c r="V1154" t="s">
        <v>12</v>
      </c>
      <c r="W1154" t="s">
        <v>12</v>
      </c>
      <c r="X1154" t="s">
        <v>12</v>
      </c>
      <c r="Y1154" t="s">
        <v>12</v>
      </c>
      <c r="Z1154" t="s">
        <v>12</v>
      </c>
      <c r="AA1154" t="s">
        <v>12</v>
      </c>
      <c r="AB1154" t="s">
        <v>12</v>
      </c>
      <c r="AC1154" t="s">
        <v>12</v>
      </c>
      <c r="AD1154" t="s">
        <v>12</v>
      </c>
    </row>
    <row r="1155" spans="1:30">
      <c r="A1155" t="s">
        <v>812</v>
      </c>
      <c r="B1155" t="str">
        <f>Master_Data_Productivity[[#This Row],[Uniq-ID]]&amp;"-"&amp;Master_Data_Productivity[[#This Row],[Period]]</f>
        <v>PE-Project_Engineer-052-M1</v>
      </c>
      <c r="C1155" t="s">
        <v>813</v>
      </c>
      <c r="D1155" t="s">
        <v>48</v>
      </c>
      <c r="E1155" t="s">
        <v>13</v>
      </c>
      <c r="F1155" t="s">
        <v>814</v>
      </c>
      <c r="G1155" t="s">
        <v>15</v>
      </c>
      <c r="H1155" t="s">
        <v>44</v>
      </c>
      <c r="K1155" t="s">
        <v>12</v>
      </c>
      <c r="L1155" t="s">
        <v>12</v>
      </c>
      <c r="M1155" t="s">
        <v>12</v>
      </c>
      <c r="Q1155" t="s">
        <v>716</v>
      </c>
      <c r="R1155" t="s">
        <v>441</v>
      </c>
      <c r="S1155" t="s">
        <v>12</v>
      </c>
      <c r="T1155" t="s">
        <v>12</v>
      </c>
      <c r="U1155" t="s">
        <v>12</v>
      </c>
      <c r="V1155" t="s">
        <v>12</v>
      </c>
      <c r="W1155" t="s">
        <v>12</v>
      </c>
      <c r="X1155" t="s">
        <v>12</v>
      </c>
      <c r="Y1155" t="s">
        <v>12</v>
      </c>
      <c r="Z1155" t="s">
        <v>12</v>
      </c>
      <c r="AA1155" t="s">
        <v>12</v>
      </c>
      <c r="AB1155" t="s">
        <v>12</v>
      </c>
      <c r="AC1155" t="s">
        <v>12</v>
      </c>
      <c r="AD1155" t="s">
        <v>12</v>
      </c>
    </row>
    <row r="1156" spans="1:30">
      <c r="A1156" t="s">
        <v>812</v>
      </c>
      <c r="B1156" t="str">
        <f>Master_Data_Productivity[[#This Row],[Uniq-ID]]&amp;"-"&amp;Master_Data_Productivity[[#This Row],[Period]]</f>
        <v>PE-Project_Engineer-052-M2</v>
      </c>
      <c r="C1156" t="s">
        <v>813</v>
      </c>
      <c r="D1156" t="s">
        <v>48</v>
      </c>
      <c r="E1156" t="s">
        <v>18</v>
      </c>
      <c r="F1156" t="s">
        <v>815</v>
      </c>
      <c r="G1156" t="s">
        <v>15</v>
      </c>
      <c r="H1156" t="s">
        <v>44</v>
      </c>
      <c r="K1156" t="s">
        <v>12</v>
      </c>
      <c r="L1156" t="s">
        <v>12</v>
      </c>
      <c r="M1156" t="s">
        <v>12</v>
      </c>
      <c r="Q1156" t="s">
        <v>716</v>
      </c>
      <c r="R1156" t="s">
        <v>441</v>
      </c>
      <c r="S1156" t="s">
        <v>12</v>
      </c>
      <c r="T1156" t="s">
        <v>12</v>
      </c>
      <c r="U1156" t="s">
        <v>12</v>
      </c>
      <c r="V1156" t="s">
        <v>12</v>
      </c>
      <c r="W1156" t="s">
        <v>12</v>
      </c>
      <c r="X1156" t="s">
        <v>12</v>
      </c>
      <c r="Y1156" t="s">
        <v>12</v>
      </c>
      <c r="Z1156" t="s">
        <v>12</v>
      </c>
      <c r="AA1156" t="s">
        <v>12</v>
      </c>
      <c r="AB1156" t="s">
        <v>12</v>
      </c>
      <c r="AC1156" t="s">
        <v>12</v>
      </c>
      <c r="AD1156" t="s">
        <v>12</v>
      </c>
    </row>
    <row r="1157" spans="1:30">
      <c r="A1157" t="s">
        <v>812</v>
      </c>
      <c r="B1157" t="str">
        <f>Master_Data_Productivity[[#This Row],[Uniq-ID]]&amp;"-"&amp;Master_Data_Productivity[[#This Row],[Period]]</f>
        <v>PE-Project_Engineer-052-M3</v>
      </c>
      <c r="C1157" t="s">
        <v>813</v>
      </c>
      <c r="D1157" t="s">
        <v>48</v>
      </c>
      <c r="E1157" t="s">
        <v>22</v>
      </c>
      <c r="F1157" t="s">
        <v>670</v>
      </c>
      <c r="G1157" t="s">
        <v>33</v>
      </c>
      <c r="H1157" t="s">
        <v>44</v>
      </c>
      <c r="K1157" t="s">
        <v>12</v>
      </c>
      <c r="L1157" t="s">
        <v>12</v>
      </c>
      <c r="M1157" t="s">
        <v>12</v>
      </c>
      <c r="Q1157" t="s">
        <v>716</v>
      </c>
      <c r="R1157" t="s">
        <v>441</v>
      </c>
      <c r="S1157" t="s">
        <v>12</v>
      </c>
      <c r="T1157" t="s">
        <v>12</v>
      </c>
      <c r="U1157" t="s">
        <v>12</v>
      </c>
      <c r="V1157" t="s">
        <v>12</v>
      </c>
      <c r="W1157" t="s">
        <v>12</v>
      </c>
      <c r="X1157" t="s">
        <v>12</v>
      </c>
      <c r="Y1157" t="s">
        <v>12</v>
      </c>
      <c r="Z1157" t="s">
        <v>12</v>
      </c>
      <c r="AA1157" t="s">
        <v>12</v>
      </c>
      <c r="AB1157" t="s">
        <v>12</v>
      </c>
      <c r="AC1157" t="s">
        <v>12</v>
      </c>
      <c r="AD1157" t="s">
        <v>12</v>
      </c>
    </row>
    <row r="1158" spans="1:30">
      <c r="A1158" t="s">
        <v>812</v>
      </c>
      <c r="B1158" t="str">
        <f>Master_Data_Productivity[[#This Row],[Uniq-ID]]&amp;"-"&amp;Master_Data_Productivity[[#This Row],[Period]]</f>
        <v>PE-Project_Engineer-052-M4</v>
      </c>
      <c r="C1158" t="s">
        <v>813</v>
      </c>
      <c r="D1158" t="s">
        <v>48</v>
      </c>
      <c r="E1158" t="s">
        <v>25</v>
      </c>
      <c r="F1158" t="s">
        <v>671</v>
      </c>
      <c r="G1158" t="s">
        <v>225</v>
      </c>
      <c r="H1158" t="s">
        <v>44</v>
      </c>
      <c r="K1158" t="s">
        <v>12</v>
      </c>
      <c r="L1158" t="s">
        <v>12</v>
      </c>
      <c r="M1158" t="s">
        <v>12</v>
      </c>
      <c r="Q1158" t="s">
        <v>716</v>
      </c>
      <c r="R1158" t="s">
        <v>441</v>
      </c>
      <c r="S1158" t="s">
        <v>12</v>
      </c>
      <c r="T1158" t="s">
        <v>12</v>
      </c>
      <c r="U1158" t="s">
        <v>12</v>
      </c>
      <c r="V1158" t="s">
        <v>12</v>
      </c>
      <c r="W1158" t="s">
        <v>12</v>
      </c>
      <c r="X1158" t="s">
        <v>12</v>
      </c>
      <c r="Y1158" t="s">
        <v>12</v>
      </c>
      <c r="Z1158" t="s">
        <v>12</v>
      </c>
      <c r="AA1158" t="s">
        <v>12</v>
      </c>
      <c r="AB1158" t="s">
        <v>12</v>
      </c>
      <c r="AC1158" t="s">
        <v>12</v>
      </c>
      <c r="AD1158" t="s">
        <v>12</v>
      </c>
    </row>
    <row r="1159" spans="1:30">
      <c r="A1159" t="s">
        <v>810</v>
      </c>
      <c r="B1159" t="str">
        <f>Master_Data_Productivity[[#This Row],[Uniq-ID]]&amp;"-"&amp;Master_Data_Productivity[[#This Row],[Period]]</f>
        <v>PE-Project_Engineer-048-M1</v>
      </c>
      <c r="C1159" t="s">
        <v>811</v>
      </c>
      <c r="D1159" t="s">
        <v>112</v>
      </c>
      <c r="E1159" t="s">
        <v>13</v>
      </c>
      <c r="F1159" t="s">
        <v>268</v>
      </c>
      <c r="G1159" t="s">
        <v>15</v>
      </c>
      <c r="H1159" t="s">
        <v>44</v>
      </c>
      <c r="K1159" t="s">
        <v>12</v>
      </c>
      <c r="L1159" t="s">
        <v>12</v>
      </c>
      <c r="M1159" t="s">
        <v>12</v>
      </c>
      <c r="Q1159" t="s">
        <v>716</v>
      </c>
      <c r="R1159" t="s">
        <v>441</v>
      </c>
      <c r="S1159" t="s">
        <v>12</v>
      </c>
      <c r="T1159" t="s">
        <v>12</v>
      </c>
      <c r="U1159" t="s">
        <v>12</v>
      </c>
      <c r="V1159" t="s">
        <v>12</v>
      </c>
      <c r="W1159" t="s">
        <v>12</v>
      </c>
      <c r="X1159" t="s">
        <v>12</v>
      </c>
      <c r="Y1159" t="s">
        <v>12</v>
      </c>
      <c r="Z1159" t="s">
        <v>12</v>
      </c>
      <c r="AA1159" t="s">
        <v>12</v>
      </c>
      <c r="AB1159" t="s">
        <v>12</v>
      </c>
      <c r="AC1159" t="s">
        <v>12</v>
      </c>
      <c r="AD1159" t="s">
        <v>12</v>
      </c>
    </row>
    <row r="1160" spans="1:30">
      <c r="A1160" t="s">
        <v>810</v>
      </c>
      <c r="B1160" t="str">
        <f>Master_Data_Productivity[[#This Row],[Uniq-ID]]&amp;"-"&amp;Master_Data_Productivity[[#This Row],[Period]]</f>
        <v>PE-Project_Engineer-048-M2</v>
      </c>
      <c r="C1160" t="s">
        <v>811</v>
      </c>
      <c r="D1160" t="s">
        <v>112</v>
      </c>
      <c r="E1160" t="s">
        <v>18</v>
      </c>
      <c r="F1160" t="s">
        <v>270</v>
      </c>
      <c r="G1160" t="s">
        <v>15</v>
      </c>
      <c r="H1160" t="s">
        <v>44</v>
      </c>
      <c r="K1160" t="s">
        <v>12</v>
      </c>
      <c r="L1160" t="s">
        <v>12</v>
      </c>
      <c r="M1160" t="s">
        <v>12</v>
      </c>
      <c r="Q1160" t="s">
        <v>716</v>
      </c>
      <c r="R1160" t="s">
        <v>441</v>
      </c>
      <c r="S1160" t="s">
        <v>12</v>
      </c>
      <c r="T1160" t="s">
        <v>12</v>
      </c>
      <c r="U1160" t="s">
        <v>12</v>
      </c>
      <c r="V1160" t="s">
        <v>12</v>
      </c>
      <c r="W1160" t="s">
        <v>12</v>
      </c>
      <c r="X1160" t="s">
        <v>12</v>
      </c>
      <c r="Y1160" t="s">
        <v>12</v>
      </c>
      <c r="Z1160" t="s">
        <v>12</v>
      </c>
      <c r="AA1160" t="s">
        <v>12</v>
      </c>
      <c r="AB1160" t="s">
        <v>12</v>
      </c>
      <c r="AC1160" t="s">
        <v>12</v>
      </c>
      <c r="AD1160" t="s">
        <v>12</v>
      </c>
    </row>
    <row r="1161" spans="1:30">
      <c r="A1161" t="s">
        <v>810</v>
      </c>
      <c r="B1161" t="str">
        <f>Master_Data_Productivity[[#This Row],[Uniq-ID]]&amp;"-"&amp;Master_Data_Productivity[[#This Row],[Period]]</f>
        <v>PE-Project_Engineer-048-M3</v>
      </c>
      <c r="C1161" t="s">
        <v>811</v>
      </c>
      <c r="D1161" t="s">
        <v>112</v>
      </c>
      <c r="E1161" t="s">
        <v>22</v>
      </c>
      <c r="F1161" t="s">
        <v>272</v>
      </c>
      <c r="G1161" t="s">
        <v>15</v>
      </c>
      <c r="H1161" t="s">
        <v>44</v>
      </c>
      <c r="K1161" t="s">
        <v>12</v>
      </c>
      <c r="L1161" t="s">
        <v>12</v>
      </c>
      <c r="M1161" t="s">
        <v>12</v>
      </c>
      <c r="Q1161" t="s">
        <v>716</v>
      </c>
      <c r="R1161" t="s">
        <v>441</v>
      </c>
      <c r="S1161" t="s">
        <v>12</v>
      </c>
      <c r="T1161" t="s">
        <v>12</v>
      </c>
      <c r="U1161" t="s">
        <v>12</v>
      </c>
      <c r="V1161" t="s">
        <v>12</v>
      </c>
      <c r="W1161" t="s">
        <v>12</v>
      </c>
      <c r="X1161" t="s">
        <v>12</v>
      </c>
      <c r="Y1161" t="s">
        <v>12</v>
      </c>
      <c r="Z1161" t="s">
        <v>12</v>
      </c>
      <c r="AA1161" t="s">
        <v>12</v>
      </c>
      <c r="AB1161" t="s">
        <v>12</v>
      </c>
      <c r="AC1161" t="s">
        <v>12</v>
      </c>
      <c r="AD1161" t="s">
        <v>12</v>
      </c>
    </row>
    <row r="1162" spans="1:30">
      <c r="A1162" t="s">
        <v>810</v>
      </c>
      <c r="B1162" t="str">
        <f>Master_Data_Productivity[[#This Row],[Uniq-ID]]&amp;"-"&amp;Master_Data_Productivity[[#This Row],[Period]]</f>
        <v>PE-Project_Engineer-048-M4</v>
      </c>
      <c r="C1162" t="s">
        <v>811</v>
      </c>
      <c r="D1162" t="s">
        <v>112</v>
      </c>
      <c r="E1162" t="s">
        <v>25</v>
      </c>
      <c r="F1162" t="s">
        <v>274</v>
      </c>
      <c r="G1162" t="s">
        <v>33</v>
      </c>
      <c r="H1162" t="s">
        <v>44</v>
      </c>
      <c r="K1162" t="s">
        <v>12</v>
      </c>
      <c r="L1162" t="s">
        <v>12</v>
      </c>
      <c r="M1162" t="s">
        <v>12</v>
      </c>
      <c r="Q1162" t="s">
        <v>716</v>
      </c>
      <c r="R1162" t="s">
        <v>441</v>
      </c>
      <c r="S1162" t="s">
        <v>12</v>
      </c>
      <c r="T1162" t="s">
        <v>12</v>
      </c>
      <c r="U1162" t="s">
        <v>12</v>
      </c>
      <c r="V1162" t="s">
        <v>12</v>
      </c>
      <c r="W1162" t="s">
        <v>12</v>
      </c>
      <c r="X1162" t="s">
        <v>12</v>
      </c>
      <c r="Y1162" t="s">
        <v>12</v>
      </c>
      <c r="Z1162" t="s">
        <v>12</v>
      </c>
      <c r="AA1162" t="s">
        <v>12</v>
      </c>
      <c r="AB1162" t="s">
        <v>12</v>
      </c>
      <c r="AC1162" t="s">
        <v>12</v>
      </c>
      <c r="AD1162" t="s">
        <v>12</v>
      </c>
    </row>
    <row r="1163" spans="1:30">
      <c r="A1163" t="s">
        <v>876</v>
      </c>
      <c r="B1163" t="str">
        <f>Master_Data_Productivity[[#This Row],[Uniq-ID]]&amp;"-"&amp;Master_Data_Productivity[[#This Row],[Period]]</f>
        <v>PE-Project_Engineer-042-M1</v>
      </c>
      <c r="C1163" t="s">
        <v>877</v>
      </c>
      <c r="D1163" t="s">
        <v>76</v>
      </c>
      <c r="E1163" t="s">
        <v>13</v>
      </c>
      <c r="F1163" t="s">
        <v>37</v>
      </c>
      <c r="G1163" t="s">
        <v>15</v>
      </c>
      <c r="H1163" t="s">
        <v>44</v>
      </c>
      <c r="K1163" t="s">
        <v>12</v>
      </c>
      <c r="L1163" t="s">
        <v>12</v>
      </c>
      <c r="M1163" t="s">
        <v>12</v>
      </c>
      <c r="Q1163" t="s">
        <v>716</v>
      </c>
      <c r="R1163" t="s">
        <v>441</v>
      </c>
      <c r="S1163" t="s">
        <v>12</v>
      </c>
      <c r="T1163" t="s">
        <v>12</v>
      </c>
      <c r="U1163" t="s">
        <v>12</v>
      </c>
      <c r="V1163" t="s">
        <v>12</v>
      </c>
      <c r="W1163" t="s">
        <v>12</v>
      </c>
      <c r="X1163" t="s">
        <v>12</v>
      </c>
      <c r="Y1163" t="s">
        <v>12</v>
      </c>
      <c r="Z1163" t="s">
        <v>12</v>
      </c>
      <c r="AA1163" t="s">
        <v>12</v>
      </c>
      <c r="AB1163" t="s">
        <v>12</v>
      </c>
      <c r="AC1163" t="s">
        <v>12</v>
      </c>
      <c r="AD1163" t="s">
        <v>12</v>
      </c>
    </row>
    <row r="1164" spans="1:30">
      <c r="A1164" t="s">
        <v>876</v>
      </c>
      <c r="B1164" t="str">
        <f>Master_Data_Productivity[[#This Row],[Uniq-ID]]&amp;"-"&amp;Master_Data_Productivity[[#This Row],[Period]]</f>
        <v>PE-Project_Engineer-042-M2</v>
      </c>
      <c r="C1164" t="s">
        <v>877</v>
      </c>
      <c r="D1164" t="s">
        <v>76</v>
      </c>
      <c r="E1164" t="s">
        <v>18</v>
      </c>
      <c r="F1164" t="s">
        <v>39</v>
      </c>
      <c r="G1164" t="s">
        <v>15</v>
      </c>
      <c r="H1164" t="s">
        <v>44</v>
      </c>
      <c r="K1164" t="s">
        <v>12</v>
      </c>
      <c r="L1164" t="s">
        <v>12</v>
      </c>
      <c r="M1164" t="s">
        <v>12</v>
      </c>
      <c r="Q1164" t="s">
        <v>716</v>
      </c>
      <c r="R1164" t="s">
        <v>441</v>
      </c>
      <c r="S1164" t="s">
        <v>12</v>
      </c>
      <c r="T1164" t="s">
        <v>12</v>
      </c>
      <c r="U1164" t="s">
        <v>12</v>
      </c>
      <c r="V1164" t="s">
        <v>12</v>
      </c>
      <c r="W1164" t="s">
        <v>12</v>
      </c>
      <c r="X1164" t="s">
        <v>12</v>
      </c>
      <c r="Y1164" t="s">
        <v>12</v>
      </c>
      <c r="Z1164" t="s">
        <v>12</v>
      </c>
      <c r="AA1164" t="s">
        <v>12</v>
      </c>
      <c r="AB1164" t="s">
        <v>12</v>
      </c>
      <c r="AC1164" t="s">
        <v>12</v>
      </c>
      <c r="AD1164" t="s">
        <v>12</v>
      </c>
    </row>
    <row r="1165" spans="1:30">
      <c r="A1165" t="s">
        <v>876</v>
      </c>
      <c r="B1165" t="str">
        <f>Master_Data_Productivity[[#This Row],[Uniq-ID]]&amp;"-"&amp;Master_Data_Productivity[[#This Row],[Period]]</f>
        <v>PE-Project_Engineer-042-M3</v>
      </c>
      <c r="C1165" t="s">
        <v>877</v>
      </c>
      <c r="D1165" t="s">
        <v>76</v>
      </c>
      <c r="E1165" t="s">
        <v>22</v>
      </c>
      <c r="F1165" t="s">
        <v>41</v>
      </c>
      <c r="G1165" t="s">
        <v>15</v>
      </c>
      <c r="H1165" t="s">
        <v>44</v>
      </c>
      <c r="K1165" t="s">
        <v>12</v>
      </c>
      <c r="L1165" t="s">
        <v>12</v>
      </c>
      <c r="M1165" t="s">
        <v>12</v>
      </c>
      <c r="Q1165" t="s">
        <v>716</v>
      </c>
      <c r="R1165" t="s">
        <v>441</v>
      </c>
      <c r="S1165" t="s">
        <v>12</v>
      </c>
      <c r="T1165" t="s">
        <v>12</v>
      </c>
      <c r="U1165" t="s">
        <v>12</v>
      </c>
      <c r="V1165" t="s">
        <v>12</v>
      </c>
      <c r="W1165" t="s">
        <v>12</v>
      </c>
      <c r="X1165" t="s">
        <v>12</v>
      </c>
      <c r="Y1165" t="s">
        <v>12</v>
      </c>
      <c r="Z1165" t="s">
        <v>12</v>
      </c>
      <c r="AA1165" t="s">
        <v>12</v>
      </c>
      <c r="AB1165" t="s">
        <v>12</v>
      </c>
      <c r="AC1165" t="s">
        <v>12</v>
      </c>
      <c r="AD1165" t="s">
        <v>12</v>
      </c>
    </row>
    <row r="1166" spans="1:30">
      <c r="A1166" t="s">
        <v>876</v>
      </c>
      <c r="B1166" t="str">
        <f>Master_Data_Productivity[[#This Row],[Uniq-ID]]&amp;"-"&amp;Master_Data_Productivity[[#This Row],[Period]]</f>
        <v>PE-Project_Engineer-042-M4</v>
      </c>
      <c r="C1166" t="s">
        <v>877</v>
      </c>
      <c r="D1166" t="s">
        <v>76</v>
      </c>
      <c r="E1166" t="s">
        <v>25</v>
      </c>
      <c r="F1166" t="s">
        <v>43</v>
      </c>
      <c r="G1166" t="s">
        <v>33</v>
      </c>
      <c r="H1166" t="s">
        <v>44</v>
      </c>
      <c r="K1166" t="s">
        <v>12</v>
      </c>
      <c r="L1166" t="s">
        <v>12</v>
      </c>
      <c r="M1166" t="s">
        <v>12</v>
      </c>
      <c r="Q1166" t="s">
        <v>716</v>
      </c>
      <c r="R1166" t="s">
        <v>441</v>
      </c>
      <c r="S1166" t="s">
        <v>12</v>
      </c>
      <c r="T1166" t="s">
        <v>12</v>
      </c>
      <c r="U1166" t="s">
        <v>12</v>
      </c>
      <c r="V1166" t="s">
        <v>12</v>
      </c>
      <c r="W1166" t="s">
        <v>12</v>
      </c>
      <c r="X1166" t="s">
        <v>12</v>
      </c>
      <c r="Y1166" t="s">
        <v>12</v>
      </c>
      <c r="Z1166" t="s">
        <v>12</v>
      </c>
      <c r="AA1166" t="s">
        <v>12</v>
      </c>
      <c r="AB1166" t="s">
        <v>12</v>
      </c>
      <c r="AC1166" t="s">
        <v>12</v>
      </c>
      <c r="AD1166" t="s">
        <v>12</v>
      </c>
    </row>
    <row r="1167" spans="1:30">
      <c r="A1167" t="s">
        <v>866</v>
      </c>
      <c r="B1167" t="str">
        <f>Master_Data_Productivity[[#This Row],[Uniq-ID]]&amp;"-"&amp;Master_Data_Productivity[[#This Row],[Period]]</f>
        <v>PE-Project_Engineer-041-M1</v>
      </c>
      <c r="C1167" t="s">
        <v>867</v>
      </c>
      <c r="D1167" t="s">
        <v>76</v>
      </c>
      <c r="E1167" t="s">
        <v>13</v>
      </c>
      <c r="F1167" t="s">
        <v>37</v>
      </c>
      <c r="G1167" t="s">
        <v>15</v>
      </c>
      <c r="H1167" t="s">
        <v>44</v>
      </c>
      <c r="K1167" t="s">
        <v>12</v>
      </c>
      <c r="L1167" t="s">
        <v>12</v>
      </c>
      <c r="M1167" t="s">
        <v>12</v>
      </c>
      <c r="Q1167" t="s">
        <v>716</v>
      </c>
      <c r="R1167" t="s">
        <v>441</v>
      </c>
      <c r="S1167" t="s">
        <v>12</v>
      </c>
      <c r="T1167" t="s">
        <v>12</v>
      </c>
      <c r="U1167" t="s">
        <v>12</v>
      </c>
      <c r="V1167" t="s">
        <v>12</v>
      </c>
      <c r="W1167" t="s">
        <v>12</v>
      </c>
      <c r="X1167" t="s">
        <v>12</v>
      </c>
      <c r="Y1167" t="s">
        <v>12</v>
      </c>
      <c r="Z1167" t="s">
        <v>12</v>
      </c>
      <c r="AA1167" t="s">
        <v>12</v>
      </c>
      <c r="AB1167" t="s">
        <v>12</v>
      </c>
      <c r="AC1167" t="s">
        <v>12</v>
      </c>
      <c r="AD1167" t="s">
        <v>12</v>
      </c>
    </row>
    <row r="1168" spans="1:30">
      <c r="A1168" t="s">
        <v>866</v>
      </c>
      <c r="B1168" t="str">
        <f>Master_Data_Productivity[[#This Row],[Uniq-ID]]&amp;"-"&amp;Master_Data_Productivity[[#This Row],[Period]]</f>
        <v>PE-Project_Engineer-041-M2</v>
      </c>
      <c r="C1168" t="s">
        <v>867</v>
      </c>
      <c r="D1168" t="s">
        <v>76</v>
      </c>
      <c r="E1168" t="s">
        <v>18</v>
      </c>
      <c r="F1168" t="s">
        <v>39</v>
      </c>
      <c r="G1168" t="s">
        <v>15</v>
      </c>
      <c r="H1168" t="s">
        <v>44</v>
      </c>
      <c r="K1168" t="s">
        <v>12</v>
      </c>
      <c r="L1168" t="s">
        <v>12</v>
      </c>
      <c r="M1168" t="s">
        <v>12</v>
      </c>
      <c r="Q1168" t="s">
        <v>716</v>
      </c>
      <c r="R1168" t="s">
        <v>441</v>
      </c>
      <c r="S1168" t="s">
        <v>12</v>
      </c>
      <c r="T1168" t="s">
        <v>12</v>
      </c>
      <c r="U1168" t="s">
        <v>12</v>
      </c>
      <c r="V1168" t="s">
        <v>12</v>
      </c>
      <c r="W1168" t="s">
        <v>12</v>
      </c>
      <c r="X1168" t="s">
        <v>12</v>
      </c>
      <c r="Y1168" t="s">
        <v>12</v>
      </c>
      <c r="Z1168" t="s">
        <v>12</v>
      </c>
      <c r="AA1168" t="s">
        <v>12</v>
      </c>
      <c r="AB1168" t="s">
        <v>12</v>
      </c>
      <c r="AC1168" t="s">
        <v>12</v>
      </c>
      <c r="AD1168" t="s">
        <v>12</v>
      </c>
    </row>
    <row r="1169" spans="1:30">
      <c r="A1169" t="s">
        <v>866</v>
      </c>
      <c r="B1169" t="str">
        <f>Master_Data_Productivity[[#This Row],[Uniq-ID]]&amp;"-"&amp;Master_Data_Productivity[[#This Row],[Period]]</f>
        <v>PE-Project_Engineer-041-M3</v>
      </c>
      <c r="C1169" t="s">
        <v>867</v>
      </c>
      <c r="D1169" t="s">
        <v>76</v>
      </c>
      <c r="E1169" t="s">
        <v>22</v>
      </c>
      <c r="F1169" t="s">
        <v>41</v>
      </c>
      <c r="G1169" t="s">
        <v>15</v>
      </c>
      <c r="H1169" t="s">
        <v>44</v>
      </c>
      <c r="K1169" t="s">
        <v>12</v>
      </c>
      <c r="L1169" t="s">
        <v>12</v>
      </c>
      <c r="M1169" t="s">
        <v>12</v>
      </c>
      <c r="Q1169" t="s">
        <v>716</v>
      </c>
      <c r="R1169" t="s">
        <v>441</v>
      </c>
      <c r="S1169" t="s">
        <v>12</v>
      </c>
      <c r="T1169" t="s">
        <v>12</v>
      </c>
      <c r="U1169" t="s">
        <v>12</v>
      </c>
      <c r="V1169" t="s">
        <v>12</v>
      </c>
      <c r="W1169" t="s">
        <v>12</v>
      </c>
      <c r="X1169" t="s">
        <v>12</v>
      </c>
      <c r="Y1169" t="s">
        <v>12</v>
      </c>
      <c r="Z1169" t="s">
        <v>12</v>
      </c>
      <c r="AA1169" t="s">
        <v>12</v>
      </c>
      <c r="AB1169" t="s">
        <v>12</v>
      </c>
      <c r="AC1169" t="s">
        <v>12</v>
      </c>
      <c r="AD1169" t="s">
        <v>12</v>
      </c>
    </row>
    <row r="1170" spans="1:30">
      <c r="A1170" t="s">
        <v>866</v>
      </c>
      <c r="B1170" t="str">
        <f>Master_Data_Productivity[[#This Row],[Uniq-ID]]&amp;"-"&amp;Master_Data_Productivity[[#This Row],[Period]]</f>
        <v>PE-Project_Engineer-041-M4</v>
      </c>
      <c r="C1170" t="s">
        <v>867</v>
      </c>
      <c r="D1170" t="s">
        <v>76</v>
      </c>
      <c r="E1170" t="s">
        <v>25</v>
      </c>
      <c r="F1170" t="s">
        <v>43</v>
      </c>
      <c r="G1170" t="s">
        <v>33</v>
      </c>
      <c r="H1170" t="s">
        <v>44</v>
      </c>
      <c r="K1170" t="s">
        <v>12</v>
      </c>
      <c r="L1170" t="s">
        <v>12</v>
      </c>
      <c r="M1170" t="s">
        <v>12</v>
      </c>
      <c r="Q1170" t="s">
        <v>716</v>
      </c>
      <c r="R1170" t="s">
        <v>441</v>
      </c>
      <c r="S1170" t="s">
        <v>12</v>
      </c>
      <c r="T1170" t="s">
        <v>12</v>
      </c>
      <c r="U1170" t="s">
        <v>12</v>
      </c>
      <c r="V1170" t="s">
        <v>12</v>
      </c>
      <c r="W1170" t="s">
        <v>12</v>
      </c>
      <c r="X1170" t="s">
        <v>12</v>
      </c>
      <c r="Y1170" t="s">
        <v>12</v>
      </c>
      <c r="Z1170" t="s">
        <v>12</v>
      </c>
      <c r="AA1170" t="s">
        <v>12</v>
      </c>
      <c r="AB1170" t="s">
        <v>12</v>
      </c>
      <c r="AC1170" t="s">
        <v>12</v>
      </c>
      <c r="AD1170" t="s">
        <v>12</v>
      </c>
    </row>
    <row r="1171" spans="1:30">
      <c r="A1171" t="s">
        <v>864</v>
      </c>
      <c r="B1171" t="str">
        <f>Master_Data_Productivity[[#This Row],[Uniq-ID]]&amp;"-"&amp;Master_Data_Productivity[[#This Row],[Period]]</f>
        <v>PE-Project_Engineer-040-M1</v>
      </c>
      <c r="C1171" t="s">
        <v>865</v>
      </c>
      <c r="D1171" t="s">
        <v>76</v>
      </c>
      <c r="E1171" t="s">
        <v>13</v>
      </c>
      <c r="F1171" t="s">
        <v>37</v>
      </c>
      <c r="G1171" t="s">
        <v>15</v>
      </c>
      <c r="H1171" t="s">
        <v>44</v>
      </c>
      <c r="K1171" t="s">
        <v>12</v>
      </c>
      <c r="L1171" t="s">
        <v>12</v>
      </c>
      <c r="M1171" t="s">
        <v>12</v>
      </c>
      <c r="Q1171" t="s">
        <v>716</v>
      </c>
      <c r="R1171" t="s">
        <v>475</v>
      </c>
      <c r="S1171" t="s">
        <v>12</v>
      </c>
      <c r="T1171" t="s">
        <v>12</v>
      </c>
      <c r="U1171" t="s">
        <v>12</v>
      </c>
      <c r="V1171" t="s">
        <v>12</v>
      </c>
      <c r="W1171" t="s">
        <v>12</v>
      </c>
      <c r="X1171" t="s">
        <v>12</v>
      </c>
      <c r="Y1171" t="s">
        <v>12</v>
      </c>
      <c r="Z1171" t="s">
        <v>12</v>
      </c>
      <c r="AA1171" t="s">
        <v>12</v>
      </c>
      <c r="AB1171" t="s">
        <v>12</v>
      </c>
      <c r="AC1171" t="s">
        <v>12</v>
      </c>
      <c r="AD1171" t="s">
        <v>12</v>
      </c>
    </row>
    <row r="1172" spans="1:30">
      <c r="A1172" t="s">
        <v>864</v>
      </c>
      <c r="B1172" t="str">
        <f>Master_Data_Productivity[[#This Row],[Uniq-ID]]&amp;"-"&amp;Master_Data_Productivity[[#This Row],[Period]]</f>
        <v>PE-Project_Engineer-040-M2</v>
      </c>
      <c r="C1172" t="s">
        <v>865</v>
      </c>
      <c r="D1172" t="s">
        <v>76</v>
      </c>
      <c r="E1172" t="s">
        <v>18</v>
      </c>
      <c r="F1172" t="s">
        <v>39</v>
      </c>
      <c r="G1172" t="s">
        <v>15</v>
      </c>
      <c r="H1172" t="s">
        <v>44</v>
      </c>
      <c r="K1172" t="s">
        <v>12</v>
      </c>
      <c r="L1172" t="s">
        <v>12</v>
      </c>
      <c r="M1172" t="s">
        <v>12</v>
      </c>
      <c r="Q1172" t="s">
        <v>716</v>
      </c>
      <c r="R1172" t="s">
        <v>475</v>
      </c>
      <c r="S1172" t="s">
        <v>12</v>
      </c>
      <c r="T1172" t="s">
        <v>12</v>
      </c>
      <c r="U1172" t="s">
        <v>12</v>
      </c>
      <c r="V1172" t="s">
        <v>12</v>
      </c>
      <c r="W1172" t="s">
        <v>12</v>
      </c>
      <c r="X1172" t="s">
        <v>12</v>
      </c>
      <c r="Y1172" t="s">
        <v>12</v>
      </c>
      <c r="Z1172" t="s">
        <v>12</v>
      </c>
      <c r="AA1172" t="s">
        <v>12</v>
      </c>
      <c r="AB1172" t="s">
        <v>12</v>
      </c>
      <c r="AC1172" t="s">
        <v>12</v>
      </c>
      <c r="AD1172" t="s">
        <v>12</v>
      </c>
    </row>
    <row r="1173" spans="1:30">
      <c r="A1173" t="s">
        <v>864</v>
      </c>
      <c r="B1173" t="str">
        <f>Master_Data_Productivity[[#This Row],[Uniq-ID]]&amp;"-"&amp;Master_Data_Productivity[[#This Row],[Period]]</f>
        <v>PE-Project_Engineer-040-M3</v>
      </c>
      <c r="C1173" t="s">
        <v>865</v>
      </c>
      <c r="D1173" t="s">
        <v>76</v>
      </c>
      <c r="E1173" t="s">
        <v>22</v>
      </c>
      <c r="F1173" t="s">
        <v>41</v>
      </c>
      <c r="G1173" t="s">
        <v>15</v>
      </c>
      <c r="H1173" t="s">
        <v>44</v>
      </c>
      <c r="K1173" t="s">
        <v>12</v>
      </c>
      <c r="L1173" t="s">
        <v>12</v>
      </c>
      <c r="M1173" t="s">
        <v>12</v>
      </c>
      <c r="Q1173" t="s">
        <v>716</v>
      </c>
      <c r="R1173" t="s">
        <v>475</v>
      </c>
      <c r="S1173" t="s">
        <v>12</v>
      </c>
      <c r="T1173" t="s">
        <v>12</v>
      </c>
      <c r="U1173" t="s">
        <v>12</v>
      </c>
      <c r="V1173" t="s">
        <v>12</v>
      </c>
      <c r="W1173" t="s">
        <v>12</v>
      </c>
      <c r="X1173" t="s">
        <v>12</v>
      </c>
      <c r="Y1173" t="s">
        <v>12</v>
      </c>
      <c r="Z1173" t="s">
        <v>12</v>
      </c>
      <c r="AA1173" t="s">
        <v>12</v>
      </c>
      <c r="AB1173" t="s">
        <v>12</v>
      </c>
      <c r="AC1173" t="s">
        <v>12</v>
      </c>
      <c r="AD1173" t="s">
        <v>12</v>
      </c>
    </row>
    <row r="1174" spans="1:30">
      <c r="A1174" t="s">
        <v>864</v>
      </c>
      <c r="B1174" t="str">
        <f>Master_Data_Productivity[[#This Row],[Uniq-ID]]&amp;"-"&amp;Master_Data_Productivity[[#This Row],[Period]]</f>
        <v>PE-Project_Engineer-040-M4</v>
      </c>
      <c r="C1174" t="s">
        <v>865</v>
      </c>
      <c r="D1174" t="s">
        <v>76</v>
      </c>
      <c r="E1174" t="s">
        <v>25</v>
      </c>
      <c r="F1174" t="s">
        <v>43</v>
      </c>
      <c r="G1174" t="s">
        <v>33</v>
      </c>
      <c r="H1174" t="s">
        <v>44</v>
      </c>
      <c r="K1174" t="s">
        <v>12</v>
      </c>
      <c r="L1174" t="s">
        <v>12</v>
      </c>
      <c r="M1174" t="s">
        <v>12</v>
      </c>
      <c r="Q1174" t="s">
        <v>716</v>
      </c>
      <c r="R1174" t="s">
        <v>475</v>
      </c>
      <c r="S1174" t="s">
        <v>12</v>
      </c>
      <c r="T1174" t="s">
        <v>12</v>
      </c>
      <c r="U1174" t="s">
        <v>12</v>
      </c>
      <c r="V1174" t="s">
        <v>12</v>
      </c>
      <c r="W1174" t="s">
        <v>12</v>
      </c>
      <c r="X1174" t="s">
        <v>12</v>
      </c>
      <c r="Y1174" t="s">
        <v>12</v>
      </c>
      <c r="Z1174" t="s">
        <v>12</v>
      </c>
      <c r="AA1174" t="s">
        <v>12</v>
      </c>
      <c r="AB1174" t="s">
        <v>12</v>
      </c>
      <c r="AC1174" t="s">
        <v>12</v>
      </c>
      <c r="AD1174" t="s">
        <v>12</v>
      </c>
    </row>
    <row r="1175" spans="1:30">
      <c r="A1175" t="s">
        <v>884</v>
      </c>
      <c r="B1175" t="str">
        <f>Master_Data_Productivity[[#This Row],[Uniq-ID]]&amp;"-"&amp;Master_Data_Productivity[[#This Row],[Period]]</f>
        <v>PE-Project_Engineer-014-M1</v>
      </c>
      <c r="C1175" t="s">
        <v>885</v>
      </c>
      <c r="D1175" t="s">
        <v>48</v>
      </c>
      <c r="E1175" t="s">
        <v>13</v>
      </c>
      <c r="F1175" t="s">
        <v>14</v>
      </c>
      <c r="G1175" t="s">
        <v>15</v>
      </c>
      <c r="H1175" t="s">
        <v>44</v>
      </c>
      <c r="J1175">
        <v>0.5</v>
      </c>
      <c r="K1175" t="s">
        <v>12</v>
      </c>
      <c r="L1175" t="s">
        <v>12</v>
      </c>
      <c r="M1175" t="s">
        <v>12</v>
      </c>
      <c r="Q1175" t="s">
        <v>716</v>
      </c>
      <c r="R1175" t="s">
        <v>500</v>
      </c>
      <c r="S1175" t="s">
        <v>12</v>
      </c>
      <c r="T1175" t="s">
        <v>12</v>
      </c>
      <c r="U1175" t="s">
        <v>12</v>
      </c>
      <c r="V1175" t="s">
        <v>12</v>
      </c>
      <c r="W1175" t="s">
        <v>12</v>
      </c>
      <c r="X1175" t="s">
        <v>12</v>
      </c>
      <c r="Y1175" t="s">
        <v>12</v>
      </c>
      <c r="Z1175" t="s">
        <v>3446</v>
      </c>
      <c r="AA1175" t="s">
        <v>12</v>
      </c>
      <c r="AB1175" t="s">
        <v>12</v>
      </c>
      <c r="AC1175" t="s">
        <v>12</v>
      </c>
      <c r="AD1175" t="s">
        <v>3446</v>
      </c>
    </row>
    <row r="1176" spans="1:30">
      <c r="A1176" t="s">
        <v>884</v>
      </c>
      <c r="B1176" t="str">
        <f>Master_Data_Productivity[[#This Row],[Uniq-ID]]&amp;"-"&amp;Master_Data_Productivity[[#This Row],[Period]]</f>
        <v>PE-Project_Engineer-014-M2</v>
      </c>
      <c r="C1176" t="s">
        <v>885</v>
      </c>
      <c r="D1176" t="s">
        <v>48</v>
      </c>
      <c r="E1176" t="s">
        <v>18</v>
      </c>
      <c r="F1176" t="s">
        <v>19</v>
      </c>
      <c r="G1176" t="s">
        <v>15</v>
      </c>
      <c r="H1176" t="s">
        <v>44</v>
      </c>
      <c r="J1176">
        <v>0.5</v>
      </c>
      <c r="K1176" t="s">
        <v>12</v>
      </c>
      <c r="L1176" t="s">
        <v>12</v>
      </c>
      <c r="M1176" t="s">
        <v>12</v>
      </c>
      <c r="Q1176" t="s">
        <v>716</v>
      </c>
      <c r="R1176" t="s">
        <v>500</v>
      </c>
      <c r="S1176" t="s">
        <v>12</v>
      </c>
      <c r="T1176" t="s">
        <v>12</v>
      </c>
      <c r="U1176" t="s">
        <v>12</v>
      </c>
      <c r="V1176" t="s">
        <v>12</v>
      </c>
      <c r="W1176" t="s">
        <v>12</v>
      </c>
      <c r="X1176" t="s">
        <v>12</v>
      </c>
      <c r="Y1176" t="s">
        <v>3465</v>
      </c>
      <c r="Z1176" t="s">
        <v>3500</v>
      </c>
      <c r="AA1176" t="s">
        <v>3465</v>
      </c>
      <c r="AB1176" t="s">
        <v>12</v>
      </c>
      <c r="AC1176" t="s">
        <v>3453</v>
      </c>
      <c r="AD1176" t="s">
        <v>3522</v>
      </c>
    </row>
    <row r="1177" spans="1:30">
      <c r="A1177" t="s">
        <v>884</v>
      </c>
      <c r="B1177" t="str">
        <f>Master_Data_Productivity[[#This Row],[Uniq-ID]]&amp;"-"&amp;Master_Data_Productivity[[#This Row],[Period]]</f>
        <v>PE-Project_Engineer-014-M3</v>
      </c>
      <c r="C1177" t="s">
        <v>885</v>
      </c>
      <c r="D1177" t="s">
        <v>48</v>
      </c>
      <c r="E1177" t="s">
        <v>22</v>
      </c>
      <c r="F1177" t="s">
        <v>23</v>
      </c>
      <c r="G1177" t="s">
        <v>15</v>
      </c>
      <c r="H1177" t="s">
        <v>44</v>
      </c>
      <c r="J1177">
        <v>0.5</v>
      </c>
      <c r="K1177" t="s">
        <v>12</v>
      </c>
      <c r="L1177" t="s">
        <v>12</v>
      </c>
      <c r="M1177" t="s">
        <v>12</v>
      </c>
      <c r="Q1177" t="s">
        <v>716</v>
      </c>
      <c r="R1177" t="s">
        <v>500</v>
      </c>
      <c r="S1177" t="s">
        <v>12</v>
      </c>
      <c r="T1177" t="s">
        <v>12</v>
      </c>
      <c r="U1177" t="s">
        <v>12</v>
      </c>
      <c r="V1177" t="s">
        <v>12</v>
      </c>
      <c r="W1177" t="s">
        <v>12</v>
      </c>
      <c r="X1177" t="s">
        <v>12</v>
      </c>
      <c r="Y1177" t="s">
        <v>3807</v>
      </c>
      <c r="Z1177" t="s">
        <v>3903</v>
      </c>
      <c r="AA1177" t="s">
        <v>3971</v>
      </c>
      <c r="AB1177" t="s">
        <v>12</v>
      </c>
      <c r="AC1177" t="s">
        <v>3537</v>
      </c>
      <c r="AD1177" t="s">
        <v>4094</v>
      </c>
    </row>
    <row r="1178" spans="1:30">
      <c r="A1178" t="s">
        <v>884</v>
      </c>
      <c r="B1178" t="str">
        <f>Master_Data_Productivity[[#This Row],[Uniq-ID]]&amp;"-"&amp;Master_Data_Productivity[[#This Row],[Period]]</f>
        <v>PE-Project_Engineer-014-M4</v>
      </c>
      <c r="C1178" t="s">
        <v>885</v>
      </c>
      <c r="D1178" t="s">
        <v>48</v>
      </c>
      <c r="E1178" t="s">
        <v>25</v>
      </c>
      <c r="F1178" t="s">
        <v>26</v>
      </c>
      <c r="G1178" t="s">
        <v>15</v>
      </c>
      <c r="H1178" t="s">
        <v>16</v>
      </c>
      <c r="J1178">
        <v>1.35</v>
      </c>
      <c r="K1178" t="s">
        <v>12</v>
      </c>
      <c r="L1178" t="s">
        <v>12</v>
      </c>
      <c r="M1178" t="s">
        <v>12</v>
      </c>
      <c r="Q1178" t="s">
        <v>716</v>
      </c>
      <c r="R1178" t="s">
        <v>500</v>
      </c>
      <c r="S1178" t="s">
        <v>12</v>
      </c>
      <c r="T1178" t="s">
        <v>12</v>
      </c>
      <c r="U1178" t="s">
        <v>12</v>
      </c>
      <c r="V1178" t="s">
        <v>12</v>
      </c>
      <c r="W1178" t="s">
        <v>12</v>
      </c>
      <c r="X1178" t="s">
        <v>12</v>
      </c>
      <c r="Y1178" t="s">
        <v>4095</v>
      </c>
      <c r="Z1178" t="s">
        <v>4096</v>
      </c>
      <c r="AA1178" t="s">
        <v>4097</v>
      </c>
      <c r="AB1178" t="s">
        <v>12</v>
      </c>
      <c r="AC1178" t="s">
        <v>3681</v>
      </c>
      <c r="AD1178" t="s">
        <v>4098</v>
      </c>
    </row>
    <row r="1179" spans="1:30">
      <c r="A1179" t="s">
        <v>884</v>
      </c>
      <c r="B1179" t="str">
        <f>Master_Data_Productivity[[#This Row],[Uniq-ID]]&amp;"-"&amp;Master_Data_Productivity[[#This Row],[Period]]</f>
        <v>PE-Project_Engineer-014-M5</v>
      </c>
      <c r="C1179" t="s">
        <v>885</v>
      </c>
      <c r="D1179" t="s">
        <v>48</v>
      </c>
      <c r="E1179" t="s">
        <v>28</v>
      </c>
      <c r="F1179" t="s">
        <v>29</v>
      </c>
      <c r="G1179" t="s">
        <v>15</v>
      </c>
      <c r="H1179" t="s">
        <v>16</v>
      </c>
      <c r="J1179">
        <v>1.5</v>
      </c>
      <c r="K1179" t="s">
        <v>12</v>
      </c>
      <c r="L1179" t="s">
        <v>12</v>
      </c>
      <c r="M1179" t="s">
        <v>12</v>
      </c>
      <c r="Q1179" t="s">
        <v>716</v>
      </c>
      <c r="R1179" t="s">
        <v>500</v>
      </c>
      <c r="S1179" t="s">
        <v>12</v>
      </c>
      <c r="T1179" t="s">
        <v>12</v>
      </c>
      <c r="U1179" t="s">
        <v>12</v>
      </c>
      <c r="V1179" t="s">
        <v>12</v>
      </c>
      <c r="W1179" t="s">
        <v>12</v>
      </c>
      <c r="X1179" t="s">
        <v>12</v>
      </c>
      <c r="Y1179" t="s">
        <v>3657</v>
      </c>
      <c r="Z1179" t="s">
        <v>4099</v>
      </c>
      <c r="AA1179" t="s">
        <v>3923</v>
      </c>
      <c r="AB1179" t="s">
        <v>12</v>
      </c>
      <c r="AC1179" t="s">
        <v>3538</v>
      </c>
      <c r="AD1179" t="s">
        <v>4100</v>
      </c>
    </row>
    <row r="1180" spans="1:30">
      <c r="A1180" t="s">
        <v>884</v>
      </c>
      <c r="B1180" t="str">
        <f>Master_Data_Productivity[[#This Row],[Uniq-ID]]&amp;"-"&amp;Master_Data_Productivity[[#This Row],[Period]]</f>
        <v>PE-Project_Engineer-014-M6</v>
      </c>
      <c r="C1180" t="s">
        <v>885</v>
      </c>
      <c r="D1180" t="s">
        <v>48</v>
      </c>
      <c r="E1180" t="s">
        <v>31</v>
      </c>
      <c r="F1180" t="s">
        <v>32</v>
      </c>
      <c r="G1180" t="s">
        <v>33</v>
      </c>
      <c r="H1180" t="s">
        <v>44</v>
      </c>
      <c r="K1180" t="s">
        <v>12</v>
      </c>
      <c r="L1180" t="s">
        <v>12</v>
      </c>
      <c r="M1180" t="s">
        <v>12</v>
      </c>
      <c r="Q1180" t="s">
        <v>716</v>
      </c>
      <c r="R1180" t="s">
        <v>500</v>
      </c>
      <c r="S1180" t="s">
        <v>12</v>
      </c>
      <c r="T1180" t="s">
        <v>12</v>
      </c>
      <c r="U1180" t="s">
        <v>12</v>
      </c>
      <c r="V1180" t="s">
        <v>12</v>
      </c>
      <c r="W1180" t="s">
        <v>12</v>
      </c>
      <c r="X1180" t="s">
        <v>12</v>
      </c>
      <c r="Y1180" t="s">
        <v>12</v>
      </c>
      <c r="Z1180" t="s">
        <v>12</v>
      </c>
      <c r="AA1180" t="s">
        <v>12</v>
      </c>
      <c r="AB1180" t="s">
        <v>12</v>
      </c>
      <c r="AC1180" t="s">
        <v>12</v>
      </c>
      <c r="AD1180" t="s">
        <v>12</v>
      </c>
    </row>
    <row r="1181" spans="1:30">
      <c r="A1181" t="s">
        <v>839</v>
      </c>
      <c r="B1181" t="str">
        <f>Master_Data_Productivity[[#This Row],[Uniq-ID]]&amp;"-"&amp;Master_Data_Productivity[[#This Row],[Period]]</f>
        <v>PE-Project_Engineer-037-M1</v>
      </c>
      <c r="C1181" t="s">
        <v>840</v>
      </c>
      <c r="D1181" t="s">
        <v>48</v>
      </c>
      <c r="E1181" t="s">
        <v>13</v>
      </c>
      <c r="F1181" t="s">
        <v>449</v>
      </c>
      <c r="G1181" t="s">
        <v>15</v>
      </c>
      <c r="H1181" t="s">
        <v>44</v>
      </c>
      <c r="K1181" t="s">
        <v>12</v>
      </c>
      <c r="L1181" t="s">
        <v>12</v>
      </c>
      <c r="M1181" t="s">
        <v>12</v>
      </c>
      <c r="Q1181" t="s">
        <v>716</v>
      </c>
      <c r="R1181" t="s">
        <v>446</v>
      </c>
      <c r="S1181" t="s">
        <v>12</v>
      </c>
      <c r="T1181" t="s">
        <v>12</v>
      </c>
      <c r="U1181" t="s">
        <v>12</v>
      </c>
      <c r="V1181" t="s">
        <v>12</v>
      </c>
      <c r="W1181" t="s">
        <v>12</v>
      </c>
      <c r="X1181" t="s">
        <v>12</v>
      </c>
      <c r="Y1181" t="s">
        <v>12</v>
      </c>
      <c r="Z1181" t="s">
        <v>12</v>
      </c>
      <c r="AA1181" t="s">
        <v>12</v>
      </c>
      <c r="AB1181" t="s">
        <v>12</v>
      </c>
      <c r="AC1181" t="s">
        <v>12</v>
      </c>
      <c r="AD1181" t="s">
        <v>12</v>
      </c>
    </row>
    <row r="1182" spans="1:30">
      <c r="A1182" t="s">
        <v>839</v>
      </c>
      <c r="B1182" t="str">
        <f>Master_Data_Productivity[[#This Row],[Uniq-ID]]&amp;"-"&amp;Master_Data_Productivity[[#This Row],[Period]]</f>
        <v>PE-Project_Engineer-037-M2</v>
      </c>
      <c r="C1182" t="s">
        <v>840</v>
      </c>
      <c r="D1182" t="s">
        <v>48</v>
      </c>
      <c r="E1182" t="s">
        <v>18</v>
      </c>
      <c r="F1182" t="s">
        <v>450</v>
      </c>
      <c r="G1182" t="s">
        <v>15</v>
      </c>
      <c r="H1182" t="s">
        <v>44</v>
      </c>
      <c r="K1182" t="s">
        <v>12</v>
      </c>
      <c r="L1182" t="s">
        <v>12</v>
      </c>
      <c r="M1182" t="s">
        <v>12</v>
      </c>
      <c r="Q1182" t="s">
        <v>716</v>
      </c>
      <c r="R1182" t="s">
        <v>446</v>
      </c>
      <c r="S1182" t="s">
        <v>12</v>
      </c>
      <c r="T1182" t="s">
        <v>12</v>
      </c>
      <c r="U1182" t="s">
        <v>12</v>
      </c>
      <c r="V1182" t="s">
        <v>12</v>
      </c>
      <c r="W1182" t="s">
        <v>12</v>
      </c>
      <c r="X1182" t="s">
        <v>12</v>
      </c>
      <c r="Y1182" t="s">
        <v>12</v>
      </c>
      <c r="Z1182" t="s">
        <v>12</v>
      </c>
      <c r="AA1182" t="s">
        <v>12</v>
      </c>
      <c r="AB1182" t="s">
        <v>12</v>
      </c>
      <c r="AC1182" t="s">
        <v>12</v>
      </c>
      <c r="AD1182" t="s">
        <v>12</v>
      </c>
    </row>
    <row r="1183" spans="1:30">
      <c r="A1183" t="s">
        <v>839</v>
      </c>
      <c r="B1183" t="str">
        <f>Master_Data_Productivity[[#This Row],[Uniq-ID]]&amp;"-"&amp;Master_Data_Productivity[[#This Row],[Period]]</f>
        <v>PE-Project_Engineer-037-M3</v>
      </c>
      <c r="C1183" t="s">
        <v>840</v>
      </c>
      <c r="D1183" t="s">
        <v>48</v>
      </c>
      <c r="E1183" t="s">
        <v>22</v>
      </c>
      <c r="F1183" t="s">
        <v>451</v>
      </c>
      <c r="G1183" t="s">
        <v>15</v>
      </c>
      <c r="H1183" t="s">
        <v>44</v>
      </c>
      <c r="K1183" t="s">
        <v>12</v>
      </c>
      <c r="L1183" t="s">
        <v>12</v>
      </c>
      <c r="M1183" t="s">
        <v>12</v>
      </c>
      <c r="Q1183" t="s">
        <v>716</v>
      </c>
      <c r="R1183" t="s">
        <v>446</v>
      </c>
      <c r="S1183" t="s">
        <v>12</v>
      </c>
      <c r="T1183" t="s">
        <v>12</v>
      </c>
      <c r="U1183" t="s">
        <v>12</v>
      </c>
      <c r="V1183" t="s">
        <v>12</v>
      </c>
      <c r="W1183" t="s">
        <v>12</v>
      </c>
      <c r="X1183" t="s">
        <v>12</v>
      </c>
      <c r="Y1183" t="s">
        <v>12</v>
      </c>
      <c r="Z1183" t="s">
        <v>12</v>
      </c>
      <c r="AA1183" t="s">
        <v>12</v>
      </c>
      <c r="AB1183" t="s">
        <v>12</v>
      </c>
      <c r="AC1183" t="s">
        <v>12</v>
      </c>
      <c r="AD1183" t="s">
        <v>12</v>
      </c>
    </row>
    <row r="1184" spans="1:30">
      <c r="A1184" t="s">
        <v>839</v>
      </c>
      <c r="B1184" t="str">
        <f>Master_Data_Productivity[[#This Row],[Uniq-ID]]&amp;"-"&amp;Master_Data_Productivity[[#This Row],[Period]]</f>
        <v>PE-Project_Engineer-037-M4</v>
      </c>
      <c r="C1184" t="s">
        <v>840</v>
      </c>
      <c r="D1184" t="s">
        <v>48</v>
      </c>
      <c r="E1184" t="s">
        <v>25</v>
      </c>
      <c r="F1184" t="s">
        <v>452</v>
      </c>
      <c r="G1184" t="s">
        <v>33</v>
      </c>
      <c r="H1184" t="s">
        <v>44</v>
      </c>
      <c r="K1184" t="s">
        <v>12</v>
      </c>
      <c r="L1184" t="s">
        <v>12</v>
      </c>
      <c r="M1184" t="s">
        <v>12</v>
      </c>
      <c r="Q1184" t="s">
        <v>716</v>
      </c>
      <c r="R1184" t="s">
        <v>446</v>
      </c>
      <c r="S1184" t="s">
        <v>12</v>
      </c>
      <c r="T1184" t="s">
        <v>12</v>
      </c>
      <c r="U1184" t="s">
        <v>12</v>
      </c>
      <c r="V1184" t="s">
        <v>12</v>
      </c>
      <c r="W1184" t="s">
        <v>12</v>
      </c>
      <c r="X1184" t="s">
        <v>12</v>
      </c>
      <c r="Y1184" t="s">
        <v>12</v>
      </c>
      <c r="Z1184" t="s">
        <v>12</v>
      </c>
      <c r="AA1184" t="s">
        <v>12</v>
      </c>
      <c r="AB1184" t="s">
        <v>12</v>
      </c>
      <c r="AC1184" t="s">
        <v>12</v>
      </c>
      <c r="AD1184" t="s">
        <v>12</v>
      </c>
    </row>
    <row r="1185" spans="1:30">
      <c r="A1185" t="s">
        <v>837</v>
      </c>
      <c r="B1185" t="str">
        <f>Master_Data_Productivity[[#This Row],[Uniq-ID]]&amp;"-"&amp;Master_Data_Productivity[[#This Row],[Period]]</f>
        <v>PE-Project_Engineer-036-M1</v>
      </c>
      <c r="C1185" t="s">
        <v>838</v>
      </c>
      <c r="D1185" t="s">
        <v>48</v>
      </c>
      <c r="E1185" t="s">
        <v>13</v>
      </c>
      <c r="F1185" t="s">
        <v>37</v>
      </c>
      <c r="G1185" t="s">
        <v>15</v>
      </c>
      <c r="H1185" t="s">
        <v>44</v>
      </c>
      <c r="K1185" t="s">
        <v>12</v>
      </c>
      <c r="L1185" t="s">
        <v>12</v>
      </c>
      <c r="M1185" t="s">
        <v>12</v>
      </c>
      <c r="Q1185" t="s">
        <v>716</v>
      </c>
      <c r="R1185" t="s">
        <v>446</v>
      </c>
      <c r="S1185" t="s">
        <v>12</v>
      </c>
      <c r="T1185" t="s">
        <v>12</v>
      </c>
      <c r="U1185" t="s">
        <v>12</v>
      </c>
      <c r="V1185" t="s">
        <v>12</v>
      </c>
      <c r="W1185" t="s">
        <v>12</v>
      </c>
      <c r="X1185" t="s">
        <v>12</v>
      </c>
      <c r="Y1185" t="s">
        <v>12</v>
      </c>
      <c r="Z1185" t="s">
        <v>12</v>
      </c>
      <c r="AA1185" t="s">
        <v>12</v>
      </c>
      <c r="AB1185" t="s">
        <v>12</v>
      </c>
      <c r="AC1185" t="s">
        <v>12</v>
      </c>
      <c r="AD1185" t="s">
        <v>12</v>
      </c>
    </row>
    <row r="1186" spans="1:30">
      <c r="A1186" t="s">
        <v>837</v>
      </c>
      <c r="B1186" t="str">
        <f>Master_Data_Productivity[[#This Row],[Uniq-ID]]&amp;"-"&amp;Master_Data_Productivity[[#This Row],[Period]]</f>
        <v>PE-Project_Engineer-036-M2</v>
      </c>
      <c r="C1186" t="s">
        <v>838</v>
      </c>
      <c r="D1186" t="s">
        <v>48</v>
      </c>
      <c r="E1186" t="s">
        <v>18</v>
      </c>
      <c r="F1186" t="s">
        <v>39</v>
      </c>
      <c r="G1186" t="s">
        <v>15</v>
      </c>
      <c r="H1186" t="s">
        <v>44</v>
      </c>
      <c r="K1186" t="s">
        <v>12</v>
      </c>
      <c r="L1186" t="s">
        <v>12</v>
      </c>
      <c r="M1186" t="s">
        <v>12</v>
      </c>
      <c r="Q1186" t="s">
        <v>716</v>
      </c>
      <c r="R1186" t="s">
        <v>446</v>
      </c>
      <c r="S1186" t="s">
        <v>12</v>
      </c>
      <c r="T1186" t="s">
        <v>12</v>
      </c>
      <c r="U1186" t="s">
        <v>12</v>
      </c>
      <c r="V1186" t="s">
        <v>12</v>
      </c>
      <c r="W1186" t="s">
        <v>12</v>
      </c>
      <c r="X1186" t="s">
        <v>12</v>
      </c>
      <c r="Y1186" t="s">
        <v>12</v>
      </c>
      <c r="Z1186" t="s">
        <v>12</v>
      </c>
      <c r="AA1186" t="s">
        <v>12</v>
      </c>
      <c r="AB1186" t="s">
        <v>12</v>
      </c>
      <c r="AC1186" t="s">
        <v>12</v>
      </c>
      <c r="AD1186" t="s">
        <v>12</v>
      </c>
    </row>
    <row r="1187" spans="1:30">
      <c r="A1187" t="s">
        <v>837</v>
      </c>
      <c r="B1187" t="str">
        <f>Master_Data_Productivity[[#This Row],[Uniq-ID]]&amp;"-"&amp;Master_Data_Productivity[[#This Row],[Period]]</f>
        <v>PE-Project_Engineer-036-M3</v>
      </c>
      <c r="C1187" t="s">
        <v>838</v>
      </c>
      <c r="D1187" t="s">
        <v>48</v>
      </c>
      <c r="E1187" t="s">
        <v>22</v>
      </c>
      <c r="F1187" t="s">
        <v>41</v>
      </c>
      <c r="G1187" t="s">
        <v>15</v>
      </c>
      <c r="H1187" t="s">
        <v>44</v>
      </c>
      <c r="K1187" t="s">
        <v>12</v>
      </c>
      <c r="L1187" t="s">
        <v>12</v>
      </c>
      <c r="M1187" t="s">
        <v>12</v>
      </c>
      <c r="Q1187" t="s">
        <v>716</v>
      </c>
      <c r="R1187" t="s">
        <v>446</v>
      </c>
      <c r="S1187" t="s">
        <v>12</v>
      </c>
      <c r="T1187" t="s">
        <v>12</v>
      </c>
      <c r="U1187" t="s">
        <v>12</v>
      </c>
      <c r="V1187" t="s">
        <v>12</v>
      </c>
      <c r="W1187" t="s">
        <v>12</v>
      </c>
      <c r="X1187" t="s">
        <v>12</v>
      </c>
      <c r="Y1187" t="s">
        <v>12</v>
      </c>
      <c r="Z1187" t="s">
        <v>12</v>
      </c>
      <c r="AA1187" t="s">
        <v>12</v>
      </c>
      <c r="AB1187" t="s">
        <v>12</v>
      </c>
      <c r="AC1187" t="s">
        <v>12</v>
      </c>
      <c r="AD1187" t="s">
        <v>12</v>
      </c>
    </row>
    <row r="1188" spans="1:30">
      <c r="A1188" t="s">
        <v>837</v>
      </c>
      <c r="B1188" t="str">
        <f>Master_Data_Productivity[[#This Row],[Uniq-ID]]&amp;"-"&amp;Master_Data_Productivity[[#This Row],[Period]]</f>
        <v>PE-Project_Engineer-036-M4</v>
      </c>
      <c r="C1188" t="s">
        <v>838</v>
      </c>
      <c r="D1188" t="s">
        <v>48</v>
      </c>
      <c r="E1188" t="s">
        <v>25</v>
      </c>
      <c r="F1188" t="s">
        <v>43</v>
      </c>
      <c r="G1188" t="s">
        <v>33</v>
      </c>
      <c r="H1188" t="s">
        <v>44</v>
      </c>
      <c r="K1188" t="s">
        <v>12</v>
      </c>
      <c r="L1188" t="s">
        <v>12</v>
      </c>
      <c r="M1188" t="s">
        <v>12</v>
      </c>
      <c r="Q1188" t="s">
        <v>716</v>
      </c>
      <c r="R1188" t="s">
        <v>446</v>
      </c>
      <c r="S1188" t="s">
        <v>12</v>
      </c>
      <c r="T1188" t="s">
        <v>12</v>
      </c>
      <c r="U1188" t="s">
        <v>12</v>
      </c>
      <c r="V1188" t="s">
        <v>12</v>
      </c>
      <c r="W1188" t="s">
        <v>12</v>
      </c>
      <c r="X1188" t="s">
        <v>12</v>
      </c>
      <c r="Y1188" t="s">
        <v>12</v>
      </c>
      <c r="Z1188" t="s">
        <v>12</v>
      </c>
      <c r="AA1188" t="s">
        <v>12</v>
      </c>
      <c r="AB1188" t="s">
        <v>12</v>
      </c>
      <c r="AC1188" t="s">
        <v>12</v>
      </c>
      <c r="AD1188" t="s">
        <v>12</v>
      </c>
    </row>
    <row r="1189" spans="1:30">
      <c r="A1189" t="s">
        <v>827</v>
      </c>
      <c r="B1189" t="str">
        <f>Master_Data_Productivity[[#This Row],[Uniq-ID]]&amp;"-"&amp;Master_Data_Productivity[[#This Row],[Period]]</f>
        <v>PE-Project_Engineer-035-M1</v>
      </c>
      <c r="C1189" t="s">
        <v>828</v>
      </c>
      <c r="D1189" t="s">
        <v>48</v>
      </c>
      <c r="E1189" t="s">
        <v>13</v>
      </c>
      <c r="F1189" t="s">
        <v>449</v>
      </c>
      <c r="G1189" t="s">
        <v>15</v>
      </c>
      <c r="H1189" t="s">
        <v>44</v>
      </c>
      <c r="K1189" t="s">
        <v>12</v>
      </c>
      <c r="L1189" t="s">
        <v>12</v>
      </c>
      <c r="M1189" t="s">
        <v>12</v>
      </c>
      <c r="Q1189" t="s">
        <v>716</v>
      </c>
      <c r="R1189" t="s">
        <v>446</v>
      </c>
      <c r="S1189" t="s">
        <v>12</v>
      </c>
      <c r="T1189" t="s">
        <v>12</v>
      </c>
      <c r="U1189" t="s">
        <v>12</v>
      </c>
      <c r="V1189" t="s">
        <v>12</v>
      </c>
      <c r="W1189" t="s">
        <v>12</v>
      </c>
      <c r="X1189" t="s">
        <v>12</v>
      </c>
      <c r="Y1189" t="s">
        <v>12</v>
      </c>
      <c r="Z1189" t="s">
        <v>12</v>
      </c>
      <c r="AA1189" t="s">
        <v>12</v>
      </c>
      <c r="AB1189" t="s">
        <v>12</v>
      </c>
      <c r="AC1189" t="s">
        <v>12</v>
      </c>
      <c r="AD1189" t="s">
        <v>12</v>
      </c>
    </row>
    <row r="1190" spans="1:30">
      <c r="A1190" t="s">
        <v>827</v>
      </c>
      <c r="B1190" t="str">
        <f>Master_Data_Productivity[[#This Row],[Uniq-ID]]&amp;"-"&amp;Master_Data_Productivity[[#This Row],[Period]]</f>
        <v>PE-Project_Engineer-035-M2</v>
      </c>
      <c r="C1190" t="s">
        <v>828</v>
      </c>
      <c r="D1190" t="s">
        <v>48</v>
      </c>
      <c r="E1190" t="s">
        <v>18</v>
      </c>
      <c r="F1190" t="s">
        <v>450</v>
      </c>
      <c r="G1190" t="s">
        <v>15</v>
      </c>
      <c r="H1190" t="s">
        <v>44</v>
      </c>
      <c r="K1190" t="s">
        <v>12</v>
      </c>
      <c r="L1190" t="s">
        <v>12</v>
      </c>
      <c r="M1190" t="s">
        <v>12</v>
      </c>
      <c r="Q1190" t="s">
        <v>716</v>
      </c>
      <c r="R1190" t="s">
        <v>446</v>
      </c>
      <c r="S1190" t="s">
        <v>12</v>
      </c>
      <c r="T1190" t="s">
        <v>12</v>
      </c>
      <c r="U1190" t="s">
        <v>12</v>
      </c>
      <c r="V1190" t="s">
        <v>12</v>
      </c>
      <c r="W1190" t="s">
        <v>12</v>
      </c>
      <c r="X1190" t="s">
        <v>12</v>
      </c>
      <c r="Y1190" t="s">
        <v>12</v>
      </c>
      <c r="Z1190" t="s">
        <v>12</v>
      </c>
      <c r="AA1190" t="s">
        <v>12</v>
      </c>
      <c r="AB1190" t="s">
        <v>12</v>
      </c>
      <c r="AC1190" t="s">
        <v>12</v>
      </c>
      <c r="AD1190" t="s">
        <v>12</v>
      </c>
    </row>
    <row r="1191" spans="1:30">
      <c r="A1191" t="s">
        <v>827</v>
      </c>
      <c r="B1191" t="str">
        <f>Master_Data_Productivity[[#This Row],[Uniq-ID]]&amp;"-"&amp;Master_Data_Productivity[[#This Row],[Period]]</f>
        <v>PE-Project_Engineer-035-M3</v>
      </c>
      <c r="C1191" t="s">
        <v>828</v>
      </c>
      <c r="D1191" t="s">
        <v>48</v>
      </c>
      <c r="E1191" t="s">
        <v>22</v>
      </c>
      <c r="F1191" t="s">
        <v>451</v>
      </c>
      <c r="G1191" t="s">
        <v>15</v>
      </c>
      <c r="H1191" t="s">
        <v>44</v>
      </c>
      <c r="K1191" t="s">
        <v>12</v>
      </c>
      <c r="L1191" t="s">
        <v>12</v>
      </c>
      <c r="M1191" t="s">
        <v>12</v>
      </c>
      <c r="Q1191" t="s">
        <v>716</v>
      </c>
      <c r="R1191" t="s">
        <v>446</v>
      </c>
      <c r="S1191" t="s">
        <v>12</v>
      </c>
      <c r="T1191" t="s">
        <v>12</v>
      </c>
      <c r="U1191" t="s">
        <v>12</v>
      </c>
      <c r="V1191" t="s">
        <v>12</v>
      </c>
      <c r="W1191" t="s">
        <v>12</v>
      </c>
      <c r="X1191" t="s">
        <v>12</v>
      </c>
      <c r="Y1191" t="s">
        <v>12</v>
      </c>
      <c r="Z1191" t="s">
        <v>12</v>
      </c>
      <c r="AA1191" t="s">
        <v>12</v>
      </c>
      <c r="AB1191" t="s">
        <v>12</v>
      </c>
      <c r="AC1191" t="s">
        <v>12</v>
      </c>
      <c r="AD1191" t="s">
        <v>12</v>
      </c>
    </row>
    <row r="1192" spans="1:30">
      <c r="A1192" t="s">
        <v>827</v>
      </c>
      <c r="B1192" t="str">
        <f>Master_Data_Productivity[[#This Row],[Uniq-ID]]&amp;"-"&amp;Master_Data_Productivity[[#This Row],[Period]]</f>
        <v>PE-Project_Engineer-035-M4</v>
      </c>
      <c r="C1192" t="s">
        <v>828</v>
      </c>
      <c r="D1192" t="s">
        <v>48</v>
      </c>
      <c r="E1192" t="s">
        <v>25</v>
      </c>
      <c r="F1192" t="s">
        <v>452</v>
      </c>
      <c r="G1192" t="s">
        <v>33</v>
      </c>
      <c r="H1192" t="s">
        <v>44</v>
      </c>
      <c r="K1192" t="s">
        <v>12</v>
      </c>
      <c r="L1192" t="s">
        <v>12</v>
      </c>
      <c r="M1192" t="s">
        <v>12</v>
      </c>
      <c r="Q1192" t="s">
        <v>716</v>
      </c>
      <c r="R1192" t="s">
        <v>446</v>
      </c>
      <c r="S1192" t="s">
        <v>12</v>
      </c>
      <c r="T1192" t="s">
        <v>12</v>
      </c>
      <c r="U1192" t="s">
        <v>12</v>
      </c>
      <c r="V1192" t="s">
        <v>12</v>
      </c>
      <c r="W1192" t="s">
        <v>12</v>
      </c>
      <c r="X1192" t="s">
        <v>12</v>
      </c>
      <c r="Y1192" t="s">
        <v>12</v>
      </c>
      <c r="Z1192" t="s">
        <v>12</v>
      </c>
      <c r="AA1192" t="s">
        <v>12</v>
      </c>
      <c r="AB1192" t="s">
        <v>12</v>
      </c>
      <c r="AC1192" t="s">
        <v>12</v>
      </c>
      <c r="AD1192" t="s">
        <v>12</v>
      </c>
    </row>
    <row r="1193" spans="1:30">
      <c r="A1193" t="s">
        <v>818</v>
      </c>
      <c r="B1193" t="str">
        <f>Master_Data_Productivity[[#This Row],[Uniq-ID]]&amp;"-"&amp;Master_Data_Productivity[[#This Row],[Period]]</f>
        <v>PE-Project_Engineer-034-M1</v>
      </c>
      <c r="C1193" t="s">
        <v>819</v>
      </c>
      <c r="D1193" t="s">
        <v>76</v>
      </c>
      <c r="E1193" t="s">
        <v>13</v>
      </c>
      <c r="F1193" t="s">
        <v>820</v>
      </c>
      <c r="G1193" t="s">
        <v>15</v>
      </c>
      <c r="H1193" t="s">
        <v>44</v>
      </c>
      <c r="J1193">
        <v>0.5</v>
      </c>
      <c r="K1193" t="s">
        <v>12</v>
      </c>
      <c r="L1193" t="s">
        <v>12</v>
      </c>
      <c r="M1193" t="s">
        <v>12</v>
      </c>
      <c r="Q1193" t="s">
        <v>716</v>
      </c>
      <c r="R1193" t="s">
        <v>446</v>
      </c>
      <c r="S1193" t="s">
        <v>12</v>
      </c>
      <c r="T1193" t="s">
        <v>12</v>
      </c>
      <c r="U1193" t="s">
        <v>12</v>
      </c>
      <c r="V1193" t="s">
        <v>12</v>
      </c>
      <c r="W1193" t="s">
        <v>12</v>
      </c>
      <c r="X1193" t="s">
        <v>12</v>
      </c>
      <c r="Y1193" t="s">
        <v>3526</v>
      </c>
      <c r="Z1193" t="s">
        <v>4101</v>
      </c>
      <c r="AA1193" t="s">
        <v>3410</v>
      </c>
      <c r="AB1193" t="s">
        <v>12</v>
      </c>
      <c r="AC1193" t="s">
        <v>3410</v>
      </c>
      <c r="AD1193" t="s">
        <v>3643</v>
      </c>
    </row>
    <row r="1194" spans="1:30">
      <c r="A1194" t="s">
        <v>818</v>
      </c>
      <c r="B1194" t="str">
        <f>Master_Data_Productivity[[#This Row],[Uniq-ID]]&amp;"-"&amp;Master_Data_Productivity[[#This Row],[Period]]</f>
        <v>PE-Project_Engineer-034-M2</v>
      </c>
      <c r="C1194" t="s">
        <v>819</v>
      </c>
      <c r="D1194" t="s">
        <v>76</v>
      </c>
      <c r="E1194" t="s">
        <v>18</v>
      </c>
      <c r="F1194" t="s">
        <v>821</v>
      </c>
      <c r="G1194" t="s">
        <v>15</v>
      </c>
      <c r="H1194" t="s">
        <v>44</v>
      </c>
      <c r="J1194">
        <v>0.5</v>
      </c>
      <c r="K1194" t="s">
        <v>12</v>
      </c>
      <c r="L1194" t="s">
        <v>12</v>
      </c>
      <c r="M1194" t="s">
        <v>12</v>
      </c>
      <c r="Q1194" t="s">
        <v>716</v>
      </c>
      <c r="R1194" t="s">
        <v>446</v>
      </c>
      <c r="S1194" t="s">
        <v>12</v>
      </c>
      <c r="T1194" t="s">
        <v>12</v>
      </c>
      <c r="U1194" t="s">
        <v>12</v>
      </c>
      <c r="V1194" t="s">
        <v>12</v>
      </c>
      <c r="W1194" t="s">
        <v>12</v>
      </c>
      <c r="X1194" t="s">
        <v>12</v>
      </c>
      <c r="Y1194" t="s">
        <v>12</v>
      </c>
      <c r="Z1194" t="s">
        <v>3446</v>
      </c>
      <c r="AA1194" t="s">
        <v>3500</v>
      </c>
      <c r="AB1194" t="s">
        <v>12</v>
      </c>
      <c r="AC1194" t="s">
        <v>3410</v>
      </c>
      <c r="AD1194" t="s">
        <v>3773</v>
      </c>
    </row>
    <row r="1195" spans="1:30">
      <c r="A1195" t="s">
        <v>818</v>
      </c>
      <c r="B1195" t="str">
        <f>Master_Data_Productivity[[#This Row],[Uniq-ID]]&amp;"-"&amp;Master_Data_Productivity[[#This Row],[Period]]</f>
        <v>PE-Project_Engineer-034-M3</v>
      </c>
      <c r="C1195" t="s">
        <v>819</v>
      </c>
      <c r="D1195" t="s">
        <v>76</v>
      </c>
      <c r="E1195" t="s">
        <v>22</v>
      </c>
      <c r="F1195" t="s">
        <v>822</v>
      </c>
      <c r="G1195" t="s">
        <v>33</v>
      </c>
      <c r="H1195" t="s">
        <v>44</v>
      </c>
      <c r="J1195">
        <v>0.5</v>
      </c>
      <c r="K1195" t="s">
        <v>12</v>
      </c>
      <c r="L1195" t="s">
        <v>12</v>
      </c>
      <c r="M1195" t="s">
        <v>12</v>
      </c>
      <c r="Q1195" t="s">
        <v>716</v>
      </c>
      <c r="R1195" t="s">
        <v>446</v>
      </c>
      <c r="S1195" t="s">
        <v>12</v>
      </c>
      <c r="T1195" t="s">
        <v>12</v>
      </c>
      <c r="U1195" t="s">
        <v>12</v>
      </c>
      <c r="V1195" t="s">
        <v>12</v>
      </c>
      <c r="W1195" t="s">
        <v>12</v>
      </c>
      <c r="X1195" t="s">
        <v>12</v>
      </c>
      <c r="Y1195" t="s">
        <v>12</v>
      </c>
      <c r="Z1195" t="s">
        <v>12</v>
      </c>
      <c r="AA1195" t="s">
        <v>3410</v>
      </c>
      <c r="AB1195" t="s">
        <v>12</v>
      </c>
      <c r="AC1195" t="s">
        <v>12</v>
      </c>
      <c r="AD1195" t="s">
        <v>3410</v>
      </c>
    </row>
    <row r="1196" spans="1:30">
      <c r="A1196" t="s">
        <v>818</v>
      </c>
      <c r="B1196" t="str">
        <f>Master_Data_Productivity[[#This Row],[Uniq-ID]]&amp;"-"&amp;Master_Data_Productivity[[#This Row],[Period]]</f>
        <v>PE-Project_Engineer-034-M4</v>
      </c>
      <c r="C1196" t="s">
        <v>819</v>
      </c>
      <c r="D1196" t="s">
        <v>76</v>
      </c>
      <c r="E1196" t="s">
        <v>25</v>
      </c>
      <c r="F1196" t="s">
        <v>4102</v>
      </c>
      <c r="G1196" t="s">
        <v>225</v>
      </c>
      <c r="H1196" t="s">
        <v>44</v>
      </c>
      <c r="K1196" t="s">
        <v>12</v>
      </c>
      <c r="L1196" t="s">
        <v>12</v>
      </c>
      <c r="M1196" t="s">
        <v>12</v>
      </c>
      <c r="Q1196" t="s">
        <v>716</v>
      </c>
      <c r="R1196" t="s">
        <v>446</v>
      </c>
      <c r="S1196" t="s">
        <v>12</v>
      </c>
      <c r="T1196" t="s">
        <v>12</v>
      </c>
      <c r="U1196" t="s">
        <v>12</v>
      </c>
      <c r="V1196" t="s">
        <v>12</v>
      </c>
      <c r="W1196" t="s">
        <v>12</v>
      </c>
      <c r="X1196" t="s">
        <v>12</v>
      </c>
      <c r="Y1196" t="s">
        <v>12</v>
      </c>
      <c r="Z1196" t="s">
        <v>12</v>
      </c>
      <c r="AA1196" t="s">
        <v>12</v>
      </c>
      <c r="AB1196" t="s">
        <v>12</v>
      </c>
      <c r="AC1196" t="s">
        <v>12</v>
      </c>
      <c r="AD1196" t="s">
        <v>12</v>
      </c>
    </row>
    <row r="1197" spans="1:30">
      <c r="A1197" t="s">
        <v>870</v>
      </c>
      <c r="B1197" t="str">
        <f>Master_Data_Productivity[[#This Row],[Uniq-ID]]&amp;"-"&amp;Master_Data_Productivity[[#This Row],[Period]]</f>
        <v>PE-Project_Engineer-033-M1</v>
      </c>
      <c r="C1197" t="s">
        <v>871</v>
      </c>
      <c r="D1197" t="s">
        <v>112</v>
      </c>
      <c r="E1197" t="s">
        <v>13</v>
      </c>
      <c r="F1197" t="s">
        <v>760</v>
      </c>
      <c r="G1197" t="s">
        <v>15</v>
      </c>
      <c r="H1197" t="s">
        <v>44</v>
      </c>
      <c r="J1197">
        <v>0.83</v>
      </c>
      <c r="K1197" t="s">
        <v>12</v>
      </c>
      <c r="L1197" t="s">
        <v>12</v>
      </c>
      <c r="M1197" t="s">
        <v>12</v>
      </c>
      <c r="Q1197" t="s">
        <v>716</v>
      </c>
      <c r="R1197" t="s">
        <v>475</v>
      </c>
      <c r="S1197" t="s">
        <v>12</v>
      </c>
      <c r="T1197" t="s">
        <v>12</v>
      </c>
      <c r="U1197" t="s">
        <v>12</v>
      </c>
      <c r="V1197" t="s">
        <v>12</v>
      </c>
      <c r="W1197" t="s">
        <v>12</v>
      </c>
      <c r="X1197" t="s">
        <v>12</v>
      </c>
      <c r="Y1197" t="s">
        <v>3628</v>
      </c>
      <c r="Z1197" t="s">
        <v>3727</v>
      </c>
      <c r="AA1197" t="s">
        <v>3569</v>
      </c>
      <c r="AB1197" t="s">
        <v>12</v>
      </c>
      <c r="AC1197" t="s">
        <v>12</v>
      </c>
      <c r="AD1197" t="s">
        <v>3586</v>
      </c>
    </row>
    <row r="1198" spans="1:30">
      <c r="A1198" t="s">
        <v>870</v>
      </c>
      <c r="B1198" t="str">
        <f>Master_Data_Productivity[[#This Row],[Uniq-ID]]&amp;"-"&amp;Master_Data_Productivity[[#This Row],[Period]]</f>
        <v>PE-Project_Engineer-033-M2</v>
      </c>
      <c r="C1198" t="s">
        <v>871</v>
      </c>
      <c r="D1198" t="s">
        <v>112</v>
      </c>
      <c r="E1198" t="s">
        <v>18</v>
      </c>
      <c r="F1198" t="s">
        <v>761</v>
      </c>
      <c r="G1198" t="s">
        <v>15</v>
      </c>
      <c r="H1198" t="s">
        <v>719</v>
      </c>
      <c r="J1198">
        <v>1</v>
      </c>
      <c r="K1198" t="s">
        <v>12</v>
      </c>
      <c r="L1198" t="s">
        <v>12</v>
      </c>
      <c r="M1198" t="s">
        <v>12</v>
      </c>
      <c r="Q1198" t="s">
        <v>716</v>
      </c>
      <c r="R1198" t="s">
        <v>475</v>
      </c>
      <c r="S1198" t="s">
        <v>12</v>
      </c>
      <c r="T1198" t="s">
        <v>12</v>
      </c>
      <c r="U1198" t="s">
        <v>12</v>
      </c>
      <c r="V1198" t="s">
        <v>12</v>
      </c>
      <c r="W1198" t="s">
        <v>12</v>
      </c>
      <c r="X1198" t="s">
        <v>12</v>
      </c>
      <c r="Y1198" t="s">
        <v>3695</v>
      </c>
      <c r="Z1198" t="s">
        <v>4103</v>
      </c>
      <c r="AA1198" t="s">
        <v>3752</v>
      </c>
      <c r="AB1198" t="s">
        <v>12</v>
      </c>
      <c r="AC1198" t="s">
        <v>12</v>
      </c>
      <c r="AD1198" t="s">
        <v>3882</v>
      </c>
    </row>
    <row r="1199" spans="1:30">
      <c r="A1199" t="s">
        <v>870</v>
      </c>
      <c r="B1199" t="str">
        <f>Master_Data_Productivity[[#This Row],[Uniq-ID]]&amp;"-"&amp;Master_Data_Productivity[[#This Row],[Period]]</f>
        <v>PE-Project_Engineer-033-M3</v>
      </c>
      <c r="C1199" t="s">
        <v>871</v>
      </c>
      <c r="D1199" t="s">
        <v>112</v>
      </c>
      <c r="E1199" t="s">
        <v>22</v>
      </c>
      <c r="F1199" t="s">
        <v>762</v>
      </c>
      <c r="G1199" t="s">
        <v>15</v>
      </c>
      <c r="H1199" t="s">
        <v>719</v>
      </c>
      <c r="J1199">
        <v>1</v>
      </c>
      <c r="K1199" t="s">
        <v>12</v>
      </c>
      <c r="L1199" t="s">
        <v>12</v>
      </c>
      <c r="M1199" t="s">
        <v>12</v>
      </c>
      <c r="Q1199" t="s">
        <v>716</v>
      </c>
      <c r="R1199" t="s">
        <v>475</v>
      </c>
      <c r="S1199" t="s">
        <v>12</v>
      </c>
      <c r="T1199" t="s">
        <v>12</v>
      </c>
      <c r="U1199" t="s">
        <v>12</v>
      </c>
      <c r="V1199" t="s">
        <v>12</v>
      </c>
      <c r="W1199" t="s">
        <v>12</v>
      </c>
      <c r="X1199" t="s">
        <v>12</v>
      </c>
      <c r="Y1199" t="s">
        <v>3980</v>
      </c>
      <c r="Z1199" t="s">
        <v>4104</v>
      </c>
      <c r="AA1199" t="s">
        <v>3728</v>
      </c>
      <c r="AB1199" t="s">
        <v>12</v>
      </c>
      <c r="AC1199" t="s">
        <v>12</v>
      </c>
      <c r="AD1199" t="s">
        <v>4105</v>
      </c>
    </row>
    <row r="1200" spans="1:30">
      <c r="A1200" t="s">
        <v>870</v>
      </c>
      <c r="B1200" t="str">
        <f>Master_Data_Productivity[[#This Row],[Uniq-ID]]&amp;"-"&amp;Master_Data_Productivity[[#This Row],[Period]]</f>
        <v>PE-Project_Engineer-033-M4</v>
      </c>
      <c r="C1200" t="s">
        <v>871</v>
      </c>
      <c r="D1200" t="s">
        <v>112</v>
      </c>
      <c r="E1200" t="s">
        <v>25</v>
      </c>
      <c r="F1200" t="s">
        <v>763</v>
      </c>
      <c r="G1200" t="s">
        <v>33</v>
      </c>
      <c r="H1200" t="s">
        <v>44</v>
      </c>
      <c r="J1200">
        <v>0.82</v>
      </c>
      <c r="K1200" t="s">
        <v>12</v>
      </c>
      <c r="L1200" t="s">
        <v>12</v>
      </c>
      <c r="M1200" t="s">
        <v>12</v>
      </c>
      <c r="Q1200" t="s">
        <v>716</v>
      </c>
      <c r="R1200" t="s">
        <v>475</v>
      </c>
      <c r="S1200" t="s">
        <v>12</v>
      </c>
      <c r="T1200" t="s">
        <v>12</v>
      </c>
      <c r="U1200" t="s">
        <v>12</v>
      </c>
      <c r="V1200" t="s">
        <v>12</v>
      </c>
      <c r="W1200" t="s">
        <v>12</v>
      </c>
      <c r="X1200" t="s">
        <v>12</v>
      </c>
      <c r="Y1200" t="s">
        <v>3695</v>
      </c>
      <c r="Z1200" t="s">
        <v>4106</v>
      </c>
      <c r="AA1200" t="s">
        <v>12</v>
      </c>
      <c r="AB1200" t="s">
        <v>12</v>
      </c>
      <c r="AC1200" t="s">
        <v>12</v>
      </c>
      <c r="AD1200" t="s">
        <v>4107</v>
      </c>
    </row>
    <row r="1201" spans="1:30">
      <c r="A1201" t="s">
        <v>874</v>
      </c>
      <c r="B1201" t="str">
        <f>Master_Data_Productivity[[#This Row],[Uniq-ID]]&amp;"-"&amp;Master_Data_Productivity[[#This Row],[Period]]</f>
        <v>PE-Project_Engineer-031-M1</v>
      </c>
      <c r="C1201" t="s">
        <v>875</v>
      </c>
      <c r="D1201" t="s">
        <v>112</v>
      </c>
      <c r="E1201" t="s">
        <v>13</v>
      </c>
      <c r="F1201" t="s">
        <v>336</v>
      </c>
      <c r="G1201" t="s">
        <v>15</v>
      </c>
      <c r="H1201" t="s">
        <v>44</v>
      </c>
      <c r="K1201" t="s">
        <v>12</v>
      </c>
      <c r="L1201" t="s">
        <v>12</v>
      </c>
      <c r="M1201" t="s">
        <v>12</v>
      </c>
      <c r="Q1201" t="s">
        <v>716</v>
      </c>
      <c r="R1201" t="s">
        <v>446</v>
      </c>
      <c r="S1201" t="s">
        <v>12</v>
      </c>
      <c r="T1201" t="s">
        <v>12</v>
      </c>
      <c r="U1201" t="s">
        <v>12</v>
      </c>
      <c r="V1201" t="s">
        <v>12</v>
      </c>
      <c r="W1201" t="s">
        <v>12</v>
      </c>
      <c r="X1201" t="s">
        <v>12</v>
      </c>
      <c r="Y1201" t="s">
        <v>12</v>
      </c>
      <c r="Z1201" t="s">
        <v>12</v>
      </c>
      <c r="AA1201" t="s">
        <v>12</v>
      </c>
      <c r="AB1201" t="s">
        <v>12</v>
      </c>
      <c r="AC1201" t="s">
        <v>12</v>
      </c>
      <c r="AD1201" t="s">
        <v>12</v>
      </c>
    </row>
    <row r="1202" spans="1:30">
      <c r="A1202" t="s">
        <v>874</v>
      </c>
      <c r="B1202" t="str">
        <f>Master_Data_Productivity[[#This Row],[Uniq-ID]]&amp;"-"&amp;Master_Data_Productivity[[#This Row],[Period]]</f>
        <v>PE-Project_Engineer-031-M2</v>
      </c>
      <c r="C1202" t="s">
        <v>875</v>
      </c>
      <c r="D1202" t="s">
        <v>112</v>
      </c>
      <c r="E1202" t="s">
        <v>18</v>
      </c>
      <c r="F1202" t="s">
        <v>337</v>
      </c>
      <c r="G1202" t="s">
        <v>15</v>
      </c>
      <c r="H1202" t="s">
        <v>44</v>
      </c>
      <c r="K1202" t="s">
        <v>12</v>
      </c>
      <c r="L1202" t="s">
        <v>12</v>
      </c>
      <c r="M1202" t="s">
        <v>12</v>
      </c>
      <c r="Q1202" t="s">
        <v>716</v>
      </c>
      <c r="R1202" t="s">
        <v>446</v>
      </c>
      <c r="S1202" t="s">
        <v>12</v>
      </c>
      <c r="T1202" t="s">
        <v>12</v>
      </c>
      <c r="U1202" t="s">
        <v>12</v>
      </c>
      <c r="V1202" t="s">
        <v>12</v>
      </c>
      <c r="W1202" t="s">
        <v>12</v>
      </c>
      <c r="X1202" t="s">
        <v>12</v>
      </c>
      <c r="Y1202" t="s">
        <v>12</v>
      </c>
      <c r="Z1202" t="s">
        <v>12</v>
      </c>
      <c r="AA1202" t="s">
        <v>12</v>
      </c>
      <c r="AB1202" t="s">
        <v>12</v>
      </c>
      <c r="AC1202" t="s">
        <v>12</v>
      </c>
      <c r="AD1202" t="s">
        <v>12</v>
      </c>
    </row>
    <row r="1203" spans="1:30">
      <c r="A1203" t="s">
        <v>874</v>
      </c>
      <c r="B1203" t="str">
        <f>Master_Data_Productivity[[#This Row],[Uniq-ID]]&amp;"-"&amp;Master_Data_Productivity[[#This Row],[Period]]</f>
        <v>PE-Project_Engineer-031-M3</v>
      </c>
      <c r="C1203" t="s">
        <v>875</v>
      </c>
      <c r="D1203" t="s">
        <v>112</v>
      </c>
      <c r="E1203" t="s">
        <v>22</v>
      </c>
      <c r="F1203" t="s">
        <v>338</v>
      </c>
      <c r="G1203" t="s">
        <v>15</v>
      </c>
      <c r="H1203" t="s">
        <v>44</v>
      </c>
      <c r="K1203" t="s">
        <v>12</v>
      </c>
      <c r="L1203" t="s">
        <v>12</v>
      </c>
      <c r="M1203" t="s">
        <v>12</v>
      </c>
      <c r="Q1203" t="s">
        <v>716</v>
      </c>
      <c r="R1203" t="s">
        <v>446</v>
      </c>
      <c r="S1203" t="s">
        <v>12</v>
      </c>
      <c r="T1203" t="s">
        <v>12</v>
      </c>
      <c r="U1203" t="s">
        <v>12</v>
      </c>
      <c r="V1203" t="s">
        <v>12</v>
      </c>
      <c r="W1203" t="s">
        <v>12</v>
      </c>
      <c r="X1203" t="s">
        <v>12</v>
      </c>
      <c r="Y1203" t="s">
        <v>12</v>
      </c>
      <c r="Z1203" t="s">
        <v>12</v>
      </c>
      <c r="AA1203" t="s">
        <v>12</v>
      </c>
      <c r="AB1203" t="s">
        <v>12</v>
      </c>
      <c r="AC1203" t="s">
        <v>12</v>
      </c>
      <c r="AD1203" t="s">
        <v>12</v>
      </c>
    </row>
    <row r="1204" spans="1:30">
      <c r="A1204" t="s">
        <v>874</v>
      </c>
      <c r="B1204" t="str">
        <f>Master_Data_Productivity[[#This Row],[Uniq-ID]]&amp;"-"&amp;Master_Data_Productivity[[#This Row],[Period]]</f>
        <v>PE-Project_Engineer-031-M4</v>
      </c>
      <c r="C1204" t="s">
        <v>875</v>
      </c>
      <c r="D1204" t="s">
        <v>112</v>
      </c>
      <c r="E1204" t="s">
        <v>25</v>
      </c>
      <c r="F1204" t="s">
        <v>339</v>
      </c>
      <c r="G1204" t="s">
        <v>33</v>
      </c>
      <c r="H1204" t="s">
        <v>44</v>
      </c>
      <c r="K1204" t="s">
        <v>12</v>
      </c>
      <c r="L1204" t="s">
        <v>12</v>
      </c>
      <c r="M1204" t="s">
        <v>12</v>
      </c>
      <c r="Q1204" t="s">
        <v>716</v>
      </c>
      <c r="R1204" t="s">
        <v>446</v>
      </c>
      <c r="S1204" t="s">
        <v>12</v>
      </c>
      <c r="T1204" t="s">
        <v>12</v>
      </c>
      <c r="U1204" t="s">
        <v>12</v>
      </c>
      <c r="V1204" t="s">
        <v>12</v>
      </c>
      <c r="W1204" t="s">
        <v>12</v>
      </c>
      <c r="X1204" t="s">
        <v>12</v>
      </c>
      <c r="Y1204" t="s">
        <v>12</v>
      </c>
      <c r="Z1204" t="s">
        <v>12</v>
      </c>
      <c r="AA1204" t="s">
        <v>12</v>
      </c>
      <c r="AB1204" t="s">
        <v>12</v>
      </c>
      <c r="AC1204" t="s">
        <v>12</v>
      </c>
      <c r="AD1204" t="s">
        <v>12</v>
      </c>
    </row>
    <row r="1205" spans="1:30">
      <c r="A1205" t="s">
        <v>801</v>
      </c>
      <c r="B1205" t="str">
        <f>Master_Data_Productivity[[#This Row],[Uniq-ID]]&amp;"-"&amp;Master_Data_Productivity[[#This Row],[Period]]</f>
        <v>PE-Project_Engineer-029-M1</v>
      </c>
      <c r="C1205" t="s">
        <v>802</v>
      </c>
      <c r="D1205" t="s">
        <v>76</v>
      </c>
      <c r="E1205" t="s">
        <v>13</v>
      </c>
      <c r="F1205" t="s">
        <v>14</v>
      </c>
      <c r="G1205" t="s">
        <v>15</v>
      </c>
      <c r="H1205" t="s">
        <v>44</v>
      </c>
      <c r="K1205" t="s">
        <v>12</v>
      </c>
      <c r="L1205" t="s">
        <v>12</v>
      </c>
      <c r="M1205" t="s">
        <v>12</v>
      </c>
      <c r="Q1205" t="s">
        <v>716</v>
      </c>
      <c r="R1205" t="s">
        <v>475</v>
      </c>
      <c r="S1205" t="s">
        <v>12</v>
      </c>
      <c r="T1205" t="s">
        <v>12</v>
      </c>
      <c r="U1205" t="s">
        <v>12</v>
      </c>
      <c r="V1205" t="s">
        <v>12</v>
      </c>
      <c r="W1205" t="s">
        <v>12</v>
      </c>
      <c r="X1205" t="s">
        <v>12</v>
      </c>
      <c r="Y1205" t="s">
        <v>12</v>
      </c>
      <c r="Z1205" t="s">
        <v>12</v>
      </c>
      <c r="AA1205" t="s">
        <v>12</v>
      </c>
      <c r="AB1205" t="s">
        <v>12</v>
      </c>
      <c r="AC1205" t="s">
        <v>12</v>
      </c>
      <c r="AD1205" t="s">
        <v>12</v>
      </c>
    </row>
    <row r="1206" spans="1:30">
      <c r="A1206" t="s">
        <v>801</v>
      </c>
      <c r="B1206" t="str">
        <f>Master_Data_Productivity[[#This Row],[Uniq-ID]]&amp;"-"&amp;Master_Data_Productivity[[#This Row],[Period]]</f>
        <v>PE-Project_Engineer-029-M2</v>
      </c>
      <c r="C1206" t="s">
        <v>802</v>
      </c>
      <c r="D1206" t="s">
        <v>76</v>
      </c>
      <c r="E1206" t="s">
        <v>18</v>
      </c>
      <c r="F1206" t="s">
        <v>19</v>
      </c>
      <c r="G1206" t="s">
        <v>15</v>
      </c>
      <c r="H1206" t="s">
        <v>44</v>
      </c>
      <c r="K1206" t="s">
        <v>12</v>
      </c>
      <c r="L1206" t="s">
        <v>12</v>
      </c>
      <c r="M1206" t="s">
        <v>12</v>
      </c>
      <c r="Q1206" t="s">
        <v>716</v>
      </c>
      <c r="R1206" t="s">
        <v>475</v>
      </c>
      <c r="S1206" t="s">
        <v>12</v>
      </c>
      <c r="T1206" t="s">
        <v>12</v>
      </c>
      <c r="U1206" t="s">
        <v>12</v>
      </c>
      <c r="V1206" t="s">
        <v>12</v>
      </c>
      <c r="W1206" t="s">
        <v>12</v>
      </c>
      <c r="X1206" t="s">
        <v>12</v>
      </c>
      <c r="Y1206" t="s">
        <v>12</v>
      </c>
      <c r="Z1206" t="s">
        <v>12</v>
      </c>
      <c r="AA1206" t="s">
        <v>12</v>
      </c>
      <c r="AB1206" t="s">
        <v>12</v>
      </c>
      <c r="AC1206" t="s">
        <v>12</v>
      </c>
      <c r="AD1206" t="s">
        <v>12</v>
      </c>
    </row>
    <row r="1207" spans="1:30">
      <c r="A1207" t="s">
        <v>801</v>
      </c>
      <c r="B1207" t="str">
        <f>Master_Data_Productivity[[#This Row],[Uniq-ID]]&amp;"-"&amp;Master_Data_Productivity[[#This Row],[Period]]</f>
        <v>PE-Project_Engineer-029-M3</v>
      </c>
      <c r="C1207" t="s">
        <v>802</v>
      </c>
      <c r="D1207" t="s">
        <v>76</v>
      </c>
      <c r="E1207" t="s">
        <v>22</v>
      </c>
      <c r="F1207" t="s">
        <v>23</v>
      </c>
      <c r="G1207" t="s">
        <v>15</v>
      </c>
      <c r="H1207" t="s">
        <v>44</v>
      </c>
      <c r="K1207" t="s">
        <v>12</v>
      </c>
      <c r="L1207" t="s">
        <v>12</v>
      </c>
      <c r="M1207" t="s">
        <v>12</v>
      </c>
      <c r="Q1207" t="s">
        <v>716</v>
      </c>
      <c r="R1207" t="s">
        <v>475</v>
      </c>
      <c r="S1207" t="s">
        <v>12</v>
      </c>
      <c r="T1207" t="s">
        <v>12</v>
      </c>
      <c r="U1207" t="s">
        <v>12</v>
      </c>
      <c r="V1207" t="s">
        <v>12</v>
      </c>
      <c r="W1207" t="s">
        <v>12</v>
      </c>
      <c r="X1207" t="s">
        <v>12</v>
      </c>
      <c r="Y1207" t="s">
        <v>12</v>
      </c>
      <c r="Z1207" t="s">
        <v>12</v>
      </c>
      <c r="AA1207" t="s">
        <v>12</v>
      </c>
      <c r="AB1207" t="s">
        <v>12</v>
      </c>
      <c r="AC1207" t="s">
        <v>12</v>
      </c>
      <c r="AD1207" t="s">
        <v>12</v>
      </c>
    </row>
    <row r="1208" spans="1:30">
      <c r="A1208" t="s">
        <v>801</v>
      </c>
      <c r="B1208" t="str">
        <f>Master_Data_Productivity[[#This Row],[Uniq-ID]]&amp;"-"&amp;Master_Data_Productivity[[#This Row],[Period]]</f>
        <v>PE-Project_Engineer-029-M4</v>
      </c>
      <c r="C1208" t="s">
        <v>802</v>
      </c>
      <c r="D1208" t="s">
        <v>76</v>
      </c>
      <c r="E1208" t="s">
        <v>25</v>
      </c>
      <c r="F1208" t="s">
        <v>26</v>
      </c>
      <c r="G1208" t="s">
        <v>15</v>
      </c>
      <c r="H1208" t="s">
        <v>44</v>
      </c>
      <c r="K1208" t="s">
        <v>12</v>
      </c>
      <c r="L1208" t="s">
        <v>12</v>
      </c>
      <c r="M1208" t="s">
        <v>12</v>
      </c>
      <c r="Q1208" t="s">
        <v>716</v>
      </c>
      <c r="R1208" t="s">
        <v>475</v>
      </c>
      <c r="S1208" t="s">
        <v>12</v>
      </c>
      <c r="T1208" t="s">
        <v>12</v>
      </c>
      <c r="U1208" t="s">
        <v>12</v>
      </c>
      <c r="V1208" t="s">
        <v>12</v>
      </c>
      <c r="W1208" t="s">
        <v>12</v>
      </c>
      <c r="X1208" t="s">
        <v>12</v>
      </c>
      <c r="Y1208" t="s">
        <v>12</v>
      </c>
      <c r="Z1208" t="s">
        <v>12</v>
      </c>
      <c r="AA1208" t="s">
        <v>12</v>
      </c>
      <c r="AB1208" t="s">
        <v>12</v>
      </c>
      <c r="AC1208" t="s">
        <v>12</v>
      </c>
      <c r="AD1208" t="s">
        <v>12</v>
      </c>
    </row>
    <row r="1209" spans="1:30">
      <c r="A1209" t="s">
        <v>801</v>
      </c>
      <c r="B1209" t="str">
        <f>Master_Data_Productivity[[#This Row],[Uniq-ID]]&amp;"-"&amp;Master_Data_Productivity[[#This Row],[Period]]</f>
        <v>PE-Project_Engineer-029-M5</v>
      </c>
      <c r="C1209" t="s">
        <v>802</v>
      </c>
      <c r="D1209" t="s">
        <v>76</v>
      </c>
      <c r="E1209" t="s">
        <v>28</v>
      </c>
      <c r="F1209" t="s">
        <v>29</v>
      </c>
      <c r="G1209" t="s">
        <v>15</v>
      </c>
      <c r="H1209" t="s">
        <v>44</v>
      </c>
      <c r="K1209" t="s">
        <v>12</v>
      </c>
      <c r="L1209" t="s">
        <v>12</v>
      </c>
      <c r="M1209" t="s">
        <v>12</v>
      </c>
      <c r="Q1209" t="s">
        <v>716</v>
      </c>
      <c r="R1209" t="s">
        <v>475</v>
      </c>
      <c r="S1209" t="s">
        <v>12</v>
      </c>
      <c r="T1209" t="s">
        <v>12</v>
      </c>
      <c r="U1209" t="s">
        <v>12</v>
      </c>
      <c r="V1209" t="s">
        <v>12</v>
      </c>
      <c r="W1209" t="s">
        <v>12</v>
      </c>
      <c r="X1209" t="s">
        <v>12</v>
      </c>
      <c r="Y1209" t="s">
        <v>12</v>
      </c>
      <c r="Z1209" t="s">
        <v>12</v>
      </c>
      <c r="AA1209" t="s">
        <v>12</v>
      </c>
      <c r="AB1209" t="s">
        <v>12</v>
      </c>
      <c r="AC1209" t="s">
        <v>12</v>
      </c>
      <c r="AD1209" t="s">
        <v>12</v>
      </c>
    </row>
    <row r="1210" spans="1:30">
      <c r="A1210" t="s">
        <v>801</v>
      </c>
      <c r="B1210" t="str">
        <f>Master_Data_Productivity[[#This Row],[Uniq-ID]]&amp;"-"&amp;Master_Data_Productivity[[#This Row],[Period]]</f>
        <v>PE-Project_Engineer-029-M6</v>
      </c>
      <c r="C1210" t="s">
        <v>802</v>
      </c>
      <c r="D1210" t="s">
        <v>76</v>
      </c>
      <c r="E1210" t="s">
        <v>31</v>
      </c>
      <c r="F1210" t="s">
        <v>32</v>
      </c>
      <c r="G1210" t="s">
        <v>33</v>
      </c>
      <c r="H1210" t="s">
        <v>44</v>
      </c>
      <c r="K1210" t="s">
        <v>12</v>
      </c>
      <c r="L1210" t="s">
        <v>12</v>
      </c>
      <c r="M1210" t="s">
        <v>12</v>
      </c>
      <c r="Q1210" t="s">
        <v>716</v>
      </c>
      <c r="R1210" t="s">
        <v>475</v>
      </c>
      <c r="S1210" t="s">
        <v>12</v>
      </c>
      <c r="T1210" t="s">
        <v>12</v>
      </c>
      <c r="U1210" t="s">
        <v>12</v>
      </c>
      <c r="V1210" t="s">
        <v>12</v>
      </c>
      <c r="W1210" t="s">
        <v>12</v>
      </c>
      <c r="X1210" t="s">
        <v>12</v>
      </c>
      <c r="Y1210" t="s">
        <v>12</v>
      </c>
      <c r="Z1210" t="s">
        <v>12</v>
      </c>
      <c r="AA1210" t="s">
        <v>12</v>
      </c>
      <c r="AB1210" t="s">
        <v>12</v>
      </c>
      <c r="AC1210" t="s">
        <v>12</v>
      </c>
      <c r="AD1210" t="s">
        <v>12</v>
      </c>
    </row>
    <row r="1211" spans="1:30">
      <c r="A1211" t="s">
        <v>823</v>
      </c>
      <c r="B1211" t="str">
        <f>Master_Data_Productivity[[#This Row],[Uniq-ID]]&amp;"-"&amp;Master_Data_Productivity[[#This Row],[Period]]</f>
        <v>PE-Project_Engineer-026-M1</v>
      </c>
      <c r="C1211" t="s">
        <v>824</v>
      </c>
      <c r="D1211" t="s">
        <v>76</v>
      </c>
      <c r="E1211" t="s">
        <v>13</v>
      </c>
      <c r="F1211" t="s">
        <v>458</v>
      </c>
      <c r="G1211" t="s">
        <v>15</v>
      </c>
      <c r="H1211" t="s">
        <v>44</v>
      </c>
      <c r="K1211" t="s">
        <v>12</v>
      </c>
      <c r="L1211" t="s">
        <v>12</v>
      </c>
      <c r="M1211" t="s">
        <v>12</v>
      </c>
      <c r="Q1211" t="s">
        <v>716</v>
      </c>
      <c r="R1211" t="s">
        <v>446</v>
      </c>
      <c r="S1211" t="s">
        <v>12</v>
      </c>
      <c r="T1211" t="s">
        <v>12</v>
      </c>
      <c r="U1211" t="s">
        <v>12</v>
      </c>
      <c r="V1211" t="s">
        <v>12</v>
      </c>
      <c r="W1211" t="s">
        <v>12</v>
      </c>
      <c r="X1211" t="s">
        <v>12</v>
      </c>
      <c r="Y1211" t="s">
        <v>12</v>
      </c>
      <c r="Z1211" t="s">
        <v>12</v>
      </c>
      <c r="AA1211" t="s">
        <v>12</v>
      </c>
      <c r="AB1211" t="s">
        <v>12</v>
      </c>
      <c r="AC1211" t="s">
        <v>12</v>
      </c>
      <c r="AD1211" t="s">
        <v>12</v>
      </c>
    </row>
    <row r="1212" spans="1:30">
      <c r="A1212" t="s">
        <v>823</v>
      </c>
      <c r="B1212" t="str">
        <f>Master_Data_Productivity[[#This Row],[Uniq-ID]]&amp;"-"&amp;Master_Data_Productivity[[#This Row],[Period]]</f>
        <v>PE-Project_Engineer-026-M2</v>
      </c>
      <c r="C1212" t="s">
        <v>824</v>
      </c>
      <c r="D1212" t="s">
        <v>76</v>
      </c>
      <c r="E1212" t="s">
        <v>18</v>
      </c>
      <c r="F1212" t="s">
        <v>268</v>
      </c>
      <c r="G1212" t="s">
        <v>15</v>
      </c>
      <c r="H1212" t="s">
        <v>44</v>
      </c>
      <c r="K1212" t="s">
        <v>12</v>
      </c>
      <c r="L1212" t="s">
        <v>12</v>
      </c>
      <c r="M1212" t="s">
        <v>12</v>
      </c>
      <c r="Q1212" t="s">
        <v>716</v>
      </c>
      <c r="R1212" t="s">
        <v>446</v>
      </c>
      <c r="S1212" t="s">
        <v>12</v>
      </c>
      <c r="T1212" t="s">
        <v>12</v>
      </c>
      <c r="U1212" t="s">
        <v>12</v>
      </c>
      <c r="V1212" t="s">
        <v>12</v>
      </c>
      <c r="W1212" t="s">
        <v>12</v>
      </c>
      <c r="X1212" t="s">
        <v>12</v>
      </c>
      <c r="Y1212" t="s">
        <v>12</v>
      </c>
      <c r="Z1212" t="s">
        <v>12</v>
      </c>
      <c r="AA1212" t="s">
        <v>12</v>
      </c>
      <c r="AB1212" t="s">
        <v>12</v>
      </c>
      <c r="AC1212" t="s">
        <v>12</v>
      </c>
      <c r="AD1212" t="s">
        <v>12</v>
      </c>
    </row>
    <row r="1213" spans="1:30">
      <c r="A1213" t="s">
        <v>823</v>
      </c>
      <c r="B1213" t="str">
        <f>Master_Data_Productivity[[#This Row],[Uniq-ID]]&amp;"-"&amp;Master_Data_Productivity[[#This Row],[Period]]</f>
        <v>PE-Project_Engineer-026-M3</v>
      </c>
      <c r="C1213" t="s">
        <v>824</v>
      </c>
      <c r="D1213" t="s">
        <v>76</v>
      </c>
      <c r="E1213" t="s">
        <v>22</v>
      </c>
      <c r="F1213" t="s">
        <v>270</v>
      </c>
      <c r="G1213" t="s">
        <v>15</v>
      </c>
      <c r="H1213" t="s">
        <v>44</v>
      </c>
      <c r="K1213" t="s">
        <v>12</v>
      </c>
      <c r="L1213" t="s">
        <v>12</v>
      </c>
      <c r="M1213" t="s">
        <v>12</v>
      </c>
      <c r="Q1213" t="s">
        <v>716</v>
      </c>
      <c r="R1213" t="s">
        <v>446</v>
      </c>
      <c r="S1213" t="s">
        <v>12</v>
      </c>
      <c r="T1213" t="s">
        <v>12</v>
      </c>
      <c r="U1213" t="s">
        <v>12</v>
      </c>
      <c r="V1213" t="s">
        <v>12</v>
      </c>
      <c r="W1213" t="s">
        <v>12</v>
      </c>
      <c r="X1213" t="s">
        <v>12</v>
      </c>
      <c r="Y1213" t="s">
        <v>12</v>
      </c>
      <c r="Z1213" t="s">
        <v>12</v>
      </c>
      <c r="AA1213" t="s">
        <v>12</v>
      </c>
      <c r="AB1213" t="s">
        <v>12</v>
      </c>
      <c r="AC1213" t="s">
        <v>12</v>
      </c>
      <c r="AD1213" t="s">
        <v>12</v>
      </c>
    </row>
    <row r="1214" spans="1:30">
      <c r="A1214" t="s">
        <v>823</v>
      </c>
      <c r="B1214" t="str">
        <f>Master_Data_Productivity[[#This Row],[Uniq-ID]]&amp;"-"&amp;Master_Data_Productivity[[#This Row],[Period]]</f>
        <v>PE-Project_Engineer-026-M4</v>
      </c>
      <c r="C1214" t="s">
        <v>824</v>
      </c>
      <c r="D1214" t="s">
        <v>76</v>
      </c>
      <c r="E1214" t="s">
        <v>25</v>
      </c>
      <c r="F1214" t="s">
        <v>272</v>
      </c>
      <c r="G1214" t="s">
        <v>15</v>
      </c>
      <c r="H1214" t="s">
        <v>44</v>
      </c>
      <c r="K1214" t="s">
        <v>12</v>
      </c>
      <c r="L1214" t="s">
        <v>12</v>
      </c>
      <c r="M1214" t="s">
        <v>12</v>
      </c>
      <c r="Q1214" t="s">
        <v>716</v>
      </c>
      <c r="R1214" t="s">
        <v>446</v>
      </c>
      <c r="S1214" t="s">
        <v>12</v>
      </c>
      <c r="T1214" t="s">
        <v>12</v>
      </c>
      <c r="U1214" t="s">
        <v>12</v>
      </c>
      <c r="V1214" t="s">
        <v>12</v>
      </c>
      <c r="W1214" t="s">
        <v>12</v>
      </c>
      <c r="X1214" t="s">
        <v>12</v>
      </c>
      <c r="Y1214" t="s">
        <v>12</v>
      </c>
      <c r="Z1214" t="s">
        <v>12</v>
      </c>
      <c r="AA1214" t="s">
        <v>12</v>
      </c>
      <c r="AB1214" t="s">
        <v>12</v>
      </c>
      <c r="AC1214" t="s">
        <v>12</v>
      </c>
      <c r="AD1214" t="s">
        <v>12</v>
      </c>
    </row>
    <row r="1215" spans="1:30">
      <c r="A1215" t="s">
        <v>823</v>
      </c>
      <c r="B1215" t="str">
        <f>Master_Data_Productivity[[#This Row],[Uniq-ID]]&amp;"-"&amp;Master_Data_Productivity[[#This Row],[Period]]</f>
        <v>PE-Project_Engineer-026-M5</v>
      </c>
      <c r="C1215" t="s">
        <v>824</v>
      </c>
      <c r="D1215" t="s">
        <v>76</v>
      </c>
      <c r="E1215" t="s">
        <v>28</v>
      </c>
      <c r="F1215" t="s">
        <v>274</v>
      </c>
      <c r="G1215" t="s">
        <v>33</v>
      </c>
      <c r="H1215" t="s">
        <v>44</v>
      </c>
      <c r="K1215" t="s">
        <v>12</v>
      </c>
      <c r="L1215" t="s">
        <v>12</v>
      </c>
      <c r="M1215" t="s">
        <v>12</v>
      </c>
      <c r="Q1215" t="s">
        <v>716</v>
      </c>
      <c r="R1215" t="s">
        <v>446</v>
      </c>
      <c r="S1215" t="s">
        <v>12</v>
      </c>
      <c r="T1215" t="s">
        <v>12</v>
      </c>
      <c r="U1215" t="s">
        <v>12</v>
      </c>
      <c r="V1215" t="s">
        <v>12</v>
      </c>
      <c r="W1215" t="s">
        <v>12</v>
      </c>
      <c r="X1215" t="s">
        <v>12</v>
      </c>
      <c r="Y1215" t="s">
        <v>12</v>
      </c>
      <c r="Z1215" t="s">
        <v>12</v>
      </c>
      <c r="AA1215" t="s">
        <v>12</v>
      </c>
      <c r="AB1215" t="s">
        <v>12</v>
      </c>
      <c r="AC1215" t="s">
        <v>12</v>
      </c>
      <c r="AD1215" t="s">
        <v>12</v>
      </c>
    </row>
    <row r="1216" spans="1:30">
      <c r="A1216" t="s">
        <v>829</v>
      </c>
      <c r="B1216" t="str">
        <f>Master_Data_Productivity[[#This Row],[Uniq-ID]]&amp;"-"&amp;Master_Data_Productivity[[#This Row],[Period]]</f>
        <v>PE-Project_Engineer-025-M1</v>
      </c>
      <c r="C1216" t="s">
        <v>830</v>
      </c>
      <c r="D1216" t="s">
        <v>112</v>
      </c>
      <c r="E1216" t="s">
        <v>13</v>
      </c>
      <c r="F1216" t="s">
        <v>759</v>
      </c>
      <c r="G1216" t="s">
        <v>15</v>
      </c>
      <c r="H1216" t="s">
        <v>44</v>
      </c>
      <c r="J1216">
        <v>0.5</v>
      </c>
      <c r="K1216" t="s">
        <v>12</v>
      </c>
      <c r="L1216" t="s">
        <v>12</v>
      </c>
      <c r="M1216" t="s">
        <v>12</v>
      </c>
      <c r="Q1216" t="s">
        <v>716</v>
      </c>
      <c r="R1216" t="s">
        <v>446</v>
      </c>
      <c r="S1216" t="s">
        <v>12</v>
      </c>
      <c r="T1216" t="s">
        <v>12</v>
      </c>
      <c r="U1216" t="s">
        <v>12</v>
      </c>
      <c r="V1216" t="s">
        <v>12</v>
      </c>
      <c r="W1216" t="s">
        <v>12</v>
      </c>
      <c r="X1216" t="s">
        <v>12</v>
      </c>
      <c r="Y1216" t="s">
        <v>3522</v>
      </c>
      <c r="Z1216" t="s">
        <v>4073</v>
      </c>
      <c r="AA1216" t="s">
        <v>4108</v>
      </c>
      <c r="AB1216" t="s">
        <v>12</v>
      </c>
      <c r="AC1216" t="s">
        <v>12</v>
      </c>
      <c r="AD1216" t="s">
        <v>3584</v>
      </c>
    </row>
    <row r="1217" spans="1:30">
      <c r="A1217" t="s">
        <v>829</v>
      </c>
      <c r="B1217" t="str">
        <f>Master_Data_Productivity[[#This Row],[Uniq-ID]]&amp;"-"&amp;Master_Data_Productivity[[#This Row],[Period]]</f>
        <v>PE-Project_Engineer-025-M2</v>
      </c>
      <c r="C1217" t="s">
        <v>830</v>
      </c>
      <c r="D1217" t="s">
        <v>112</v>
      </c>
      <c r="E1217" t="s">
        <v>18</v>
      </c>
      <c r="F1217" t="s">
        <v>760</v>
      </c>
      <c r="G1217" t="s">
        <v>15</v>
      </c>
      <c r="H1217" t="s">
        <v>44</v>
      </c>
      <c r="J1217">
        <v>0.74</v>
      </c>
      <c r="K1217" t="s">
        <v>12</v>
      </c>
      <c r="L1217" t="s">
        <v>12</v>
      </c>
      <c r="M1217" t="s">
        <v>12</v>
      </c>
      <c r="Q1217" t="s">
        <v>716</v>
      </c>
      <c r="R1217" t="s">
        <v>446</v>
      </c>
      <c r="S1217" t="s">
        <v>12</v>
      </c>
      <c r="T1217" t="s">
        <v>12</v>
      </c>
      <c r="U1217" t="s">
        <v>12</v>
      </c>
      <c r="V1217" t="s">
        <v>12</v>
      </c>
      <c r="W1217" t="s">
        <v>12</v>
      </c>
      <c r="X1217" t="s">
        <v>12</v>
      </c>
      <c r="Y1217" t="s">
        <v>4008</v>
      </c>
      <c r="Z1217" t="s">
        <v>3979</v>
      </c>
      <c r="AA1217" t="s">
        <v>3497</v>
      </c>
      <c r="AB1217" t="s">
        <v>12</v>
      </c>
      <c r="AC1217" t="s">
        <v>12</v>
      </c>
      <c r="AD1217" t="s">
        <v>4109</v>
      </c>
    </row>
    <row r="1218" spans="1:30">
      <c r="A1218" t="s">
        <v>829</v>
      </c>
      <c r="B1218" t="str">
        <f>Master_Data_Productivity[[#This Row],[Uniq-ID]]&amp;"-"&amp;Master_Data_Productivity[[#This Row],[Period]]</f>
        <v>PE-Project_Engineer-025-M3</v>
      </c>
      <c r="C1218" t="s">
        <v>830</v>
      </c>
      <c r="D1218" t="s">
        <v>112</v>
      </c>
      <c r="E1218" t="s">
        <v>22</v>
      </c>
      <c r="F1218" t="s">
        <v>761</v>
      </c>
      <c r="G1218" t="s">
        <v>15</v>
      </c>
      <c r="H1218" t="s">
        <v>719</v>
      </c>
      <c r="J1218">
        <v>1</v>
      </c>
      <c r="K1218" t="s">
        <v>12</v>
      </c>
      <c r="L1218" t="s">
        <v>12</v>
      </c>
      <c r="M1218" t="s">
        <v>12</v>
      </c>
      <c r="Q1218" t="s">
        <v>716</v>
      </c>
      <c r="R1218" t="s">
        <v>446</v>
      </c>
      <c r="S1218" t="s">
        <v>12</v>
      </c>
      <c r="T1218" t="s">
        <v>12</v>
      </c>
      <c r="U1218" t="s">
        <v>12</v>
      </c>
      <c r="V1218" t="s">
        <v>12</v>
      </c>
      <c r="W1218" t="s">
        <v>12</v>
      </c>
      <c r="X1218" t="s">
        <v>12</v>
      </c>
      <c r="Y1218" t="s">
        <v>4110</v>
      </c>
      <c r="Z1218" t="s">
        <v>3862</v>
      </c>
      <c r="AA1218" t="s">
        <v>3518</v>
      </c>
      <c r="AB1218" t="s">
        <v>12</v>
      </c>
      <c r="AC1218" t="s">
        <v>12</v>
      </c>
      <c r="AD1218" t="s">
        <v>4111</v>
      </c>
    </row>
    <row r="1219" spans="1:30">
      <c r="A1219" t="s">
        <v>829</v>
      </c>
      <c r="B1219" t="str">
        <f>Master_Data_Productivity[[#This Row],[Uniq-ID]]&amp;"-"&amp;Master_Data_Productivity[[#This Row],[Period]]</f>
        <v>PE-Project_Engineer-025-M4</v>
      </c>
      <c r="C1219" t="s">
        <v>830</v>
      </c>
      <c r="D1219" t="s">
        <v>112</v>
      </c>
      <c r="E1219" t="s">
        <v>25</v>
      </c>
      <c r="F1219" t="s">
        <v>762</v>
      </c>
      <c r="G1219" t="s">
        <v>15</v>
      </c>
      <c r="H1219" t="s">
        <v>719</v>
      </c>
      <c r="J1219">
        <v>1</v>
      </c>
      <c r="K1219" t="s">
        <v>12</v>
      </c>
      <c r="L1219" t="s">
        <v>12</v>
      </c>
      <c r="M1219" t="s">
        <v>12</v>
      </c>
      <c r="Q1219" t="s">
        <v>716</v>
      </c>
      <c r="R1219" t="s">
        <v>446</v>
      </c>
      <c r="S1219" t="s">
        <v>12</v>
      </c>
      <c r="T1219" t="s">
        <v>12</v>
      </c>
      <c r="U1219" t="s">
        <v>12</v>
      </c>
      <c r="V1219" t="s">
        <v>12</v>
      </c>
      <c r="W1219" t="s">
        <v>12</v>
      </c>
      <c r="X1219" t="s">
        <v>12</v>
      </c>
      <c r="Y1219" t="s">
        <v>4090</v>
      </c>
      <c r="Z1219" t="s">
        <v>4112</v>
      </c>
      <c r="AA1219" t="s">
        <v>3866</v>
      </c>
      <c r="AB1219" t="s">
        <v>12</v>
      </c>
      <c r="AC1219" t="s">
        <v>12</v>
      </c>
      <c r="AD1219" t="s">
        <v>4113</v>
      </c>
    </row>
    <row r="1220" spans="1:30">
      <c r="A1220" t="s">
        <v>829</v>
      </c>
      <c r="B1220" t="str">
        <f>Master_Data_Productivity[[#This Row],[Uniq-ID]]&amp;"-"&amp;Master_Data_Productivity[[#This Row],[Period]]</f>
        <v>PE-Project_Engineer-025-M5</v>
      </c>
      <c r="C1220" t="s">
        <v>830</v>
      </c>
      <c r="D1220" t="s">
        <v>112</v>
      </c>
      <c r="E1220" t="s">
        <v>28</v>
      </c>
      <c r="F1220" t="s">
        <v>763</v>
      </c>
      <c r="G1220" t="s">
        <v>33</v>
      </c>
      <c r="H1220" t="s">
        <v>719</v>
      </c>
      <c r="J1220">
        <v>1</v>
      </c>
      <c r="K1220" t="s">
        <v>12</v>
      </c>
      <c r="L1220" t="s">
        <v>12</v>
      </c>
      <c r="M1220" t="s">
        <v>12</v>
      </c>
      <c r="Q1220" t="s">
        <v>716</v>
      </c>
      <c r="R1220" t="s">
        <v>446</v>
      </c>
      <c r="S1220" t="s">
        <v>12</v>
      </c>
      <c r="T1220" t="s">
        <v>12</v>
      </c>
      <c r="U1220" t="s">
        <v>12</v>
      </c>
      <c r="V1220" t="s">
        <v>12</v>
      </c>
      <c r="W1220" t="s">
        <v>12</v>
      </c>
      <c r="X1220" t="s">
        <v>12</v>
      </c>
      <c r="Y1220" t="s">
        <v>3859</v>
      </c>
      <c r="Z1220" t="s">
        <v>4114</v>
      </c>
      <c r="AA1220" t="s">
        <v>12</v>
      </c>
      <c r="AB1220" t="s">
        <v>12</v>
      </c>
      <c r="AC1220" t="s">
        <v>12</v>
      </c>
      <c r="AD1220" t="s">
        <v>4115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3090-0A35-4742-AD9A-586631D097D9}">
  <dimension ref="A1:AF1521"/>
  <sheetViews>
    <sheetView topLeftCell="E1" workbookViewId="0">
      <selection activeCell="F2" sqref="F2"/>
    </sheetView>
  </sheetViews>
  <sheetFormatPr defaultRowHeight="15"/>
  <cols>
    <col min="1" max="1" width="7.28515625" bestFit="1" customWidth="1"/>
    <col min="2" max="2" width="27.5703125" bestFit="1" customWidth="1"/>
    <col min="3" max="3" width="27.5703125" customWidth="1"/>
    <col min="4" max="4" width="44.85546875" bestFit="1" customWidth="1"/>
    <col min="5" max="5" width="15.42578125" bestFit="1" customWidth="1"/>
    <col min="6" max="6" width="12.28515625" bestFit="1" customWidth="1"/>
    <col min="8" max="8" width="21.85546875" bestFit="1" customWidth="1"/>
    <col min="9" max="9" width="15" bestFit="1" customWidth="1"/>
    <col min="10" max="10" width="20.140625" bestFit="1" customWidth="1"/>
    <col min="11" max="11" width="14" bestFit="1" customWidth="1"/>
    <col min="12" max="12" width="16.42578125" bestFit="1" customWidth="1"/>
    <col min="13" max="13" width="14" bestFit="1" customWidth="1"/>
    <col min="14" max="14" width="21" bestFit="1" customWidth="1"/>
    <col min="15" max="15" width="40.28515625" bestFit="1" customWidth="1"/>
    <col min="16" max="16" width="13.7109375" bestFit="1" customWidth="1"/>
    <col min="17" max="17" width="16.5703125" bestFit="1" customWidth="1"/>
    <col min="18" max="18" width="12" bestFit="1" customWidth="1"/>
    <col min="19" max="19" width="17.28515625" bestFit="1" customWidth="1"/>
    <col min="20" max="20" width="26.42578125" bestFit="1" customWidth="1"/>
    <col min="21" max="21" width="23.42578125" bestFit="1" customWidth="1"/>
    <col min="22" max="22" width="16.85546875" bestFit="1" customWidth="1"/>
    <col min="23" max="23" width="10.85546875" bestFit="1" customWidth="1"/>
    <col min="24" max="24" width="15.140625" bestFit="1" customWidth="1"/>
    <col min="25" max="25" width="16.85546875" bestFit="1" customWidth="1"/>
    <col min="26" max="26" width="17.7109375" bestFit="1" customWidth="1"/>
    <col min="27" max="27" width="19" bestFit="1" customWidth="1"/>
    <col min="28" max="28" width="25" bestFit="1" customWidth="1"/>
    <col min="29" max="29" width="15.140625" bestFit="1" customWidth="1"/>
    <col min="30" max="30" width="20" bestFit="1" customWidth="1"/>
    <col min="31" max="31" width="21.28515625" bestFit="1" customWidth="1"/>
    <col min="32" max="32" width="13" bestFit="1" customWidth="1"/>
  </cols>
  <sheetData>
    <row r="1" spans="1:32">
      <c r="A1" t="s">
        <v>4149</v>
      </c>
      <c r="B1" t="s">
        <v>0</v>
      </c>
      <c r="C1" t="s">
        <v>4155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2862</v>
      </c>
      <c r="K1" t="s">
        <v>3356</v>
      </c>
      <c r="L1" t="s">
        <v>7</v>
      </c>
      <c r="M1" t="s">
        <v>2863</v>
      </c>
      <c r="N1" t="s">
        <v>2864</v>
      </c>
      <c r="O1" t="s">
        <v>2865</v>
      </c>
      <c r="P1" t="s">
        <v>2866</v>
      </c>
      <c r="Q1" t="s">
        <v>2867</v>
      </c>
      <c r="R1" t="s">
        <v>2868</v>
      </c>
      <c r="S1" t="s">
        <v>2869</v>
      </c>
      <c r="T1" t="s">
        <v>3357</v>
      </c>
      <c r="U1" t="s">
        <v>3358</v>
      </c>
      <c r="V1" t="s">
        <v>3359</v>
      </c>
      <c r="W1" t="s">
        <v>719</v>
      </c>
      <c r="X1" t="s">
        <v>3360</v>
      </c>
      <c r="Y1" t="s">
        <v>3361</v>
      </c>
      <c r="Z1" t="s">
        <v>3362</v>
      </c>
      <c r="AA1" t="s">
        <v>3363</v>
      </c>
      <c r="AB1" t="s">
        <v>3364</v>
      </c>
      <c r="AC1" t="s">
        <v>3365</v>
      </c>
      <c r="AD1" t="s">
        <v>3366</v>
      </c>
      <c r="AE1" t="s">
        <v>3367</v>
      </c>
      <c r="AF1" t="s">
        <v>3368</v>
      </c>
    </row>
    <row r="2" spans="1:32">
      <c r="A2" t="s">
        <v>8</v>
      </c>
      <c r="B2" t="s">
        <v>58</v>
      </c>
      <c r="C2" t="str">
        <f>Data_Master[[#This Row],[Uniq-ID]]&amp;"-"&amp;Data_Master[[#This Row],[Period]]</f>
        <v>DC-Document_Controller-001-M1</v>
      </c>
      <c r="D2" t="s">
        <v>59</v>
      </c>
      <c r="E2" t="s">
        <v>11</v>
      </c>
      <c r="G2" t="s">
        <v>13</v>
      </c>
      <c r="H2" t="s">
        <v>49</v>
      </c>
      <c r="I2" t="s">
        <v>15</v>
      </c>
      <c r="J2" t="s">
        <v>16</v>
      </c>
      <c r="L2">
        <v>1.05</v>
      </c>
      <c r="M2">
        <v>2.109</v>
      </c>
      <c r="N2" t="s">
        <v>2871</v>
      </c>
      <c r="O2" t="s">
        <v>2872</v>
      </c>
      <c r="P2" t="s">
        <v>2873</v>
      </c>
      <c r="Q2">
        <v>35</v>
      </c>
      <c r="R2">
        <v>28</v>
      </c>
      <c r="S2">
        <v>0.8</v>
      </c>
    </row>
    <row r="3" spans="1:32">
      <c r="A3" t="s">
        <v>8</v>
      </c>
      <c r="B3" t="s">
        <v>58</v>
      </c>
      <c r="C3" t="str">
        <f>Data_Master[[#This Row],[Uniq-ID]]&amp;"-"&amp;Data_Master[[#This Row],[Period]]</f>
        <v>DC-Document_Controller-001-M1</v>
      </c>
      <c r="D3" t="s">
        <v>59</v>
      </c>
      <c r="E3" t="s">
        <v>11</v>
      </c>
      <c r="G3" t="s">
        <v>13</v>
      </c>
      <c r="H3" t="s">
        <v>49</v>
      </c>
      <c r="I3" t="s">
        <v>15</v>
      </c>
      <c r="J3" t="s">
        <v>16</v>
      </c>
      <c r="L3">
        <v>1.05</v>
      </c>
      <c r="M3">
        <v>2.109</v>
      </c>
      <c r="N3" t="s">
        <v>2871</v>
      </c>
      <c r="O3" t="s">
        <v>2877</v>
      </c>
      <c r="P3" t="s">
        <v>2873</v>
      </c>
      <c r="Q3">
        <v>32</v>
      </c>
      <c r="R3">
        <v>41</v>
      </c>
      <c r="S3">
        <v>1.2813000000000001</v>
      </c>
    </row>
    <row r="4" spans="1:32">
      <c r="A4" t="s">
        <v>8</v>
      </c>
      <c r="B4" t="s">
        <v>58</v>
      </c>
      <c r="C4" t="str">
        <f>Data_Master[[#This Row],[Uniq-ID]]&amp;"-"&amp;Data_Master[[#This Row],[Period]]</f>
        <v>DC-Document_Controller-001-M1</v>
      </c>
      <c r="D4" t="s">
        <v>59</v>
      </c>
      <c r="E4" t="s">
        <v>11</v>
      </c>
      <c r="G4" t="s">
        <v>13</v>
      </c>
      <c r="H4" t="s">
        <v>49</v>
      </c>
      <c r="I4" t="s">
        <v>15</v>
      </c>
      <c r="J4" t="s">
        <v>16</v>
      </c>
      <c r="L4">
        <v>1.05</v>
      </c>
      <c r="M4">
        <v>2.109</v>
      </c>
      <c r="N4" t="s">
        <v>2871</v>
      </c>
      <c r="O4" t="s">
        <v>2875</v>
      </c>
      <c r="P4" t="s">
        <v>2873</v>
      </c>
      <c r="Q4">
        <v>36</v>
      </c>
      <c r="R4">
        <v>1</v>
      </c>
      <c r="S4">
        <v>2.7799999999999998E-2</v>
      </c>
    </row>
    <row r="5" spans="1:32">
      <c r="A5" t="s">
        <v>8</v>
      </c>
      <c r="B5" t="s">
        <v>58</v>
      </c>
      <c r="C5" t="str">
        <f>Data_Master[[#This Row],[Uniq-ID]]&amp;"-"&amp;Data_Master[[#This Row],[Period]]</f>
        <v>DC-Document_Controller-001-M2</v>
      </c>
      <c r="D5" t="s">
        <v>59</v>
      </c>
      <c r="E5" t="s">
        <v>11</v>
      </c>
      <c r="G5" t="s">
        <v>18</v>
      </c>
      <c r="H5" t="s">
        <v>51</v>
      </c>
      <c r="I5" t="s">
        <v>15</v>
      </c>
      <c r="J5" t="s">
        <v>16</v>
      </c>
      <c r="L5">
        <v>1.0900000000000001</v>
      </c>
      <c r="M5">
        <v>2.1789999999999998</v>
      </c>
      <c r="N5" t="s">
        <v>2871</v>
      </c>
      <c r="O5" t="s">
        <v>2875</v>
      </c>
      <c r="P5" t="s">
        <v>2873</v>
      </c>
      <c r="Q5">
        <v>36</v>
      </c>
      <c r="R5">
        <v>12</v>
      </c>
      <c r="S5">
        <v>0.33329999999999999</v>
      </c>
    </row>
    <row r="6" spans="1:32">
      <c r="A6" t="s">
        <v>8</v>
      </c>
      <c r="B6" t="s">
        <v>58</v>
      </c>
      <c r="C6" t="str">
        <f>Data_Master[[#This Row],[Uniq-ID]]&amp;"-"&amp;Data_Master[[#This Row],[Period]]</f>
        <v>DC-Document_Controller-001-M2</v>
      </c>
      <c r="D6" t="s">
        <v>59</v>
      </c>
      <c r="E6" t="s">
        <v>11</v>
      </c>
      <c r="G6" t="s">
        <v>18</v>
      </c>
      <c r="H6" t="s">
        <v>51</v>
      </c>
      <c r="I6" t="s">
        <v>15</v>
      </c>
      <c r="J6" t="s">
        <v>16</v>
      </c>
      <c r="L6">
        <v>1.0900000000000001</v>
      </c>
      <c r="M6">
        <v>2.1789999999999998</v>
      </c>
      <c r="N6" t="s">
        <v>2871</v>
      </c>
      <c r="O6" t="s">
        <v>2872</v>
      </c>
      <c r="P6" t="s">
        <v>2873</v>
      </c>
      <c r="Q6">
        <v>35</v>
      </c>
      <c r="R6">
        <v>18</v>
      </c>
      <c r="S6">
        <v>0.51429999999999998</v>
      </c>
    </row>
    <row r="7" spans="1:32">
      <c r="A7" t="s">
        <v>8</v>
      </c>
      <c r="B7" t="s">
        <v>58</v>
      </c>
      <c r="C7" t="str">
        <f>Data_Master[[#This Row],[Uniq-ID]]&amp;"-"&amp;Data_Master[[#This Row],[Period]]</f>
        <v>DC-Document_Controller-001-M2</v>
      </c>
      <c r="D7" t="s">
        <v>59</v>
      </c>
      <c r="E7" t="s">
        <v>11</v>
      </c>
      <c r="G7" t="s">
        <v>18</v>
      </c>
      <c r="H7" t="s">
        <v>51</v>
      </c>
      <c r="I7" t="s">
        <v>15</v>
      </c>
      <c r="J7" t="s">
        <v>16</v>
      </c>
      <c r="L7">
        <v>1.0900000000000001</v>
      </c>
      <c r="M7">
        <v>2.1789999999999998</v>
      </c>
      <c r="N7" t="s">
        <v>2871</v>
      </c>
      <c r="O7" t="s">
        <v>2877</v>
      </c>
      <c r="P7" t="s">
        <v>2873</v>
      </c>
      <c r="Q7">
        <v>32</v>
      </c>
      <c r="R7">
        <v>18</v>
      </c>
      <c r="S7">
        <v>0.5625</v>
      </c>
    </row>
    <row r="8" spans="1:32">
      <c r="A8" t="s">
        <v>8</v>
      </c>
      <c r="B8" t="s">
        <v>58</v>
      </c>
      <c r="C8" t="str">
        <f>Data_Master[[#This Row],[Uniq-ID]]&amp;"-"&amp;Data_Master[[#This Row],[Period]]</f>
        <v>DC-Document_Controller-001-M2</v>
      </c>
      <c r="D8" t="s">
        <v>59</v>
      </c>
      <c r="E8" t="s">
        <v>11</v>
      </c>
      <c r="G8" t="s">
        <v>18</v>
      </c>
      <c r="H8" t="s">
        <v>51</v>
      </c>
      <c r="I8" t="s">
        <v>15</v>
      </c>
      <c r="J8" t="s">
        <v>16</v>
      </c>
      <c r="L8">
        <v>1.0900000000000001</v>
      </c>
      <c r="M8">
        <v>2.1789999999999998</v>
      </c>
      <c r="N8" t="s">
        <v>2879</v>
      </c>
      <c r="O8" t="s">
        <v>2894</v>
      </c>
      <c r="P8" t="s">
        <v>2873</v>
      </c>
      <c r="Q8">
        <v>26</v>
      </c>
      <c r="R8">
        <v>20</v>
      </c>
      <c r="S8">
        <v>0.76919999999999999</v>
      </c>
    </row>
    <row r="9" spans="1:32">
      <c r="A9" t="s">
        <v>8</v>
      </c>
      <c r="B9" t="s">
        <v>58</v>
      </c>
      <c r="C9" t="str">
        <f>Data_Master[[#This Row],[Uniq-ID]]&amp;"-"&amp;Data_Master[[#This Row],[Period]]</f>
        <v>DC-Document_Controller-001-M3</v>
      </c>
      <c r="D9" t="s">
        <v>59</v>
      </c>
      <c r="E9" t="s">
        <v>11</v>
      </c>
      <c r="G9" t="s">
        <v>22</v>
      </c>
      <c r="H9" t="s">
        <v>52</v>
      </c>
      <c r="I9" t="s">
        <v>15</v>
      </c>
      <c r="J9" t="s">
        <v>20</v>
      </c>
      <c r="L9">
        <v>1</v>
      </c>
      <c r="M9">
        <v>1.8879999999999999</v>
      </c>
      <c r="N9" t="s">
        <v>2871</v>
      </c>
      <c r="O9" t="s">
        <v>2877</v>
      </c>
      <c r="P9" t="s">
        <v>2873</v>
      </c>
      <c r="Q9">
        <v>32</v>
      </c>
      <c r="R9">
        <v>44</v>
      </c>
      <c r="S9">
        <v>1.375</v>
      </c>
    </row>
    <row r="10" spans="1:32">
      <c r="A10" t="s">
        <v>8</v>
      </c>
      <c r="B10" t="s">
        <v>58</v>
      </c>
      <c r="C10" t="str">
        <f>Data_Master[[#This Row],[Uniq-ID]]&amp;"-"&amp;Data_Master[[#This Row],[Period]]</f>
        <v>DC-Document_Controller-001-M3</v>
      </c>
      <c r="D10" t="s">
        <v>59</v>
      </c>
      <c r="E10" t="s">
        <v>11</v>
      </c>
      <c r="G10" t="s">
        <v>22</v>
      </c>
      <c r="H10" t="s">
        <v>52</v>
      </c>
      <c r="I10" t="s">
        <v>15</v>
      </c>
      <c r="J10" t="s">
        <v>20</v>
      </c>
      <c r="L10">
        <v>1</v>
      </c>
      <c r="M10">
        <v>1.8879999999999999</v>
      </c>
      <c r="N10" t="s">
        <v>2871</v>
      </c>
      <c r="O10" t="s">
        <v>2872</v>
      </c>
      <c r="P10" t="s">
        <v>2873</v>
      </c>
      <c r="Q10">
        <v>35</v>
      </c>
      <c r="R10">
        <v>16</v>
      </c>
      <c r="S10">
        <v>0.45710000000000001</v>
      </c>
    </row>
    <row r="11" spans="1:32">
      <c r="A11" t="s">
        <v>8</v>
      </c>
      <c r="B11" t="s">
        <v>58</v>
      </c>
      <c r="C11" t="str">
        <f>Data_Master[[#This Row],[Uniq-ID]]&amp;"-"&amp;Data_Master[[#This Row],[Period]]</f>
        <v>DC-Document_Controller-001-M3</v>
      </c>
      <c r="D11" t="s">
        <v>59</v>
      </c>
      <c r="E11" t="s">
        <v>11</v>
      </c>
      <c r="G11" t="s">
        <v>22</v>
      </c>
      <c r="H11" t="s">
        <v>52</v>
      </c>
      <c r="I11" t="s">
        <v>15</v>
      </c>
      <c r="J11" t="s">
        <v>20</v>
      </c>
      <c r="L11">
        <v>1</v>
      </c>
      <c r="M11">
        <v>1.8879999999999999</v>
      </c>
      <c r="N11" t="s">
        <v>2871</v>
      </c>
      <c r="O11" t="s">
        <v>2875</v>
      </c>
      <c r="P11" t="s">
        <v>2873</v>
      </c>
      <c r="Q11">
        <v>36</v>
      </c>
      <c r="R11">
        <v>2</v>
      </c>
      <c r="S11">
        <v>5.5599999999999997E-2</v>
      </c>
    </row>
    <row r="12" spans="1:32">
      <c r="A12" t="s">
        <v>8</v>
      </c>
      <c r="B12" t="s">
        <v>58</v>
      </c>
      <c r="C12" t="str">
        <f>Data_Master[[#This Row],[Uniq-ID]]&amp;"-"&amp;Data_Master[[#This Row],[Period]]</f>
        <v>DC-Document_Controller-001-M4</v>
      </c>
      <c r="D12" t="s">
        <v>59</v>
      </c>
      <c r="E12" t="s">
        <v>11</v>
      </c>
      <c r="G12" t="s">
        <v>25</v>
      </c>
      <c r="H12" t="s">
        <v>54</v>
      </c>
      <c r="I12" t="s">
        <v>15</v>
      </c>
      <c r="J12" t="s">
        <v>16</v>
      </c>
      <c r="L12">
        <v>1.5</v>
      </c>
      <c r="M12">
        <v>3.8559999999999999</v>
      </c>
      <c r="N12" t="s">
        <v>2871</v>
      </c>
      <c r="O12" t="s">
        <v>2877</v>
      </c>
      <c r="P12" t="s">
        <v>2873</v>
      </c>
      <c r="Q12">
        <v>32</v>
      </c>
      <c r="R12">
        <v>32</v>
      </c>
      <c r="S12">
        <v>1</v>
      </c>
    </row>
    <row r="13" spans="1:32">
      <c r="A13" t="s">
        <v>8</v>
      </c>
      <c r="B13" t="s">
        <v>58</v>
      </c>
      <c r="C13" t="str">
        <f>Data_Master[[#This Row],[Uniq-ID]]&amp;"-"&amp;Data_Master[[#This Row],[Period]]</f>
        <v>DC-Document_Controller-001-M4</v>
      </c>
      <c r="D13" t="s">
        <v>59</v>
      </c>
      <c r="E13" t="s">
        <v>11</v>
      </c>
      <c r="G13" t="s">
        <v>25</v>
      </c>
      <c r="H13" t="s">
        <v>54</v>
      </c>
      <c r="I13" t="s">
        <v>15</v>
      </c>
      <c r="J13" t="s">
        <v>16</v>
      </c>
      <c r="L13">
        <v>1.5</v>
      </c>
      <c r="M13">
        <v>3.8559999999999999</v>
      </c>
      <c r="N13" t="s">
        <v>2871</v>
      </c>
      <c r="O13" t="s">
        <v>2875</v>
      </c>
      <c r="P13" t="s">
        <v>2873</v>
      </c>
      <c r="Q13">
        <v>36</v>
      </c>
      <c r="R13">
        <v>38</v>
      </c>
      <c r="S13">
        <v>1.0556000000000001</v>
      </c>
    </row>
    <row r="14" spans="1:32">
      <c r="A14" t="s">
        <v>8</v>
      </c>
      <c r="B14" t="s">
        <v>58</v>
      </c>
      <c r="C14" t="str">
        <f>Data_Master[[#This Row],[Uniq-ID]]&amp;"-"&amp;Data_Master[[#This Row],[Period]]</f>
        <v>DC-Document_Controller-001-M4</v>
      </c>
      <c r="D14" t="s">
        <v>59</v>
      </c>
      <c r="E14" t="s">
        <v>11</v>
      </c>
      <c r="G14" t="s">
        <v>25</v>
      </c>
      <c r="H14" t="s">
        <v>54</v>
      </c>
      <c r="I14" t="s">
        <v>15</v>
      </c>
      <c r="J14" t="s">
        <v>16</v>
      </c>
      <c r="L14">
        <v>1.5</v>
      </c>
      <c r="M14">
        <v>3.8559999999999999</v>
      </c>
      <c r="N14" t="s">
        <v>2871</v>
      </c>
      <c r="O14" t="s">
        <v>2872</v>
      </c>
      <c r="P14" t="s">
        <v>2873</v>
      </c>
      <c r="Q14">
        <v>35</v>
      </c>
      <c r="R14">
        <v>63</v>
      </c>
      <c r="S14">
        <v>1.8</v>
      </c>
    </row>
    <row r="15" spans="1:32">
      <c r="A15" t="s">
        <v>8</v>
      </c>
      <c r="B15" t="s">
        <v>58</v>
      </c>
      <c r="C15" t="str">
        <f>Data_Master[[#This Row],[Uniq-ID]]&amp;"-"&amp;Data_Master[[#This Row],[Period]]</f>
        <v>DC-Document_Controller-001-M5</v>
      </c>
      <c r="D15" t="s">
        <v>59</v>
      </c>
      <c r="E15" t="s">
        <v>11</v>
      </c>
      <c r="G15" t="s">
        <v>28</v>
      </c>
      <c r="H15" t="s">
        <v>56</v>
      </c>
      <c r="I15" t="s">
        <v>15</v>
      </c>
      <c r="J15" t="s">
        <v>16</v>
      </c>
      <c r="L15">
        <v>1.5</v>
      </c>
      <c r="M15">
        <v>4.9390000000000001</v>
      </c>
      <c r="N15" t="s">
        <v>2871</v>
      </c>
      <c r="O15" t="s">
        <v>2877</v>
      </c>
      <c r="P15" t="s">
        <v>2873</v>
      </c>
      <c r="Q15">
        <v>32</v>
      </c>
      <c r="R15">
        <v>106</v>
      </c>
      <c r="S15">
        <v>3.3125</v>
      </c>
    </row>
    <row r="16" spans="1:32">
      <c r="A16" t="s">
        <v>8</v>
      </c>
      <c r="B16" t="s">
        <v>58</v>
      </c>
      <c r="C16" t="str">
        <f>Data_Master[[#This Row],[Uniq-ID]]&amp;"-"&amp;Data_Master[[#This Row],[Period]]</f>
        <v>DC-Document_Controller-001-M5</v>
      </c>
      <c r="D16" t="s">
        <v>59</v>
      </c>
      <c r="E16" t="s">
        <v>11</v>
      </c>
      <c r="G16" t="s">
        <v>28</v>
      </c>
      <c r="H16" t="s">
        <v>56</v>
      </c>
      <c r="I16" t="s">
        <v>15</v>
      </c>
      <c r="J16" t="s">
        <v>16</v>
      </c>
      <c r="L16">
        <v>1.5</v>
      </c>
      <c r="M16">
        <v>4.9390000000000001</v>
      </c>
      <c r="N16" t="s">
        <v>2871</v>
      </c>
      <c r="O16" t="s">
        <v>2872</v>
      </c>
      <c r="P16" t="s">
        <v>2873</v>
      </c>
      <c r="Q16">
        <v>35</v>
      </c>
      <c r="R16">
        <v>20</v>
      </c>
      <c r="S16">
        <v>0.57140000000000002</v>
      </c>
    </row>
    <row r="17" spans="1:19">
      <c r="A17" t="s">
        <v>8</v>
      </c>
      <c r="B17" t="s">
        <v>58</v>
      </c>
      <c r="C17" t="str">
        <f>Data_Master[[#This Row],[Uniq-ID]]&amp;"-"&amp;Data_Master[[#This Row],[Period]]</f>
        <v>DC-Document_Controller-001-M5</v>
      </c>
      <c r="D17" t="s">
        <v>59</v>
      </c>
      <c r="E17" t="s">
        <v>11</v>
      </c>
      <c r="G17" t="s">
        <v>28</v>
      </c>
      <c r="H17" t="s">
        <v>56</v>
      </c>
      <c r="I17" t="s">
        <v>15</v>
      </c>
      <c r="J17" t="s">
        <v>16</v>
      </c>
      <c r="L17">
        <v>1.5</v>
      </c>
      <c r="M17">
        <v>4.9390000000000001</v>
      </c>
      <c r="N17" t="s">
        <v>2871</v>
      </c>
      <c r="O17" t="s">
        <v>2875</v>
      </c>
      <c r="P17" t="s">
        <v>2873</v>
      </c>
      <c r="Q17">
        <v>36</v>
      </c>
      <c r="R17">
        <v>38</v>
      </c>
      <c r="S17">
        <v>1.0556000000000001</v>
      </c>
    </row>
    <row r="18" spans="1:19">
      <c r="A18" t="s">
        <v>8</v>
      </c>
      <c r="B18" t="s">
        <v>58</v>
      </c>
      <c r="C18" t="str">
        <f>Data_Master[[#This Row],[Uniq-ID]]&amp;"-"&amp;Data_Master[[#This Row],[Period]]</f>
        <v>DC-Document_Controller-001-M6</v>
      </c>
      <c r="D18" t="s">
        <v>59</v>
      </c>
      <c r="E18" t="s">
        <v>11</v>
      </c>
      <c r="G18" t="s">
        <v>31</v>
      </c>
      <c r="H18" t="s">
        <v>57</v>
      </c>
      <c r="I18" t="s">
        <v>33</v>
      </c>
      <c r="J18" t="s">
        <v>44</v>
      </c>
      <c r="L18">
        <v>0.53</v>
      </c>
      <c r="M18">
        <v>0.53500000000000003</v>
      </c>
      <c r="N18" t="s">
        <v>2871</v>
      </c>
      <c r="O18" t="s">
        <v>2875</v>
      </c>
      <c r="P18" t="s">
        <v>2873</v>
      </c>
      <c r="Q18">
        <v>36</v>
      </c>
      <c r="R18">
        <v>10</v>
      </c>
      <c r="S18">
        <v>0.27779999999999999</v>
      </c>
    </row>
    <row r="19" spans="1:19">
      <c r="A19" t="s">
        <v>8</v>
      </c>
      <c r="B19" t="s">
        <v>58</v>
      </c>
      <c r="C19" t="str">
        <f>Data_Master[[#This Row],[Uniq-ID]]&amp;"-"&amp;Data_Master[[#This Row],[Period]]</f>
        <v>DC-Document_Controller-001-M6</v>
      </c>
      <c r="D19" t="s">
        <v>59</v>
      </c>
      <c r="E19" t="s">
        <v>11</v>
      </c>
      <c r="G19" t="s">
        <v>31</v>
      </c>
      <c r="H19" t="s">
        <v>57</v>
      </c>
      <c r="I19" t="s">
        <v>33</v>
      </c>
      <c r="J19" t="s">
        <v>44</v>
      </c>
      <c r="L19">
        <v>0.53</v>
      </c>
      <c r="M19">
        <v>0.53500000000000003</v>
      </c>
      <c r="N19" t="s">
        <v>2871</v>
      </c>
      <c r="O19" t="s">
        <v>2872</v>
      </c>
      <c r="P19" t="s">
        <v>2873</v>
      </c>
      <c r="Q19">
        <v>35</v>
      </c>
      <c r="R19">
        <v>9</v>
      </c>
      <c r="S19">
        <v>0.2571</v>
      </c>
    </row>
    <row r="20" spans="1:19">
      <c r="A20" t="s">
        <v>8</v>
      </c>
      <c r="B20" t="s">
        <v>286</v>
      </c>
      <c r="C20" t="str">
        <f>Data_Master[[#This Row],[Uniq-ID]]&amp;"-"&amp;Data_Master[[#This Row],[Period]]</f>
        <v>DC-Document_Controller-002-M1</v>
      </c>
      <c r="D20" t="s">
        <v>287</v>
      </c>
      <c r="E20" t="s">
        <v>76</v>
      </c>
      <c r="G20" t="s">
        <v>13</v>
      </c>
      <c r="H20" t="s">
        <v>49</v>
      </c>
      <c r="I20" t="s">
        <v>15</v>
      </c>
      <c r="J20" t="s">
        <v>44</v>
      </c>
      <c r="M20">
        <v>0</v>
      </c>
    </row>
    <row r="21" spans="1:19">
      <c r="A21" t="s">
        <v>8</v>
      </c>
      <c r="B21" t="s">
        <v>286</v>
      </c>
      <c r="C21" t="str">
        <f>Data_Master[[#This Row],[Uniq-ID]]&amp;"-"&amp;Data_Master[[#This Row],[Period]]</f>
        <v>DC-Document_Controller-002-M2</v>
      </c>
      <c r="D21" t="s">
        <v>287</v>
      </c>
      <c r="E21" t="s">
        <v>76</v>
      </c>
      <c r="G21" t="s">
        <v>18</v>
      </c>
      <c r="H21" t="s">
        <v>51</v>
      </c>
      <c r="I21" t="s">
        <v>15</v>
      </c>
      <c r="J21" t="s">
        <v>44</v>
      </c>
      <c r="M21">
        <v>0</v>
      </c>
    </row>
    <row r="22" spans="1:19">
      <c r="A22" t="s">
        <v>8</v>
      </c>
      <c r="B22" t="s">
        <v>286</v>
      </c>
      <c r="C22" t="str">
        <f>Data_Master[[#This Row],[Uniq-ID]]&amp;"-"&amp;Data_Master[[#This Row],[Period]]</f>
        <v>DC-Document_Controller-002-M3</v>
      </c>
      <c r="D22" t="s">
        <v>287</v>
      </c>
      <c r="E22" t="s">
        <v>76</v>
      </c>
      <c r="G22" t="s">
        <v>22</v>
      </c>
      <c r="H22" t="s">
        <v>52</v>
      </c>
      <c r="I22" t="s">
        <v>15</v>
      </c>
      <c r="J22" t="s">
        <v>44</v>
      </c>
      <c r="M22">
        <v>0</v>
      </c>
    </row>
    <row r="23" spans="1:19">
      <c r="A23" t="s">
        <v>8</v>
      </c>
      <c r="B23" t="s">
        <v>286</v>
      </c>
      <c r="C23" t="str">
        <f>Data_Master[[#This Row],[Uniq-ID]]&amp;"-"&amp;Data_Master[[#This Row],[Period]]</f>
        <v>DC-Document_Controller-002-M4</v>
      </c>
      <c r="D23" t="s">
        <v>287</v>
      </c>
      <c r="E23" t="s">
        <v>76</v>
      </c>
      <c r="G23" t="s">
        <v>25</v>
      </c>
      <c r="H23" t="s">
        <v>54</v>
      </c>
      <c r="I23" t="s">
        <v>15</v>
      </c>
      <c r="J23" t="s">
        <v>44</v>
      </c>
      <c r="L23">
        <v>0.5</v>
      </c>
      <c r="M23">
        <v>1.4999999999999999E-2</v>
      </c>
      <c r="N23" t="s">
        <v>2871</v>
      </c>
      <c r="O23" t="s">
        <v>3061</v>
      </c>
      <c r="P23" t="s">
        <v>2873</v>
      </c>
      <c r="Q23">
        <v>66</v>
      </c>
      <c r="R23">
        <v>1</v>
      </c>
      <c r="S23">
        <v>1.52E-2</v>
      </c>
    </row>
    <row r="24" spans="1:19">
      <c r="A24" t="s">
        <v>8</v>
      </c>
      <c r="B24" t="s">
        <v>286</v>
      </c>
      <c r="C24" t="str">
        <f>Data_Master[[#This Row],[Uniq-ID]]&amp;"-"&amp;Data_Master[[#This Row],[Period]]</f>
        <v>DC-Document_Controller-002-M5</v>
      </c>
      <c r="D24" t="s">
        <v>287</v>
      </c>
      <c r="E24" t="s">
        <v>76</v>
      </c>
      <c r="G24" t="s">
        <v>28</v>
      </c>
      <c r="H24" t="s">
        <v>56</v>
      </c>
      <c r="I24" t="s">
        <v>15</v>
      </c>
      <c r="J24" t="s">
        <v>44</v>
      </c>
      <c r="M24">
        <v>0</v>
      </c>
    </row>
    <row r="25" spans="1:19">
      <c r="A25" t="s">
        <v>8</v>
      </c>
      <c r="B25" t="s">
        <v>286</v>
      </c>
      <c r="C25" t="str">
        <f>Data_Master[[#This Row],[Uniq-ID]]&amp;"-"&amp;Data_Master[[#This Row],[Period]]</f>
        <v>DC-Document_Controller-002-M6</v>
      </c>
      <c r="D25" t="s">
        <v>287</v>
      </c>
      <c r="E25" t="s">
        <v>76</v>
      </c>
      <c r="G25" t="s">
        <v>31</v>
      </c>
      <c r="H25" t="s">
        <v>57</v>
      </c>
      <c r="I25" t="s">
        <v>33</v>
      </c>
      <c r="J25" t="s">
        <v>44</v>
      </c>
      <c r="L25">
        <v>0.5</v>
      </c>
      <c r="M25">
        <v>5.0000000000000001E-3</v>
      </c>
      <c r="N25" t="s">
        <v>2871</v>
      </c>
      <c r="O25" t="s">
        <v>2954</v>
      </c>
      <c r="P25" t="s">
        <v>2873</v>
      </c>
      <c r="Q25">
        <v>220</v>
      </c>
      <c r="R25">
        <v>1</v>
      </c>
      <c r="S25">
        <v>4.4999999999999997E-3</v>
      </c>
    </row>
    <row r="26" spans="1:19">
      <c r="A26" t="s">
        <v>8</v>
      </c>
      <c r="B26" t="s">
        <v>240</v>
      </c>
      <c r="C26" t="str">
        <f>Data_Master[[#This Row],[Uniq-ID]]&amp;"-"&amp;Data_Master[[#This Row],[Period]]</f>
        <v>DC-Document_Controller-003-M1</v>
      </c>
      <c r="D26" t="s">
        <v>241</v>
      </c>
      <c r="E26" t="s">
        <v>11</v>
      </c>
      <c r="G26" t="s">
        <v>13</v>
      </c>
      <c r="H26" t="s">
        <v>49</v>
      </c>
      <c r="I26" t="s">
        <v>15</v>
      </c>
      <c r="J26" t="s">
        <v>20</v>
      </c>
      <c r="L26">
        <v>1</v>
      </c>
      <c r="M26">
        <v>1.744</v>
      </c>
      <c r="N26" t="s">
        <v>2871</v>
      </c>
      <c r="O26" t="s">
        <v>2875</v>
      </c>
      <c r="P26" t="s">
        <v>2873</v>
      </c>
      <c r="Q26">
        <v>36</v>
      </c>
      <c r="R26">
        <v>35</v>
      </c>
      <c r="S26">
        <v>0.97219999999999995</v>
      </c>
    </row>
    <row r="27" spans="1:19">
      <c r="A27" t="s">
        <v>8</v>
      </c>
      <c r="B27" t="s">
        <v>240</v>
      </c>
      <c r="C27" t="str">
        <f>Data_Master[[#This Row],[Uniq-ID]]&amp;"-"&amp;Data_Master[[#This Row],[Period]]</f>
        <v>DC-Document_Controller-003-M1</v>
      </c>
      <c r="D27" t="s">
        <v>241</v>
      </c>
      <c r="E27" t="s">
        <v>11</v>
      </c>
      <c r="G27" t="s">
        <v>13</v>
      </c>
      <c r="H27" t="s">
        <v>49</v>
      </c>
      <c r="I27" t="s">
        <v>15</v>
      </c>
      <c r="J27" t="s">
        <v>20</v>
      </c>
      <c r="L27">
        <v>1</v>
      </c>
      <c r="M27">
        <v>1.744</v>
      </c>
      <c r="N27" t="s">
        <v>2871</v>
      </c>
      <c r="O27" t="s">
        <v>2872</v>
      </c>
      <c r="P27" t="s">
        <v>2873</v>
      </c>
      <c r="Q27">
        <v>35</v>
      </c>
      <c r="R27">
        <v>27</v>
      </c>
      <c r="S27">
        <v>0.77139999999999997</v>
      </c>
    </row>
    <row r="28" spans="1:19">
      <c r="A28" t="s">
        <v>8</v>
      </c>
      <c r="B28" t="s">
        <v>240</v>
      </c>
      <c r="C28" t="str">
        <f>Data_Master[[#This Row],[Uniq-ID]]&amp;"-"&amp;Data_Master[[#This Row],[Period]]</f>
        <v>DC-Document_Controller-003-M2</v>
      </c>
      <c r="D28" t="s">
        <v>241</v>
      </c>
      <c r="E28" t="s">
        <v>11</v>
      </c>
      <c r="G28" t="s">
        <v>18</v>
      </c>
      <c r="H28" t="s">
        <v>51</v>
      </c>
      <c r="I28" t="s">
        <v>15</v>
      </c>
      <c r="J28" t="s">
        <v>20</v>
      </c>
      <c r="L28">
        <v>1</v>
      </c>
      <c r="M28">
        <v>1.8640000000000001</v>
      </c>
      <c r="N28" t="s">
        <v>2871</v>
      </c>
      <c r="O28" t="s">
        <v>2875</v>
      </c>
      <c r="P28" t="s">
        <v>2873</v>
      </c>
      <c r="Q28">
        <v>36</v>
      </c>
      <c r="R28">
        <v>27</v>
      </c>
      <c r="S28">
        <v>0.75</v>
      </c>
    </row>
    <row r="29" spans="1:19">
      <c r="A29" t="s">
        <v>8</v>
      </c>
      <c r="B29" t="s">
        <v>240</v>
      </c>
      <c r="C29" t="str">
        <f>Data_Master[[#This Row],[Uniq-ID]]&amp;"-"&amp;Data_Master[[#This Row],[Period]]</f>
        <v>DC-Document_Controller-003-M2</v>
      </c>
      <c r="D29" t="s">
        <v>241</v>
      </c>
      <c r="E29" t="s">
        <v>11</v>
      </c>
      <c r="G29" t="s">
        <v>18</v>
      </c>
      <c r="H29" t="s">
        <v>51</v>
      </c>
      <c r="I29" t="s">
        <v>15</v>
      </c>
      <c r="J29" t="s">
        <v>20</v>
      </c>
      <c r="L29">
        <v>1</v>
      </c>
      <c r="M29">
        <v>1.8640000000000001</v>
      </c>
      <c r="N29" t="s">
        <v>2871</v>
      </c>
      <c r="O29" t="s">
        <v>2872</v>
      </c>
      <c r="P29" t="s">
        <v>2873</v>
      </c>
      <c r="Q29">
        <v>35</v>
      </c>
      <c r="R29">
        <v>39</v>
      </c>
      <c r="S29">
        <v>1.1143000000000001</v>
      </c>
    </row>
    <row r="30" spans="1:19">
      <c r="A30" t="s">
        <v>8</v>
      </c>
      <c r="B30" t="s">
        <v>240</v>
      </c>
      <c r="C30" t="str">
        <f>Data_Master[[#This Row],[Uniq-ID]]&amp;"-"&amp;Data_Master[[#This Row],[Period]]</f>
        <v>DC-Document_Controller-003-M3</v>
      </c>
      <c r="D30" t="s">
        <v>241</v>
      </c>
      <c r="E30" t="s">
        <v>11</v>
      </c>
      <c r="G30" t="s">
        <v>22</v>
      </c>
      <c r="H30" t="s">
        <v>52</v>
      </c>
      <c r="I30" t="s">
        <v>15</v>
      </c>
      <c r="J30" t="s">
        <v>16</v>
      </c>
      <c r="L30">
        <v>1.5</v>
      </c>
      <c r="M30">
        <v>4.173</v>
      </c>
      <c r="N30" t="s">
        <v>2871</v>
      </c>
      <c r="O30" t="s">
        <v>2875</v>
      </c>
      <c r="P30" t="s">
        <v>2873</v>
      </c>
      <c r="Q30">
        <v>36</v>
      </c>
      <c r="R30">
        <v>71</v>
      </c>
      <c r="S30">
        <v>1.9722</v>
      </c>
    </row>
    <row r="31" spans="1:19">
      <c r="A31" t="s">
        <v>8</v>
      </c>
      <c r="B31" t="s">
        <v>240</v>
      </c>
      <c r="C31" t="str">
        <f>Data_Master[[#This Row],[Uniq-ID]]&amp;"-"&amp;Data_Master[[#This Row],[Period]]</f>
        <v>DC-Document_Controller-003-M3</v>
      </c>
      <c r="D31" t="s">
        <v>241</v>
      </c>
      <c r="E31" t="s">
        <v>11</v>
      </c>
      <c r="G31" t="s">
        <v>22</v>
      </c>
      <c r="H31" t="s">
        <v>52</v>
      </c>
      <c r="I31" t="s">
        <v>15</v>
      </c>
      <c r="J31" t="s">
        <v>16</v>
      </c>
      <c r="L31">
        <v>1.5</v>
      </c>
      <c r="M31">
        <v>4.173</v>
      </c>
      <c r="N31" t="s">
        <v>2871</v>
      </c>
      <c r="O31" t="s">
        <v>2872</v>
      </c>
      <c r="P31" t="s">
        <v>2873</v>
      </c>
      <c r="Q31">
        <v>35</v>
      </c>
      <c r="R31">
        <v>73</v>
      </c>
      <c r="S31">
        <v>2.0857000000000001</v>
      </c>
    </row>
    <row r="32" spans="1:19">
      <c r="A32" t="s">
        <v>8</v>
      </c>
      <c r="B32" t="s">
        <v>240</v>
      </c>
      <c r="C32" t="str">
        <f>Data_Master[[#This Row],[Uniq-ID]]&amp;"-"&amp;Data_Master[[#This Row],[Period]]</f>
        <v>DC-Document_Controller-003-M3</v>
      </c>
      <c r="D32" t="s">
        <v>241</v>
      </c>
      <c r="E32" t="s">
        <v>11</v>
      </c>
      <c r="G32" t="s">
        <v>22</v>
      </c>
      <c r="H32" t="s">
        <v>52</v>
      </c>
      <c r="I32" t="s">
        <v>15</v>
      </c>
      <c r="J32" t="s">
        <v>16</v>
      </c>
      <c r="L32">
        <v>1.5</v>
      </c>
      <c r="M32">
        <v>4.173</v>
      </c>
      <c r="N32" t="s">
        <v>2879</v>
      </c>
      <c r="O32" t="s">
        <v>2894</v>
      </c>
      <c r="P32" t="s">
        <v>2873</v>
      </c>
      <c r="Q32">
        <v>26</v>
      </c>
      <c r="R32">
        <v>3</v>
      </c>
      <c r="S32">
        <v>0.1154</v>
      </c>
    </row>
    <row r="33" spans="1:19">
      <c r="A33" t="s">
        <v>8</v>
      </c>
      <c r="B33" t="s">
        <v>240</v>
      </c>
      <c r="C33" t="str">
        <f>Data_Master[[#This Row],[Uniq-ID]]&amp;"-"&amp;Data_Master[[#This Row],[Period]]</f>
        <v>DC-Document_Controller-003-M4</v>
      </c>
      <c r="D33" t="s">
        <v>241</v>
      </c>
      <c r="E33" t="s">
        <v>11</v>
      </c>
      <c r="G33" t="s">
        <v>25</v>
      </c>
      <c r="H33" t="s">
        <v>54</v>
      </c>
      <c r="I33" t="s">
        <v>15</v>
      </c>
      <c r="J33" t="s">
        <v>16</v>
      </c>
      <c r="L33">
        <v>1.5</v>
      </c>
      <c r="M33">
        <v>4.1710000000000003</v>
      </c>
      <c r="N33" t="s">
        <v>2871</v>
      </c>
      <c r="O33" t="s">
        <v>2875</v>
      </c>
      <c r="P33" t="s">
        <v>2873</v>
      </c>
      <c r="Q33">
        <v>36</v>
      </c>
      <c r="R33">
        <v>48</v>
      </c>
      <c r="S33">
        <v>1.3332999999999999</v>
      </c>
    </row>
    <row r="34" spans="1:19">
      <c r="A34" t="s">
        <v>8</v>
      </c>
      <c r="B34" t="s">
        <v>240</v>
      </c>
      <c r="C34" t="str">
        <f>Data_Master[[#This Row],[Uniq-ID]]&amp;"-"&amp;Data_Master[[#This Row],[Period]]</f>
        <v>DC-Document_Controller-003-M4</v>
      </c>
      <c r="D34" t="s">
        <v>241</v>
      </c>
      <c r="E34" t="s">
        <v>11</v>
      </c>
      <c r="G34" t="s">
        <v>25</v>
      </c>
      <c r="H34" t="s">
        <v>54</v>
      </c>
      <c r="I34" t="s">
        <v>15</v>
      </c>
      <c r="J34" t="s">
        <v>16</v>
      </c>
      <c r="L34">
        <v>1.5</v>
      </c>
      <c r="M34">
        <v>4.1710000000000003</v>
      </c>
      <c r="N34" t="s">
        <v>2871</v>
      </c>
      <c r="O34" t="s">
        <v>2872</v>
      </c>
      <c r="P34" t="s">
        <v>2873</v>
      </c>
      <c r="Q34">
        <v>35</v>
      </c>
      <c r="R34">
        <v>32</v>
      </c>
      <c r="S34">
        <v>0.9143</v>
      </c>
    </row>
    <row r="35" spans="1:19">
      <c r="A35" t="s">
        <v>8</v>
      </c>
      <c r="B35" t="s">
        <v>240</v>
      </c>
      <c r="C35" t="str">
        <f>Data_Master[[#This Row],[Uniq-ID]]&amp;"-"&amp;Data_Master[[#This Row],[Period]]</f>
        <v>DC-Document_Controller-003-M4</v>
      </c>
      <c r="D35" t="s">
        <v>241</v>
      </c>
      <c r="E35" t="s">
        <v>11</v>
      </c>
      <c r="G35" t="s">
        <v>25</v>
      </c>
      <c r="H35" t="s">
        <v>54</v>
      </c>
      <c r="I35" t="s">
        <v>15</v>
      </c>
      <c r="J35" t="s">
        <v>16</v>
      </c>
      <c r="L35">
        <v>1.5</v>
      </c>
      <c r="M35">
        <v>4.1710000000000003</v>
      </c>
      <c r="N35" t="s">
        <v>2879</v>
      </c>
      <c r="O35" t="s">
        <v>2894</v>
      </c>
      <c r="P35" t="s">
        <v>2873</v>
      </c>
      <c r="Q35">
        <v>26</v>
      </c>
      <c r="R35">
        <v>50</v>
      </c>
      <c r="S35">
        <v>1.9231</v>
      </c>
    </row>
    <row r="36" spans="1:19">
      <c r="A36" t="s">
        <v>8</v>
      </c>
      <c r="B36" t="s">
        <v>240</v>
      </c>
      <c r="C36" t="str">
        <f>Data_Master[[#This Row],[Uniq-ID]]&amp;"-"&amp;Data_Master[[#This Row],[Period]]</f>
        <v>DC-Document_Controller-003-M5</v>
      </c>
      <c r="D36" t="s">
        <v>241</v>
      </c>
      <c r="E36" t="s">
        <v>11</v>
      </c>
      <c r="G36" t="s">
        <v>28</v>
      </c>
      <c r="H36" t="s">
        <v>56</v>
      </c>
      <c r="I36" t="s">
        <v>15</v>
      </c>
      <c r="J36" t="s">
        <v>16</v>
      </c>
      <c r="L36">
        <v>1.5</v>
      </c>
      <c r="M36">
        <v>3.6059999999999999</v>
      </c>
      <c r="N36" t="s">
        <v>2871</v>
      </c>
      <c r="O36" t="s">
        <v>2872</v>
      </c>
      <c r="P36" t="s">
        <v>2873</v>
      </c>
      <c r="Q36">
        <v>35</v>
      </c>
      <c r="R36">
        <v>64</v>
      </c>
      <c r="S36">
        <v>1.8286</v>
      </c>
    </row>
    <row r="37" spans="1:19">
      <c r="A37" t="s">
        <v>8</v>
      </c>
      <c r="B37" t="s">
        <v>240</v>
      </c>
      <c r="C37" t="str">
        <f>Data_Master[[#This Row],[Uniq-ID]]&amp;"-"&amp;Data_Master[[#This Row],[Period]]</f>
        <v>DC-Document_Controller-003-M5</v>
      </c>
      <c r="D37" t="s">
        <v>241</v>
      </c>
      <c r="E37" t="s">
        <v>11</v>
      </c>
      <c r="G37" t="s">
        <v>28</v>
      </c>
      <c r="H37" t="s">
        <v>56</v>
      </c>
      <c r="I37" t="s">
        <v>15</v>
      </c>
      <c r="J37" t="s">
        <v>16</v>
      </c>
      <c r="L37">
        <v>1.5</v>
      </c>
      <c r="M37">
        <v>3.6059999999999999</v>
      </c>
      <c r="N37" t="s">
        <v>2871</v>
      </c>
      <c r="O37" t="s">
        <v>2875</v>
      </c>
      <c r="P37" t="s">
        <v>2873</v>
      </c>
      <c r="Q37">
        <v>36</v>
      </c>
      <c r="R37">
        <v>64</v>
      </c>
      <c r="S37">
        <v>1.7778</v>
      </c>
    </row>
    <row r="38" spans="1:19">
      <c r="A38" t="s">
        <v>8</v>
      </c>
      <c r="B38" t="s">
        <v>240</v>
      </c>
      <c r="C38" t="str">
        <f>Data_Master[[#This Row],[Uniq-ID]]&amp;"-"&amp;Data_Master[[#This Row],[Period]]</f>
        <v>DC-Document_Controller-003-M6</v>
      </c>
      <c r="D38" t="s">
        <v>241</v>
      </c>
      <c r="E38" t="s">
        <v>11</v>
      </c>
      <c r="G38" t="s">
        <v>31</v>
      </c>
      <c r="H38" t="s">
        <v>57</v>
      </c>
      <c r="I38" t="s">
        <v>33</v>
      </c>
      <c r="J38" t="s">
        <v>16</v>
      </c>
      <c r="L38">
        <v>1.5</v>
      </c>
      <c r="M38">
        <v>3.464</v>
      </c>
      <c r="N38" t="s">
        <v>2871</v>
      </c>
      <c r="O38" t="s">
        <v>2872</v>
      </c>
      <c r="P38" t="s">
        <v>2873</v>
      </c>
      <c r="Q38">
        <v>35</v>
      </c>
      <c r="R38">
        <v>60</v>
      </c>
      <c r="S38">
        <v>1.7142999999999999</v>
      </c>
    </row>
    <row r="39" spans="1:19">
      <c r="A39" t="s">
        <v>8</v>
      </c>
      <c r="B39" t="s">
        <v>240</v>
      </c>
      <c r="C39" t="str">
        <f>Data_Master[[#This Row],[Uniq-ID]]&amp;"-"&amp;Data_Master[[#This Row],[Period]]</f>
        <v>DC-Document_Controller-003-M6</v>
      </c>
      <c r="D39" t="s">
        <v>241</v>
      </c>
      <c r="E39" t="s">
        <v>11</v>
      </c>
      <c r="G39" t="s">
        <v>31</v>
      </c>
      <c r="H39" t="s">
        <v>57</v>
      </c>
      <c r="I39" t="s">
        <v>33</v>
      </c>
      <c r="J39" t="s">
        <v>16</v>
      </c>
      <c r="L39">
        <v>1.5</v>
      </c>
      <c r="M39">
        <v>3.464</v>
      </c>
      <c r="N39" t="s">
        <v>2871</v>
      </c>
      <c r="O39" t="s">
        <v>2875</v>
      </c>
      <c r="P39" t="s">
        <v>2873</v>
      </c>
      <c r="Q39">
        <v>36</v>
      </c>
      <c r="R39">
        <v>63</v>
      </c>
      <c r="S39">
        <v>1.75</v>
      </c>
    </row>
    <row r="40" spans="1:19">
      <c r="A40" t="s">
        <v>8</v>
      </c>
      <c r="B40" t="s">
        <v>46</v>
      </c>
      <c r="C40" t="str">
        <f>Data_Master[[#This Row],[Uniq-ID]]&amp;"-"&amp;Data_Master[[#This Row],[Period]]</f>
        <v>DC-Document_Controller-004-M1</v>
      </c>
      <c r="D40" t="s">
        <v>47</v>
      </c>
      <c r="E40" t="s">
        <v>48</v>
      </c>
      <c r="G40" t="s">
        <v>13</v>
      </c>
      <c r="H40" t="s">
        <v>49</v>
      </c>
      <c r="I40" t="s">
        <v>15</v>
      </c>
      <c r="J40" t="s">
        <v>16</v>
      </c>
      <c r="L40">
        <v>1.5</v>
      </c>
      <c r="M40">
        <v>9.1709999999999994</v>
      </c>
      <c r="N40" t="s">
        <v>2879</v>
      </c>
      <c r="O40" t="s">
        <v>2915</v>
      </c>
      <c r="P40" t="s">
        <v>2916</v>
      </c>
      <c r="Q40">
        <v>20</v>
      </c>
      <c r="R40">
        <v>100</v>
      </c>
      <c r="S40">
        <v>5</v>
      </c>
    </row>
    <row r="41" spans="1:19">
      <c r="A41" t="s">
        <v>8</v>
      </c>
      <c r="B41" t="s">
        <v>46</v>
      </c>
      <c r="C41" t="str">
        <f>Data_Master[[#This Row],[Uniq-ID]]&amp;"-"&amp;Data_Master[[#This Row],[Period]]</f>
        <v>DC-Document_Controller-004-M1</v>
      </c>
      <c r="D41" t="s">
        <v>47</v>
      </c>
      <c r="E41" t="s">
        <v>48</v>
      </c>
      <c r="G41" t="s">
        <v>13</v>
      </c>
      <c r="H41" t="s">
        <v>49</v>
      </c>
      <c r="I41" t="s">
        <v>15</v>
      </c>
      <c r="J41" t="s">
        <v>16</v>
      </c>
      <c r="L41">
        <v>1.5</v>
      </c>
      <c r="M41">
        <v>9.1709999999999994</v>
      </c>
      <c r="N41" t="s">
        <v>2879</v>
      </c>
      <c r="O41" t="s">
        <v>2915</v>
      </c>
      <c r="P41" t="s">
        <v>2916</v>
      </c>
      <c r="Q41">
        <v>26</v>
      </c>
      <c r="R41">
        <v>100</v>
      </c>
      <c r="S41">
        <v>3.8462000000000001</v>
      </c>
    </row>
    <row r="42" spans="1:19">
      <c r="A42" t="s">
        <v>8</v>
      </c>
      <c r="B42" t="s">
        <v>46</v>
      </c>
      <c r="C42" t="str">
        <f>Data_Master[[#This Row],[Uniq-ID]]&amp;"-"&amp;Data_Master[[#This Row],[Period]]</f>
        <v>DC-Document_Controller-004-M1</v>
      </c>
      <c r="D42" t="s">
        <v>47</v>
      </c>
      <c r="E42" t="s">
        <v>48</v>
      </c>
      <c r="G42" t="s">
        <v>13</v>
      </c>
      <c r="H42" t="s">
        <v>49</v>
      </c>
      <c r="I42" t="s">
        <v>15</v>
      </c>
      <c r="J42" t="s">
        <v>16</v>
      </c>
      <c r="L42">
        <v>1.5</v>
      </c>
      <c r="M42">
        <v>9.1709999999999994</v>
      </c>
      <c r="N42" t="s">
        <v>2879</v>
      </c>
      <c r="O42" t="s">
        <v>2915</v>
      </c>
      <c r="P42" t="s">
        <v>2916</v>
      </c>
      <c r="Q42">
        <v>308</v>
      </c>
      <c r="R42">
        <v>100</v>
      </c>
      <c r="S42">
        <v>0.32469999999999999</v>
      </c>
    </row>
    <row r="43" spans="1:19">
      <c r="A43" t="s">
        <v>8</v>
      </c>
      <c r="B43" t="s">
        <v>46</v>
      </c>
      <c r="C43" t="str">
        <f>Data_Master[[#This Row],[Uniq-ID]]&amp;"-"&amp;Data_Master[[#This Row],[Period]]</f>
        <v>DC-Document_Controller-004-M2</v>
      </c>
      <c r="D43" t="s">
        <v>47</v>
      </c>
      <c r="E43" t="s">
        <v>48</v>
      </c>
      <c r="G43" t="s">
        <v>18</v>
      </c>
      <c r="H43" t="s">
        <v>51</v>
      </c>
      <c r="I43" t="s">
        <v>15</v>
      </c>
      <c r="J43" t="s">
        <v>16</v>
      </c>
      <c r="L43">
        <v>1.5</v>
      </c>
      <c r="M43">
        <v>9.1709999999999994</v>
      </c>
      <c r="N43" t="s">
        <v>2879</v>
      </c>
      <c r="O43" t="s">
        <v>2915</v>
      </c>
      <c r="P43" t="s">
        <v>2916</v>
      </c>
      <c r="Q43">
        <v>20</v>
      </c>
      <c r="R43">
        <v>100</v>
      </c>
      <c r="S43">
        <v>5</v>
      </c>
    </row>
    <row r="44" spans="1:19">
      <c r="A44" t="s">
        <v>8</v>
      </c>
      <c r="B44" t="s">
        <v>46</v>
      </c>
      <c r="C44" t="str">
        <f>Data_Master[[#This Row],[Uniq-ID]]&amp;"-"&amp;Data_Master[[#This Row],[Period]]</f>
        <v>DC-Document_Controller-004-M2</v>
      </c>
      <c r="D44" t="s">
        <v>47</v>
      </c>
      <c r="E44" t="s">
        <v>48</v>
      </c>
      <c r="G44" t="s">
        <v>18</v>
      </c>
      <c r="H44" t="s">
        <v>51</v>
      </c>
      <c r="I44" t="s">
        <v>15</v>
      </c>
      <c r="J44" t="s">
        <v>16</v>
      </c>
      <c r="L44">
        <v>1.5</v>
      </c>
      <c r="M44">
        <v>9.1709999999999994</v>
      </c>
      <c r="N44" t="s">
        <v>2879</v>
      </c>
      <c r="O44" t="s">
        <v>2915</v>
      </c>
      <c r="P44" t="s">
        <v>2916</v>
      </c>
      <c r="Q44">
        <v>26</v>
      </c>
      <c r="R44">
        <v>100</v>
      </c>
      <c r="S44">
        <v>3.8462000000000001</v>
      </c>
    </row>
    <row r="45" spans="1:19">
      <c r="A45" t="s">
        <v>8</v>
      </c>
      <c r="B45" t="s">
        <v>46</v>
      </c>
      <c r="C45" t="str">
        <f>Data_Master[[#This Row],[Uniq-ID]]&amp;"-"&amp;Data_Master[[#This Row],[Period]]</f>
        <v>DC-Document_Controller-004-M2</v>
      </c>
      <c r="D45" t="s">
        <v>47</v>
      </c>
      <c r="E45" t="s">
        <v>48</v>
      </c>
      <c r="G45" t="s">
        <v>18</v>
      </c>
      <c r="H45" t="s">
        <v>51</v>
      </c>
      <c r="I45" t="s">
        <v>15</v>
      </c>
      <c r="J45" t="s">
        <v>16</v>
      </c>
      <c r="L45">
        <v>1.5</v>
      </c>
      <c r="M45">
        <v>9.1709999999999994</v>
      </c>
      <c r="N45" t="s">
        <v>2879</v>
      </c>
      <c r="O45" t="s">
        <v>2915</v>
      </c>
      <c r="P45" t="s">
        <v>2916</v>
      </c>
      <c r="Q45">
        <v>308</v>
      </c>
      <c r="R45">
        <v>100</v>
      </c>
      <c r="S45">
        <v>0.32469999999999999</v>
      </c>
    </row>
    <row r="46" spans="1:19">
      <c r="A46" t="s">
        <v>8</v>
      </c>
      <c r="B46" t="s">
        <v>46</v>
      </c>
      <c r="C46" t="str">
        <f>Data_Master[[#This Row],[Uniq-ID]]&amp;"-"&amp;Data_Master[[#This Row],[Period]]</f>
        <v>DC-Document_Controller-004-M3</v>
      </c>
      <c r="D46" t="s">
        <v>47</v>
      </c>
      <c r="E46" t="s">
        <v>48</v>
      </c>
      <c r="G46" t="s">
        <v>22</v>
      </c>
      <c r="H46" t="s">
        <v>52</v>
      </c>
      <c r="I46" t="s">
        <v>15</v>
      </c>
      <c r="J46" t="s">
        <v>16</v>
      </c>
      <c r="L46">
        <v>1.5</v>
      </c>
      <c r="M46">
        <v>16.140999999999998</v>
      </c>
      <c r="N46" t="s">
        <v>2879</v>
      </c>
      <c r="O46" t="s">
        <v>2915</v>
      </c>
      <c r="P46" t="s">
        <v>2916</v>
      </c>
      <c r="Q46">
        <v>20</v>
      </c>
      <c r="R46">
        <v>176</v>
      </c>
      <c r="S46">
        <v>8.8000000000000007</v>
      </c>
    </row>
    <row r="47" spans="1:19">
      <c r="A47" t="s">
        <v>8</v>
      </c>
      <c r="B47" t="s">
        <v>46</v>
      </c>
      <c r="C47" t="str">
        <f>Data_Master[[#This Row],[Uniq-ID]]&amp;"-"&amp;Data_Master[[#This Row],[Period]]</f>
        <v>DC-Document_Controller-004-M3</v>
      </c>
      <c r="D47" t="s">
        <v>47</v>
      </c>
      <c r="E47" t="s">
        <v>48</v>
      </c>
      <c r="G47" t="s">
        <v>22</v>
      </c>
      <c r="H47" t="s">
        <v>52</v>
      </c>
      <c r="I47" t="s">
        <v>15</v>
      </c>
      <c r="J47" t="s">
        <v>16</v>
      </c>
      <c r="L47">
        <v>1.5</v>
      </c>
      <c r="M47">
        <v>16.140999999999998</v>
      </c>
      <c r="N47" t="s">
        <v>2879</v>
      </c>
      <c r="O47" t="s">
        <v>2915</v>
      </c>
      <c r="P47" t="s">
        <v>2916</v>
      </c>
      <c r="Q47">
        <v>26</v>
      </c>
      <c r="R47">
        <v>176</v>
      </c>
      <c r="S47">
        <v>6.7691999999999997</v>
      </c>
    </row>
    <row r="48" spans="1:19">
      <c r="A48" t="s">
        <v>8</v>
      </c>
      <c r="B48" t="s">
        <v>46</v>
      </c>
      <c r="C48" t="str">
        <f>Data_Master[[#This Row],[Uniq-ID]]&amp;"-"&amp;Data_Master[[#This Row],[Period]]</f>
        <v>DC-Document_Controller-004-M3</v>
      </c>
      <c r="D48" t="s">
        <v>47</v>
      </c>
      <c r="E48" t="s">
        <v>48</v>
      </c>
      <c r="G48" t="s">
        <v>22</v>
      </c>
      <c r="H48" t="s">
        <v>52</v>
      </c>
      <c r="I48" t="s">
        <v>15</v>
      </c>
      <c r="J48" t="s">
        <v>16</v>
      </c>
      <c r="L48">
        <v>1.5</v>
      </c>
      <c r="M48">
        <v>16.140999999999998</v>
      </c>
      <c r="N48" t="s">
        <v>2879</v>
      </c>
      <c r="O48" t="s">
        <v>2915</v>
      </c>
      <c r="P48" t="s">
        <v>2916</v>
      </c>
      <c r="Q48">
        <v>308</v>
      </c>
      <c r="R48">
        <v>176</v>
      </c>
      <c r="S48">
        <v>0.57140000000000002</v>
      </c>
    </row>
    <row r="49" spans="1:19">
      <c r="A49" t="s">
        <v>8</v>
      </c>
      <c r="B49" t="s">
        <v>46</v>
      </c>
      <c r="C49" t="str">
        <f>Data_Master[[#This Row],[Uniq-ID]]&amp;"-"&amp;Data_Master[[#This Row],[Period]]</f>
        <v>DC-Document_Controller-004-M4</v>
      </c>
      <c r="D49" t="s">
        <v>47</v>
      </c>
      <c r="E49" t="s">
        <v>48</v>
      </c>
      <c r="G49" t="s">
        <v>25</v>
      </c>
      <c r="H49" t="s">
        <v>54</v>
      </c>
      <c r="I49" t="s">
        <v>15</v>
      </c>
      <c r="J49" t="s">
        <v>16</v>
      </c>
      <c r="L49">
        <v>1.5</v>
      </c>
      <c r="M49">
        <v>10.455</v>
      </c>
      <c r="N49" t="s">
        <v>2879</v>
      </c>
      <c r="O49" t="s">
        <v>2915</v>
      </c>
      <c r="P49" t="s">
        <v>2916</v>
      </c>
      <c r="Q49">
        <v>26</v>
      </c>
      <c r="R49">
        <v>114</v>
      </c>
      <c r="S49">
        <v>4.3845999999999998</v>
      </c>
    </row>
    <row r="50" spans="1:19">
      <c r="A50" t="s">
        <v>8</v>
      </c>
      <c r="B50" t="s">
        <v>46</v>
      </c>
      <c r="C50" t="str">
        <f>Data_Master[[#This Row],[Uniq-ID]]&amp;"-"&amp;Data_Master[[#This Row],[Period]]</f>
        <v>DC-Document_Controller-004-M4</v>
      </c>
      <c r="D50" t="s">
        <v>47</v>
      </c>
      <c r="E50" t="s">
        <v>48</v>
      </c>
      <c r="G50" t="s">
        <v>25</v>
      </c>
      <c r="H50" t="s">
        <v>54</v>
      </c>
      <c r="I50" t="s">
        <v>15</v>
      </c>
      <c r="J50" t="s">
        <v>16</v>
      </c>
      <c r="L50">
        <v>1.5</v>
      </c>
      <c r="M50">
        <v>10.455</v>
      </c>
      <c r="N50" t="s">
        <v>2879</v>
      </c>
      <c r="O50" t="s">
        <v>2915</v>
      </c>
      <c r="P50" t="s">
        <v>2916</v>
      </c>
      <c r="Q50">
        <v>20</v>
      </c>
      <c r="R50">
        <v>114</v>
      </c>
      <c r="S50">
        <v>5.7</v>
      </c>
    </row>
    <row r="51" spans="1:19">
      <c r="A51" t="s">
        <v>8</v>
      </c>
      <c r="B51" t="s">
        <v>46</v>
      </c>
      <c r="C51" t="str">
        <f>Data_Master[[#This Row],[Uniq-ID]]&amp;"-"&amp;Data_Master[[#This Row],[Period]]</f>
        <v>DC-Document_Controller-004-M4</v>
      </c>
      <c r="D51" t="s">
        <v>47</v>
      </c>
      <c r="E51" t="s">
        <v>48</v>
      </c>
      <c r="G51" t="s">
        <v>25</v>
      </c>
      <c r="H51" t="s">
        <v>54</v>
      </c>
      <c r="I51" t="s">
        <v>15</v>
      </c>
      <c r="J51" t="s">
        <v>16</v>
      </c>
      <c r="L51">
        <v>1.5</v>
      </c>
      <c r="M51">
        <v>10.455</v>
      </c>
      <c r="N51" t="s">
        <v>2879</v>
      </c>
      <c r="O51" t="s">
        <v>2915</v>
      </c>
      <c r="P51" t="s">
        <v>2916</v>
      </c>
      <c r="Q51">
        <v>308</v>
      </c>
      <c r="R51">
        <v>114</v>
      </c>
      <c r="S51">
        <v>0.37009999999999998</v>
      </c>
    </row>
    <row r="52" spans="1:19">
      <c r="A52" t="s">
        <v>8</v>
      </c>
      <c r="B52" t="s">
        <v>46</v>
      </c>
      <c r="C52" t="str">
        <f>Data_Master[[#This Row],[Uniq-ID]]&amp;"-"&amp;Data_Master[[#This Row],[Period]]</f>
        <v>DC-Document_Controller-004-M5</v>
      </c>
      <c r="D52" t="s">
        <v>47</v>
      </c>
      <c r="E52" t="s">
        <v>48</v>
      </c>
      <c r="G52" t="s">
        <v>28</v>
      </c>
      <c r="H52" t="s">
        <v>56</v>
      </c>
      <c r="I52" t="s">
        <v>15</v>
      </c>
      <c r="J52" t="s">
        <v>16</v>
      </c>
      <c r="L52">
        <v>1.5</v>
      </c>
      <c r="M52">
        <v>9.1709999999999994</v>
      </c>
      <c r="N52" t="s">
        <v>2879</v>
      </c>
      <c r="O52" t="s">
        <v>2915</v>
      </c>
      <c r="P52" t="s">
        <v>2916</v>
      </c>
      <c r="Q52">
        <v>308</v>
      </c>
      <c r="R52">
        <v>100</v>
      </c>
      <c r="S52">
        <v>0.32469999999999999</v>
      </c>
    </row>
    <row r="53" spans="1:19">
      <c r="A53" t="s">
        <v>8</v>
      </c>
      <c r="B53" t="s">
        <v>46</v>
      </c>
      <c r="C53" t="str">
        <f>Data_Master[[#This Row],[Uniq-ID]]&amp;"-"&amp;Data_Master[[#This Row],[Period]]</f>
        <v>DC-Document_Controller-004-M5</v>
      </c>
      <c r="D53" t="s">
        <v>47</v>
      </c>
      <c r="E53" t="s">
        <v>48</v>
      </c>
      <c r="G53" t="s">
        <v>28</v>
      </c>
      <c r="H53" t="s">
        <v>56</v>
      </c>
      <c r="I53" t="s">
        <v>15</v>
      </c>
      <c r="J53" t="s">
        <v>16</v>
      </c>
      <c r="L53">
        <v>1.5</v>
      </c>
      <c r="M53">
        <v>9.1709999999999994</v>
      </c>
      <c r="N53" t="s">
        <v>2879</v>
      </c>
      <c r="O53" t="s">
        <v>2915</v>
      </c>
      <c r="P53" t="s">
        <v>2916</v>
      </c>
      <c r="Q53">
        <v>26</v>
      </c>
      <c r="R53">
        <v>100</v>
      </c>
      <c r="S53">
        <v>3.8462000000000001</v>
      </c>
    </row>
    <row r="54" spans="1:19">
      <c r="A54" t="s">
        <v>8</v>
      </c>
      <c r="B54" t="s">
        <v>46</v>
      </c>
      <c r="C54" t="str">
        <f>Data_Master[[#This Row],[Uniq-ID]]&amp;"-"&amp;Data_Master[[#This Row],[Period]]</f>
        <v>DC-Document_Controller-004-M5</v>
      </c>
      <c r="D54" t="s">
        <v>47</v>
      </c>
      <c r="E54" t="s">
        <v>48</v>
      </c>
      <c r="G54" t="s">
        <v>28</v>
      </c>
      <c r="H54" t="s">
        <v>56</v>
      </c>
      <c r="I54" t="s">
        <v>15</v>
      </c>
      <c r="J54" t="s">
        <v>16</v>
      </c>
      <c r="L54">
        <v>1.5</v>
      </c>
      <c r="M54">
        <v>9.1709999999999994</v>
      </c>
      <c r="N54" t="s">
        <v>2879</v>
      </c>
      <c r="O54" t="s">
        <v>2915</v>
      </c>
      <c r="P54" t="s">
        <v>2916</v>
      </c>
      <c r="Q54">
        <v>20</v>
      </c>
      <c r="R54">
        <v>100</v>
      </c>
      <c r="S54">
        <v>5</v>
      </c>
    </row>
    <row r="55" spans="1:19">
      <c r="A55" t="s">
        <v>8</v>
      </c>
      <c r="B55" t="s">
        <v>46</v>
      </c>
      <c r="C55" t="str">
        <f>Data_Master[[#This Row],[Uniq-ID]]&amp;"-"&amp;Data_Master[[#This Row],[Period]]</f>
        <v>DC-Document_Controller-004-M6</v>
      </c>
      <c r="D55" t="s">
        <v>47</v>
      </c>
      <c r="E55" t="s">
        <v>48</v>
      </c>
      <c r="G55" t="s">
        <v>31</v>
      </c>
      <c r="H55" t="s">
        <v>57</v>
      </c>
      <c r="I55" t="s">
        <v>33</v>
      </c>
      <c r="J55" t="s">
        <v>44</v>
      </c>
      <c r="M55">
        <v>0</v>
      </c>
    </row>
    <row r="56" spans="1:19">
      <c r="A56" t="s">
        <v>8</v>
      </c>
      <c r="B56" t="s">
        <v>258</v>
      </c>
      <c r="C56" t="str">
        <f>Data_Master[[#This Row],[Uniq-ID]]&amp;"-"&amp;Data_Master[[#This Row],[Period]]</f>
        <v>DC-Document_Controller-005-M1</v>
      </c>
      <c r="D56" t="s">
        <v>259</v>
      </c>
      <c r="E56" t="s">
        <v>11</v>
      </c>
      <c r="G56" t="s">
        <v>13</v>
      </c>
      <c r="H56" t="s">
        <v>49</v>
      </c>
      <c r="I56" t="s">
        <v>15</v>
      </c>
      <c r="J56" t="s">
        <v>20</v>
      </c>
      <c r="L56">
        <v>1</v>
      </c>
      <c r="M56">
        <v>1.5249999999999999</v>
      </c>
      <c r="N56" t="s">
        <v>2871</v>
      </c>
      <c r="O56" t="s">
        <v>2875</v>
      </c>
      <c r="P56" t="s">
        <v>2873</v>
      </c>
      <c r="Q56">
        <v>36</v>
      </c>
      <c r="R56">
        <v>2</v>
      </c>
      <c r="S56">
        <v>5.5599999999999997E-2</v>
      </c>
    </row>
    <row r="57" spans="1:19">
      <c r="A57" t="s">
        <v>8</v>
      </c>
      <c r="B57" t="s">
        <v>258</v>
      </c>
      <c r="C57" t="str">
        <f>Data_Master[[#This Row],[Uniq-ID]]&amp;"-"&amp;Data_Master[[#This Row],[Period]]</f>
        <v>DC-Document_Controller-005-M1</v>
      </c>
      <c r="D57" t="s">
        <v>259</v>
      </c>
      <c r="E57" t="s">
        <v>11</v>
      </c>
      <c r="G57" t="s">
        <v>13</v>
      </c>
      <c r="H57" t="s">
        <v>49</v>
      </c>
      <c r="I57" t="s">
        <v>15</v>
      </c>
      <c r="J57" t="s">
        <v>20</v>
      </c>
      <c r="L57">
        <v>1</v>
      </c>
      <c r="M57">
        <v>1.5249999999999999</v>
      </c>
      <c r="N57" t="s">
        <v>2871</v>
      </c>
      <c r="O57" t="s">
        <v>2872</v>
      </c>
      <c r="P57" t="s">
        <v>2873</v>
      </c>
      <c r="Q57">
        <v>35</v>
      </c>
      <c r="R57">
        <v>7</v>
      </c>
      <c r="S57">
        <v>0.2</v>
      </c>
    </row>
    <row r="58" spans="1:19">
      <c r="A58" t="s">
        <v>8</v>
      </c>
      <c r="B58" t="s">
        <v>258</v>
      </c>
      <c r="C58" t="str">
        <f>Data_Master[[#This Row],[Uniq-ID]]&amp;"-"&amp;Data_Master[[#This Row],[Period]]</f>
        <v>DC-Document_Controller-005-M1</v>
      </c>
      <c r="D58" t="s">
        <v>259</v>
      </c>
      <c r="E58" t="s">
        <v>11</v>
      </c>
      <c r="G58" t="s">
        <v>13</v>
      </c>
      <c r="H58" t="s">
        <v>49</v>
      </c>
      <c r="I58" t="s">
        <v>15</v>
      </c>
      <c r="J58" t="s">
        <v>20</v>
      </c>
      <c r="L58">
        <v>1</v>
      </c>
      <c r="M58">
        <v>1.5249999999999999</v>
      </c>
      <c r="N58" t="s">
        <v>2879</v>
      </c>
      <c r="O58" t="s">
        <v>2894</v>
      </c>
      <c r="P58" t="s">
        <v>2873</v>
      </c>
      <c r="Q58">
        <v>26</v>
      </c>
      <c r="R58">
        <v>33</v>
      </c>
      <c r="S58">
        <v>1.2692000000000001</v>
      </c>
    </row>
    <row r="59" spans="1:19">
      <c r="A59" t="s">
        <v>8</v>
      </c>
      <c r="B59" t="s">
        <v>258</v>
      </c>
      <c r="C59" t="str">
        <f>Data_Master[[#This Row],[Uniq-ID]]&amp;"-"&amp;Data_Master[[#This Row],[Period]]</f>
        <v>DC-Document_Controller-005-M2</v>
      </c>
      <c r="D59" t="s">
        <v>259</v>
      </c>
      <c r="E59" t="s">
        <v>11</v>
      </c>
      <c r="G59" t="s">
        <v>18</v>
      </c>
      <c r="H59" t="s">
        <v>51</v>
      </c>
      <c r="I59" t="s">
        <v>15</v>
      </c>
      <c r="J59" t="s">
        <v>16</v>
      </c>
      <c r="L59">
        <v>1.28</v>
      </c>
      <c r="M59">
        <v>2.5510000000000002</v>
      </c>
      <c r="N59" t="s">
        <v>2871</v>
      </c>
      <c r="O59" t="s">
        <v>2875</v>
      </c>
      <c r="P59" t="s">
        <v>2873</v>
      </c>
      <c r="Q59">
        <v>36</v>
      </c>
      <c r="R59">
        <v>5</v>
      </c>
      <c r="S59">
        <v>0.1389</v>
      </c>
    </row>
    <row r="60" spans="1:19">
      <c r="A60" t="s">
        <v>8</v>
      </c>
      <c r="B60" t="s">
        <v>258</v>
      </c>
      <c r="C60" t="str">
        <f>Data_Master[[#This Row],[Uniq-ID]]&amp;"-"&amp;Data_Master[[#This Row],[Period]]</f>
        <v>DC-Document_Controller-005-M2</v>
      </c>
      <c r="D60" t="s">
        <v>259</v>
      </c>
      <c r="E60" t="s">
        <v>11</v>
      </c>
      <c r="G60" t="s">
        <v>18</v>
      </c>
      <c r="H60" t="s">
        <v>51</v>
      </c>
      <c r="I60" t="s">
        <v>15</v>
      </c>
      <c r="J60" t="s">
        <v>16</v>
      </c>
      <c r="L60">
        <v>1.28</v>
      </c>
      <c r="M60">
        <v>2.5510000000000002</v>
      </c>
      <c r="N60" t="s">
        <v>2871</v>
      </c>
      <c r="O60" t="s">
        <v>2872</v>
      </c>
      <c r="P60" t="s">
        <v>2873</v>
      </c>
      <c r="Q60">
        <v>35</v>
      </c>
      <c r="R60">
        <v>5</v>
      </c>
      <c r="S60">
        <v>0.1429</v>
      </c>
    </row>
    <row r="61" spans="1:19">
      <c r="A61" t="s">
        <v>8</v>
      </c>
      <c r="B61" t="s">
        <v>258</v>
      </c>
      <c r="C61" t="str">
        <f>Data_Master[[#This Row],[Uniq-ID]]&amp;"-"&amp;Data_Master[[#This Row],[Period]]</f>
        <v>DC-Document_Controller-005-M2</v>
      </c>
      <c r="D61" t="s">
        <v>259</v>
      </c>
      <c r="E61" t="s">
        <v>11</v>
      </c>
      <c r="G61" t="s">
        <v>18</v>
      </c>
      <c r="H61" t="s">
        <v>51</v>
      </c>
      <c r="I61" t="s">
        <v>15</v>
      </c>
      <c r="J61" t="s">
        <v>16</v>
      </c>
      <c r="L61">
        <v>1.28</v>
      </c>
      <c r="M61">
        <v>2.5510000000000002</v>
      </c>
      <c r="N61" t="s">
        <v>2879</v>
      </c>
      <c r="O61" t="s">
        <v>2894</v>
      </c>
      <c r="P61" t="s">
        <v>2873</v>
      </c>
      <c r="Q61">
        <v>26</v>
      </c>
      <c r="R61">
        <v>59</v>
      </c>
      <c r="S61">
        <v>2.2692000000000001</v>
      </c>
    </row>
    <row r="62" spans="1:19">
      <c r="A62" t="s">
        <v>8</v>
      </c>
      <c r="B62" t="s">
        <v>258</v>
      </c>
      <c r="C62" t="str">
        <f>Data_Master[[#This Row],[Uniq-ID]]&amp;"-"&amp;Data_Master[[#This Row],[Period]]</f>
        <v>DC-Document_Controller-005-M3</v>
      </c>
      <c r="D62" t="s">
        <v>259</v>
      </c>
      <c r="E62" t="s">
        <v>11</v>
      </c>
      <c r="G62" t="s">
        <v>22</v>
      </c>
      <c r="H62" t="s">
        <v>52</v>
      </c>
      <c r="I62" t="s">
        <v>15</v>
      </c>
      <c r="J62" t="s">
        <v>20</v>
      </c>
      <c r="L62">
        <v>1</v>
      </c>
      <c r="M62">
        <v>1.23</v>
      </c>
      <c r="N62" t="s">
        <v>2871</v>
      </c>
      <c r="O62" t="s">
        <v>2872</v>
      </c>
      <c r="P62" t="s">
        <v>2873</v>
      </c>
      <c r="Q62">
        <v>35</v>
      </c>
      <c r="R62">
        <v>2</v>
      </c>
      <c r="S62">
        <v>5.7099999999999998E-2</v>
      </c>
    </row>
    <row r="63" spans="1:19">
      <c r="A63" t="s">
        <v>8</v>
      </c>
      <c r="B63" t="s">
        <v>258</v>
      </c>
      <c r="C63" t="str">
        <f>Data_Master[[#This Row],[Uniq-ID]]&amp;"-"&amp;Data_Master[[#This Row],[Period]]</f>
        <v>DC-Document_Controller-005-M3</v>
      </c>
      <c r="D63" t="s">
        <v>259</v>
      </c>
      <c r="E63" t="s">
        <v>11</v>
      </c>
      <c r="G63" t="s">
        <v>22</v>
      </c>
      <c r="H63" t="s">
        <v>52</v>
      </c>
      <c r="I63" t="s">
        <v>15</v>
      </c>
      <c r="J63" t="s">
        <v>20</v>
      </c>
      <c r="L63">
        <v>1</v>
      </c>
      <c r="M63">
        <v>1.23</v>
      </c>
      <c r="N63" t="s">
        <v>2871</v>
      </c>
      <c r="O63" t="s">
        <v>2875</v>
      </c>
      <c r="P63" t="s">
        <v>2873</v>
      </c>
      <c r="Q63">
        <v>36</v>
      </c>
      <c r="R63">
        <v>27</v>
      </c>
      <c r="S63">
        <v>0.75</v>
      </c>
    </row>
    <row r="64" spans="1:19">
      <c r="A64" t="s">
        <v>8</v>
      </c>
      <c r="B64" t="s">
        <v>258</v>
      </c>
      <c r="C64" t="str">
        <f>Data_Master[[#This Row],[Uniq-ID]]&amp;"-"&amp;Data_Master[[#This Row],[Period]]</f>
        <v>DC-Document_Controller-005-M3</v>
      </c>
      <c r="D64" t="s">
        <v>259</v>
      </c>
      <c r="E64" t="s">
        <v>11</v>
      </c>
      <c r="G64" t="s">
        <v>22</v>
      </c>
      <c r="H64" t="s">
        <v>52</v>
      </c>
      <c r="I64" t="s">
        <v>15</v>
      </c>
      <c r="J64" t="s">
        <v>20</v>
      </c>
      <c r="L64">
        <v>1</v>
      </c>
      <c r="M64">
        <v>1.23</v>
      </c>
      <c r="N64" t="s">
        <v>2879</v>
      </c>
      <c r="O64" t="s">
        <v>2894</v>
      </c>
      <c r="P64" t="s">
        <v>2873</v>
      </c>
      <c r="Q64">
        <v>26</v>
      </c>
      <c r="R64">
        <v>11</v>
      </c>
      <c r="S64">
        <v>0.42309999999999998</v>
      </c>
    </row>
    <row r="65" spans="1:19">
      <c r="A65" t="s">
        <v>8</v>
      </c>
      <c r="B65" t="s">
        <v>258</v>
      </c>
      <c r="C65" t="str">
        <f>Data_Master[[#This Row],[Uniq-ID]]&amp;"-"&amp;Data_Master[[#This Row],[Period]]</f>
        <v>DC-Document_Controller-005-M4</v>
      </c>
      <c r="D65" t="s">
        <v>259</v>
      </c>
      <c r="E65" t="s">
        <v>11</v>
      </c>
      <c r="G65" t="s">
        <v>25</v>
      </c>
      <c r="H65" t="s">
        <v>54</v>
      </c>
      <c r="I65" t="s">
        <v>15</v>
      </c>
      <c r="J65" t="s">
        <v>16</v>
      </c>
      <c r="L65">
        <v>1.5</v>
      </c>
      <c r="M65">
        <v>5.1260000000000003</v>
      </c>
      <c r="N65" t="s">
        <v>2871</v>
      </c>
      <c r="O65" t="s">
        <v>2875</v>
      </c>
      <c r="P65" t="s">
        <v>2873</v>
      </c>
      <c r="Q65">
        <v>36</v>
      </c>
      <c r="R65">
        <v>44</v>
      </c>
      <c r="S65">
        <v>1.2222</v>
      </c>
    </row>
    <row r="66" spans="1:19">
      <c r="A66" t="s">
        <v>8</v>
      </c>
      <c r="B66" t="s">
        <v>258</v>
      </c>
      <c r="C66" t="str">
        <f>Data_Master[[#This Row],[Uniq-ID]]&amp;"-"&amp;Data_Master[[#This Row],[Period]]</f>
        <v>DC-Document_Controller-005-M4</v>
      </c>
      <c r="D66" t="s">
        <v>259</v>
      </c>
      <c r="E66" t="s">
        <v>11</v>
      </c>
      <c r="G66" t="s">
        <v>25</v>
      </c>
      <c r="H66" t="s">
        <v>54</v>
      </c>
      <c r="I66" t="s">
        <v>15</v>
      </c>
      <c r="J66" t="s">
        <v>16</v>
      </c>
      <c r="L66">
        <v>1.5</v>
      </c>
      <c r="M66">
        <v>5.1260000000000003</v>
      </c>
      <c r="N66" t="s">
        <v>2871</v>
      </c>
      <c r="O66" t="s">
        <v>2872</v>
      </c>
      <c r="P66" t="s">
        <v>2873</v>
      </c>
      <c r="Q66">
        <v>35</v>
      </c>
      <c r="R66">
        <v>2</v>
      </c>
      <c r="S66">
        <v>5.7099999999999998E-2</v>
      </c>
    </row>
    <row r="67" spans="1:19">
      <c r="A67" t="s">
        <v>8</v>
      </c>
      <c r="B67" t="s">
        <v>258</v>
      </c>
      <c r="C67" t="str">
        <f>Data_Master[[#This Row],[Uniq-ID]]&amp;"-"&amp;Data_Master[[#This Row],[Period]]</f>
        <v>DC-Document_Controller-005-M4</v>
      </c>
      <c r="D67" t="s">
        <v>259</v>
      </c>
      <c r="E67" t="s">
        <v>11</v>
      </c>
      <c r="G67" t="s">
        <v>25</v>
      </c>
      <c r="H67" t="s">
        <v>54</v>
      </c>
      <c r="I67" t="s">
        <v>15</v>
      </c>
      <c r="J67" t="s">
        <v>16</v>
      </c>
      <c r="L67">
        <v>1.5</v>
      </c>
      <c r="M67">
        <v>5.1260000000000003</v>
      </c>
      <c r="N67" t="s">
        <v>2879</v>
      </c>
      <c r="O67" t="s">
        <v>2894</v>
      </c>
      <c r="P67" t="s">
        <v>2873</v>
      </c>
      <c r="Q67">
        <v>26</v>
      </c>
      <c r="R67">
        <v>100</v>
      </c>
      <c r="S67">
        <v>3.8462000000000001</v>
      </c>
    </row>
    <row r="68" spans="1:19">
      <c r="A68" t="s">
        <v>8</v>
      </c>
      <c r="B68" t="s">
        <v>258</v>
      </c>
      <c r="C68" t="str">
        <f>Data_Master[[#This Row],[Uniq-ID]]&amp;"-"&amp;Data_Master[[#This Row],[Period]]</f>
        <v>DC-Document_Controller-005-M5</v>
      </c>
      <c r="D68" t="s">
        <v>259</v>
      </c>
      <c r="E68" t="s">
        <v>11</v>
      </c>
      <c r="G68" t="s">
        <v>28</v>
      </c>
      <c r="H68" t="s">
        <v>56</v>
      </c>
      <c r="I68" t="s">
        <v>15</v>
      </c>
      <c r="J68" t="s">
        <v>16</v>
      </c>
      <c r="L68">
        <v>1.01</v>
      </c>
      <c r="M68">
        <v>2.0150000000000001</v>
      </c>
      <c r="N68" t="s">
        <v>2879</v>
      </c>
      <c r="O68" t="s">
        <v>2894</v>
      </c>
      <c r="P68" t="s">
        <v>2873</v>
      </c>
      <c r="Q68">
        <v>26</v>
      </c>
      <c r="R68">
        <v>10</v>
      </c>
      <c r="S68">
        <v>0.3846</v>
      </c>
    </row>
    <row r="69" spans="1:19">
      <c r="A69" t="s">
        <v>8</v>
      </c>
      <c r="B69" t="s">
        <v>258</v>
      </c>
      <c r="C69" t="str">
        <f>Data_Master[[#This Row],[Uniq-ID]]&amp;"-"&amp;Data_Master[[#This Row],[Period]]</f>
        <v>DC-Document_Controller-005-M5</v>
      </c>
      <c r="D69" t="s">
        <v>259</v>
      </c>
      <c r="E69" t="s">
        <v>11</v>
      </c>
      <c r="G69" t="s">
        <v>28</v>
      </c>
      <c r="H69" t="s">
        <v>56</v>
      </c>
      <c r="I69" t="s">
        <v>15</v>
      </c>
      <c r="J69" t="s">
        <v>16</v>
      </c>
      <c r="L69">
        <v>1.01</v>
      </c>
      <c r="M69">
        <v>2.0150000000000001</v>
      </c>
      <c r="N69" t="s">
        <v>2871</v>
      </c>
      <c r="O69" t="s">
        <v>2877</v>
      </c>
      <c r="P69" t="s">
        <v>2873</v>
      </c>
      <c r="Q69">
        <v>32</v>
      </c>
      <c r="R69">
        <v>13</v>
      </c>
      <c r="S69">
        <v>0.40629999999999999</v>
      </c>
    </row>
    <row r="70" spans="1:19">
      <c r="A70" t="s">
        <v>8</v>
      </c>
      <c r="B70" t="s">
        <v>258</v>
      </c>
      <c r="C70" t="str">
        <f>Data_Master[[#This Row],[Uniq-ID]]&amp;"-"&amp;Data_Master[[#This Row],[Period]]</f>
        <v>DC-Document_Controller-005-M5</v>
      </c>
      <c r="D70" t="s">
        <v>259</v>
      </c>
      <c r="E70" t="s">
        <v>11</v>
      </c>
      <c r="G70" t="s">
        <v>28</v>
      </c>
      <c r="H70" t="s">
        <v>56</v>
      </c>
      <c r="I70" t="s">
        <v>15</v>
      </c>
      <c r="J70" t="s">
        <v>16</v>
      </c>
      <c r="L70">
        <v>1.01</v>
      </c>
      <c r="M70">
        <v>2.0150000000000001</v>
      </c>
      <c r="N70" t="s">
        <v>2871</v>
      </c>
      <c r="O70" t="s">
        <v>2872</v>
      </c>
      <c r="P70" t="s">
        <v>2873</v>
      </c>
      <c r="Q70">
        <v>35</v>
      </c>
      <c r="R70">
        <v>2</v>
      </c>
      <c r="S70">
        <v>5.7099999999999998E-2</v>
      </c>
    </row>
    <row r="71" spans="1:19">
      <c r="A71" t="s">
        <v>8</v>
      </c>
      <c r="B71" t="s">
        <v>258</v>
      </c>
      <c r="C71" t="str">
        <f>Data_Master[[#This Row],[Uniq-ID]]&amp;"-"&amp;Data_Master[[#This Row],[Period]]</f>
        <v>DC-Document_Controller-005-M5</v>
      </c>
      <c r="D71" t="s">
        <v>259</v>
      </c>
      <c r="E71" t="s">
        <v>11</v>
      </c>
      <c r="G71" t="s">
        <v>28</v>
      </c>
      <c r="H71" t="s">
        <v>56</v>
      </c>
      <c r="I71" t="s">
        <v>15</v>
      </c>
      <c r="J71" t="s">
        <v>16</v>
      </c>
      <c r="L71">
        <v>1.01</v>
      </c>
      <c r="M71">
        <v>2.0150000000000001</v>
      </c>
      <c r="N71" t="s">
        <v>2871</v>
      </c>
      <c r="O71" t="s">
        <v>2875</v>
      </c>
      <c r="P71" t="s">
        <v>2873</v>
      </c>
      <c r="Q71">
        <v>36</v>
      </c>
      <c r="R71">
        <v>42</v>
      </c>
      <c r="S71">
        <v>1.1667000000000001</v>
      </c>
    </row>
    <row r="72" spans="1:19">
      <c r="A72" t="s">
        <v>8</v>
      </c>
      <c r="B72" t="s">
        <v>258</v>
      </c>
      <c r="C72" t="str">
        <f>Data_Master[[#This Row],[Uniq-ID]]&amp;"-"&amp;Data_Master[[#This Row],[Period]]</f>
        <v>DC-Document_Controller-005-M6</v>
      </c>
      <c r="D72" t="s">
        <v>259</v>
      </c>
      <c r="E72" t="s">
        <v>11</v>
      </c>
      <c r="G72" t="s">
        <v>31</v>
      </c>
      <c r="H72" t="s">
        <v>57</v>
      </c>
      <c r="I72" t="s">
        <v>33</v>
      </c>
      <c r="J72" t="s">
        <v>20</v>
      </c>
      <c r="L72">
        <v>1</v>
      </c>
      <c r="M72">
        <v>1.395</v>
      </c>
      <c r="N72" t="s">
        <v>2871</v>
      </c>
      <c r="O72" t="s">
        <v>2872</v>
      </c>
      <c r="P72" t="s">
        <v>2873</v>
      </c>
      <c r="Q72">
        <v>35</v>
      </c>
      <c r="R72">
        <v>43</v>
      </c>
      <c r="S72">
        <v>1.2285999999999999</v>
      </c>
    </row>
    <row r="73" spans="1:19">
      <c r="A73" t="s">
        <v>8</v>
      </c>
      <c r="B73" t="s">
        <v>258</v>
      </c>
      <c r="C73" t="str">
        <f>Data_Master[[#This Row],[Uniq-ID]]&amp;"-"&amp;Data_Master[[#This Row],[Period]]</f>
        <v>DC-Document_Controller-005-M6</v>
      </c>
      <c r="D73" t="s">
        <v>259</v>
      </c>
      <c r="E73" t="s">
        <v>11</v>
      </c>
      <c r="G73" t="s">
        <v>31</v>
      </c>
      <c r="H73" t="s">
        <v>57</v>
      </c>
      <c r="I73" t="s">
        <v>33</v>
      </c>
      <c r="J73" t="s">
        <v>20</v>
      </c>
      <c r="L73">
        <v>1</v>
      </c>
      <c r="M73">
        <v>1.395</v>
      </c>
      <c r="N73" t="s">
        <v>2871</v>
      </c>
      <c r="O73" t="s">
        <v>2875</v>
      </c>
      <c r="P73" t="s">
        <v>2873</v>
      </c>
      <c r="Q73">
        <v>36</v>
      </c>
      <c r="R73">
        <v>6</v>
      </c>
      <c r="S73">
        <v>0.16669999999999999</v>
      </c>
    </row>
    <row r="74" spans="1:19">
      <c r="A74" t="s">
        <v>8</v>
      </c>
      <c r="B74" t="s">
        <v>388</v>
      </c>
      <c r="C74" t="str">
        <f>Data_Master[[#This Row],[Uniq-ID]]&amp;"-"&amp;Data_Master[[#This Row],[Period]]</f>
        <v>DC-Document_Controller-006-M1</v>
      </c>
      <c r="D74" t="s">
        <v>389</v>
      </c>
      <c r="E74" t="s">
        <v>48</v>
      </c>
      <c r="G74" t="s">
        <v>13</v>
      </c>
      <c r="H74" t="s">
        <v>49</v>
      </c>
      <c r="I74" t="s">
        <v>15</v>
      </c>
      <c r="J74" t="s">
        <v>44</v>
      </c>
      <c r="M74">
        <v>0</v>
      </c>
    </row>
    <row r="75" spans="1:19">
      <c r="A75" t="s">
        <v>8</v>
      </c>
      <c r="B75" t="s">
        <v>388</v>
      </c>
      <c r="C75" t="str">
        <f>Data_Master[[#This Row],[Uniq-ID]]&amp;"-"&amp;Data_Master[[#This Row],[Period]]</f>
        <v>DC-Document_Controller-006-M2</v>
      </c>
      <c r="D75" t="s">
        <v>389</v>
      </c>
      <c r="E75" t="s">
        <v>48</v>
      </c>
      <c r="G75" t="s">
        <v>18</v>
      </c>
      <c r="H75" t="s">
        <v>51</v>
      </c>
      <c r="I75" t="s">
        <v>15</v>
      </c>
      <c r="J75" t="s">
        <v>44</v>
      </c>
      <c r="M75">
        <v>0</v>
      </c>
    </row>
    <row r="76" spans="1:19">
      <c r="A76" t="s">
        <v>8</v>
      </c>
      <c r="B76" t="s">
        <v>388</v>
      </c>
      <c r="C76" t="str">
        <f>Data_Master[[#This Row],[Uniq-ID]]&amp;"-"&amp;Data_Master[[#This Row],[Period]]</f>
        <v>DC-Document_Controller-006-M3</v>
      </c>
      <c r="D76" t="s">
        <v>389</v>
      </c>
      <c r="E76" t="s">
        <v>48</v>
      </c>
      <c r="G76" t="s">
        <v>22</v>
      </c>
      <c r="H76" t="s">
        <v>52</v>
      </c>
      <c r="I76" t="s">
        <v>15</v>
      </c>
      <c r="J76" t="s">
        <v>44</v>
      </c>
      <c r="M76">
        <v>0</v>
      </c>
    </row>
    <row r="77" spans="1:19">
      <c r="A77" t="s">
        <v>8</v>
      </c>
      <c r="B77" t="s">
        <v>388</v>
      </c>
      <c r="C77" t="str">
        <f>Data_Master[[#This Row],[Uniq-ID]]&amp;"-"&amp;Data_Master[[#This Row],[Period]]</f>
        <v>DC-Document_Controller-006-M4</v>
      </c>
      <c r="D77" t="s">
        <v>389</v>
      </c>
      <c r="E77" t="s">
        <v>48</v>
      </c>
      <c r="G77" t="s">
        <v>25</v>
      </c>
      <c r="H77" t="s">
        <v>54</v>
      </c>
      <c r="I77" t="s">
        <v>15</v>
      </c>
      <c r="J77" t="s">
        <v>16</v>
      </c>
      <c r="L77">
        <v>1.5</v>
      </c>
      <c r="M77">
        <v>12.289</v>
      </c>
      <c r="N77" t="s">
        <v>2879</v>
      </c>
      <c r="O77" t="s">
        <v>2915</v>
      </c>
      <c r="P77" t="s">
        <v>2916</v>
      </c>
      <c r="Q77">
        <v>308</v>
      </c>
      <c r="R77">
        <v>134</v>
      </c>
      <c r="S77">
        <v>0.43509999999999999</v>
      </c>
    </row>
    <row r="78" spans="1:19">
      <c r="A78" t="s">
        <v>8</v>
      </c>
      <c r="B78" t="s">
        <v>388</v>
      </c>
      <c r="C78" t="str">
        <f>Data_Master[[#This Row],[Uniq-ID]]&amp;"-"&amp;Data_Master[[#This Row],[Period]]</f>
        <v>DC-Document_Controller-006-M4</v>
      </c>
      <c r="D78" t="s">
        <v>389</v>
      </c>
      <c r="E78" t="s">
        <v>48</v>
      </c>
      <c r="G78" t="s">
        <v>25</v>
      </c>
      <c r="H78" t="s">
        <v>54</v>
      </c>
      <c r="I78" t="s">
        <v>15</v>
      </c>
      <c r="J78" t="s">
        <v>16</v>
      </c>
      <c r="L78">
        <v>1.5</v>
      </c>
      <c r="M78">
        <v>12.289</v>
      </c>
      <c r="N78" t="s">
        <v>2879</v>
      </c>
      <c r="O78" t="s">
        <v>2915</v>
      </c>
      <c r="P78" t="s">
        <v>2916</v>
      </c>
      <c r="Q78">
        <v>26</v>
      </c>
      <c r="R78">
        <v>134</v>
      </c>
      <c r="S78">
        <v>5.1538000000000004</v>
      </c>
    </row>
    <row r="79" spans="1:19">
      <c r="A79" t="s">
        <v>8</v>
      </c>
      <c r="B79" t="s">
        <v>388</v>
      </c>
      <c r="C79" t="str">
        <f>Data_Master[[#This Row],[Uniq-ID]]&amp;"-"&amp;Data_Master[[#This Row],[Period]]</f>
        <v>DC-Document_Controller-006-M4</v>
      </c>
      <c r="D79" t="s">
        <v>389</v>
      </c>
      <c r="E79" t="s">
        <v>48</v>
      </c>
      <c r="G79" t="s">
        <v>25</v>
      </c>
      <c r="H79" t="s">
        <v>54</v>
      </c>
      <c r="I79" t="s">
        <v>15</v>
      </c>
      <c r="J79" t="s">
        <v>16</v>
      </c>
      <c r="L79">
        <v>1.5</v>
      </c>
      <c r="M79">
        <v>12.289</v>
      </c>
      <c r="N79" t="s">
        <v>2879</v>
      </c>
      <c r="O79" t="s">
        <v>2915</v>
      </c>
      <c r="P79" t="s">
        <v>2916</v>
      </c>
      <c r="Q79">
        <v>20</v>
      </c>
      <c r="R79">
        <v>134</v>
      </c>
      <c r="S79">
        <v>6.7</v>
      </c>
    </row>
    <row r="80" spans="1:19">
      <c r="A80" t="s">
        <v>8</v>
      </c>
      <c r="B80" t="s">
        <v>388</v>
      </c>
      <c r="C80" t="str">
        <f>Data_Master[[#This Row],[Uniq-ID]]&amp;"-"&amp;Data_Master[[#This Row],[Period]]</f>
        <v>DC-Document_Controller-006-M5</v>
      </c>
      <c r="D80" t="s">
        <v>389</v>
      </c>
      <c r="E80" t="s">
        <v>48</v>
      </c>
      <c r="G80" t="s">
        <v>28</v>
      </c>
      <c r="H80" t="s">
        <v>56</v>
      </c>
      <c r="I80" t="s">
        <v>15</v>
      </c>
      <c r="J80" t="s">
        <v>16</v>
      </c>
      <c r="L80">
        <v>1.5</v>
      </c>
      <c r="M80">
        <v>10.087999999999999</v>
      </c>
      <c r="N80" t="s">
        <v>2879</v>
      </c>
      <c r="O80" t="s">
        <v>2915</v>
      </c>
      <c r="P80" t="s">
        <v>2916</v>
      </c>
      <c r="Q80">
        <v>308</v>
      </c>
      <c r="R80">
        <v>110</v>
      </c>
      <c r="S80">
        <v>0.35709999999999997</v>
      </c>
    </row>
    <row r="81" spans="1:19">
      <c r="A81" t="s">
        <v>8</v>
      </c>
      <c r="B81" t="s">
        <v>388</v>
      </c>
      <c r="C81" t="str">
        <f>Data_Master[[#This Row],[Uniq-ID]]&amp;"-"&amp;Data_Master[[#This Row],[Period]]</f>
        <v>DC-Document_Controller-006-M5</v>
      </c>
      <c r="D81" t="s">
        <v>389</v>
      </c>
      <c r="E81" t="s">
        <v>48</v>
      </c>
      <c r="G81" t="s">
        <v>28</v>
      </c>
      <c r="H81" t="s">
        <v>56</v>
      </c>
      <c r="I81" t="s">
        <v>15</v>
      </c>
      <c r="J81" t="s">
        <v>16</v>
      </c>
      <c r="L81">
        <v>1.5</v>
      </c>
      <c r="M81">
        <v>10.087999999999999</v>
      </c>
      <c r="N81" t="s">
        <v>2879</v>
      </c>
      <c r="O81" t="s">
        <v>2915</v>
      </c>
      <c r="P81" t="s">
        <v>2916</v>
      </c>
      <c r="Q81">
        <v>26</v>
      </c>
      <c r="R81">
        <v>110</v>
      </c>
      <c r="S81">
        <v>4.2308000000000003</v>
      </c>
    </row>
    <row r="82" spans="1:19">
      <c r="A82" t="s">
        <v>8</v>
      </c>
      <c r="B82" t="s">
        <v>388</v>
      </c>
      <c r="C82" t="str">
        <f>Data_Master[[#This Row],[Uniq-ID]]&amp;"-"&amp;Data_Master[[#This Row],[Period]]</f>
        <v>DC-Document_Controller-006-M5</v>
      </c>
      <c r="D82" t="s">
        <v>389</v>
      </c>
      <c r="E82" t="s">
        <v>48</v>
      </c>
      <c r="G82" t="s">
        <v>28</v>
      </c>
      <c r="H82" t="s">
        <v>56</v>
      </c>
      <c r="I82" t="s">
        <v>15</v>
      </c>
      <c r="J82" t="s">
        <v>16</v>
      </c>
      <c r="L82">
        <v>1.5</v>
      </c>
      <c r="M82">
        <v>10.087999999999999</v>
      </c>
      <c r="N82" t="s">
        <v>2879</v>
      </c>
      <c r="O82" t="s">
        <v>2915</v>
      </c>
      <c r="P82" t="s">
        <v>2916</v>
      </c>
      <c r="Q82">
        <v>20</v>
      </c>
      <c r="R82">
        <v>110</v>
      </c>
      <c r="S82">
        <v>5.5</v>
      </c>
    </row>
    <row r="83" spans="1:19">
      <c r="A83" t="s">
        <v>8</v>
      </c>
      <c r="B83" t="s">
        <v>388</v>
      </c>
      <c r="C83" t="str">
        <f>Data_Master[[#This Row],[Uniq-ID]]&amp;"-"&amp;Data_Master[[#This Row],[Period]]</f>
        <v>DC-Document_Controller-006-M6</v>
      </c>
      <c r="D83" t="s">
        <v>389</v>
      </c>
      <c r="E83" t="s">
        <v>48</v>
      </c>
      <c r="G83" t="s">
        <v>31</v>
      </c>
      <c r="H83" t="s">
        <v>57</v>
      </c>
      <c r="I83" t="s">
        <v>33</v>
      </c>
      <c r="J83" t="s">
        <v>44</v>
      </c>
      <c r="M83">
        <v>0</v>
      </c>
    </row>
    <row r="84" spans="1:19">
      <c r="A84" t="s">
        <v>8</v>
      </c>
      <c r="B84" t="s">
        <v>330</v>
      </c>
      <c r="C84" t="str">
        <f>Data_Master[[#This Row],[Uniq-ID]]&amp;"-"&amp;Data_Master[[#This Row],[Period]]</f>
        <v>DC-Document_Controller-007-M1</v>
      </c>
      <c r="D84" t="s">
        <v>331</v>
      </c>
      <c r="E84" t="s">
        <v>76</v>
      </c>
      <c r="G84" t="s">
        <v>13</v>
      </c>
      <c r="H84" t="s">
        <v>332</v>
      </c>
      <c r="I84" t="s">
        <v>15</v>
      </c>
      <c r="J84" t="s">
        <v>44</v>
      </c>
      <c r="L84">
        <v>0.5</v>
      </c>
      <c r="M84">
        <v>8.5999999999999993E-2</v>
      </c>
      <c r="N84" t="s">
        <v>2871</v>
      </c>
      <c r="O84" t="s">
        <v>3282</v>
      </c>
      <c r="P84" t="s">
        <v>2916</v>
      </c>
      <c r="Q84">
        <v>220</v>
      </c>
      <c r="R84">
        <v>19</v>
      </c>
      <c r="S84">
        <v>8.6400000000000005E-2</v>
      </c>
    </row>
    <row r="85" spans="1:19">
      <c r="A85" t="s">
        <v>8</v>
      </c>
      <c r="B85" t="s">
        <v>330</v>
      </c>
      <c r="C85" t="str">
        <f>Data_Master[[#This Row],[Uniq-ID]]&amp;"-"&amp;Data_Master[[#This Row],[Period]]</f>
        <v>DC-Document_Controller-007-M2</v>
      </c>
      <c r="D85" t="s">
        <v>331</v>
      </c>
      <c r="E85" t="s">
        <v>76</v>
      </c>
      <c r="G85" t="s">
        <v>18</v>
      </c>
      <c r="H85" t="s">
        <v>334</v>
      </c>
      <c r="I85" t="s">
        <v>15</v>
      </c>
      <c r="J85" t="s">
        <v>44</v>
      </c>
      <c r="L85">
        <v>0.5</v>
      </c>
      <c r="M85">
        <v>0.1</v>
      </c>
      <c r="N85" t="s">
        <v>2871</v>
      </c>
      <c r="O85" t="s">
        <v>3282</v>
      </c>
      <c r="P85" t="s">
        <v>2916</v>
      </c>
      <c r="Q85">
        <v>220</v>
      </c>
      <c r="R85">
        <v>22</v>
      </c>
      <c r="S85">
        <v>0.1</v>
      </c>
    </row>
    <row r="86" spans="1:19">
      <c r="A86" t="s">
        <v>8</v>
      </c>
      <c r="B86" t="s">
        <v>330</v>
      </c>
      <c r="C86" t="str">
        <f>Data_Master[[#This Row],[Uniq-ID]]&amp;"-"&amp;Data_Master[[#This Row],[Period]]</f>
        <v>DC-Document_Controller-007-M3</v>
      </c>
      <c r="D86" t="s">
        <v>331</v>
      </c>
      <c r="E86" t="s">
        <v>76</v>
      </c>
      <c r="G86" t="s">
        <v>22</v>
      </c>
      <c r="H86" t="s">
        <v>336</v>
      </c>
      <c r="I86" t="s">
        <v>15</v>
      </c>
      <c r="J86" t="s">
        <v>44</v>
      </c>
      <c r="M86">
        <v>0</v>
      </c>
    </row>
    <row r="87" spans="1:19">
      <c r="A87" t="s">
        <v>8</v>
      </c>
      <c r="B87" t="s">
        <v>330</v>
      </c>
      <c r="C87" t="str">
        <f>Data_Master[[#This Row],[Uniq-ID]]&amp;"-"&amp;Data_Master[[#This Row],[Period]]</f>
        <v>DC-Document_Controller-007-M4</v>
      </c>
      <c r="D87" t="s">
        <v>331</v>
      </c>
      <c r="E87" t="s">
        <v>76</v>
      </c>
      <c r="G87" t="s">
        <v>25</v>
      </c>
      <c r="H87" t="s">
        <v>337</v>
      </c>
      <c r="I87" t="s">
        <v>15</v>
      </c>
      <c r="J87" t="s">
        <v>44</v>
      </c>
      <c r="M87">
        <v>0</v>
      </c>
    </row>
    <row r="88" spans="1:19">
      <c r="A88" t="s">
        <v>8</v>
      </c>
      <c r="B88" t="s">
        <v>330</v>
      </c>
      <c r="C88" t="str">
        <f>Data_Master[[#This Row],[Uniq-ID]]&amp;"-"&amp;Data_Master[[#This Row],[Period]]</f>
        <v>DC-Document_Controller-007-M5</v>
      </c>
      <c r="D88" t="s">
        <v>331</v>
      </c>
      <c r="E88" t="s">
        <v>76</v>
      </c>
      <c r="G88" t="s">
        <v>28</v>
      </c>
      <c r="H88" t="s">
        <v>338</v>
      </c>
      <c r="I88" t="s">
        <v>15</v>
      </c>
      <c r="J88" t="s">
        <v>44</v>
      </c>
      <c r="M88">
        <v>0</v>
      </c>
    </row>
    <row r="89" spans="1:19">
      <c r="A89" t="s">
        <v>8</v>
      </c>
      <c r="B89" t="s">
        <v>330</v>
      </c>
      <c r="C89" t="str">
        <f>Data_Master[[#This Row],[Uniq-ID]]&amp;"-"&amp;Data_Master[[#This Row],[Period]]</f>
        <v>DC-Document_Controller-007-M6</v>
      </c>
      <c r="D89" t="s">
        <v>331</v>
      </c>
      <c r="E89" t="s">
        <v>76</v>
      </c>
      <c r="G89" t="s">
        <v>31</v>
      </c>
      <c r="H89" t="s">
        <v>339</v>
      </c>
      <c r="I89" t="s">
        <v>33</v>
      </c>
      <c r="J89" t="s">
        <v>44</v>
      </c>
      <c r="M89">
        <v>0</v>
      </c>
    </row>
    <row r="90" spans="1:19">
      <c r="A90" t="s">
        <v>8</v>
      </c>
      <c r="B90" t="s">
        <v>98</v>
      </c>
      <c r="C90" t="str">
        <f>Data_Master[[#This Row],[Uniq-ID]]&amp;"-"&amp;Data_Master[[#This Row],[Period]]</f>
        <v>DC-Document_Controller-008-M1</v>
      </c>
      <c r="D90" t="s">
        <v>99</v>
      </c>
      <c r="E90" t="s">
        <v>76</v>
      </c>
      <c r="G90" t="s">
        <v>13</v>
      </c>
      <c r="H90" t="s">
        <v>100</v>
      </c>
      <c r="I90" t="s">
        <v>15</v>
      </c>
      <c r="J90" t="s">
        <v>16</v>
      </c>
      <c r="L90">
        <v>1.5</v>
      </c>
      <c r="M90">
        <v>16.129000000000001</v>
      </c>
      <c r="N90" t="s">
        <v>2879</v>
      </c>
      <c r="O90" t="s">
        <v>3014</v>
      </c>
      <c r="P90" t="s">
        <v>2916</v>
      </c>
      <c r="Q90">
        <v>31</v>
      </c>
      <c r="R90">
        <v>500</v>
      </c>
      <c r="S90">
        <v>16.129000000000001</v>
      </c>
    </row>
    <row r="91" spans="1:19">
      <c r="A91" t="s">
        <v>8</v>
      </c>
      <c r="B91" t="s">
        <v>98</v>
      </c>
      <c r="C91" t="str">
        <f>Data_Master[[#This Row],[Uniq-ID]]&amp;"-"&amp;Data_Master[[#This Row],[Period]]</f>
        <v>DC-Document_Controller-008-M2</v>
      </c>
      <c r="D91" t="s">
        <v>99</v>
      </c>
      <c r="E91" t="s">
        <v>76</v>
      </c>
      <c r="G91" t="s">
        <v>18</v>
      </c>
      <c r="H91" t="s">
        <v>102</v>
      </c>
      <c r="I91" t="s">
        <v>15</v>
      </c>
      <c r="J91" t="s">
        <v>16</v>
      </c>
      <c r="L91">
        <v>1.5</v>
      </c>
      <c r="M91">
        <v>10</v>
      </c>
      <c r="N91" t="s">
        <v>2879</v>
      </c>
      <c r="O91" t="s">
        <v>3014</v>
      </c>
      <c r="P91" t="s">
        <v>2916</v>
      </c>
      <c r="Q91">
        <v>31</v>
      </c>
      <c r="R91">
        <v>310</v>
      </c>
      <c r="S91">
        <v>10</v>
      </c>
    </row>
    <row r="92" spans="1:19">
      <c r="A92" t="s">
        <v>8</v>
      </c>
      <c r="B92" t="s">
        <v>98</v>
      </c>
      <c r="C92" t="str">
        <f>Data_Master[[#This Row],[Uniq-ID]]&amp;"-"&amp;Data_Master[[#This Row],[Period]]</f>
        <v>DC-Document_Controller-008-M3</v>
      </c>
      <c r="D92" t="s">
        <v>99</v>
      </c>
      <c r="E92" t="s">
        <v>76</v>
      </c>
      <c r="G92" t="s">
        <v>22</v>
      </c>
      <c r="H92" t="s">
        <v>104</v>
      </c>
      <c r="I92" t="s">
        <v>15</v>
      </c>
      <c r="J92" t="s">
        <v>16</v>
      </c>
      <c r="L92">
        <v>1.5</v>
      </c>
      <c r="M92">
        <v>6.484</v>
      </c>
      <c r="N92" t="s">
        <v>3017</v>
      </c>
      <c r="O92" t="s">
        <v>3014</v>
      </c>
      <c r="P92" t="s">
        <v>2916</v>
      </c>
      <c r="Q92">
        <v>31</v>
      </c>
      <c r="R92">
        <v>201</v>
      </c>
      <c r="S92">
        <v>6.4839000000000002</v>
      </c>
    </row>
    <row r="93" spans="1:19">
      <c r="A93" t="s">
        <v>8</v>
      </c>
      <c r="B93" t="s">
        <v>98</v>
      </c>
      <c r="C93" t="str">
        <f>Data_Master[[#This Row],[Uniq-ID]]&amp;"-"&amp;Data_Master[[#This Row],[Period]]</f>
        <v>DC-Document_Controller-008-M4</v>
      </c>
      <c r="D93" t="s">
        <v>99</v>
      </c>
      <c r="E93" t="s">
        <v>76</v>
      </c>
      <c r="G93" t="s">
        <v>25</v>
      </c>
      <c r="H93" t="s">
        <v>106</v>
      </c>
      <c r="I93" t="s">
        <v>15</v>
      </c>
      <c r="J93" t="s">
        <v>16</v>
      </c>
      <c r="L93">
        <v>1.5</v>
      </c>
      <c r="M93">
        <v>41</v>
      </c>
      <c r="N93" t="s">
        <v>2887</v>
      </c>
      <c r="O93" t="s">
        <v>3019</v>
      </c>
      <c r="P93" t="s">
        <v>2916</v>
      </c>
      <c r="Q93">
        <v>4</v>
      </c>
      <c r="R93">
        <v>164</v>
      </c>
      <c r="S93">
        <v>41</v>
      </c>
    </row>
    <row r="94" spans="1:19">
      <c r="A94" t="s">
        <v>8</v>
      </c>
      <c r="B94" t="s">
        <v>98</v>
      </c>
      <c r="C94" t="str">
        <f>Data_Master[[#This Row],[Uniq-ID]]&amp;"-"&amp;Data_Master[[#This Row],[Period]]</f>
        <v>DC-Document_Controller-008-M5</v>
      </c>
      <c r="D94" t="s">
        <v>99</v>
      </c>
      <c r="E94" t="s">
        <v>76</v>
      </c>
      <c r="G94" t="s">
        <v>28</v>
      </c>
      <c r="H94" t="s">
        <v>108</v>
      </c>
      <c r="I94" t="s">
        <v>15</v>
      </c>
      <c r="J94" t="s">
        <v>44</v>
      </c>
      <c r="M94">
        <v>0</v>
      </c>
    </row>
    <row r="95" spans="1:19">
      <c r="A95" t="s">
        <v>8</v>
      </c>
      <c r="B95" t="s">
        <v>98</v>
      </c>
      <c r="C95" t="str">
        <f>Data_Master[[#This Row],[Uniq-ID]]&amp;"-"&amp;Data_Master[[#This Row],[Period]]</f>
        <v>DC-Document_Controller-008-M6</v>
      </c>
      <c r="D95" t="s">
        <v>99</v>
      </c>
      <c r="E95" t="s">
        <v>76</v>
      </c>
      <c r="G95" t="s">
        <v>31</v>
      </c>
      <c r="H95" t="s">
        <v>109</v>
      </c>
      <c r="I95" t="s">
        <v>33</v>
      </c>
      <c r="J95" t="s">
        <v>44</v>
      </c>
      <c r="M95">
        <v>0</v>
      </c>
    </row>
    <row r="96" spans="1:19">
      <c r="A96" t="s">
        <v>8</v>
      </c>
      <c r="B96" t="s">
        <v>120</v>
      </c>
      <c r="C96" t="str">
        <f>Data_Master[[#This Row],[Uniq-ID]]&amp;"-"&amp;Data_Master[[#This Row],[Period]]</f>
        <v>DC-Document_Controller-009-M1</v>
      </c>
      <c r="D96" t="s">
        <v>121</v>
      </c>
      <c r="E96" t="s">
        <v>11</v>
      </c>
      <c r="G96" t="s">
        <v>13</v>
      </c>
      <c r="H96" t="s">
        <v>122</v>
      </c>
      <c r="I96" t="s">
        <v>15</v>
      </c>
      <c r="J96" t="s">
        <v>16</v>
      </c>
      <c r="L96">
        <v>1.43</v>
      </c>
      <c r="M96">
        <v>2.851</v>
      </c>
      <c r="N96" t="s">
        <v>2871</v>
      </c>
      <c r="O96" t="s">
        <v>2875</v>
      </c>
      <c r="P96" t="s">
        <v>2873</v>
      </c>
      <c r="Q96">
        <v>36</v>
      </c>
      <c r="R96">
        <v>56</v>
      </c>
      <c r="S96">
        <v>1.5556000000000001</v>
      </c>
    </row>
    <row r="97" spans="1:19">
      <c r="A97" t="s">
        <v>8</v>
      </c>
      <c r="B97" t="s">
        <v>120</v>
      </c>
      <c r="C97" t="str">
        <f>Data_Master[[#This Row],[Uniq-ID]]&amp;"-"&amp;Data_Master[[#This Row],[Period]]</f>
        <v>DC-Document_Controller-009-M1</v>
      </c>
      <c r="D97" t="s">
        <v>121</v>
      </c>
      <c r="E97" t="s">
        <v>11</v>
      </c>
      <c r="G97" t="s">
        <v>13</v>
      </c>
      <c r="H97" t="s">
        <v>122</v>
      </c>
      <c r="I97" t="s">
        <v>15</v>
      </c>
      <c r="J97" t="s">
        <v>16</v>
      </c>
      <c r="L97">
        <v>1.43</v>
      </c>
      <c r="M97">
        <v>2.851</v>
      </c>
      <c r="N97" t="s">
        <v>2871</v>
      </c>
      <c r="O97" t="s">
        <v>2872</v>
      </c>
      <c r="P97" t="s">
        <v>2873</v>
      </c>
      <c r="Q97">
        <v>35</v>
      </c>
      <c r="R97">
        <v>44</v>
      </c>
      <c r="S97">
        <v>1.2571000000000001</v>
      </c>
    </row>
    <row r="98" spans="1:19">
      <c r="A98" t="s">
        <v>8</v>
      </c>
      <c r="B98" t="s">
        <v>120</v>
      </c>
      <c r="C98" t="str">
        <f>Data_Master[[#This Row],[Uniq-ID]]&amp;"-"&amp;Data_Master[[#This Row],[Period]]</f>
        <v>DC-Document_Controller-009-M1</v>
      </c>
      <c r="D98" t="s">
        <v>121</v>
      </c>
      <c r="E98" t="s">
        <v>11</v>
      </c>
      <c r="G98" t="s">
        <v>13</v>
      </c>
      <c r="H98" t="s">
        <v>122</v>
      </c>
      <c r="I98" t="s">
        <v>15</v>
      </c>
      <c r="J98" t="s">
        <v>16</v>
      </c>
      <c r="L98">
        <v>1.43</v>
      </c>
      <c r="M98">
        <v>2.851</v>
      </c>
      <c r="N98" t="s">
        <v>2879</v>
      </c>
      <c r="O98" t="s">
        <v>2894</v>
      </c>
      <c r="P98" t="s">
        <v>2873</v>
      </c>
      <c r="Q98">
        <v>26</v>
      </c>
      <c r="R98">
        <v>1</v>
      </c>
      <c r="S98">
        <v>3.85E-2</v>
      </c>
    </row>
    <row r="99" spans="1:19">
      <c r="A99" t="s">
        <v>8</v>
      </c>
      <c r="B99" t="s">
        <v>120</v>
      </c>
      <c r="C99" t="str">
        <f>Data_Master[[#This Row],[Uniq-ID]]&amp;"-"&amp;Data_Master[[#This Row],[Period]]</f>
        <v>DC-Document_Controller-009-M2</v>
      </c>
      <c r="D99" t="s">
        <v>121</v>
      </c>
      <c r="E99" t="s">
        <v>11</v>
      </c>
      <c r="G99" t="s">
        <v>18</v>
      </c>
      <c r="H99" t="s">
        <v>124</v>
      </c>
      <c r="I99" t="s">
        <v>15</v>
      </c>
      <c r="J99" t="s">
        <v>16</v>
      </c>
      <c r="L99">
        <v>1.5</v>
      </c>
      <c r="M99">
        <v>3.1549999999999998</v>
      </c>
      <c r="N99" t="s">
        <v>2871</v>
      </c>
      <c r="O99" t="s">
        <v>2875</v>
      </c>
      <c r="P99" t="s">
        <v>2873</v>
      </c>
      <c r="Q99">
        <v>36</v>
      </c>
      <c r="R99">
        <v>57</v>
      </c>
      <c r="S99">
        <v>1.5832999999999999</v>
      </c>
    </row>
    <row r="100" spans="1:19">
      <c r="A100" t="s">
        <v>8</v>
      </c>
      <c r="B100" t="s">
        <v>120</v>
      </c>
      <c r="C100" t="str">
        <f>Data_Master[[#This Row],[Uniq-ID]]&amp;"-"&amp;Data_Master[[#This Row],[Period]]</f>
        <v>DC-Document_Controller-009-M2</v>
      </c>
      <c r="D100" t="s">
        <v>121</v>
      </c>
      <c r="E100" t="s">
        <v>11</v>
      </c>
      <c r="G100" t="s">
        <v>18</v>
      </c>
      <c r="H100" t="s">
        <v>124</v>
      </c>
      <c r="I100" t="s">
        <v>15</v>
      </c>
      <c r="J100" t="s">
        <v>16</v>
      </c>
      <c r="L100">
        <v>1.5</v>
      </c>
      <c r="M100">
        <v>3.1549999999999998</v>
      </c>
      <c r="N100" t="s">
        <v>2871</v>
      </c>
      <c r="O100" t="s">
        <v>2872</v>
      </c>
      <c r="P100" t="s">
        <v>2873</v>
      </c>
      <c r="Q100">
        <v>35</v>
      </c>
      <c r="R100">
        <v>55</v>
      </c>
      <c r="S100">
        <v>1.5713999999999999</v>
      </c>
    </row>
    <row r="101" spans="1:19">
      <c r="A101" t="s">
        <v>8</v>
      </c>
      <c r="B101" t="s">
        <v>120</v>
      </c>
      <c r="C101" t="str">
        <f>Data_Master[[#This Row],[Uniq-ID]]&amp;"-"&amp;Data_Master[[#This Row],[Period]]</f>
        <v>DC-Document_Controller-009-M3</v>
      </c>
      <c r="D101" t="s">
        <v>121</v>
      </c>
      <c r="E101" t="s">
        <v>11</v>
      </c>
      <c r="G101" t="s">
        <v>22</v>
      </c>
      <c r="H101" t="s">
        <v>126</v>
      </c>
      <c r="I101" t="s">
        <v>15</v>
      </c>
      <c r="J101" t="s">
        <v>16</v>
      </c>
      <c r="L101">
        <v>1.5</v>
      </c>
      <c r="M101">
        <v>5.7839999999999998</v>
      </c>
      <c r="N101" t="s">
        <v>2871</v>
      </c>
      <c r="O101" t="s">
        <v>2872</v>
      </c>
      <c r="P101" t="s">
        <v>2873</v>
      </c>
      <c r="Q101">
        <v>35</v>
      </c>
      <c r="R101">
        <v>113</v>
      </c>
      <c r="S101">
        <v>3.2286000000000001</v>
      </c>
    </row>
    <row r="102" spans="1:19">
      <c r="A102" t="s">
        <v>8</v>
      </c>
      <c r="B102" t="s">
        <v>120</v>
      </c>
      <c r="C102" t="str">
        <f>Data_Master[[#This Row],[Uniq-ID]]&amp;"-"&amp;Data_Master[[#This Row],[Period]]</f>
        <v>DC-Document_Controller-009-M3</v>
      </c>
      <c r="D102" t="s">
        <v>121</v>
      </c>
      <c r="E102" t="s">
        <v>11</v>
      </c>
      <c r="G102" t="s">
        <v>22</v>
      </c>
      <c r="H102" t="s">
        <v>126</v>
      </c>
      <c r="I102" t="s">
        <v>15</v>
      </c>
      <c r="J102" t="s">
        <v>16</v>
      </c>
      <c r="L102">
        <v>1.5</v>
      </c>
      <c r="M102">
        <v>5.7839999999999998</v>
      </c>
      <c r="N102" t="s">
        <v>2871</v>
      </c>
      <c r="O102" t="s">
        <v>2875</v>
      </c>
      <c r="P102" t="s">
        <v>2873</v>
      </c>
      <c r="Q102">
        <v>36</v>
      </c>
      <c r="R102">
        <v>92</v>
      </c>
      <c r="S102">
        <v>2.5556000000000001</v>
      </c>
    </row>
    <row r="103" spans="1:19">
      <c r="A103" t="s">
        <v>8</v>
      </c>
      <c r="B103" t="s">
        <v>120</v>
      </c>
      <c r="C103" t="str">
        <f>Data_Master[[#This Row],[Uniq-ID]]&amp;"-"&amp;Data_Master[[#This Row],[Period]]</f>
        <v>DC-Document_Controller-009-M4</v>
      </c>
      <c r="D103" t="s">
        <v>121</v>
      </c>
      <c r="E103" t="s">
        <v>11</v>
      </c>
      <c r="G103" t="s">
        <v>25</v>
      </c>
      <c r="H103" t="s">
        <v>128</v>
      </c>
      <c r="I103" t="s">
        <v>15</v>
      </c>
      <c r="J103" t="s">
        <v>16</v>
      </c>
      <c r="L103">
        <v>1.5</v>
      </c>
      <c r="M103">
        <v>3.536</v>
      </c>
      <c r="N103" t="s">
        <v>2871</v>
      </c>
      <c r="O103" t="s">
        <v>2877</v>
      </c>
      <c r="P103" t="s">
        <v>2873</v>
      </c>
      <c r="Q103">
        <v>32</v>
      </c>
      <c r="R103">
        <v>47</v>
      </c>
      <c r="S103">
        <v>1.4688000000000001</v>
      </c>
    </row>
    <row r="104" spans="1:19">
      <c r="A104" t="s">
        <v>8</v>
      </c>
      <c r="B104" t="s">
        <v>120</v>
      </c>
      <c r="C104" t="str">
        <f>Data_Master[[#This Row],[Uniq-ID]]&amp;"-"&amp;Data_Master[[#This Row],[Period]]</f>
        <v>DC-Document_Controller-009-M4</v>
      </c>
      <c r="D104" t="s">
        <v>121</v>
      </c>
      <c r="E104" t="s">
        <v>11</v>
      </c>
      <c r="G104" t="s">
        <v>25</v>
      </c>
      <c r="H104" t="s">
        <v>128</v>
      </c>
      <c r="I104" t="s">
        <v>15</v>
      </c>
      <c r="J104" t="s">
        <v>16</v>
      </c>
      <c r="L104">
        <v>1.5</v>
      </c>
      <c r="M104">
        <v>3.536</v>
      </c>
      <c r="N104" t="s">
        <v>2871</v>
      </c>
      <c r="O104" t="s">
        <v>2872</v>
      </c>
      <c r="P104" t="s">
        <v>2873</v>
      </c>
      <c r="Q104">
        <v>35</v>
      </c>
      <c r="R104">
        <v>50</v>
      </c>
      <c r="S104">
        <v>1.4286000000000001</v>
      </c>
    </row>
    <row r="105" spans="1:19">
      <c r="A105" t="s">
        <v>8</v>
      </c>
      <c r="B105" t="s">
        <v>120</v>
      </c>
      <c r="C105" t="str">
        <f>Data_Master[[#This Row],[Uniq-ID]]&amp;"-"&amp;Data_Master[[#This Row],[Period]]</f>
        <v>DC-Document_Controller-009-M4</v>
      </c>
      <c r="D105" t="s">
        <v>121</v>
      </c>
      <c r="E105" t="s">
        <v>11</v>
      </c>
      <c r="G105" t="s">
        <v>25</v>
      </c>
      <c r="H105" t="s">
        <v>128</v>
      </c>
      <c r="I105" t="s">
        <v>15</v>
      </c>
      <c r="J105" t="s">
        <v>16</v>
      </c>
      <c r="L105">
        <v>1.5</v>
      </c>
      <c r="M105">
        <v>3.536</v>
      </c>
      <c r="N105" t="s">
        <v>2871</v>
      </c>
      <c r="O105" t="s">
        <v>2875</v>
      </c>
      <c r="P105" t="s">
        <v>2873</v>
      </c>
      <c r="Q105">
        <v>36</v>
      </c>
      <c r="R105">
        <v>23</v>
      </c>
      <c r="S105">
        <v>0.63890000000000002</v>
      </c>
    </row>
    <row r="106" spans="1:19">
      <c r="A106" t="s">
        <v>8</v>
      </c>
      <c r="B106" t="s">
        <v>120</v>
      </c>
      <c r="C106" t="str">
        <f>Data_Master[[#This Row],[Uniq-ID]]&amp;"-"&amp;Data_Master[[#This Row],[Period]]</f>
        <v>DC-Document_Controller-009-M5</v>
      </c>
      <c r="D106" t="s">
        <v>121</v>
      </c>
      <c r="E106" t="s">
        <v>11</v>
      </c>
      <c r="G106" t="s">
        <v>28</v>
      </c>
      <c r="H106" t="s">
        <v>130</v>
      </c>
      <c r="I106" t="s">
        <v>15</v>
      </c>
      <c r="J106" t="s">
        <v>16</v>
      </c>
      <c r="L106">
        <v>1.24</v>
      </c>
      <c r="M106">
        <v>2.4710000000000001</v>
      </c>
      <c r="N106" t="s">
        <v>2871</v>
      </c>
      <c r="O106" t="s">
        <v>2877</v>
      </c>
      <c r="P106" t="s">
        <v>2873</v>
      </c>
      <c r="Q106">
        <v>32</v>
      </c>
      <c r="R106">
        <v>42</v>
      </c>
      <c r="S106">
        <v>1.3125</v>
      </c>
    </row>
    <row r="107" spans="1:19">
      <c r="A107" t="s">
        <v>8</v>
      </c>
      <c r="B107" t="s">
        <v>120</v>
      </c>
      <c r="C107" t="str">
        <f>Data_Master[[#This Row],[Uniq-ID]]&amp;"-"&amp;Data_Master[[#This Row],[Period]]</f>
        <v>DC-Document_Controller-009-M5</v>
      </c>
      <c r="D107" t="s">
        <v>121</v>
      </c>
      <c r="E107" t="s">
        <v>11</v>
      </c>
      <c r="G107" t="s">
        <v>28</v>
      </c>
      <c r="H107" t="s">
        <v>130</v>
      </c>
      <c r="I107" t="s">
        <v>15</v>
      </c>
      <c r="J107" t="s">
        <v>16</v>
      </c>
      <c r="L107">
        <v>1.24</v>
      </c>
      <c r="M107">
        <v>2.4710000000000001</v>
      </c>
      <c r="N107" t="s">
        <v>2871</v>
      </c>
      <c r="O107" t="s">
        <v>2872</v>
      </c>
      <c r="P107" t="s">
        <v>2873</v>
      </c>
      <c r="Q107">
        <v>35</v>
      </c>
      <c r="R107">
        <v>25</v>
      </c>
      <c r="S107">
        <v>0.71430000000000005</v>
      </c>
    </row>
    <row r="108" spans="1:19">
      <c r="A108" t="s">
        <v>8</v>
      </c>
      <c r="B108" t="s">
        <v>120</v>
      </c>
      <c r="C108" t="str">
        <f>Data_Master[[#This Row],[Uniq-ID]]&amp;"-"&amp;Data_Master[[#This Row],[Period]]</f>
        <v>DC-Document_Controller-009-M5</v>
      </c>
      <c r="D108" t="s">
        <v>121</v>
      </c>
      <c r="E108" t="s">
        <v>11</v>
      </c>
      <c r="G108" t="s">
        <v>28</v>
      </c>
      <c r="H108" t="s">
        <v>130</v>
      </c>
      <c r="I108" t="s">
        <v>15</v>
      </c>
      <c r="J108" t="s">
        <v>16</v>
      </c>
      <c r="L108">
        <v>1.24</v>
      </c>
      <c r="M108">
        <v>2.4710000000000001</v>
      </c>
      <c r="N108" t="s">
        <v>2871</v>
      </c>
      <c r="O108" t="s">
        <v>2875</v>
      </c>
      <c r="P108" t="s">
        <v>2873</v>
      </c>
      <c r="Q108">
        <v>36</v>
      </c>
      <c r="R108">
        <v>16</v>
      </c>
      <c r="S108">
        <v>0.44440000000000002</v>
      </c>
    </row>
    <row r="109" spans="1:19">
      <c r="A109" t="s">
        <v>8</v>
      </c>
      <c r="B109" t="s">
        <v>120</v>
      </c>
      <c r="C109" t="str">
        <f>Data_Master[[#This Row],[Uniq-ID]]&amp;"-"&amp;Data_Master[[#This Row],[Period]]</f>
        <v>DC-Document_Controller-009-M6</v>
      </c>
      <c r="D109" t="s">
        <v>121</v>
      </c>
      <c r="E109" t="s">
        <v>11</v>
      </c>
      <c r="G109" t="s">
        <v>31</v>
      </c>
      <c r="H109" t="s">
        <v>132</v>
      </c>
      <c r="I109" t="s">
        <v>33</v>
      </c>
      <c r="J109" t="s">
        <v>44</v>
      </c>
      <c r="L109">
        <v>0.51</v>
      </c>
      <c r="M109">
        <v>0.50700000000000001</v>
      </c>
      <c r="N109" t="s">
        <v>2871</v>
      </c>
      <c r="O109" t="s">
        <v>2872</v>
      </c>
      <c r="P109" t="s">
        <v>2873</v>
      </c>
      <c r="Q109">
        <v>35</v>
      </c>
      <c r="R109">
        <v>9</v>
      </c>
      <c r="S109">
        <v>0.2571</v>
      </c>
    </row>
    <row r="110" spans="1:19">
      <c r="A110" t="s">
        <v>8</v>
      </c>
      <c r="B110" t="s">
        <v>120</v>
      </c>
      <c r="C110" t="str">
        <f>Data_Master[[#This Row],[Uniq-ID]]&amp;"-"&amp;Data_Master[[#This Row],[Period]]</f>
        <v>DC-Document_Controller-009-M6</v>
      </c>
      <c r="D110" t="s">
        <v>121</v>
      </c>
      <c r="E110" t="s">
        <v>11</v>
      </c>
      <c r="G110" t="s">
        <v>31</v>
      </c>
      <c r="H110" t="s">
        <v>132</v>
      </c>
      <c r="I110" t="s">
        <v>33</v>
      </c>
      <c r="J110" t="s">
        <v>44</v>
      </c>
      <c r="L110">
        <v>0.51</v>
      </c>
      <c r="M110">
        <v>0.50700000000000001</v>
      </c>
      <c r="N110" t="s">
        <v>2871</v>
      </c>
      <c r="O110" t="s">
        <v>2875</v>
      </c>
      <c r="P110" t="s">
        <v>2873</v>
      </c>
      <c r="Q110">
        <v>36</v>
      </c>
      <c r="R110">
        <v>9</v>
      </c>
      <c r="S110">
        <v>0.25</v>
      </c>
    </row>
    <row r="111" spans="1:19">
      <c r="A111" t="s">
        <v>8</v>
      </c>
      <c r="B111" t="s">
        <v>427</v>
      </c>
      <c r="C111" t="str">
        <f>Data_Master[[#This Row],[Uniq-ID]]&amp;"-"&amp;Data_Master[[#This Row],[Period]]</f>
        <v>DC-Document_Controller-010-M1</v>
      </c>
      <c r="D111" t="s">
        <v>428</v>
      </c>
      <c r="E111" t="s">
        <v>155</v>
      </c>
      <c r="G111" t="s">
        <v>13</v>
      </c>
      <c r="H111" t="s">
        <v>122</v>
      </c>
      <c r="I111" t="s">
        <v>15</v>
      </c>
      <c r="J111" t="s">
        <v>44</v>
      </c>
      <c r="L111">
        <v>0.5</v>
      </c>
      <c r="M111">
        <v>0.38500000000000001</v>
      </c>
      <c r="N111" t="s">
        <v>3098</v>
      </c>
      <c r="O111" t="s">
        <v>3099</v>
      </c>
      <c r="P111" t="s">
        <v>2873</v>
      </c>
      <c r="Q111">
        <v>26</v>
      </c>
      <c r="R111">
        <v>10</v>
      </c>
      <c r="S111">
        <v>0.3846</v>
      </c>
    </row>
    <row r="112" spans="1:19">
      <c r="A112" t="s">
        <v>8</v>
      </c>
      <c r="B112" t="s">
        <v>427</v>
      </c>
      <c r="C112" t="str">
        <f>Data_Master[[#This Row],[Uniq-ID]]&amp;"-"&amp;Data_Master[[#This Row],[Period]]</f>
        <v>DC-Document_Controller-010-M2</v>
      </c>
      <c r="D112" t="s">
        <v>428</v>
      </c>
      <c r="E112" t="s">
        <v>155</v>
      </c>
      <c r="G112" t="s">
        <v>18</v>
      </c>
      <c r="H112" t="s">
        <v>124</v>
      </c>
      <c r="I112" t="s">
        <v>15</v>
      </c>
      <c r="J112" t="s">
        <v>44</v>
      </c>
      <c r="L112">
        <v>0.57999999999999996</v>
      </c>
      <c r="M112">
        <v>0.57699999999999996</v>
      </c>
      <c r="N112" t="s">
        <v>3098</v>
      </c>
      <c r="O112" t="s">
        <v>3099</v>
      </c>
      <c r="P112" t="s">
        <v>2873</v>
      </c>
      <c r="Q112">
        <v>26</v>
      </c>
      <c r="R112">
        <v>15</v>
      </c>
      <c r="S112">
        <v>0.57689999999999997</v>
      </c>
    </row>
    <row r="113" spans="1:19">
      <c r="A113" t="s">
        <v>8</v>
      </c>
      <c r="B113" t="s">
        <v>427</v>
      </c>
      <c r="C113" t="str">
        <f>Data_Master[[#This Row],[Uniq-ID]]&amp;"-"&amp;Data_Master[[#This Row],[Period]]</f>
        <v>DC-Document_Controller-010-M3</v>
      </c>
      <c r="D113" t="s">
        <v>428</v>
      </c>
      <c r="E113" t="s">
        <v>155</v>
      </c>
      <c r="G113" t="s">
        <v>22</v>
      </c>
      <c r="H113" t="s">
        <v>126</v>
      </c>
      <c r="I113" t="s">
        <v>15</v>
      </c>
      <c r="J113" t="s">
        <v>20</v>
      </c>
      <c r="L113">
        <v>1</v>
      </c>
      <c r="M113">
        <v>1.385</v>
      </c>
      <c r="N113" t="s">
        <v>3098</v>
      </c>
      <c r="O113" t="s">
        <v>3099</v>
      </c>
      <c r="P113" t="s">
        <v>2873</v>
      </c>
      <c r="Q113">
        <v>26</v>
      </c>
      <c r="R113">
        <v>36</v>
      </c>
      <c r="S113">
        <v>1.3846000000000001</v>
      </c>
    </row>
    <row r="114" spans="1:19">
      <c r="A114" t="s">
        <v>8</v>
      </c>
      <c r="B114" t="s">
        <v>427</v>
      </c>
      <c r="C114" t="str">
        <f>Data_Master[[#This Row],[Uniq-ID]]&amp;"-"&amp;Data_Master[[#This Row],[Period]]</f>
        <v>DC-Document_Controller-010-M4</v>
      </c>
      <c r="D114" t="s">
        <v>428</v>
      </c>
      <c r="E114" t="s">
        <v>155</v>
      </c>
      <c r="G114" t="s">
        <v>25</v>
      </c>
      <c r="H114" t="s">
        <v>128</v>
      </c>
      <c r="I114" t="s">
        <v>15</v>
      </c>
      <c r="J114" t="s">
        <v>44</v>
      </c>
      <c r="L114">
        <v>0.73</v>
      </c>
      <c r="M114">
        <v>0.73099999999999998</v>
      </c>
      <c r="N114" t="s">
        <v>3098</v>
      </c>
      <c r="O114" t="s">
        <v>3099</v>
      </c>
      <c r="P114" t="s">
        <v>2873</v>
      </c>
      <c r="Q114">
        <v>26</v>
      </c>
      <c r="R114">
        <v>19</v>
      </c>
      <c r="S114">
        <v>0.73080000000000001</v>
      </c>
    </row>
    <row r="115" spans="1:19">
      <c r="A115" t="s">
        <v>8</v>
      </c>
      <c r="B115" t="s">
        <v>427</v>
      </c>
      <c r="C115" t="str">
        <f>Data_Master[[#This Row],[Uniq-ID]]&amp;"-"&amp;Data_Master[[#This Row],[Period]]</f>
        <v>DC-Document_Controller-010-M5</v>
      </c>
      <c r="D115" t="s">
        <v>428</v>
      </c>
      <c r="E115" t="s">
        <v>155</v>
      </c>
      <c r="G115" t="s">
        <v>28</v>
      </c>
      <c r="H115" t="s">
        <v>130</v>
      </c>
      <c r="I115" t="s">
        <v>15</v>
      </c>
      <c r="J115" t="s">
        <v>44</v>
      </c>
      <c r="L115">
        <v>0.5</v>
      </c>
      <c r="M115">
        <v>0.34599999999999997</v>
      </c>
      <c r="N115" t="s">
        <v>3098</v>
      </c>
      <c r="O115" t="s">
        <v>3099</v>
      </c>
      <c r="P115" t="s">
        <v>2873</v>
      </c>
      <c r="Q115">
        <v>26</v>
      </c>
      <c r="R115">
        <v>9</v>
      </c>
      <c r="S115">
        <v>0.34620000000000001</v>
      </c>
    </row>
    <row r="116" spans="1:19">
      <c r="A116" t="s">
        <v>8</v>
      </c>
      <c r="B116" t="s">
        <v>427</v>
      </c>
      <c r="C116" t="str">
        <f>Data_Master[[#This Row],[Uniq-ID]]&amp;"-"&amp;Data_Master[[#This Row],[Period]]</f>
        <v>DC-Document_Controller-010-M6</v>
      </c>
      <c r="D116" t="s">
        <v>428</v>
      </c>
      <c r="E116" t="s">
        <v>155</v>
      </c>
      <c r="G116" t="s">
        <v>31</v>
      </c>
      <c r="H116" t="s">
        <v>132</v>
      </c>
      <c r="I116" t="s">
        <v>33</v>
      </c>
      <c r="J116" t="s">
        <v>44</v>
      </c>
      <c r="L116">
        <v>0.5</v>
      </c>
      <c r="M116">
        <v>0.26900000000000002</v>
      </c>
      <c r="N116" t="s">
        <v>3098</v>
      </c>
      <c r="O116" t="s">
        <v>3099</v>
      </c>
      <c r="P116" t="s">
        <v>2873</v>
      </c>
      <c r="Q116">
        <v>26</v>
      </c>
      <c r="R116">
        <v>7</v>
      </c>
      <c r="S116">
        <v>0.26919999999999999</v>
      </c>
    </row>
    <row r="117" spans="1:19">
      <c r="A117" t="s">
        <v>8</v>
      </c>
      <c r="B117" t="s">
        <v>232</v>
      </c>
      <c r="C117" t="str">
        <f>Data_Master[[#This Row],[Uniq-ID]]&amp;"-"&amp;Data_Master[[#This Row],[Period]]</f>
        <v>DC-Document_Controller-011-M1</v>
      </c>
      <c r="D117" t="s">
        <v>233</v>
      </c>
      <c r="E117" t="s">
        <v>48</v>
      </c>
      <c r="G117" t="s">
        <v>13</v>
      </c>
      <c r="H117" t="s">
        <v>122</v>
      </c>
      <c r="I117" t="s">
        <v>15</v>
      </c>
      <c r="J117" t="s">
        <v>20</v>
      </c>
      <c r="L117">
        <v>1</v>
      </c>
      <c r="M117">
        <v>1.173</v>
      </c>
      <c r="N117" t="s">
        <v>2871</v>
      </c>
      <c r="O117" t="s">
        <v>3214</v>
      </c>
      <c r="P117" t="s">
        <v>2916</v>
      </c>
      <c r="Q117">
        <v>924</v>
      </c>
      <c r="R117">
        <v>17</v>
      </c>
      <c r="S117">
        <v>1.84E-2</v>
      </c>
    </row>
    <row r="118" spans="1:19">
      <c r="A118" t="s">
        <v>8</v>
      </c>
      <c r="B118" t="s">
        <v>232</v>
      </c>
      <c r="C118" t="str">
        <f>Data_Master[[#This Row],[Uniq-ID]]&amp;"-"&amp;Data_Master[[#This Row],[Period]]</f>
        <v>DC-Document_Controller-011-M1</v>
      </c>
      <c r="D118" t="s">
        <v>233</v>
      </c>
      <c r="E118" t="s">
        <v>48</v>
      </c>
      <c r="G118" t="s">
        <v>13</v>
      </c>
      <c r="H118" t="s">
        <v>122</v>
      </c>
      <c r="I118" t="s">
        <v>15</v>
      </c>
      <c r="J118" t="s">
        <v>20</v>
      </c>
      <c r="L118">
        <v>1</v>
      </c>
      <c r="M118">
        <v>1.173</v>
      </c>
      <c r="N118" t="s">
        <v>2871</v>
      </c>
      <c r="O118" t="s">
        <v>3192</v>
      </c>
      <c r="P118" t="s">
        <v>2873</v>
      </c>
      <c r="Q118">
        <v>154</v>
      </c>
      <c r="R118">
        <v>69</v>
      </c>
      <c r="S118">
        <v>0.4481</v>
      </c>
    </row>
    <row r="119" spans="1:19">
      <c r="A119" t="s">
        <v>8</v>
      </c>
      <c r="B119" t="s">
        <v>232</v>
      </c>
      <c r="C119" t="str">
        <f>Data_Master[[#This Row],[Uniq-ID]]&amp;"-"&amp;Data_Master[[#This Row],[Period]]</f>
        <v>DC-Document_Controller-011-M1</v>
      </c>
      <c r="D119" t="s">
        <v>233</v>
      </c>
      <c r="E119" t="s">
        <v>48</v>
      </c>
      <c r="G119" t="s">
        <v>13</v>
      </c>
      <c r="H119" t="s">
        <v>122</v>
      </c>
      <c r="I119" t="s">
        <v>15</v>
      </c>
      <c r="J119" t="s">
        <v>20</v>
      </c>
      <c r="L119">
        <v>1</v>
      </c>
      <c r="M119">
        <v>1.173</v>
      </c>
      <c r="N119" t="s">
        <v>2871</v>
      </c>
      <c r="O119" t="s">
        <v>3190</v>
      </c>
      <c r="P119" t="s">
        <v>2873</v>
      </c>
      <c r="Q119">
        <v>168</v>
      </c>
      <c r="R119">
        <v>109</v>
      </c>
      <c r="S119">
        <v>0.64880000000000004</v>
      </c>
    </row>
    <row r="120" spans="1:19">
      <c r="A120" t="s">
        <v>8</v>
      </c>
      <c r="B120" t="s">
        <v>232</v>
      </c>
      <c r="C120" t="str">
        <f>Data_Master[[#This Row],[Uniq-ID]]&amp;"-"&amp;Data_Master[[#This Row],[Period]]</f>
        <v>DC-Document_Controller-011-M1</v>
      </c>
      <c r="D120" t="s">
        <v>233</v>
      </c>
      <c r="E120" t="s">
        <v>48</v>
      </c>
      <c r="G120" t="s">
        <v>13</v>
      </c>
      <c r="H120" t="s">
        <v>122</v>
      </c>
      <c r="I120" t="s">
        <v>15</v>
      </c>
      <c r="J120" t="s">
        <v>20</v>
      </c>
      <c r="L120">
        <v>1</v>
      </c>
      <c r="M120">
        <v>1.173</v>
      </c>
      <c r="O120" t="s">
        <v>3214</v>
      </c>
      <c r="P120" t="s">
        <v>2916</v>
      </c>
      <c r="Q120">
        <v>924</v>
      </c>
      <c r="R120">
        <v>2</v>
      </c>
      <c r="S120">
        <v>2.2000000000000001E-3</v>
      </c>
    </row>
    <row r="121" spans="1:19">
      <c r="A121" t="s">
        <v>8</v>
      </c>
      <c r="B121" t="s">
        <v>232</v>
      </c>
      <c r="C121" t="str">
        <f>Data_Master[[#This Row],[Uniq-ID]]&amp;"-"&amp;Data_Master[[#This Row],[Period]]</f>
        <v>DC-Document_Controller-011-M1</v>
      </c>
      <c r="D121" t="s">
        <v>233</v>
      </c>
      <c r="E121" t="s">
        <v>48</v>
      </c>
      <c r="G121" t="s">
        <v>13</v>
      </c>
      <c r="H121" t="s">
        <v>122</v>
      </c>
      <c r="I121" t="s">
        <v>15</v>
      </c>
      <c r="J121" t="s">
        <v>20</v>
      </c>
      <c r="L121">
        <v>1</v>
      </c>
      <c r="M121">
        <v>1.173</v>
      </c>
      <c r="N121" t="s">
        <v>2887</v>
      </c>
      <c r="O121" t="s">
        <v>3194</v>
      </c>
      <c r="P121" t="s">
        <v>2873</v>
      </c>
      <c r="Q121">
        <v>616</v>
      </c>
      <c r="R121">
        <v>34</v>
      </c>
      <c r="S121">
        <v>5.5199999999999999E-2</v>
      </c>
    </row>
    <row r="122" spans="1:19">
      <c r="A122" t="s">
        <v>8</v>
      </c>
      <c r="B122" t="s">
        <v>232</v>
      </c>
      <c r="C122" t="str">
        <f>Data_Master[[#This Row],[Uniq-ID]]&amp;"-"&amp;Data_Master[[#This Row],[Period]]</f>
        <v>DC-Document_Controller-011-M2</v>
      </c>
      <c r="D122" t="s">
        <v>233</v>
      </c>
      <c r="E122" t="s">
        <v>48</v>
      </c>
      <c r="G122" t="s">
        <v>18</v>
      </c>
      <c r="H122" t="s">
        <v>124</v>
      </c>
      <c r="I122" t="s">
        <v>15</v>
      </c>
      <c r="J122" t="s">
        <v>44</v>
      </c>
      <c r="L122">
        <v>0.75</v>
      </c>
      <c r="M122">
        <v>0.755</v>
      </c>
      <c r="N122" t="s">
        <v>2887</v>
      </c>
      <c r="O122" t="s">
        <v>3194</v>
      </c>
      <c r="P122" t="s">
        <v>2873</v>
      </c>
      <c r="Q122">
        <v>616</v>
      </c>
      <c r="R122">
        <v>66</v>
      </c>
      <c r="S122">
        <v>0.1071</v>
      </c>
    </row>
    <row r="123" spans="1:19">
      <c r="A123" t="s">
        <v>8</v>
      </c>
      <c r="B123" t="s">
        <v>232</v>
      </c>
      <c r="C123" t="str">
        <f>Data_Master[[#This Row],[Uniq-ID]]&amp;"-"&amp;Data_Master[[#This Row],[Period]]</f>
        <v>DC-Document_Controller-011-M2</v>
      </c>
      <c r="D123" t="s">
        <v>233</v>
      </c>
      <c r="E123" t="s">
        <v>48</v>
      </c>
      <c r="G123" t="s">
        <v>18</v>
      </c>
      <c r="H123" t="s">
        <v>124</v>
      </c>
      <c r="I123" t="s">
        <v>15</v>
      </c>
      <c r="J123" t="s">
        <v>44</v>
      </c>
      <c r="L123">
        <v>0.75</v>
      </c>
      <c r="M123">
        <v>0.755</v>
      </c>
      <c r="N123" t="s">
        <v>2871</v>
      </c>
      <c r="O123" t="s">
        <v>3192</v>
      </c>
      <c r="P123" t="s">
        <v>2873</v>
      </c>
      <c r="Q123">
        <v>154</v>
      </c>
      <c r="R123">
        <v>48</v>
      </c>
      <c r="S123">
        <v>0.31169999999999998</v>
      </c>
    </row>
    <row r="124" spans="1:19">
      <c r="A124" t="s">
        <v>8</v>
      </c>
      <c r="B124" t="s">
        <v>232</v>
      </c>
      <c r="C124" t="str">
        <f>Data_Master[[#This Row],[Uniq-ID]]&amp;"-"&amp;Data_Master[[#This Row],[Period]]</f>
        <v>DC-Document_Controller-011-M2</v>
      </c>
      <c r="D124" t="s">
        <v>233</v>
      </c>
      <c r="E124" t="s">
        <v>48</v>
      </c>
      <c r="G124" t="s">
        <v>18</v>
      </c>
      <c r="H124" t="s">
        <v>124</v>
      </c>
      <c r="I124" t="s">
        <v>15</v>
      </c>
      <c r="J124" t="s">
        <v>44</v>
      </c>
      <c r="L124">
        <v>0.75</v>
      </c>
      <c r="M124">
        <v>0.755</v>
      </c>
      <c r="N124" t="s">
        <v>2871</v>
      </c>
      <c r="O124" t="s">
        <v>3190</v>
      </c>
      <c r="P124" t="s">
        <v>2873</v>
      </c>
      <c r="Q124">
        <v>168</v>
      </c>
      <c r="R124">
        <v>55</v>
      </c>
      <c r="S124">
        <v>0.32740000000000002</v>
      </c>
    </row>
    <row r="125" spans="1:19">
      <c r="A125" t="s">
        <v>8</v>
      </c>
      <c r="B125" t="s">
        <v>232</v>
      </c>
      <c r="C125" t="str">
        <f>Data_Master[[#This Row],[Uniq-ID]]&amp;"-"&amp;Data_Master[[#This Row],[Period]]</f>
        <v>DC-Document_Controller-011-M2</v>
      </c>
      <c r="D125" t="s">
        <v>233</v>
      </c>
      <c r="E125" t="s">
        <v>48</v>
      </c>
      <c r="G125" t="s">
        <v>18</v>
      </c>
      <c r="H125" t="s">
        <v>124</v>
      </c>
      <c r="I125" t="s">
        <v>15</v>
      </c>
      <c r="J125" t="s">
        <v>44</v>
      </c>
      <c r="L125">
        <v>0.75</v>
      </c>
      <c r="M125">
        <v>0.755</v>
      </c>
      <c r="N125" t="s">
        <v>2871</v>
      </c>
      <c r="O125" t="s">
        <v>3214</v>
      </c>
      <c r="P125" t="s">
        <v>2916</v>
      </c>
      <c r="Q125">
        <v>924</v>
      </c>
      <c r="R125">
        <v>8</v>
      </c>
      <c r="S125">
        <v>8.6999999999999994E-3</v>
      </c>
    </row>
    <row r="126" spans="1:19">
      <c r="A126" t="s">
        <v>8</v>
      </c>
      <c r="B126" t="s">
        <v>232</v>
      </c>
      <c r="C126" t="str">
        <f>Data_Master[[#This Row],[Uniq-ID]]&amp;"-"&amp;Data_Master[[#This Row],[Period]]</f>
        <v>DC-Document_Controller-011-M3</v>
      </c>
      <c r="D126" t="s">
        <v>233</v>
      </c>
      <c r="E126" t="s">
        <v>48</v>
      </c>
      <c r="G126" t="s">
        <v>22</v>
      </c>
      <c r="H126" t="s">
        <v>126</v>
      </c>
      <c r="I126" t="s">
        <v>15</v>
      </c>
      <c r="J126" t="s">
        <v>20</v>
      </c>
      <c r="L126">
        <v>1</v>
      </c>
      <c r="M126">
        <v>1.6970000000000001</v>
      </c>
      <c r="N126" t="s">
        <v>2871</v>
      </c>
      <c r="O126" t="s">
        <v>3192</v>
      </c>
      <c r="P126" t="s">
        <v>2873</v>
      </c>
      <c r="Q126">
        <v>154</v>
      </c>
      <c r="R126">
        <v>69</v>
      </c>
      <c r="S126">
        <v>0.4481</v>
      </c>
    </row>
    <row r="127" spans="1:19">
      <c r="A127" t="s">
        <v>8</v>
      </c>
      <c r="B127" t="s">
        <v>232</v>
      </c>
      <c r="C127" t="str">
        <f>Data_Master[[#This Row],[Uniq-ID]]&amp;"-"&amp;Data_Master[[#This Row],[Period]]</f>
        <v>DC-Document_Controller-011-M3</v>
      </c>
      <c r="D127" t="s">
        <v>233</v>
      </c>
      <c r="E127" t="s">
        <v>48</v>
      </c>
      <c r="G127" t="s">
        <v>22</v>
      </c>
      <c r="H127" t="s">
        <v>126</v>
      </c>
      <c r="I127" t="s">
        <v>15</v>
      </c>
      <c r="J127" t="s">
        <v>20</v>
      </c>
      <c r="L127">
        <v>1</v>
      </c>
      <c r="M127">
        <v>1.6970000000000001</v>
      </c>
      <c r="N127" t="s">
        <v>2871</v>
      </c>
      <c r="O127" t="s">
        <v>3190</v>
      </c>
      <c r="P127" t="s">
        <v>2873</v>
      </c>
      <c r="Q127">
        <v>168</v>
      </c>
      <c r="R127">
        <v>194</v>
      </c>
      <c r="S127">
        <v>1.1548</v>
      </c>
    </row>
    <row r="128" spans="1:19">
      <c r="A128" t="s">
        <v>8</v>
      </c>
      <c r="B128" t="s">
        <v>232</v>
      </c>
      <c r="C128" t="str">
        <f>Data_Master[[#This Row],[Uniq-ID]]&amp;"-"&amp;Data_Master[[#This Row],[Period]]</f>
        <v>DC-Document_Controller-011-M3</v>
      </c>
      <c r="D128" t="s">
        <v>233</v>
      </c>
      <c r="E128" t="s">
        <v>48</v>
      </c>
      <c r="G128" t="s">
        <v>22</v>
      </c>
      <c r="H128" t="s">
        <v>126</v>
      </c>
      <c r="I128" t="s">
        <v>15</v>
      </c>
      <c r="J128" t="s">
        <v>20</v>
      </c>
      <c r="L128">
        <v>1</v>
      </c>
      <c r="M128">
        <v>1.6970000000000001</v>
      </c>
      <c r="N128" t="s">
        <v>2887</v>
      </c>
      <c r="O128" t="s">
        <v>3194</v>
      </c>
      <c r="P128" t="s">
        <v>2873</v>
      </c>
      <c r="Q128">
        <v>616</v>
      </c>
      <c r="R128">
        <v>58</v>
      </c>
      <c r="S128">
        <v>9.4200000000000006E-2</v>
      </c>
    </row>
    <row r="129" spans="1:19">
      <c r="A129" t="s">
        <v>8</v>
      </c>
      <c r="B129" t="s">
        <v>232</v>
      </c>
      <c r="C129" t="str">
        <f>Data_Master[[#This Row],[Uniq-ID]]&amp;"-"&amp;Data_Master[[#This Row],[Period]]</f>
        <v>DC-Document_Controller-011-M4</v>
      </c>
      <c r="D129" t="s">
        <v>233</v>
      </c>
      <c r="E129" t="s">
        <v>48</v>
      </c>
      <c r="G129" t="s">
        <v>25</v>
      </c>
      <c r="H129" t="s">
        <v>128</v>
      </c>
      <c r="I129" t="s">
        <v>15</v>
      </c>
      <c r="J129" t="s">
        <v>16</v>
      </c>
      <c r="L129">
        <v>1.44</v>
      </c>
      <c r="M129">
        <v>2.879</v>
      </c>
      <c r="N129" t="s">
        <v>2871</v>
      </c>
      <c r="O129" t="s">
        <v>3190</v>
      </c>
      <c r="P129" t="s">
        <v>2873</v>
      </c>
      <c r="Q129">
        <v>168</v>
      </c>
      <c r="R129">
        <v>214</v>
      </c>
      <c r="S129">
        <v>1.2738</v>
      </c>
    </row>
    <row r="130" spans="1:19">
      <c r="A130" t="s">
        <v>8</v>
      </c>
      <c r="B130" t="s">
        <v>232</v>
      </c>
      <c r="C130" t="str">
        <f>Data_Master[[#This Row],[Uniq-ID]]&amp;"-"&amp;Data_Master[[#This Row],[Period]]</f>
        <v>DC-Document_Controller-011-M4</v>
      </c>
      <c r="D130" t="s">
        <v>233</v>
      </c>
      <c r="E130" t="s">
        <v>48</v>
      </c>
      <c r="G130" t="s">
        <v>25</v>
      </c>
      <c r="H130" t="s">
        <v>128</v>
      </c>
      <c r="I130" t="s">
        <v>15</v>
      </c>
      <c r="J130" t="s">
        <v>16</v>
      </c>
      <c r="L130">
        <v>1.44</v>
      </c>
      <c r="M130">
        <v>2.879</v>
      </c>
      <c r="N130" t="s">
        <v>2871</v>
      </c>
      <c r="O130" t="s">
        <v>3192</v>
      </c>
      <c r="P130" t="s">
        <v>2873</v>
      </c>
      <c r="Q130">
        <v>154</v>
      </c>
      <c r="R130">
        <v>206</v>
      </c>
      <c r="S130">
        <v>1.3376999999999999</v>
      </c>
    </row>
    <row r="131" spans="1:19">
      <c r="A131" t="s">
        <v>8</v>
      </c>
      <c r="B131" t="s">
        <v>232</v>
      </c>
      <c r="C131" t="str">
        <f>Data_Master[[#This Row],[Uniq-ID]]&amp;"-"&amp;Data_Master[[#This Row],[Period]]</f>
        <v>DC-Document_Controller-011-M4</v>
      </c>
      <c r="D131" t="s">
        <v>233</v>
      </c>
      <c r="E131" t="s">
        <v>48</v>
      </c>
      <c r="G131" t="s">
        <v>25</v>
      </c>
      <c r="H131" t="s">
        <v>128</v>
      </c>
      <c r="I131" t="s">
        <v>15</v>
      </c>
      <c r="J131" t="s">
        <v>16</v>
      </c>
      <c r="L131">
        <v>1.44</v>
      </c>
      <c r="M131">
        <v>2.879</v>
      </c>
      <c r="N131" t="s">
        <v>2887</v>
      </c>
      <c r="O131" t="s">
        <v>3199</v>
      </c>
      <c r="P131" t="s">
        <v>2873</v>
      </c>
      <c r="Q131">
        <v>462</v>
      </c>
      <c r="R131">
        <v>14</v>
      </c>
      <c r="S131">
        <v>3.0300000000000001E-2</v>
      </c>
    </row>
    <row r="132" spans="1:19">
      <c r="A132" t="s">
        <v>8</v>
      </c>
      <c r="B132" t="s">
        <v>232</v>
      </c>
      <c r="C132" t="str">
        <f>Data_Master[[#This Row],[Uniq-ID]]&amp;"-"&amp;Data_Master[[#This Row],[Period]]</f>
        <v>DC-Document_Controller-011-M4</v>
      </c>
      <c r="D132" t="s">
        <v>233</v>
      </c>
      <c r="E132" t="s">
        <v>48</v>
      </c>
      <c r="G132" t="s">
        <v>25</v>
      </c>
      <c r="H132" t="s">
        <v>128</v>
      </c>
      <c r="I132" t="s">
        <v>15</v>
      </c>
      <c r="J132" t="s">
        <v>16</v>
      </c>
      <c r="L132">
        <v>1.44</v>
      </c>
      <c r="M132">
        <v>2.879</v>
      </c>
      <c r="N132" t="s">
        <v>2887</v>
      </c>
      <c r="O132" t="s">
        <v>3194</v>
      </c>
      <c r="P132" t="s">
        <v>2873</v>
      </c>
      <c r="Q132">
        <v>616</v>
      </c>
      <c r="R132">
        <v>146</v>
      </c>
      <c r="S132">
        <v>0.23699999999999999</v>
      </c>
    </row>
    <row r="133" spans="1:19">
      <c r="A133" t="s">
        <v>8</v>
      </c>
      <c r="B133" t="s">
        <v>232</v>
      </c>
      <c r="C133" t="str">
        <f>Data_Master[[#This Row],[Uniq-ID]]&amp;"-"&amp;Data_Master[[#This Row],[Period]]</f>
        <v>DC-Document_Controller-011-M5</v>
      </c>
      <c r="D133" t="s">
        <v>233</v>
      </c>
      <c r="E133" t="s">
        <v>48</v>
      </c>
      <c r="G133" t="s">
        <v>28</v>
      </c>
      <c r="H133" t="s">
        <v>130</v>
      </c>
      <c r="I133" t="s">
        <v>15</v>
      </c>
      <c r="J133" t="s">
        <v>16</v>
      </c>
      <c r="L133">
        <v>1.05</v>
      </c>
      <c r="M133">
        <v>2.1</v>
      </c>
      <c r="N133" t="s">
        <v>2871</v>
      </c>
      <c r="O133" t="s">
        <v>3190</v>
      </c>
      <c r="P133" t="s">
        <v>2873</v>
      </c>
      <c r="Q133">
        <v>168</v>
      </c>
      <c r="R133">
        <v>184</v>
      </c>
      <c r="S133">
        <v>1.0952</v>
      </c>
    </row>
    <row r="134" spans="1:19">
      <c r="A134" t="s">
        <v>8</v>
      </c>
      <c r="B134" t="s">
        <v>232</v>
      </c>
      <c r="C134" t="str">
        <f>Data_Master[[#This Row],[Uniq-ID]]&amp;"-"&amp;Data_Master[[#This Row],[Period]]</f>
        <v>DC-Document_Controller-011-M5</v>
      </c>
      <c r="D134" t="s">
        <v>233</v>
      </c>
      <c r="E134" t="s">
        <v>48</v>
      </c>
      <c r="G134" t="s">
        <v>28</v>
      </c>
      <c r="H134" t="s">
        <v>130</v>
      </c>
      <c r="I134" t="s">
        <v>15</v>
      </c>
      <c r="J134" t="s">
        <v>16</v>
      </c>
      <c r="L134">
        <v>1.05</v>
      </c>
      <c r="M134">
        <v>2.1</v>
      </c>
      <c r="N134" t="s">
        <v>2871</v>
      </c>
      <c r="O134" t="s">
        <v>3192</v>
      </c>
      <c r="P134" t="s">
        <v>2873</v>
      </c>
      <c r="Q134">
        <v>154</v>
      </c>
      <c r="R134">
        <v>152</v>
      </c>
      <c r="S134">
        <v>0.98699999999999999</v>
      </c>
    </row>
    <row r="135" spans="1:19">
      <c r="A135" t="s">
        <v>8</v>
      </c>
      <c r="B135" t="s">
        <v>232</v>
      </c>
      <c r="C135" t="str">
        <f>Data_Master[[#This Row],[Uniq-ID]]&amp;"-"&amp;Data_Master[[#This Row],[Period]]</f>
        <v>DC-Document_Controller-011-M5</v>
      </c>
      <c r="D135" t="s">
        <v>233</v>
      </c>
      <c r="E135" t="s">
        <v>48</v>
      </c>
      <c r="G135" t="s">
        <v>28</v>
      </c>
      <c r="H135" t="s">
        <v>130</v>
      </c>
      <c r="I135" t="s">
        <v>15</v>
      </c>
      <c r="J135" t="s">
        <v>16</v>
      </c>
      <c r="L135">
        <v>1.05</v>
      </c>
      <c r="M135">
        <v>2.1</v>
      </c>
      <c r="N135" t="s">
        <v>2887</v>
      </c>
      <c r="O135" t="s">
        <v>3194</v>
      </c>
      <c r="P135" t="s">
        <v>2873</v>
      </c>
      <c r="Q135">
        <v>616</v>
      </c>
      <c r="R135">
        <v>11</v>
      </c>
      <c r="S135">
        <v>1.7899999999999999E-2</v>
      </c>
    </row>
    <row r="136" spans="1:19">
      <c r="A136" t="s">
        <v>8</v>
      </c>
      <c r="B136" t="s">
        <v>232</v>
      </c>
      <c r="C136" t="str">
        <f>Data_Master[[#This Row],[Uniq-ID]]&amp;"-"&amp;Data_Master[[#This Row],[Period]]</f>
        <v>DC-Document_Controller-011-M6</v>
      </c>
      <c r="D136" t="s">
        <v>233</v>
      </c>
      <c r="E136" t="s">
        <v>48</v>
      </c>
      <c r="G136" t="s">
        <v>31</v>
      </c>
      <c r="H136" t="s">
        <v>132</v>
      </c>
      <c r="I136" t="s">
        <v>33</v>
      </c>
      <c r="J136" t="s">
        <v>44</v>
      </c>
      <c r="L136">
        <v>0.52</v>
      </c>
      <c r="M136">
        <v>0.51600000000000001</v>
      </c>
      <c r="N136" t="s">
        <v>2871</v>
      </c>
      <c r="O136" t="s">
        <v>3192</v>
      </c>
      <c r="P136" t="s">
        <v>2873</v>
      </c>
      <c r="Q136">
        <v>154</v>
      </c>
      <c r="R136">
        <v>18</v>
      </c>
      <c r="S136">
        <v>0.1169</v>
      </c>
    </row>
    <row r="137" spans="1:19">
      <c r="A137" t="s">
        <v>8</v>
      </c>
      <c r="B137" t="s">
        <v>232</v>
      </c>
      <c r="C137" t="str">
        <f>Data_Master[[#This Row],[Uniq-ID]]&amp;"-"&amp;Data_Master[[#This Row],[Period]]</f>
        <v>DC-Document_Controller-011-M6</v>
      </c>
      <c r="D137" t="s">
        <v>233</v>
      </c>
      <c r="E137" t="s">
        <v>48</v>
      </c>
      <c r="G137" t="s">
        <v>31</v>
      </c>
      <c r="H137" t="s">
        <v>132</v>
      </c>
      <c r="I137" t="s">
        <v>33</v>
      </c>
      <c r="J137" t="s">
        <v>44</v>
      </c>
      <c r="L137">
        <v>0.52</v>
      </c>
      <c r="M137">
        <v>0.51600000000000001</v>
      </c>
      <c r="N137" t="s">
        <v>2871</v>
      </c>
      <c r="O137" t="s">
        <v>3190</v>
      </c>
      <c r="P137" t="s">
        <v>2873</v>
      </c>
      <c r="Q137">
        <v>168</v>
      </c>
      <c r="R137">
        <v>67</v>
      </c>
      <c r="S137">
        <v>0.39879999999999999</v>
      </c>
    </row>
    <row r="138" spans="1:19">
      <c r="A138" t="s">
        <v>8</v>
      </c>
      <c r="B138" t="s">
        <v>170</v>
      </c>
      <c r="C138" t="str">
        <f>Data_Master[[#This Row],[Uniq-ID]]&amp;"-"&amp;Data_Master[[#This Row],[Period]]</f>
        <v>DC-Document_Controller-012-M1</v>
      </c>
      <c r="D138" t="s">
        <v>171</v>
      </c>
      <c r="E138" t="s">
        <v>11</v>
      </c>
      <c r="G138" t="s">
        <v>13</v>
      </c>
      <c r="H138" t="s">
        <v>122</v>
      </c>
      <c r="I138" t="s">
        <v>15</v>
      </c>
      <c r="J138" t="s">
        <v>16</v>
      </c>
      <c r="L138">
        <v>1.1499999999999999</v>
      </c>
      <c r="M138">
        <v>2.3010000000000002</v>
      </c>
      <c r="N138" t="s">
        <v>2871</v>
      </c>
      <c r="O138" t="s">
        <v>2875</v>
      </c>
      <c r="P138" t="s">
        <v>2873</v>
      </c>
      <c r="Q138">
        <v>36</v>
      </c>
      <c r="R138">
        <v>9</v>
      </c>
      <c r="S138">
        <v>0.25</v>
      </c>
    </row>
    <row r="139" spans="1:19">
      <c r="A139" t="s">
        <v>8</v>
      </c>
      <c r="B139" t="s">
        <v>170</v>
      </c>
      <c r="C139" t="str">
        <f>Data_Master[[#This Row],[Uniq-ID]]&amp;"-"&amp;Data_Master[[#This Row],[Period]]</f>
        <v>DC-Document_Controller-012-M1</v>
      </c>
      <c r="D139" t="s">
        <v>171</v>
      </c>
      <c r="E139" t="s">
        <v>11</v>
      </c>
      <c r="G139" t="s">
        <v>13</v>
      </c>
      <c r="H139" t="s">
        <v>122</v>
      </c>
      <c r="I139" t="s">
        <v>15</v>
      </c>
      <c r="J139" t="s">
        <v>16</v>
      </c>
      <c r="L139">
        <v>1.1499999999999999</v>
      </c>
      <c r="M139">
        <v>2.3010000000000002</v>
      </c>
      <c r="N139" t="s">
        <v>2871</v>
      </c>
      <c r="O139" t="s">
        <v>2872</v>
      </c>
      <c r="P139" t="s">
        <v>2873</v>
      </c>
      <c r="Q139">
        <v>35</v>
      </c>
      <c r="R139">
        <v>16</v>
      </c>
      <c r="S139">
        <v>0.45710000000000001</v>
      </c>
    </row>
    <row r="140" spans="1:19">
      <c r="A140" t="s">
        <v>8</v>
      </c>
      <c r="B140" t="s">
        <v>170</v>
      </c>
      <c r="C140" t="str">
        <f>Data_Master[[#This Row],[Uniq-ID]]&amp;"-"&amp;Data_Master[[#This Row],[Period]]</f>
        <v>DC-Document_Controller-012-M1</v>
      </c>
      <c r="D140" t="s">
        <v>171</v>
      </c>
      <c r="E140" t="s">
        <v>11</v>
      </c>
      <c r="G140" t="s">
        <v>13</v>
      </c>
      <c r="H140" t="s">
        <v>122</v>
      </c>
      <c r="I140" t="s">
        <v>15</v>
      </c>
      <c r="J140" t="s">
        <v>16</v>
      </c>
      <c r="L140">
        <v>1.1499999999999999</v>
      </c>
      <c r="M140">
        <v>2.3010000000000002</v>
      </c>
      <c r="N140" t="s">
        <v>2871</v>
      </c>
      <c r="O140" t="s">
        <v>2877</v>
      </c>
      <c r="P140" t="s">
        <v>2873</v>
      </c>
      <c r="Q140">
        <v>32</v>
      </c>
      <c r="R140">
        <v>51</v>
      </c>
      <c r="S140">
        <v>1.5938000000000001</v>
      </c>
    </row>
    <row r="141" spans="1:19">
      <c r="A141" t="s">
        <v>8</v>
      </c>
      <c r="B141" t="s">
        <v>170</v>
      </c>
      <c r="C141" t="str">
        <f>Data_Master[[#This Row],[Uniq-ID]]&amp;"-"&amp;Data_Master[[#This Row],[Period]]</f>
        <v>DC-Document_Controller-012-M2</v>
      </c>
      <c r="D141" t="s">
        <v>171</v>
      </c>
      <c r="E141" t="s">
        <v>11</v>
      </c>
      <c r="G141" t="s">
        <v>18</v>
      </c>
      <c r="H141" t="s">
        <v>124</v>
      </c>
      <c r="I141" t="s">
        <v>15</v>
      </c>
      <c r="J141" t="s">
        <v>16</v>
      </c>
      <c r="L141">
        <v>1.44</v>
      </c>
      <c r="M141">
        <v>2.8740000000000001</v>
      </c>
      <c r="N141" t="s">
        <v>2871</v>
      </c>
      <c r="O141" t="s">
        <v>2875</v>
      </c>
      <c r="P141" t="s">
        <v>2873</v>
      </c>
      <c r="Q141">
        <v>36</v>
      </c>
      <c r="R141">
        <v>54</v>
      </c>
      <c r="S141">
        <v>1.5</v>
      </c>
    </row>
    <row r="142" spans="1:19">
      <c r="A142" t="s">
        <v>8</v>
      </c>
      <c r="B142" t="s">
        <v>170</v>
      </c>
      <c r="C142" t="str">
        <f>Data_Master[[#This Row],[Uniq-ID]]&amp;"-"&amp;Data_Master[[#This Row],[Period]]</f>
        <v>DC-Document_Controller-012-M2</v>
      </c>
      <c r="D142" t="s">
        <v>171</v>
      </c>
      <c r="E142" t="s">
        <v>11</v>
      </c>
      <c r="G142" t="s">
        <v>18</v>
      </c>
      <c r="H142" t="s">
        <v>124</v>
      </c>
      <c r="I142" t="s">
        <v>15</v>
      </c>
      <c r="J142" t="s">
        <v>16</v>
      </c>
      <c r="L142">
        <v>1.44</v>
      </c>
      <c r="M142">
        <v>2.8740000000000001</v>
      </c>
      <c r="N142" t="s">
        <v>2871</v>
      </c>
      <c r="O142" t="s">
        <v>2872</v>
      </c>
      <c r="P142" t="s">
        <v>2873</v>
      </c>
      <c r="Q142">
        <v>35</v>
      </c>
      <c r="R142">
        <v>47</v>
      </c>
      <c r="S142">
        <v>1.3429</v>
      </c>
    </row>
    <row r="143" spans="1:19">
      <c r="A143" t="s">
        <v>8</v>
      </c>
      <c r="B143" t="s">
        <v>170</v>
      </c>
      <c r="C143" t="str">
        <f>Data_Master[[#This Row],[Uniq-ID]]&amp;"-"&amp;Data_Master[[#This Row],[Period]]</f>
        <v>DC-Document_Controller-012-M2</v>
      </c>
      <c r="D143" t="s">
        <v>171</v>
      </c>
      <c r="E143" t="s">
        <v>11</v>
      </c>
      <c r="G143" t="s">
        <v>18</v>
      </c>
      <c r="H143" t="s">
        <v>124</v>
      </c>
      <c r="I143" t="s">
        <v>15</v>
      </c>
      <c r="J143" t="s">
        <v>16</v>
      </c>
      <c r="L143">
        <v>1.44</v>
      </c>
      <c r="M143">
        <v>2.8740000000000001</v>
      </c>
      <c r="N143" t="s">
        <v>2871</v>
      </c>
      <c r="O143" t="s">
        <v>2877</v>
      </c>
      <c r="P143" t="s">
        <v>2873</v>
      </c>
      <c r="Q143">
        <v>32</v>
      </c>
      <c r="R143">
        <v>1</v>
      </c>
      <c r="S143">
        <v>3.1300000000000001E-2</v>
      </c>
    </row>
    <row r="144" spans="1:19">
      <c r="A144" t="s">
        <v>8</v>
      </c>
      <c r="B144" t="s">
        <v>170</v>
      </c>
      <c r="C144" t="str">
        <f>Data_Master[[#This Row],[Uniq-ID]]&amp;"-"&amp;Data_Master[[#This Row],[Period]]</f>
        <v>DC-Document_Controller-012-M3</v>
      </c>
      <c r="D144" t="s">
        <v>171</v>
      </c>
      <c r="E144" t="s">
        <v>11</v>
      </c>
      <c r="G144" t="s">
        <v>22</v>
      </c>
      <c r="H144" t="s">
        <v>126</v>
      </c>
      <c r="I144" t="s">
        <v>15</v>
      </c>
      <c r="J144" t="s">
        <v>16</v>
      </c>
      <c r="L144">
        <v>1.5</v>
      </c>
      <c r="M144">
        <v>4.1580000000000004</v>
      </c>
      <c r="N144" t="s">
        <v>2879</v>
      </c>
      <c r="O144" t="s">
        <v>2894</v>
      </c>
      <c r="P144" t="s">
        <v>2873</v>
      </c>
      <c r="Q144">
        <v>26</v>
      </c>
      <c r="R144">
        <v>13</v>
      </c>
      <c r="S144">
        <v>0.5</v>
      </c>
    </row>
    <row r="145" spans="1:19">
      <c r="A145" t="s">
        <v>8</v>
      </c>
      <c r="B145" t="s">
        <v>170</v>
      </c>
      <c r="C145" t="str">
        <f>Data_Master[[#This Row],[Uniq-ID]]&amp;"-"&amp;Data_Master[[#This Row],[Period]]</f>
        <v>DC-Document_Controller-012-M3</v>
      </c>
      <c r="D145" t="s">
        <v>171</v>
      </c>
      <c r="E145" t="s">
        <v>11</v>
      </c>
      <c r="G145" t="s">
        <v>22</v>
      </c>
      <c r="H145" t="s">
        <v>126</v>
      </c>
      <c r="I145" t="s">
        <v>15</v>
      </c>
      <c r="J145" t="s">
        <v>16</v>
      </c>
      <c r="L145">
        <v>1.5</v>
      </c>
      <c r="M145">
        <v>4.1580000000000004</v>
      </c>
      <c r="N145" t="s">
        <v>2871</v>
      </c>
      <c r="O145" t="s">
        <v>2877</v>
      </c>
      <c r="P145" t="s">
        <v>2873</v>
      </c>
      <c r="Q145">
        <v>32</v>
      </c>
      <c r="R145">
        <v>79</v>
      </c>
      <c r="S145">
        <v>2.4687999999999999</v>
      </c>
    </row>
    <row r="146" spans="1:19">
      <c r="A146" t="s">
        <v>8</v>
      </c>
      <c r="B146" t="s">
        <v>170</v>
      </c>
      <c r="C146" t="str">
        <f>Data_Master[[#This Row],[Uniq-ID]]&amp;"-"&amp;Data_Master[[#This Row],[Period]]</f>
        <v>DC-Document_Controller-012-M3</v>
      </c>
      <c r="D146" t="s">
        <v>171</v>
      </c>
      <c r="E146" t="s">
        <v>11</v>
      </c>
      <c r="G146" t="s">
        <v>22</v>
      </c>
      <c r="H146" t="s">
        <v>126</v>
      </c>
      <c r="I146" t="s">
        <v>15</v>
      </c>
      <c r="J146" t="s">
        <v>16</v>
      </c>
      <c r="L146">
        <v>1.5</v>
      </c>
      <c r="M146">
        <v>4.1580000000000004</v>
      </c>
      <c r="N146" t="s">
        <v>2871</v>
      </c>
      <c r="O146" t="s">
        <v>2872</v>
      </c>
      <c r="P146" t="s">
        <v>2873</v>
      </c>
      <c r="Q146">
        <v>35</v>
      </c>
      <c r="R146">
        <v>29</v>
      </c>
      <c r="S146">
        <v>0.8286</v>
      </c>
    </row>
    <row r="147" spans="1:19">
      <c r="A147" t="s">
        <v>8</v>
      </c>
      <c r="B147" t="s">
        <v>170</v>
      </c>
      <c r="C147" t="str">
        <f>Data_Master[[#This Row],[Uniq-ID]]&amp;"-"&amp;Data_Master[[#This Row],[Period]]</f>
        <v>DC-Document_Controller-012-M3</v>
      </c>
      <c r="D147" t="s">
        <v>171</v>
      </c>
      <c r="E147" t="s">
        <v>11</v>
      </c>
      <c r="G147" t="s">
        <v>22</v>
      </c>
      <c r="H147" t="s">
        <v>126</v>
      </c>
      <c r="I147" t="s">
        <v>15</v>
      </c>
      <c r="J147" t="s">
        <v>16</v>
      </c>
      <c r="L147">
        <v>1.5</v>
      </c>
      <c r="M147">
        <v>4.1580000000000004</v>
      </c>
      <c r="N147" t="s">
        <v>2871</v>
      </c>
      <c r="O147" t="s">
        <v>2875</v>
      </c>
      <c r="P147" t="s">
        <v>2873</v>
      </c>
      <c r="Q147">
        <v>36</v>
      </c>
      <c r="R147">
        <v>13</v>
      </c>
      <c r="S147">
        <v>0.36109999999999998</v>
      </c>
    </row>
    <row r="148" spans="1:19">
      <c r="A148" t="s">
        <v>8</v>
      </c>
      <c r="B148" t="s">
        <v>170</v>
      </c>
      <c r="C148" t="str">
        <f>Data_Master[[#This Row],[Uniq-ID]]&amp;"-"&amp;Data_Master[[#This Row],[Period]]</f>
        <v>DC-Document_Controller-012-M4</v>
      </c>
      <c r="D148" t="s">
        <v>171</v>
      </c>
      <c r="E148" t="s">
        <v>11</v>
      </c>
      <c r="G148" t="s">
        <v>25</v>
      </c>
      <c r="H148" t="s">
        <v>128</v>
      </c>
      <c r="I148" t="s">
        <v>15</v>
      </c>
      <c r="J148" t="s">
        <v>16</v>
      </c>
      <c r="L148">
        <v>1.5</v>
      </c>
      <c r="M148">
        <v>4.9619999999999997</v>
      </c>
      <c r="N148" t="s">
        <v>2879</v>
      </c>
      <c r="O148" t="s">
        <v>2894</v>
      </c>
      <c r="P148" t="s">
        <v>2873</v>
      </c>
      <c r="Q148">
        <v>26</v>
      </c>
      <c r="R148">
        <v>60</v>
      </c>
      <c r="S148">
        <v>2.3077000000000001</v>
      </c>
    </row>
    <row r="149" spans="1:19">
      <c r="A149" t="s">
        <v>8</v>
      </c>
      <c r="B149" t="s">
        <v>170</v>
      </c>
      <c r="C149" t="str">
        <f>Data_Master[[#This Row],[Uniq-ID]]&amp;"-"&amp;Data_Master[[#This Row],[Period]]</f>
        <v>DC-Document_Controller-012-M4</v>
      </c>
      <c r="D149" t="s">
        <v>171</v>
      </c>
      <c r="E149" t="s">
        <v>11</v>
      </c>
      <c r="G149" t="s">
        <v>25</v>
      </c>
      <c r="H149" t="s">
        <v>128</v>
      </c>
      <c r="I149" t="s">
        <v>15</v>
      </c>
      <c r="J149" t="s">
        <v>16</v>
      </c>
      <c r="L149">
        <v>1.5</v>
      </c>
      <c r="M149">
        <v>4.9619999999999997</v>
      </c>
      <c r="N149" t="s">
        <v>2879</v>
      </c>
      <c r="O149" t="s">
        <v>2880</v>
      </c>
      <c r="P149" t="s">
        <v>2873</v>
      </c>
      <c r="Q149">
        <v>13</v>
      </c>
      <c r="R149">
        <v>6</v>
      </c>
      <c r="S149">
        <v>0.46150000000000002</v>
      </c>
    </row>
    <row r="150" spans="1:19">
      <c r="A150" t="s">
        <v>8</v>
      </c>
      <c r="B150" t="s">
        <v>170</v>
      </c>
      <c r="C150" t="str">
        <f>Data_Master[[#This Row],[Uniq-ID]]&amp;"-"&amp;Data_Master[[#This Row],[Period]]</f>
        <v>DC-Document_Controller-012-M4</v>
      </c>
      <c r="D150" t="s">
        <v>171</v>
      </c>
      <c r="E150" t="s">
        <v>11</v>
      </c>
      <c r="G150" t="s">
        <v>25</v>
      </c>
      <c r="H150" t="s">
        <v>128</v>
      </c>
      <c r="I150" t="s">
        <v>15</v>
      </c>
      <c r="J150" t="s">
        <v>16</v>
      </c>
      <c r="L150">
        <v>1.5</v>
      </c>
      <c r="M150">
        <v>4.9619999999999997</v>
      </c>
      <c r="N150" t="s">
        <v>2871</v>
      </c>
      <c r="O150" t="s">
        <v>2875</v>
      </c>
      <c r="P150" t="s">
        <v>2873</v>
      </c>
      <c r="Q150">
        <v>36</v>
      </c>
      <c r="R150">
        <v>31</v>
      </c>
      <c r="S150">
        <v>0.86109999999999998</v>
      </c>
    </row>
    <row r="151" spans="1:19">
      <c r="A151" t="s">
        <v>8</v>
      </c>
      <c r="B151" t="s">
        <v>170</v>
      </c>
      <c r="C151" t="str">
        <f>Data_Master[[#This Row],[Uniq-ID]]&amp;"-"&amp;Data_Master[[#This Row],[Period]]</f>
        <v>DC-Document_Controller-012-M4</v>
      </c>
      <c r="D151" t="s">
        <v>171</v>
      </c>
      <c r="E151" t="s">
        <v>11</v>
      </c>
      <c r="G151" t="s">
        <v>25</v>
      </c>
      <c r="H151" t="s">
        <v>128</v>
      </c>
      <c r="I151" t="s">
        <v>15</v>
      </c>
      <c r="J151" t="s">
        <v>16</v>
      </c>
      <c r="L151">
        <v>1.5</v>
      </c>
      <c r="M151">
        <v>4.9619999999999997</v>
      </c>
      <c r="N151" t="s">
        <v>2871</v>
      </c>
      <c r="O151" t="s">
        <v>2872</v>
      </c>
      <c r="P151" t="s">
        <v>2873</v>
      </c>
      <c r="Q151">
        <v>35</v>
      </c>
      <c r="R151">
        <v>28</v>
      </c>
      <c r="S151">
        <v>0.8</v>
      </c>
    </row>
    <row r="152" spans="1:19">
      <c r="A152" t="s">
        <v>8</v>
      </c>
      <c r="B152" t="s">
        <v>170</v>
      </c>
      <c r="C152" t="str">
        <f>Data_Master[[#This Row],[Uniq-ID]]&amp;"-"&amp;Data_Master[[#This Row],[Period]]</f>
        <v>DC-Document_Controller-012-M4</v>
      </c>
      <c r="D152" t="s">
        <v>171</v>
      </c>
      <c r="E152" t="s">
        <v>11</v>
      </c>
      <c r="G152" t="s">
        <v>25</v>
      </c>
      <c r="H152" t="s">
        <v>128</v>
      </c>
      <c r="I152" t="s">
        <v>15</v>
      </c>
      <c r="J152" t="s">
        <v>16</v>
      </c>
      <c r="L152">
        <v>1.5</v>
      </c>
      <c r="M152">
        <v>4.9619999999999997</v>
      </c>
      <c r="N152" t="s">
        <v>2871</v>
      </c>
      <c r="O152" t="s">
        <v>2877</v>
      </c>
      <c r="P152" t="s">
        <v>2873</v>
      </c>
      <c r="Q152">
        <v>32</v>
      </c>
      <c r="R152">
        <v>17</v>
      </c>
      <c r="S152">
        <v>0.53129999999999999</v>
      </c>
    </row>
    <row r="153" spans="1:19">
      <c r="A153" t="s">
        <v>8</v>
      </c>
      <c r="B153" t="s">
        <v>170</v>
      </c>
      <c r="C153" t="str">
        <f>Data_Master[[#This Row],[Uniq-ID]]&amp;"-"&amp;Data_Master[[#This Row],[Period]]</f>
        <v>DC-Document_Controller-012-M5</v>
      </c>
      <c r="D153" t="s">
        <v>171</v>
      </c>
      <c r="E153" t="s">
        <v>11</v>
      </c>
      <c r="G153" t="s">
        <v>28</v>
      </c>
      <c r="H153" t="s">
        <v>130</v>
      </c>
      <c r="I153" t="s">
        <v>15</v>
      </c>
      <c r="J153" t="s">
        <v>16</v>
      </c>
      <c r="L153">
        <v>1.5</v>
      </c>
      <c r="M153">
        <v>3.1619999999999999</v>
      </c>
      <c r="N153" t="s">
        <v>2879</v>
      </c>
      <c r="O153" t="s">
        <v>2880</v>
      </c>
      <c r="P153" t="s">
        <v>2873</v>
      </c>
      <c r="Q153">
        <v>13</v>
      </c>
      <c r="R153">
        <v>5</v>
      </c>
      <c r="S153">
        <v>0.3846</v>
      </c>
    </row>
    <row r="154" spans="1:19">
      <c r="A154" t="s">
        <v>8</v>
      </c>
      <c r="B154" t="s">
        <v>170</v>
      </c>
      <c r="C154" t="str">
        <f>Data_Master[[#This Row],[Uniq-ID]]&amp;"-"&amp;Data_Master[[#This Row],[Period]]</f>
        <v>DC-Document_Controller-012-M5</v>
      </c>
      <c r="D154" t="s">
        <v>171</v>
      </c>
      <c r="E154" t="s">
        <v>11</v>
      </c>
      <c r="G154" t="s">
        <v>28</v>
      </c>
      <c r="H154" t="s">
        <v>130</v>
      </c>
      <c r="I154" t="s">
        <v>15</v>
      </c>
      <c r="J154" t="s">
        <v>16</v>
      </c>
      <c r="L154">
        <v>1.5</v>
      </c>
      <c r="M154">
        <v>3.1619999999999999</v>
      </c>
      <c r="N154" t="s">
        <v>2879</v>
      </c>
      <c r="O154" t="s">
        <v>2894</v>
      </c>
      <c r="P154" t="s">
        <v>2873</v>
      </c>
      <c r="Q154">
        <v>26</v>
      </c>
      <c r="R154">
        <v>35</v>
      </c>
      <c r="S154">
        <v>1.3462000000000001</v>
      </c>
    </row>
    <row r="155" spans="1:19">
      <c r="A155" t="s">
        <v>8</v>
      </c>
      <c r="B155" t="s">
        <v>170</v>
      </c>
      <c r="C155" t="str">
        <f>Data_Master[[#This Row],[Uniq-ID]]&amp;"-"&amp;Data_Master[[#This Row],[Period]]</f>
        <v>DC-Document_Controller-012-M5</v>
      </c>
      <c r="D155" t="s">
        <v>171</v>
      </c>
      <c r="E155" t="s">
        <v>11</v>
      </c>
      <c r="G155" t="s">
        <v>28</v>
      </c>
      <c r="H155" t="s">
        <v>130</v>
      </c>
      <c r="I155" t="s">
        <v>15</v>
      </c>
      <c r="J155" t="s">
        <v>16</v>
      </c>
      <c r="L155">
        <v>1.5</v>
      </c>
      <c r="M155">
        <v>3.1619999999999999</v>
      </c>
      <c r="N155" t="s">
        <v>2871</v>
      </c>
      <c r="O155" t="s">
        <v>2877</v>
      </c>
      <c r="P155" t="s">
        <v>2873</v>
      </c>
      <c r="Q155">
        <v>32</v>
      </c>
      <c r="R155">
        <v>15</v>
      </c>
      <c r="S155">
        <v>0.46879999999999999</v>
      </c>
    </row>
    <row r="156" spans="1:19">
      <c r="A156" t="s">
        <v>8</v>
      </c>
      <c r="B156" t="s">
        <v>170</v>
      </c>
      <c r="C156" t="str">
        <f>Data_Master[[#This Row],[Uniq-ID]]&amp;"-"&amp;Data_Master[[#This Row],[Period]]</f>
        <v>DC-Document_Controller-012-M5</v>
      </c>
      <c r="D156" t="s">
        <v>171</v>
      </c>
      <c r="E156" t="s">
        <v>11</v>
      </c>
      <c r="G156" t="s">
        <v>28</v>
      </c>
      <c r="H156" t="s">
        <v>130</v>
      </c>
      <c r="I156" t="s">
        <v>15</v>
      </c>
      <c r="J156" t="s">
        <v>16</v>
      </c>
      <c r="L156">
        <v>1.5</v>
      </c>
      <c r="M156">
        <v>3.1619999999999999</v>
      </c>
      <c r="N156" t="s">
        <v>2871</v>
      </c>
      <c r="O156" t="s">
        <v>2872</v>
      </c>
      <c r="P156" t="s">
        <v>2873</v>
      </c>
      <c r="Q156">
        <v>35</v>
      </c>
      <c r="R156">
        <v>23</v>
      </c>
      <c r="S156">
        <v>0.65710000000000002</v>
      </c>
    </row>
    <row r="157" spans="1:19">
      <c r="A157" t="s">
        <v>8</v>
      </c>
      <c r="B157" t="s">
        <v>170</v>
      </c>
      <c r="C157" t="str">
        <f>Data_Master[[#This Row],[Uniq-ID]]&amp;"-"&amp;Data_Master[[#This Row],[Period]]</f>
        <v>DC-Document_Controller-012-M5</v>
      </c>
      <c r="D157" t="s">
        <v>171</v>
      </c>
      <c r="E157" t="s">
        <v>11</v>
      </c>
      <c r="G157" t="s">
        <v>28</v>
      </c>
      <c r="H157" t="s">
        <v>130</v>
      </c>
      <c r="I157" t="s">
        <v>15</v>
      </c>
      <c r="J157" t="s">
        <v>16</v>
      </c>
      <c r="L157">
        <v>1.5</v>
      </c>
      <c r="M157">
        <v>3.1619999999999999</v>
      </c>
      <c r="N157" t="s">
        <v>2871</v>
      </c>
      <c r="O157" t="s">
        <v>2875</v>
      </c>
      <c r="P157" t="s">
        <v>2873</v>
      </c>
      <c r="Q157">
        <v>36</v>
      </c>
      <c r="R157">
        <v>11</v>
      </c>
      <c r="S157">
        <v>0.30559999999999998</v>
      </c>
    </row>
    <row r="158" spans="1:19">
      <c r="A158" t="s">
        <v>8</v>
      </c>
      <c r="B158" t="s">
        <v>170</v>
      </c>
      <c r="C158" t="str">
        <f>Data_Master[[#This Row],[Uniq-ID]]&amp;"-"&amp;Data_Master[[#This Row],[Period]]</f>
        <v>DC-Document_Controller-012-M6</v>
      </c>
      <c r="D158" t="s">
        <v>171</v>
      </c>
      <c r="E158" t="s">
        <v>11</v>
      </c>
      <c r="G158" t="s">
        <v>31</v>
      </c>
      <c r="H158" t="s">
        <v>132</v>
      </c>
      <c r="I158" t="s">
        <v>33</v>
      </c>
      <c r="J158" t="s">
        <v>20</v>
      </c>
      <c r="L158">
        <v>1</v>
      </c>
      <c r="M158">
        <v>1.1890000000000001</v>
      </c>
      <c r="N158" t="s">
        <v>2871</v>
      </c>
      <c r="O158" t="s">
        <v>2875</v>
      </c>
      <c r="P158" t="s">
        <v>2873</v>
      </c>
      <c r="Q158">
        <v>36</v>
      </c>
      <c r="R158">
        <v>4</v>
      </c>
      <c r="S158">
        <v>0.1111</v>
      </c>
    </row>
    <row r="159" spans="1:19">
      <c r="A159" t="s">
        <v>8</v>
      </c>
      <c r="B159" t="s">
        <v>170</v>
      </c>
      <c r="C159" t="str">
        <f>Data_Master[[#This Row],[Uniq-ID]]&amp;"-"&amp;Data_Master[[#This Row],[Period]]</f>
        <v>DC-Document_Controller-012-M6</v>
      </c>
      <c r="D159" t="s">
        <v>171</v>
      </c>
      <c r="E159" t="s">
        <v>11</v>
      </c>
      <c r="G159" t="s">
        <v>31</v>
      </c>
      <c r="H159" t="s">
        <v>132</v>
      </c>
      <c r="I159" t="s">
        <v>33</v>
      </c>
      <c r="J159" t="s">
        <v>20</v>
      </c>
      <c r="L159">
        <v>1</v>
      </c>
      <c r="M159">
        <v>1.1890000000000001</v>
      </c>
      <c r="N159" t="s">
        <v>2871</v>
      </c>
      <c r="O159" t="s">
        <v>2872</v>
      </c>
      <c r="P159" t="s">
        <v>2873</v>
      </c>
      <c r="Q159">
        <v>35</v>
      </c>
      <c r="R159">
        <v>6</v>
      </c>
      <c r="S159">
        <v>0.1714</v>
      </c>
    </row>
    <row r="160" spans="1:19">
      <c r="A160" t="s">
        <v>8</v>
      </c>
      <c r="B160" t="s">
        <v>170</v>
      </c>
      <c r="C160" t="str">
        <f>Data_Master[[#This Row],[Uniq-ID]]&amp;"-"&amp;Data_Master[[#This Row],[Period]]</f>
        <v>DC-Document_Controller-012-M6</v>
      </c>
      <c r="D160" t="s">
        <v>171</v>
      </c>
      <c r="E160" t="s">
        <v>11</v>
      </c>
      <c r="G160" t="s">
        <v>31</v>
      </c>
      <c r="H160" t="s">
        <v>132</v>
      </c>
      <c r="I160" t="s">
        <v>33</v>
      </c>
      <c r="J160" t="s">
        <v>20</v>
      </c>
      <c r="L160">
        <v>1</v>
      </c>
      <c r="M160">
        <v>1.1890000000000001</v>
      </c>
      <c r="N160" t="s">
        <v>2871</v>
      </c>
      <c r="O160" t="s">
        <v>2877</v>
      </c>
      <c r="P160" t="s">
        <v>2873</v>
      </c>
      <c r="Q160">
        <v>32</v>
      </c>
      <c r="R160">
        <v>29</v>
      </c>
      <c r="S160">
        <v>0.90629999999999999</v>
      </c>
    </row>
    <row r="161" spans="1:19">
      <c r="A161" t="s">
        <v>8</v>
      </c>
      <c r="B161" t="s">
        <v>400</v>
      </c>
      <c r="C161" t="str">
        <f>Data_Master[[#This Row],[Uniq-ID]]&amp;"-"&amp;Data_Master[[#This Row],[Period]]</f>
        <v>DC-Document_Controller-013-M1</v>
      </c>
      <c r="D161" t="s">
        <v>401</v>
      </c>
      <c r="E161" t="s">
        <v>48</v>
      </c>
      <c r="G161" t="s">
        <v>13</v>
      </c>
      <c r="H161" t="s">
        <v>122</v>
      </c>
      <c r="I161" t="s">
        <v>15</v>
      </c>
      <c r="J161" t="s">
        <v>44</v>
      </c>
      <c r="M161">
        <v>0</v>
      </c>
    </row>
    <row r="162" spans="1:19">
      <c r="A162" t="s">
        <v>8</v>
      </c>
      <c r="B162" t="s">
        <v>400</v>
      </c>
      <c r="C162" t="str">
        <f>Data_Master[[#This Row],[Uniq-ID]]&amp;"-"&amp;Data_Master[[#This Row],[Period]]</f>
        <v>DC-Document_Controller-013-M2</v>
      </c>
      <c r="D162" t="s">
        <v>401</v>
      </c>
      <c r="E162" t="s">
        <v>48</v>
      </c>
      <c r="G162" t="s">
        <v>18</v>
      </c>
      <c r="H162" t="s">
        <v>124</v>
      </c>
      <c r="I162" t="s">
        <v>15</v>
      </c>
      <c r="J162" t="s">
        <v>44</v>
      </c>
      <c r="M162">
        <v>0</v>
      </c>
    </row>
    <row r="163" spans="1:19">
      <c r="A163" t="s">
        <v>8</v>
      </c>
      <c r="B163" t="s">
        <v>400</v>
      </c>
      <c r="C163" t="str">
        <f>Data_Master[[#This Row],[Uniq-ID]]&amp;"-"&amp;Data_Master[[#This Row],[Period]]</f>
        <v>DC-Document_Controller-013-M3</v>
      </c>
      <c r="D163" t="s">
        <v>401</v>
      </c>
      <c r="E163" t="s">
        <v>48</v>
      </c>
      <c r="G163" t="s">
        <v>22</v>
      </c>
      <c r="H163" t="s">
        <v>126</v>
      </c>
      <c r="I163" t="s">
        <v>15</v>
      </c>
      <c r="J163" t="s">
        <v>44</v>
      </c>
      <c r="M163">
        <v>0</v>
      </c>
    </row>
    <row r="164" spans="1:19">
      <c r="A164" t="s">
        <v>8</v>
      </c>
      <c r="B164" t="s">
        <v>400</v>
      </c>
      <c r="C164" t="str">
        <f>Data_Master[[#This Row],[Uniq-ID]]&amp;"-"&amp;Data_Master[[#This Row],[Period]]</f>
        <v>DC-Document_Controller-013-M4</v>
      </c>
      <c r="D164" t="s">
        <v>401</v>
      </c>
      <c r="E164" t="s">
        <v>48</v>
      </c>
      <c r="G164" t="s">
        <v>25</v>
      </c>
      <c r="H164" t="s">
        <v>128</v>
      </c>
      <c r="I164" t="s">
        <v>15</v>
      </c>
      <c r="J164" t="s">
        <v>44</v>
      </c>
      <c r="M164">
        <v>0</v>
      </c>
    </row>
    <row r="165" spans="1:19">
      <c r="A165" t="s">
        <v>8</v>
      </c>
      <c r="B165" t="s">
        <v>400</v>
      </c>
      <c r="C165" t="str">
        <f>Data_Master[[#This Row],[Uniq-ID]]&amp;"-"&amp;Data_Master[[#This Row],[Period]]</f>
        <v>DC-Document_Controller-013-M5</v>
      </c>
      <c r="D165" t="s">
        <v>401</v>
      </c>
      <c r="E165" t="s">
        <v>48</v>
      </c>
      <c r="G165" t="s">
        <v>28</v>
      </c>
      <c r="H165" t="s">
        <v>130</v>
      </c>
      <c r="I165" t="s">
        <v>15</v>
      </c>
      <c r="J165" t="s">
        <v>44</v>
      </c>
      <c r="M165">
        <v>0</v>
      </c>
    </row>
    <row r="166" spans="1:19">
      <c r="A166" t="s">
        <v>8</v>
      </c>
      <c r="B166" t="s">
        <v>400</v>
      </c>
      <c r="C166" t="str">
        <f>Data_Master[[#This Row],[Uniq-ID]]&amp;"-"&amp;Data_Master[[#This Row],[Period]]</f>
        <v>DC-Document_Controller-013-M6</v>
      </c>
      <c r="D166" t="s">
        <v>401</v>
      </c>
      <c r="E166" t="s">
        <v>48</v>
      </c>
      <c r="G166" t="s">
        <v>31</v>
      </c>
      <c r="H166" t="s">
        <v>132</v>
      </c>
      <c r="I166" t="s">
        <v>33</v>
      </c>
      <c r="J166" t="s">
        <v>44</v>
      </c>
      <c r="M166">
        <v>0</v>
      </c>
    </row>
    <row r="167" spans="1:19">
      <c r="A167" t="s">
        <v>8</v>
      </c>
      <c r="B167" t="s">
        <v>419</v>
      </c>
      <c r="C167" t="str">
        <f>Data_Master[[#This Row],[Uniq-ID]]&amp;"-"&amp;Data_Master[[#This Row],[Period]]</f>
        <v>DC-Document_Controller-014-M1</v>
      </c>
      <c r="D167" t="s">
        <v>420</v>
      </c>
      <c r="E167" t="s">
        <v>76</v>
      </c>
      <c r="G167" t="s">
        <v>13</v>
      </c>
      <c r="H167" t="s">
        <v>122</v>
      </c>
      <c r="I167" t="s">
        <v>15</v>
      </c>
      <c r="J167" t="s">
        <v>44</v>
      </c>
      <c r="L167">
        <v>0.5</v>
      </c>
      <c r="M167">
        <v>3.2000000000000001E-2</v>
      </c>
      <c r="N167" t="s">
        <v>2887</v>
      </c>
      <c r="O167" t="s">
        <v>3294</v>
      </c>
      <c r="P167" t="s">
        <v>2916</v>
      </c>
      <c r="Q167">
        <v>250</v>
      </c>
      <c r="R167">
        <v>8</v>
      </c>
      <c r="S167">
        <v>3.2000000000000001E-2</v>
      </c>
    </row>
    <row r="168" spans="1:19">
      <c r="A168" t="s">
        <v>8</v>
      </c>
      <c r="B168" t="s">
        <v>419</v>
      </c>
      <c r="C168" t="str">
        <f>Data_Master[[#This Row],[Uniq-ID]]&amp;"-"&amp;Data_Master[[#This Row],[Period]]</f>
        <v>DC-Document_Controller-014-M2</v>
      </c>
      <c r="D168" t="s">
        <v>420</v>
      </c>
      <c r="E168" t="s">
        <v>76</v>
      </c>
      <c r="G168" t="s">
        <v>18</v>
      </c>
      <c r="H168" t="s">
        <v>124</v>
      </c>
      <c r="I168" t="s">
        <v>15</v>
      </c>
      <c r="J168" t="s">
        <v>20</v>
      </c>
      <c r="L168">
        <v>1</v>
      </c>
      <c r="M168">
        <v>1.4179999999999999</v>
      </c>
      <c r="N168" t="s">
        <v>2887</v>
      </c>
      <c r="O168" t="s">
        <v>3154</v>
      </c>
      <c r="P168" t="s">
        <v>2916</v>
      </c>
      <c r="Q168">
        <v>110</v>
      </c>
      <c r="R168">
        <v>156</v>
      </c>
      <c r="S168">
        <v>1.4181999999999999</v>
      </c>
    </row>
    <row r="169" spans="1:19">
      <c r="A169" t="s">
        <v>8</v>
      </c>
      <c r="B169" t="s">
        <v>419</v>
      </c>
      <c r="C169" t="str">
        <f>Data_Master[[#This Row],[Uniq-ID]]&amp;"-"&amp;Data_Master[[#This Row],[Period]]</f>
        <v>DC-Document_Controller-014-M3</v>
      </c>
      <c r="D169" t="s">
        <v>420</v>
      </c>
      <c r="E169" t="s">
        <v>76</v>
      </c>
      <c r="G169" t="s">
        <v>22</v>
      </c>
      <c r="H169" t="s">
        <v>126</v>
      </c>
      <c r="I169" t="s">
        <v>15</v>
      </c>
      <c r="J169" t="s">
        <v>20</v>
      </c>
      <c r="L169">
        <v>1</v>
      </c>
      <c r="M169">
        <v>1.1819999999999999</v>
      </c>
      <c r="N169" t="s">
        <v>2887</v>
      </c>
      <c r="O169" t="s">
        <v>3154</v>
      </c>
      <c r="P169" t="s">
        <v>2916</v>
      </c>
      <c r="Q169">
        <v>110</v>
      </c>
      <c r="R169">
        <v>130</v>
      </c>
      <c r="S169">
        <v>1.1818</v>
      </c>
    </row>
    <row r="170" spans="1:19">
      <c r="A170" t="s">
        <v>8</v>
      </c>
      <c r="B170" t="s">
        <v>419</v>
      </c>
      <c r="C170" t="str">
        <f>Data_Master[[#This Row],[Uniq-ID]]&amp;"-"&amp;Data_Master[[#This Row],[Period]]</f>
        <v>DC-Document_Controller-014-M4</v>
      </c>
      <c r="D170" t="s">
        <v>420</v>
      </c>
      <c r="E170" t="s">
        <v>76</v>
      </c>
      <c r="G170" t="s">
        <v>25</v>
      </c>
      <c r="H170" t="s">
        <v>128</v>
      </c>
      <c r="I170" t="s">
        <v>15</v>
      </c>
      <c r="J170" t="s">
        <v>20</v>
      </c>
      <c r="L170">
        <v>1</v>
      </c>
      <c r="M170">
        <v>1</v>
      </c>
      <c r="N170" t="s">
        <v>2887</v>
      </c>
      <c r="O170" t="s">
        <v>3294</v>
      </c>
      <c r="P170" t="s">
        <v>2916</v>
      </c>
      <c r="Q170">
        <v>250</v>
      </c>
      <c r="R170">
        <v>250</v>
      </c>
      <c r="S170">
        <v>1</v>
      </c>
    </row>
    <row r="171" spans="1:19">
      <c r="A171" t="s">
        <v>8</v>
      </c>
      <c r="B171" t="s">
        <v>419</v>
      </c>
      <c r="C171" t="str">
        <f>Data_Master[[#This Row],[Uniq-ID]]&amp;"-"&amp;Data_Master[[#This Row],[Period]]</f>
        <v>DC-Document_Controller-014-M5</v>
      </c>
      <c r="D171" t="s">
        <v>420</v>
      </c>
      <c r="E171" t="s">
        <v>76</v>
      </c>
      <c r="G171" t="s">
        <v>28</v>
      </c>
      <c r="H171" t="s">
        <v>130</v>
      </c>
      <c r="I171" t="s">
        <v>15</v>
      </c>
      <c r="J171" t="s">
        <v>20</v>
      </c>
      <c r="L171">
        <v>1</v>
      </c>
      <c r="M171">
        <v>1.0820000000000001</v>
      </c>
      <c r="N171" t="s">
        <v>2887</v>
      </c>
      <c r="O171" t="s">
        <v>3348</v>
      </c>
      <c r="P171" t="s">
        <v>2916</v>
      </c>
      <c r="Q171">
        <v>149</v>
      </c>
      <c r="R171">
        <v>28</v>
      </c>
      <c r="S171">
        <v>0.18790000000000001</v>
      </c>
    </row>
    <row r="172" spans="1:19">
      <c r="A172" t="s">
        <v>8</v>
      </c>
      <c r="B172" t="s">
        <v>419</v>
      </c>
      <c r="C172" t="str">
        <f>Data_Master[[#This Row],[Uniq-ID]]&amp;"-"&amp;Data_Master[[#This Row],[Period]]</f>
        <v>DC-Document_Controller-014-M5</v>
      </c>
      <c r="D172" t="s">
        <v>420</v>
      </c>
      <c r="E172" t="s">
        <v>76</v>
      </c>
      <c r="G172" t="s">
        <v>28</v>
      </c>
      <c r="H172" t="s">
        <v>130</v>
      </c>
      <c r="I172" t="s">
        <v>15</v>
      </c>
      <c r="J172" t="s">
        <v>20</v>
      </c>
      <c r="L172">
        <v>1</v>
      </c>
      <c r="M172">
        <v>1.0820000000000001</v>
      </c>
      <c r="N172" t="s">
        <v>2887</v>
      </c>
      <c r="O172" t="s">
        <v>3348</v>
      </c>
      <c r="P172" t="s">
        <v>2916</v>
      </c>
      <c r="R172">
        <v>28</v>
      </c>
    </row>
    <row r="173" spans="1:19">
      <c r="A173" t="s">
        <v>8</v>
      </c>
      <c r="B173" t="s">
        <v>419</v>
      </c>
      <c r="C173" t="str">
        <f>Data_Master[[#This Row],[Uniq-ID]]&amp;"-"&amp;Data_Master[[#This Row],[Period]]</f>
        <v>DC-Document_Controller-014-M5</v>
      </c>
      <c r="D173" t="s">
        <v>420</v>
      </c>
      <c r="E173" t="s">
        <v>76</v>
      </c>
      <c r="G173" t="s">
        <v>28</v>
      </c>
      <c r="H173" t="s">
        <v>130</v>
      </c>
      <c r="I173" t="s">
        <v>15</v>
      </c>
      <c r="J173" t="s">
        <v>20</v>
      </c>
      <c r="L173">
        <v>1</v>
      </c>
      <c r="M173">
        <v>1.0820000000000001</v>
      </c>
      <c r="N173" t="s">
        <v>2887</v>
      </c>
      <c r="O173" t="s">
        <v>3294</v>
      </c>
      <c r="P173" t="s">
        <v>2916</v>
      </c>
      <c r="Q173">
        <v>250</v>
      </c>
      <c r="R173">
        <v>178</v>
      </c>
      <c r="S173">
        <v>0.71199999999999997</v>
      </c>
    </row>
    <row r="174" spans="1:19">
      <c r="A174" t="s">
        <v>8</v>
      </c>
      <c r="B174" t="s">
        <v>419</v>
      </c>
      <c r="C174" t="str">
        <f>Data_Master[[#This Row],[Uniq-ID]]&amp;"-"&amp;Data_Master[[#This Row],[Period]]</f>
        <v>DC-Document_Controller-014-M5</v>
      </c>
      <c r="D174" t="s">
        <v>420</v>
      </c>
      <c r="E174" t="s">
        <v>76</v>
      </c>
      <c r="G174" t="s">
        <v>28</v>
      </c>
      <c r="H174" t="s">
        <v>130</v>
      </c>
      <c r="I174" t="s">
        <v>15</v>
      </c>
      <c r="J174" t="s">
        <v>20</v>
      </c>
      <c r="L174">
        <v>1</v>
      </c>
      <c r="M174">
        <v>1.0820000000000001</v>
      </c>
      <c r="N174" t="s">
        <v>2887</v>
      </c>
      <c r="O174" t="s">
        <v>3154</v>
      </c>
      <c r="P174" t="s">
        <v>2916</v>
      </c>
      <c r="Q174">
        <v>110</v>
      </c>
      <c r="R174">
        <v>20</v>
      </c>
      <c r="S174">
        <v>0.18179999999999999</v>
      </c>
    </row>
    <row r="175" spans="1:19">
      <c r="A175" t="s">
        <v>8</v>
      </c>
      <c r="B175" t="s">
        <v>419</v>
      </c>
      <c r="C175" t="str">
        <f>Data_Master[[#This Row],[Uniq-ID]]&amp;"-"&amp;Data_Master[[#This Row],[Period]]</f>
        <v>DC-Document_Controller-014-M6</v>
      </c>
      <c r="D175" t="s">
        <v>420</v>
      </c>
      <c r="E175" t="s">
        <v>76</v>
      </c>
      <c r="G175" t="s">
        <v>31</v>
      </c>
      <c r="H175" t="s">
        <v>132</v>
      </c>
      <c r="I175" t="s">
        <v>33</v>
      </c>
      <c r="J175" t="s">
        <v>44</v>
      </c>
      <c r="M175">
        <v>0</v>
      </c>
    </row>
    <row r="176" spans="1:19">
      <c r="A176" t="s">
        <v>8</v>
      </c>
      <c r="B176" t="s">
        <v>275</v>
      </c>
      <c r="C176" t="str">
        <f>Data_Master[[#This Row],[Uniq-ID]]&amp;"-"&amp;Data_Master[[#This Row],[Period]]</f>
        <v>DC-Document_Controller-015-M1</v>
      </c>
      <c r="D176" t="s">
        <v>276</v>
      </c>
      <c r="E176" t="s">
        <v>48</v>
      </c>
      <c r="G176" t="s">
        <v>13</v>
      </c>
      <c r="H176" t="s">
        <v>200</v>
      </c>
      <c r="I176" t="s">
        <v>15</v>
      </c>
      <c r="J176" t="s">
        <v>20</v>
      </c>
      <c r="L176">
        <v>1</v>
      </c>
      <c r="M176">
        <v>1.7689999999999999</v>
      </c>
      <c r="N176" t="s">
        <v>2887</v>
      </c>
      <c r="O176" t="s">
        <v>3255</v>
      </c>
      <c r="P176" t="s">
        <v>2916</v>
      </c>
      <c r="Q176">
        <v>26</v>
      </c>
      <c r="R176">
        <v>46</v>
      </c>
      <c r="S176">
        <v>1.7692000000000001</v>
      </c>
    </row>
    <row r="177" spans="1:19">
      <c r="A177" t="s">
        <v>8</v>
      </c>
      <c r="B177" t="s">
        <v>275</v>
      </c>
      <c r="C177" t="str">
        <f>Data_Master[[#This Row],[Uniq-ID]]&amp;"-"&amp;Data_Master[[#This Row],[Period]]</f>
        <v>DC-Document_Controller-015-M2</v>
      </c>
      <c r="D177" t="s">
        <v>276</v>
      </c>
      <c r="E177" t="s">
        <v>48</v>
      </c>
      <c r="G177" t="s">
        <v>18</v>
      </c>
      <c r="H177" t="s">
        <v>202</v>
      </c>
      <c r="I177" t="s">
        <v>15</v>
      </c>
      <c r="J177" t="s">
        <v>16</v>
      </c>
      <c r="L177">
        <v>1.5</v>
      </c>
      <c r="M177">
        <v>3.1920000000000002</v>
      </c>
      <c r="N177" t="s">
        <v>2887</v>
      </c>
      <c r="O177" t="s">
        <v>3255</v>
      </c>
      <c r="P177" t="s">
        <v>2916</v>
      </c>
      <c r="Q177">
        <v>26</v>
      </c>
      <c r="R177">
        <v>83</v>
      </c>
      <c r="S177">
        <v>3.1922999999999999</v>
      </c>
    </row>
    <row r="178" spans="1:19">
      <c r="A178" t="s">
        <v>8</v>
      </c>
      <c r="B178" t="s">
        <v>275</v>
      </c>
      <c r="C178" t="str">
        <f>Data_Master[[#This Row],[Uniq-ID]]&amp;"-"&amp;Data_Master[[#This Row],[Period]]</f>
        <v>DC-Document_Controller-015-M3</v>
      </c>
      <c r="D178" t="s">
        <v>276</v>
      </c>
      <c r="E178" t="s">
        <v>48</v>
      </c>
      <c r="G178" t="s">
        <v>22</v>
      </c>
      <c r="H178" t="s">
        <v>204</v>
      </c>
      <c r="I178" t="s">
        <v>15</v>
      </c>
      <c r="J178" t="s">
        <v>20</v>
      </c>
      <c r="L178">
        <v>1</v>
      </c>
      <c r="M178">
        <v>1.538</v>
      </c>
      <c r="N178" t="s">
        <v>2887</v>
      </c>
      <c r="O178" t="s">
        <v>3255</v>
      </c>
      <c r="P178" t="s">
        <v>2916</v>
      </c>
      <c r="Q178">
        <v>26</v>
      </c>
      <c r="R178">
        <v>40</v>
      </c>
      <c r="S178">
        <v>1.5385</v>
      </c>
    </row>
    <row r="179" spans="1:19">
      <c r="A179" t="s">
        <v>8</v>
      </c>
      <c r="B179" t="s">
        <v>275</v>
      </c>
      <c r="C179" t="str">
        <f>Data_Master[[#This Row],[Uniq-ID]]&amp;"-"&amp;Data_Master[[#This Row],[Period]]</f>
        <v>DC-Document_Controller-015-M4</v>
      </c>
      <c r="D179" t="s">
        <v>276</v>
      </c>
      <c r="E179" t="s">
        <v>48</v>
      </c>
      <c r="G179" t="s">
        <v>25</v>
      </c>
      <c r="H179" t="s">
        <v>206</v>
      </c>
      <c r="I179" t="s">
        <v>15</v>
      </c>
      <c r="J179" t="s">
        <v>20</v>
      </c>
      <c r="L179">
        <v>1</v>
      </c>
      <c r="M179">
        <v>1.923</v>
      </c>
      <c r="N179" t="s">
        <v>2887</v>
      </c>
      <c r="O179" t="s">
        <v>3255</v>
      </c>
      <c r="P179" t="s">
        <v>2916</v>
      </c>
      <c r="Q179">
        <v>26</v>
      </c>
      <c r="R179">
        <v>50</v>
      </c>
      <c r="S179">
        <v>1.9231</v>
      </c>
    </row>
    <row r="180" spans="1:19">
      <c r="A180" t="s">
        <v>8</v>
      </c>
      <c r="B180" t="s">
        <v>275</v>
      </c>
      <c r="C180" t="str">
        <f>Data_Master[[#This Row],[Uniq-ID]]&amp;"-"&amp;Data_Master[[#This Row],[Period]]</f>
        <v>DC-Document_Controller-015-M5</v>
      </c>
      <c r="D180" t="s">
        <v>276</v>
      </c>
      <c r="E180" t="s">
        <v>48</v>
      </c>
      <c r="G180" t="s">
        <v>28</v>
      </c>
      <c r="H180" t="s">
        <v>208</v>
      </c>
      <c r="I180" t="s">
        <v>15</v>
      </c>
      <c r="J180" t="s">
        <v>20</v>
      </c>
      <c r="L180">
        <v>1</v>
      </c>
      <c r="M180">
        <v>1.577</v>
      </c>
      <c r="N180" t="s">
        <v>2887</v>
      </c>
      <c r="O180" t="s">
        <v>3255</v>
      </c>
      <c r="P180" t="s">
        <v>2916</v>
      </c>
      <c r="Q180">
        <v>26</v>
      </c>
      <c r="R180">
        <v>41</v>
      </c>
      <c r="S180">
        <v>1.5769</v>
      </c>
    </row>
    <row r="181" spans="1:19">
      <c r="A181" t="s">
        <v>8</v>
      </c>
      <c r="B181" t="s">
        <v>275</v>
      </c>
      <c r="C181" t="str">
        <f>Data_Master[[#This Row],[Uniq-ID]]&amp;"-"&amp;Data_Master[[#This Row],[Period]]</f>
        <v>DC-Document_Controller-015-M6</v>
      </c>
      <c r="D181" t="s">
        <v>276</v>
      </c>
      <c r="E181" t="s">
        <v>48</v>
      </c>
      <c r="G181" t="s">
        <v>31</v>
      </c>
      <c r="H181" t="s">
        <v>210</v>
      </c>
      <c r="I181" t="s">
        <v>33</v>
      </c>
      <c r="J181" t="s">
        <v>44</v>
      </c>
      <c r="M181">
        <v>0</v>
      </c>
    </row>
    <row r="182" spans="1:19">
      <c r="A182" t="s">
        <v>8</v>
      </c>
      <c r="B182" t="s">
        <v>435</v>
      </c>
      <c r="C182" t="str">
        <f>Data_Master[[#This Row],[Uniq-ID]]&amp;"-"&amp;Data_Master[[#This Row],[Period]]</f>
        <v>DC-Document_Controller-016-M1</v>
      </c>
      <c r="D182" t="s">
        <v>436</v>
      </c>
      <c r="E182" t="s">
        <v>48</v>
      </c>
      <c r="G182" t="s">
        <v>13</v>
      </c>
      <c r="H182" t="s">
        <v>200</v>
      </c>
      <c r="I182" t="s">
        <v>15</v>
      </c>
      <c r="J182" t="s">
        <v>44</v>
      </c>
      <c r="M182">
        <v>0</v>
      </c>
    </row>
    <row r="183" spans="1:19">
      <c r="A183" t="s">
        <v>8</v>
      </c>
      <c r="B183" t="s">
        <v>435</v>
      </c>
      <c r="C183" t="str">
        <f>Data_Master[[#This Row],[Uniq-ID]]&amp;"-"&amp;Data_Master[[#This Row],[Period]]</f>
        <v>DC-Document_Controller-016-M2</v>
      </c>
      <c r="D183" t="s">
        <v>436</v>
      </c>
      <c r="E183" t="s">
        <v>48</v>
      </c>
      <c r="G183" t="s">
        <v>18</v>
      </c>
      <c r="H183" t="s">
        <v>202</v>
      </c>
      <c r="I183" t="s">
        <v>15</v>
      </c>
      <c r="J183" t="s">
        <v>44</v>
      </c>
      <c r="L183">
        <v>0.5</v>
      </c>
      <c r="M183">
        <v>0.27100000000000002</v>
      </c>
      <c r="N183" t="s">
        <v>2887</v>
      </c>
      <c r="O183" t="s">
        <v>3354</v>
      </c>
      <c r="P183" t="s">
        <v>2916</v>
      </c>
      <c r="Q183">
        <v>924</v>
      </c>
      <c r="R183">
        <v>250</v>
      </c>
      <c r="S183">
        <v>0.27060000000000001</v>
      </c>
    </row>
    <row r="184" spans="1:19">
      <c r="A184" t="s">
        <v>8</v>
      </c>
      <c r="B184" t="s">
        <v>435</v>
      </c>
      <c r="C184" t="str">
        <f>Data_Master[[#This Row],[Uniq-ID]]&amp;"-"&amp;Data_Master[[#This Row],[Period]]</f>
        <v>DC-Document_Controller-016-M3</v>
      </c>
      <c r="D184" t="s">
        <v>436</v>
      </c>
      <c r="E184" t="s">
        <v>48</v>
      </c>
      <c r="G184" t="s">
        <v>22</v>
      </c>
      <c r="H184" t="s">
        <v>204</v>
      </c>
      <c r="I184" t="s">
        <v>15</v>
      </c>
      <c r="J184" t="s">
        <v>44</v>
      </c>
      <c r="M184">
        <v>0</v>
      </c>
    </row>
    <row r="185" spans="1:19">
      <c r="A185" t="s">
        <v>8</v>
      </c>
      <c r="B185" t="s">
        <v>435</v>
      </c>
      <c r="C185" t="str">
        <f>Data_Master[[#This Row],[Uniq-ID]]&amp;"-"&amp;Data_Master[[#This Row],[Period]]</f>
        <v>DC-Document_Controller-016-M4</v>
      </c>
      <c r="D185" t="s">
        <v>436</v>
      </c>
      <c r="E185" t="s">
        <v>48</v>
      </c>
      <c r="G185" t="s">
        <v>25</v>
      </c>
      <c r="H185" t="s">
        <v>206</v>
      </c>
      <c r="I185" t="s">
        <v>15</v>
      </c>
      <c r="J185" t="s">
        <v>44</v>
      </c>
      <c r="M185">
        <v>0</v>
      </c>
    </row>
    <row r="186" spans="1:19">
      <c r="A186" t="s">
        <v>8</v>
      </c>
      <c r="B186" t="s">
        <v>435</v>
      </c>
      <c r="C186" t="str">
        <f>Data_Master[[#This Row],[Uniq-ID]]&amp;"-"&amp;Data_Master[[#This Row],[Period]]</f>
        <v>DC-Document_Controller-016-M5</v>
      </c>
      <c r="D186" t="s">
        <v>436</v>
      </c>
      <c r="E186" t="s">
        <v>48</v>
      </c>
      <c r="G186" t="s">
        <v>28</v>
      </c>
      <c r="H186" t="s">
        <v>208</v>
      </c>
      <c r="I186" t="s">
        <v>15</v>
      </c>
      <c r="J186" t="s">
        <v>44</v>
      </c>
      <c r="L186">
        <v>0.54</v>
      </c>
      <c r="M186">
        <v>0.54200000000000004</v>
      </c>
      <c r="N186" t="s">
        <v>2887</v>
      </c>
      <c r="O186" t="s">
        <v>3354</v>
      </c>
      <c r="P186" t="s">
        <v>2916</v>
      </c>
      <c r="Q186">
        <v>924</v>
      </c>
      <c r="R186">
        <v>501</v>
      </c>
      <c r="S186">
        <v>0.54220000000000002</v>
      </c>
    </row>
    <row r="187" spans="1:19">
      <c r="A187" t="s">
        <v>8</v>
      </c>
      <c r="B187" t="s">
        <v>435</v>
      </c>
      <c r="C187" t="str">
        <f>Data_Master[[#This Row],[Uniq-ID]]&amp;"-"&amp;Data_Master[[#This Row],[Period]]</f>
        <v>DC-Document_Controller-016-M6</v>
      </c>
      <c r="D187" t="s">
        <v>436</v>
      </c>
      <c r="E187" t="s">
        <v>48</v>
      </c>
      <c r="G187" t="s">
        <v>31</v>
      </c>
      <c r="H187" t="s">
        <v>210</v>
      </c>
      <c r="I187" t="s">
        <v>33</v>
      </c>
      <c r="J187" t="s">
        <v>44</v>
      </c>
      <c r="M187">
        <v>0</v>
      </c>
    </row>
    <row r="188" spans="1:19">
      <c r="A188" t="s">
        <v>8</v>
      </c>
      <c r="B188" t="s">
        <v>211</v>
      </c>
      <c r="C188" t="str">
        <f>Data_Master[[#This Row],[Uniq-ID]]&amp;"-"&amp;Data_Master[[#This Row],[Period]]</f>
        <v>DC-Document_Controller-017-M1</v>
      </c>
      <c r="D188" t="s">
        <v>212</v>
      </c>
      <c r="E188" t="s">
        <v>48</v>
      </c>
      <c r="G188" t="s">
        <v>13</v>
      </c>
      <c r="H188" t="s">
        <v>200</v>
      </c>
      <c r="I188" t="s">
        <v>15</v>
      </c>
      <c r="J188" t="s">
        <v>16</v>
      </c>
      <c r="L188">
        <v>1.05</v>
      </c>
      <c r="M188">
        <v>2.093</v>
      </c>
      <c r="N188" t="s">
        <v>2871</v>
      </c>
      <c r="O188" t="s">
        <v>3190</v>
      </c>
      <c r="P188" t="s">
        <v>2873</v>
      </c>
      <c r="Q188">
        <v>168</v>
      </c>
      <c r="R188">
        <v>140</v>
      </c>
      <c r="S188">
        <v>0.83330000000000004</v>
      </c>
    </row>
    <row r="189" spans="1:19">
      <c r="A189" t="s">
        <v>8</v>
      </c>
      <c r="B189" t="s">
        <v>211</v>
      </c>
      <c r="C189" t="str">
        <f>Data_Master[[#This Row],[Uniq-ID]]&amp;"-"&amp;Data_Master[[#This Row],[Period]]</f>
        <v>DC-Document_Controller-017-M1</v>
      </c>
      <c r="D189" t="s">
        <v>212</v>
      </c>
      <c r="E189" t="s">
        <v>48</v>
      </c>
      <c r="G189" t="s">
        <v>13</v>
      </c>
      <c r="H189" t="s">
        <v>200</v>
      </c>
      <c r="I189" t="s">
        <v>15</v>
      </c>
      <c r="J189" t="s">
        <v>16</v>
      </c>
      <c r="L189">
        <v>1.05</v>
      </c>
      <c r="M189">
        <v>2.093</v>
      </c>
      <c r="N189" t="s">
        <v>2871</v>
      </c>
      <c r="O189" t="s">
        <v>3192</v>
      </c>
      <c r="P189" t="s">
        <v>2873</v>
      </c>
      <c r="Q189">
        <v>154</v>
      </c>
      <c r="R189">
        <v>108</v>
      </c>
      <c r="S189">
        <v>0.70130000000000003</v>
      </c>
    </row>
    <row r="190" spans="1:19">
      <c r="A190" t="s">
        <v>8</v>
      </c>
      <c r="B190" t="s">
        <v>211</v>
      </c>
      <c r="C190" t="str">
        <f>Data_Master[[#This Row],[Uniq-ID]]&amp;"-"&amp;Data_Master[[#This Row],[Period]]</f>
        <v>DC-Document_Controller-017-M1</v>
      </c>
      <c r="D190" t="s">
        <v>212</v>
      </c>
      <c r="E190" t="s">
        <v>48</v>
      </c>
      <c r="G190" t="s">
        <v>13</v>
      </c>
      <c r="H190" t="s">
        <v>200</v>
      </c>
      <c r="I190" t="s">
        <v>15</v>
      </c>
      <c r="J190" t="s">
        <v>16</v>
      </c>
      <c r="L190">
        <v>1.05</v>
      </c>
      <c r="M190">
        <v>2.093</v>
      </c>
      <c r="N190" t="s">
        <v>2887</v>
      </c>
      <c r="O190" t="s">
        <v>3194</v>
      </c>
      <c r="P190" t="s">
        <v>2873</v>
      </c>
      <c r="Q190">
        <v>616</v>
      </c>
      <c r="R190">
        <v>344</v>
      </c>
      <c r="S190">
        <v>0.55840000000000001</v>
      </c>
    </row>
    <row r="191" spans="1:19">
      <c r="A191" t="s">
        <v>8</v>
      </c>
      <c r="B191" t="s">
        <v>211</v>
      </c>
      <c r="C191" t="str">
        <f>Data_Master[[#This Row],[Uniq-ID]]&amp;"-"&amp;Data_Master[[#This Row],[Period]]</f>
        <v>DC-Document_Controller-017-M2</v>
      </c>
      <c r="D191" t="s">
        <v>212</v>
      </c>
      <c r="E191" t="s">
        <v>48</v>
      </c>
      <c r="G191" t="s">
        <v>18</v>
      </c>
      <c r="H191" t="s">
        <v>202</v>
      </c>
      <c r="I191" t="s">
        <v>15</v>
      </c>
      <c r="J191" t="s">
        <v>16</v>
      </c>
      <c r="L191">
        <v>1.17</v>
      </c>
      <c r="M191">
        <v>2.347</v>
      </c>
      <c r="N191" t="s">
        <v>2887</v>
      </c>
      <c r="O191" t="s">
        <v>3194</v>
      </c>
      <c r="P191" t="s">
        <v>2873</v>
      </c>
      <c r="Q191">
        <v>616</v>
      </c>
      <c r="R191">
        <v>326</v>
      </c>
      <c r="S191">
        <v>0.5292</v>
      </c>
    </row>
    <row r="192" spans="1:19">
      <c r="A192" t="s">
        <v>8</v>
      </c>
      <c r="B192" t="s">
        <v>211</v>
      </c>
      <c r="C192" t="str">
        <f>Data_Master[[#This Row],[Uniq-ID]]&amp;"-"&amp;Data_Master[[#This Row],[Period]]</f>
        <v>DC-Document_Controller-017-M2</v>
      </c>
      <c r="D192" t="s">
        <v>212</v>
      </c>
      <c r="E192" t="s">
        <v>48</v>
      </c>
      <c r="G192" t="s">
        <v>18</v>
      </c>
      <c r="H192" t="s">
        <v>202</v>
      </c>
      <c r="I192" t="s">
        <v>15</v>
      </c>
      <c r="J192" t="s">
        <v>16</v>
      </c>
      <c r="L192">
        <v>1.17</v>
      </c>
      <c r="M192">
        <v>2.347</v>
      </c>
      <c r="N192" t="s">
        <v>2871</v>
      </c>
      <c r="O192" t="s">
        <v>3192</v>
      </c>
      <c r="P192" t="s">
        <v>2873</v>
      </c>
      <c r="Q192">
        <v>154</v>
      </c>
      <c r="R192">
        <v>115</v>
      </c>
      <c r="S192">
        <v>0.74680000000000002</v>
      </c>
    </row>
    <row r="193" spans="1:19">
      <c r="A193" t="s">
        <v>8</v>
      </c>
      <c r="B193" t="s">
        <v>211</v>
      </c>
      <c r="C193" t="str">
        <f>Data_Master[[#This Row],[Uniq-ID]]&amp;"-"&amp;Data_Master[[#This Row],[Period]]</f>
        <v>DC-Document_Controller-017-M2</v>
      </c>
      <c r="D193" t="s">
        <v>212</v>
      </c>
      <c r="E193" t="s">
        <v>48</v>
      </c>
      <c r="G193" t="s">
        <v>18</v>
      </c>
      <c r="H193" t="s">
        <v>202</v>
      </c>
      <c r="I193" t="s">
        <v>15</v>
      </c>
      <c r="J193" t="s">
        <v>16</v>
      </c>
      <c r="L193">
        <v>1.17</v>
      </c>
      <c r="M193">
        <v>2.347</v>
      </c>
      <c r="N193" t="s">
        <v>2871</v>
      </c>
      <c r="O193" t="s">
        <v>3190</v>
      </c>
      <c r="P193" t="s">
        <v>2873</v>
      </c>
      <c r="Q193">
        <v>168</v>
      </c>
      <c r="R193">
        <v>180</v>
      </c>
      <c r="S193">
        <v>1.0713999999999999</v>
      </c>
    </row>
    <row r="194" spans="1:19">
      <c r="A194" t="s">
        <v>8</v>
      </c>
      <c r="B194" t="s">
        <v>211</v>
      </c>
      <c r="C194" t="str">
        <f>Data_Master[[#This Row],[Uniq-ID]]&amp;"-"&amp;Data_Master[[#This Row],[Period]]</f>
        <v>DC-Document_Controller-017-M3</v>
      </c>
      <c r="D194" t="s">
        <v>212</v>
      </c>
      <c r="E194" t="s">
        <v>48</v>
      </c>
      <c r="G194" t="s">
        <v>22</v>
      </c>
      <c r="H194" t="s">
        <v>204</v>
      </c>
      <c r="I194" t="s">
        <v>15</v>
      </c>
      <c r="J194" t="s">
        <v>16</v>
      </c>
      <c r="L194">
        <v>1.5</v>
      </c>
      <c r="M194">
        <v>3.2410000000000001</v>
      </c>
      <c r="N194" t="s">
        <v>2879</v>
      </c>
      <c r="O194" t="s">
        <v>3200</v>
      </c>
      <c r="P194" t="s">
        <v>2916</v>
      </c>
      <c r="Q194">
        <v>308</v>
      </c>
      <c r="R194">
        <v>31</v>
      </c>
      <c r="S194">
        <v>0.10059999999999999</v>
      </c>
    </row>
    <row r="195" spans="1:19">
      <c r="A195" t="s">
        <v>8</v>
      </c>
      <c r="B195" t="s">
        <v>211</v>
      </c>
      <c r="C195" t="str">
        <f>Data_Master[[#This Row],[Uniq-ID]]&amp;"-"&amp;Data_Master[[#This Row],[Period]]</f>
        <v>DC-Document_Controller-017-M3</v>
      </c>
      <c r="D195" t="s">
        <v>212</v>
      </c>
      <c r="E195" t="s">
        <v>48</v>
      </c>
      <c r="G195" t="s">
        <v>22</v>
      </c>
      <c r="H195" t="s">
        <v>204</v>
      </c>
      <c r="I195" t="s">
        <v>15</v>
      </c>
      <c r="J195" t="s">
        <v>16</v>
      </c>
      <c r="L195">
        <v>1.5</v>
      </c>
      <c r="M195">
        <v>3.2410000000000001</v>
      </c>
      <c r="N195" t="s">
        <v>2871</v>
      </c>
      <c r="O195" t="s">
        <v>3190</v>
      </c>
      <c r="P195" t="s">
        <v>2873</v>
      </c>
      <c r="Q195">
        <v>168</v>
      </c>
      <c r="R195">
        <v>340</v>
      </c>
      <c r="S195">
        <v>2.0238</v>
      </c>
    </row>
    <row r="196" spans="1:19">
      <c r="A196" t="s">
        <v>8</v>
      </c>
      <c r="B196" t="s">
        <v>211</v>
      </c>
      <c r="C196" t="str">
        <f>Data_Master[[#This Row],[Uniq-ID]]&amp;"-"&amp;Data_Master[[#This Row],[Period]]</f>
        <v>DC-Document_Controller-017-M3</v>
      </c>
      <c r="D196" t="s">
        <v>212</v>
      </c>
      <c r="E196" t="s">
        <v>48</v>
      </c>
      <c r="G196" t="s">
        <v>22</v>
      </c>
      <c r="H196" t="s">
        <v>204</v>
      </c>
      <c r="I196" t="s">
        <v>15</v>
      </c>
      <c r="J196" t="s">
        <v>16</v>
      </c>
      <c r="L196">
        <v>1.5</v>
      </c>
      <c r="M196">
        <v>3.2410000000000001</v>
      </c>
      <c r="N196" t="s">
        <v>2871</v>
      </c>
      <c r="O196" t="s">
        <v>3192</v>
      </c>
      <c r="P196" t="s">
        <v>2873</v>
      </c>
      <c r="Q196">
        <v>154</v>
      </c>
      <c r="R196">
        <v>151</v>
      </c>
      <c r="S196">
        <v>0.98050000000000004</v>
      </c>
    </row>
    <row r="197" spans="1:19">
      <c r="A197" t="s">
        <v>8</v>
      </c>
      <c r="B197" t="s">
        <v>211</v>
      </c>
      <c r="C197" t="str">
        <f>Data_Master[[#This Row],[Uniq-ID]]&amp;"-"&amp;Data_Master[[#This Row],[Period]]</f>
        <v>DC-Document_Controller-017-M3</v>
      </c>
      <c r="D197" t="s">
        <v>212</v>
      </c>
      <c r="E197" t="s">
        <v>48</v>
      </c>
      <c r="G197" t="s">
        <v>22</v>
      </c>
      <c r="H197" t="s">
        <v>204</v>
      </c>
      <c r="I197" t="s">
        <v>15</v>
      </c>
      <c r="J197" t="s">
        <v>16</v>
      </c>
      <c r="L197">
        <v>1.5</v>
      </c>
      <c r="M197">
        <v>3.2410000000000001</v>
      </c>
      <c r="N197" t="s">
        <v>2887</v>
      </c>
      <c r="O197" t="s">
        <v>3200</v>
      </c>
      <c r="P197" t="s">
        <v>2916</v>
      </c>
      <c r="Q197">
        <v>308</v>
      </c>
      <c r="R197">
        <v>6</v>
      </c>
      <c r="S197">
        <v>1.95E-2</v>
      </c>
    </row>
    <row r="198" spans="1:19">
      <c r="A198" t="s">
        <v>8</v>
      </c>
      <c r="B198" t="s">
        <v>211</v>
      </c>
      <c r="C198" t="str">
        <f>Data_Master[[#This Row],[Uniq-ID]]&amp;"-"&amp;Data_Master[[#This Row],[Period]]</f>
        <v>DC-Document_Controller-017-M3</v>
      </c>
      <c r="D198" t="s">
        <v>212</v>
      </c>
      <c r="E198" t="s">
        <v>48</v>
      </c>
      <c r="G198" t="s">
        <v>22</v>
      </c>
      <c r="H198" t="s">
        <v>204</v>
      </c>
      <c r="I198" t="s">
        <v>15</v>
      </c>
      <c r="J198" t="s">
        <v>16</v>
      </c>
      <c r="L198">
        <v>1.5</v>
      </c>
      <c r="M198">
        <v>3.2410000000000001</v>
      </c>
      <c r="N198" t="s">
        <v>2887</v>
      </c>
      <c r="O198" t="s">
        <v>3199</v>
      </c>
      <c r="P198" t="s">
        <v>2916</v>
      </c>
      <c r="R198">
        <v>239</v>
      </c>
    </row>
    <row r="199" spans="1:19">
      <c r="A199" t="s">
        <v>8</v>
      </c>
      <c r="B199" t="s">
        <v>211</v>
      </c>
      <c r="C199" t="str">
        <f>Data_Master[[#This Row],[Uniq-ID]]&amp;"-"&amp;Data_Master[[#This Row],[Period]]</f>
        <v>DC-Document_Controller-017-M3</v>
      </c>
      <c r="D199" t="s">
        <v>212</v>
      </c>
      <c r="E199" t="s">
        <v>48</v>
      </c>
      <c r="G199" t="s">
        <v>22</v>
      </c>
      <c r="H199" t="s">
        <v>204</v>
      </c>
      <c r="I199" t="s">
        <v>15</v>
      </c>
      <c r="J199" t="s">
        <v>16</v>
      </c>
      <c r="L199">
        <v>1.5</v>
      </c>
      <c r="M199">
        <v>3.2410000000000001</v>
      </c>
      <c r="N199" t="s">
        <v>2887</v>
      </c>
      <c r="O199" t="s">
        <v>3194</v>
      </c>
      <c r="P199" t="s">
        <v>2873</v>
      </c>
      <c r="Q199">
        <v>616</v>
      </c>
      <c r="R199">
        <v>72</v>
      </c>
      <c r="S199">
        <v>0.1169</v>
      </c>
    </row>
    <row r="200" spans="1:19">
      <c r="A200" t="s">
        <v>8</v>
      </c>
      <c r="B200" t="s">
        <v>211</v>
      </c>
      <c r="C200" t="str">
        <f>Data_Master[[#This Row],[Uniq-ID]]&amp;"-"&amp;Data_Master[[#This Row],[Period]]</f>
        <v>DC-Document_Controller-017-M4</v>
      </c>
      <c r="D200" t="s">
        <v>212</v>
      </c>
      <c r="E200" t="s">
        <v>48</v>
      </c>
      <c r="G200" t="s">
        <v>25</v>
      </c>
      <c r="H200" t="s">
        <v>206</v>
      </c>
      <c r="I200" t="s">
        <v>15</v>
      </c>
      <c r="J200" t="s">
        <v>16</v>
      </c>
      <c r="L200">
        <v>1.5</v>
      </c>
      <c r="M200">
        <v>3.907</v>
      </c>
      <c r="N200" t="s">
        <v>2887</v>
      </c>
      <c r="O200" t="s">
        <v>3199</v>
      </c>
      <c r="P200" t="s">
        <v>2873</v>
      </c>
      <c r="Q200">
        <v>462</v>
      </c>
      <c r="R200">
        <v>544</v>
      </c>
      <c r="S200">
        <v>1.1775</v>
      </c>
    </row>
    <row r="201" spans="1:19">
      <c r="A201" t="s">
        <v>8</v>
      </c>
      <c r="B201" t="s">
        <v>211</v>
      </c>
      <c r="C201" t="str">
        <f>Data_Master[[#This Row],[Uniq-ID]]&amp;"-"&amp;Data_Master[[#This Row],[Period]]</f>
        <v>DC-Document_Controller-017-M4</v>
      </c>
      <c r="D201" t="s">
        <v>212</v>
      </c>
      <c r="E201" t="s">
        <v>48</v>
      </c>
      <c r="G201" t="s">
        <v>25</v>
      </c>
      <c r="H201" t="s">
        <v>206</v>
      </c>
      <c r="I201" t="s">
        <v>15</v>
      </c>
      <c r="J201" t="s">
        <v>16</v>
      </c>
      <c r="L201">
        <v>1.5</v>
      </c>
      <c r="M201">
        <v>3.907</v>
      </c>
      <c r="N201" t="s">
        <v>2887</v>
      </c>
      <c r="O201" t="s">
        <v>3194</v>
      </c>
      <c r="P201" t="s">
        <v>2873</v>
      </c>
      <c r="Q201">
        <v>616</v>
      </c>
      <c r="R201">
        <v>289</v>
      </c>
      <c r="S201">
        <v>0.46920000000000001</v>
      </c>
    </row>
    <row r="202" spans="1:19">
      <c r="A202" t="s">
        <v>8</v>
      </c>
      <c r="B202" t="s">
        <v>211</v>
      </c>
      <c r="C202" t="str">
        <f>Data_Master[[#This Row],[Uniq-ID]]&amp;"-"&amp;Data_Master[[#This Row],[Period]]</f>
        <v>DC-Document_Controller-017-M4</v>
      </c>
      <c r="D202" t="s">
        <v>212</v>
      </c>
      <c r="E202" t="s">
        <v>48</v>
      </c>
      <c r="G202" t="s">
        <v>25</v>
      </c>
      <c r="H202" t="s">
        <v>206</v>
      </c>
      <c r="I202" t="s">
        <v>15</v>
      </c>
      <c r="J202" t="s">
        <v>16</v>
      </c>
      <c r="L202">
        <v>1.5</v>
      </c>
      <c r="M202">
        <v>3.907</v>
      </c>
      <c r="N202" t="s">
        <v>2871</v>
      </c>
      <c r="O202" t="s">
        <v>3192</v>
      </c>
      <c r="P202" t="s">
        <v>2873</v>
      </c>
      <c r="Q202">
        <v>154</v>
      </c>
      <c r="R202">
        <v>189</v>
      </c>
      <c r="S202">
        <v>1.2273000000000001</v>
      </c>
    </row>
    <row r="203" spans="1:19">
      <c r="A203" t="s">
        <v>8</v>
      </c>
      <c r="B203" t="s">
        <v>211</v>
      </c>
      <c r="C203" t="str">
        <f>Data_Master[[#This Row],[Uniq-ID]]&amp;"-"&amp;Data_Master[[#This Row],[Period]]</f>
        <v>DC-Document_Controller-017-M4</v>
      </c>
      <c r="D203" t="s">
        <v>212</v>
      </c>
      <c r="E203" t="s">
        <v>48</v>
      </c>
      <c r="G203" t="s">
        <v>25</v>
      </c>
      <c r="H203" t="s">
        <v>206</v>
      </c>
      <c r="I203" t="s">
        <v>15</v>
      </c>
      <c r="J203" t="s">
        <v>16</v>
      </c>
      <c r="L203">
        <v>1.5</v>
      </c>
      <c r="M203">
        <v>3.907</v>
      </c>
      <c r="N203" t="s">
        <v>2871</v>
      </c>
      <c r="O203" t="s">
        <v>3190</v>
      </c>
      <c r="P203" t="s">
        <v>2873</v>
      </c>
      <c r="Q203">
        <v>168</v>
      </c>
      <c r="R203">
        <v>154</v>
      </c>
      <c r="S203">
        <v>0.91669999999999996</v>
      </c>
    </row>
    <row r="204" spans="1:19">
      <c r="A204" t="s">
        <v>8</v>
      </c>
      <c r="B204" t="s">
        <v>211</v>
      </c>
      <c r="C204" t="str">
        <f>Data_Master[[#This Row],[Uniq-ID]]&amp;"-"&amp;Data_Master[[#This Row],[Period]]</f>
        <v>DC-Document_Controller-017-M4</v>
      </c>
      <c r="D204" t="s">
        <v>212</v>
      </c>
      <c r="E204" t="s">
        <v>48</v>
      </c>
      <c r="G204" t="s">
        <v>25</v>
      </c>
      <c r="H204" t="s">
        <v>206</v>
      </c>
      <c r="I204" t="s">
        <v>15</v>
      </c>
      <c r="J204" t="s">
        <v>16</v>
      </c>
      <c r="L204">
        <v>1.5</v>
      </c>
      <c r="M204">
        <v>3.907</v>
      </c>
      <c r="N204" t="s">
        <v>2879</v>
      </c>
      <c r="O204" t="s">
        <v>3200</v>
      </c>
      <c r="P204" t="s">
        <v>2916</v>
      </c>
      <c r="Q204">
        <v>308</v>
      </c>
      <c r="R204">
        <v>36</v>
      </c>
      <c r="S204">
        <v>0.1169</v>
      </c>
    </row>
    <row r="205" spans="1:19">
      <c r="A205" t="s">
        <v>8</v>
      </c>
      <c r="B205" t="s">
        <v>211</v>
      </c>
      <c r="C205" t="str">
        <f>Data_Master[[#This Row],[Uniq-ID]]&amp;"-"&amp;Data_Master[[#This Row],[Period]]</f>
        <v>DC-Document_Controller-017-M4</v>
      </c>
      <c r="D205" t="s">
        <v>212</v>
      </c>
      <c r="E205" t="s">
        <v>48</v>
      </c>
      <c r="G205" t="s">
        <v>25</v>
      </c>
      <c r="H205" t="s">
        <v>206</v>
      </c>
      <c r="I205" t="s">
        <v>15</v>
      </c>
      <c r="J205" t="s">
        <v>16</v>
      </c>
      <c r="L205">
        <v>1.5</v>
      </c>
      <c r="M205">
        <v>3.907</v>
      </c>
      <c r="O205" t="s">
        <v>3199</v>
      </c>
      <c r="P205" t="s">
        <v>2873</v>
      </c>
      <c r="R205">
        <v>695</v>
      </c>
    </row>
    <row r="206" spans="1:19">
      <c r="A206" t="s">
        <v>8</v>
      </c>
      <c r="B206" t="s">
        <v>211</v>
      </c>
      <c r="C206" t="str">
        <f>Data_Master[[#This Row],[Uniq-ID]]&amp;"-"&amp;Data_Master[[#This Row],[Period]]</f>
        <v>DC-Document_Controller-017-M5</v>
      </c>
      <c r="D206" t="s">
        <v>212</v>
      </c>
      <c r="E206" t="s">
        <v>48</v>
      </c>
      <c r="G206" t="s">
        <v>28</v>
      </c>
      <c r="H206" t="s">
        <v>208</v>
      </c>
      <c r="I206" t="s">
        <v>15</v>
      </c>
      <c r="J206" t="s">
        <v>20</v>
      </c>
      <c r="L206">
        <v>1</v>
      </c>
      <c r="M206">
        <v>1.6830000000000001</v>
      </c>
      <c r="O206" t="s">
        <v>3199</v>
      </c>
      <c r="P206" t="s">
        <v>2873</v>
      </c>
      <c r="R206">
        <v>421</v>
      </c>
    </row>
    <row r="207" spans="1:19">
      <c r="A207" t="s">
        <v>8</v>
      </c>
      <c r="B207" t="s">
        <v>211</v>
      </c>
      <c r="C207" t="str">
        <f>Data_Master[[#This Row],[Uniq-ID]]&amp;"-"&amp;Data_Master[[#This Row],[Period]]</f>
        <v>DC-Document_Controller-017-M5</v>
      </c>
      <c r="D207" t="s">
        <v>212</v>
      </c>
      <c r="E207" t="s">
        <v>48</v>
      </c>
      <c r="G207" t="s">
        <v>28</v>
      </c>
      <c r="H207" t="s">
        <v>208</v>
      </c>
      <c r="I207" t="s">
        <v>15</v>
      </c>
      <c r="J207" t="s">
        <v>20</v>
      </c>
      <c r="L207">
        <v>1</v>
      </c>
      <c r="M207">
        <v>1.6830000000000001</v>
      </c>
      <c r="N207" t="s">
        <v>2879</v>
      </c>
      <c r="O207" t="s">
        <v>3200</v>
      </c>
      <c r="P207" t="s">
        <v>2916</v>
      </c>
      <c r="Q207">
        <v>308</v>
      </c>
      <c r="R207">
        <v>34</v>
      </c>
      <c r="S207">
        <v>0.1104</v>
      </c>
    </row>
    <row r="208" spans="1:19">
      <c r="A208" t="s">
        <v>8</v>
      </c>
      <c r="B208" t="s">
        <v>211</v>
      </c>
      <c r="C208" t="str">
        <f>Data_Master[[#This Row],[Uniq-ID]]&amp;"-"&amp;Data_Master[[#This Row],[Period]]</f>
        <v>DC-Document_Controller-017-M5</v>
      </c>
      <c r="D208" t="s">
        <v>212</v>
      </c>
      <c r="E208" t="s">
        <v>48</v>
      </c>
      <c r="G208" t="s">
        <v>28</v>
      </c>
      <c r="H208" t="s">
        <v>208</v>
      </c>
      <c r="I208" t="s">
        <v>15</v>
      </c>
      <c r="J208" t="s">
        <v>20</v>
      </c>
      <c r="L208">
        <v>1</v>
      </c>
      <c r="M208">
        <v>1.6830000000000001</v>
      </c>
      <c r="N208" t="s">
        <v>2871</v>
      </c>
      <c r="O208" t="s">
        <v>3192</v>
      </c>
      <c r="P208" t="s">
        <v>2873</v>
      </c>
      <c r="Q208">
        <v>154</v>
      </c>
      <c r="R208">
        <v>52</v>
      </c>
      <c r="S208">
        <v>0.3377</v>
      </c>
    </row>
    <row r="209" spans="1:19">
      <c r="A209" t="s">
        <v>8</v>
      </c>
      <c r="B209" t="s">
        <v>211</v>
      </c>
      <c r="C209" t="str">
        <f>Data_Master[[#This Row],[Uniq-ID]]&amp;"-"&amp;Data_Master[[#This Row],[Period]]</f>
        <v>DC-Document_Controller-017-M5</v>
      </c>
      <c r="D209" t="s">
        <v>212</v>
      </c>
      <c r="E209" t="s">
        <v>48</v>
      </c>
      <c r="G209" t="s">
        <v>28</v>
      </c>
      <c r="H209" t="s">
        <v>208</v>
      </c>
      <c r="I209" t="s">
        <v>15</v>
      </c>
      <c r="J209" t="s">
        <v>20</v>
      </c>
      <c r="L209">
        <v>1</v>
      </c>
      <c r="M209">
        <v>1.6830000000000001</v>
      </c>
      <c r="N209" t="s">
        <v>2887</v>
      </c>
      <c r="O209" t="s">
        <v>3199</v>
      </c>
      <c r="P209" t="s">
        <v>2873</v>
      </c>
      <c r="Q209">
        <v>462</v>
      </c>
      <c r="R209">
        <v>533</v>
      </c>
      <c r="S209">
        <v>1.1536999999999999</v>
      </c>
    </row>
    <row r="210" spans="1:19">
      <c r="A210" t="s">
        <v>8</v>
      </c>
      <c r="B210" t="s">
        <v>211</v>
      </c>
      <c r="C210" t="str">
        <f>Data_Master[[#This Row],[Uniq-ID]]&amp;"-"&amp;Data_Master[[#This Row],[Period]]</f>
        <v>DC-Document_Controller-017-M5</v>
      </c>
      <c r="D210" t="s">
        <v>212</v>
      </c>
      <c r="E210" t="s">
        <v>48</v>
      </c>
      <c r="G210" t="s">
        <v>28</v>
      </c>
      <c r="H210" t="s">
        <v>208</v>
      </c>
      <c r="I210" t="s">
        <v>15</v>
      </c>
      <c r="J210" t="s">
        <v>20</v>
      </c>
      <c r="L210">
        <v>1</v>
      </c>
      <c r="M210">
        <v>1.6830000000000001</v>
      </c>
      <c r="N210" t="s">
        <v>2887</v>
      </c>
      <c r="O210" t="s">
        <v>3194</v>
      </c>
      <c r="P210" t="s">
        <v>2873</v>
      </c>
      <c r="Q210">
        <v>616</v>
      </c>
      <c r="R210">
        <v>50</v>
      </c>
      <c r="S210">
        <v>8.1199999999999994E-2</v>
      </c>
    </row>
    <row r="211" spans="1:19">
      <c r="A211" t="s">
        <v>8</v>
      </c>
      <c r="B211" t="s">
        <v>211</v>
      </c>
      <c r="C211" t="str">
        <f>Data_Master[[#This Row],[Uniq-ID]]&amp;"-"&amp;Data_Master[[#This Row],[Period]]</f>
        <v>DC-Document_Controller-017-M6</v>
      </c>
      <c r="D211" t="s">
        <v>212</v>
      </c>
      <c r="E211" t="s">
        <v>48</v>
      </c>
      <c r="G211" t="s">
        <v>31</v>
      </c>
      <c r="H211" t="s">
        <v>210</v>
      </c>
      <c r="I211" t="s">
        <v>33</v>
      </c>
      <c r="J211" t="s">
        <v>44</v>
      </c>
      <c r="L211">
        <v>0.5</v>
      </c>
      <c r="M211">
        <v>1.2999999999999999E-2</v>
      </c>
      <c r="N211" t="s">
        <v>2871</v>
      </c>
      <c r="O211" t="s">
        <v>3192</v>
      </c>
      <c r="P211" t="s">
        <v>2873</v>
      </c>
      <c r="Q211">
        <v>154</v>
      </c>
      <c r="R211">
        <v>2</v>
      </c>
      <c r="S211">
        <v>1.2999999999999999E-2</v>
      </c>
    </row>
    <row r="212" spans="1:19">
      <c r="A212" t="s">
        <v>8</v>
      </c>
      <c r="B212" t="s">
        <v>198</v>
      </c>
      <c r="C212" t="str">
        <f>Data_Master[[#This Row],[Uniq-ID]]&amp;"-"&amp;Data_Master[[#This Row],[Period]]</f>
        <v>DC-Document_Controller-018-M1</v>
      </c>
      <c r="D212" t="s">
        <v>199</v>
      </c>
      <c r="E212" t="s">
        <v>48</v>
      </c>
      <c r="G212" t="s">
        <v>13</v>
      </c>
      <c r="H212" t="s">
        <v>200</v>
      </c>
      <c r="I212" t="s">
        <v>15</v>
      </c>
      <c r="J212" t="s">
        <v>16</v>
      </c>
      <c r="L212">
        <v>1.5</v>
      </c>
      <c r="M212">
        <v>17.472000000000001</v>
      </c>
      <c r="N212" t="s">
        <v>2879</v>
      </c>
      <c r="O212" t="s">
        <v>3179</v>
      </c>
      <c r="P212" t="s">
        <v>2873</v>
      </c>
      <c r="Q212">
        <v>231</v>
      </c>
      <c r="R212">
        <v>4036</v>
      </c>
      <c r="S212">
        <v>17.471900000000002</v>
      </c>
    </row>
    <row r="213" spans="1:19">
      <c r="A213" t="s">
        <v>8</v>
      </c>
      <c r="B213" t="s">
        <v>198</v>
      </c>
      <c r="C213" t="str">
        <f>Data_Master[[#This Row],[Uniq-ID]]&amp;"-"&amp;Data_Master[[#This Row],[Period]]</f>
        <v>DC-Document_Controller-018-M2</v>
      </c>
      <c r="D213" t="s">
        <v>199</v>
      </c>
      <c r="E213" t="s">
        <v>48</v>
      </c>
      <c r="G213" t="s">
        <v>18</v>
      </c>
      <c r="H213" t="s">
        <v>202</v>
      </c>
      <c r="I213" t="s">
        <v>15</v>
      </c>
      <c r="J213" t="s">
        <v>16</v>
      </c>
      <c r="L213">
        <v>1.5</v>
      </c>
      <c r="M213">
        <v>90.727000000000004</v>
      </c>
      <c r="N213" t="s">
        <v>2879</v>
      </c>
      <c r="O213" t="s">
        <v>3179</v>
      </c>
      <c r="P213" t="s">
        <v>2873</v>
      </c>
      <c r="Q213">
        <v>231</v>
      </c>
      <c r="R213">
        <v>20958</v>
      </c>
      <c r="S213">
        <v>90.7273</v>
      </c>
    </row>
    <row r="214" spans="1:19">
      <c r="A214" t="s">
        <v>8</v>
      </c>
      <c r="B214" t="s">
        <v>198</v>
      </c>
      <c r="C214" t="str">
        <f>Data_Master[[#This Row],[Uniq-ID]]&amp;"-"&amp;Data_Master[[#This Row],[Period]]</f>
        <v>DC-Document_Controller-018-M3</v>
      </c>
      <c r="D214" t="s">
        <v>199</v>
      </c>
      <c r="E214" t="s">
        <v>48</v>
      </c>
      <c r="G214" t="s">
        <v>22</v>
      </c>
      <c r="H214" t="s">
        <v>204</v>
      </c>
      <c r="I214" t="s">
        <v>15</v>
      </c>
      <c r="J214" t="s">
        <v>16</v>
      </c>
      <c r="L214">
        <v>1.5</v>
      </c>
      <c r="M214">
        <v>31.518999999999998</v>
      </c>
      <c r="N214" t="s">
        <v>2879</v>
      </c>
      <c r="O214" t="s">
        <v>3014</v>
      </c>
      <c r="P214" t="s">
        <v>2916</v>
      </c>
      <c r="Q214">
        <v>31</v>
      </c>
      <c r="R214">
        <v>1</v>
      </c>
      <c r="S214">
        <v>3.2300000000000002E-2</v>
      </c>
    </row>
    <row r="215" spans="1:19">
      <c r="A215" t="s">
        <v>8</v>
      </c>
      <c r="B215" t="s">
        <v>198</v>
      </c>
      <c r="C215" t="str">
        <f>Data_Master[[#This Row],[Uniq-ID]]&amp;"-"&amp;Data_Master[[#This Row],[Period]]</f>
        <v>DC-Document_Controller-018-M3</v>
      </c>
      <c r="D215" t="s">
        <v>199</v>
      </c>
      <c r="E215" t="s">
        <v>48</v>
      </c>
      <c r="G215" t="s">
        <v>22</v>
      </c>
      <c r="H215" t="s">
        <v>204</v>
      </c>
      <c r="I215" t="s">
        <v>15</v>
      </c>
      <c r="J215" t="s">
        <v>16</v>
      </c>
      <c r="L215">
        <v>1.5</v>
      </c>
      <c r="M215">
        <v>31.518999999999998</v>
      </c>
      <c r="N215" t="s">
        <v>2879</v>
      </c>
      <c r="O215" t="s">
        <v>3183</v>
      </c>
      <c r="P215" t="s">
        <v>2916</v>
      </c>
      <c r="Q215">
        <v>924</v>
      </c>
      <c r="R215">
        <v>2</v>
      </c>
      <c r="S215">
        <v>2.2000000000000001E-3</v>
      </c>
    </row>
    <row r="216" spans="1:19">
      <c r="A216" t="s">
        <v>8</v>
      </c>
      <c r="B216" t="s">
        <v>198</v>
      </c>
      <c r="C216" t="str">
        <f>Data_Master[[#This Row],[Uniq-ID]]&amp;"-"&amp;Data_Master[[#This Row],[Period]]</f>
        <v>DC-Document_Controller-018-M3</v>
      </c>
      <c r="D216" t="s">
        <v>199</v>
      </c>
      <c r="E216" t="s">
        <v>48</v>
      </c>
      <c r="G216" t="s">
        <v>22</v>
      </c>
      <c r="H216" t="s">
        <v>204</v>
      </c>
      <c r="I216" t="s">
        <v>15</v>
      </c>
      <c r="J216" t="s">
        <v>16</v>
      </c>
      <c r="L216">
        <v>1.5</v>
      </c>
      <c r="M216">
        <v>31.518999999999998</v>
      </c>
      <c r="N216" t="s">
        <v>2879</v>
      </c>
      <c r="O216" t="s">
        <v>3179</v>
      </c>
      <c r="P216" t="s">
        <v>2873</v>
      </c>
      <c r="Q216">
        <v>231</v>
      </c>
      <c r="R216">
        <v>7273</v>
      </c>
      <c r="S216">
        <v>31.4848</v>
      </c>
    </row>
    <row r="217" spans="1:19">
      <c r="A217" t="s">
        <v>8</v>
      </c>
      <c r="B217" t="s">
        <v>198</v>
      </c>
      <c r="C217" t="str">
        <f>Data_Master[[#This Row],[Uniq-ID]]&amp;"-"&amp;Data_Master[[#This Row],[Period]]</f>
        <v>DC-Document_Controller-018-M4</v>
      </c>
      <c r="D217" t="s">
        <v>199</v>
      </c>
      <c r="E217" t="s">
        <v>48</v>
      </c>
      <c r="G217" t="s">
        <v>25</v>
      </c>
      <c r="H217" t="s">
        <v>206</v>
      </c>
      <c r="I217" t="s">
        <v>15</v>
      </c>
      <c r="J217" t="s">
        <v>16</v>
      </c>
      <c r="L217">
        <v>1.5</v>
      </c>
      <c r="M217">
        <v>14.723000000000001</v>
      </c>
      <c r="N217" t="s">
        <v>2879</v>
      </c>
      <c r="O217" t="s">
        <v>3179</v>
      </c>
      <c r="P217" t="s">
        <v>2873</v>
      </c>
      <c r="Q217">
        <v>231</v>
      </c>
      <c r="R217">
        <v>2723</v>
      </c>
      <c r="S217">
        <v>11.7879</v>
      </c>
    </row>
    <row r="218" spans="1:19">
      <c r="A218" t="s">
        <v>8</v>
      </c>
      <c r="B218" t="s">
        <v>198</v>
      </c>
      <c r="C218" t="str">
        <f>Data_Master[[#This Row],[Uniq-ID]]&amp;"-"&amp;Data_Master[[#This Row],[Period]]</f>
        <v>DC-Document_Controller-018-M4</v>
      </c>
      <c r="D218" t="s">
        <v>199</v>
      </c>
      <c r="E218" t="s">
        <v>48</v>
      </c>
      <c r="G218" t="s">
        <v>25</v>
      </c>
      <c r="H218" t="s">
        <v>206</v>
      </c>
      <c r="I218" t="s">
        <v>15</v>
      </c>
      <c r="J218" t="s">
        <v>16</v>
      </c>
      <c r="L218">
        <v>1.5</v>
      </c>
      <c r="M218">
        <v>14.723000000000001</v>
      </c>
      <c r="N218" t="s">
        <v>2879</v>
      </c>
      <c r="O218" t="s">
        <v>3014</v>
      </c>
      <c r="P218" t="s">
        <v>2916</v>
      </c>
      <c r="Q218">
        <v>31</v>
      </c>
      <c r="R218">
        <v>91</v>
      </c>
      <c r="S218">
        <v>2.9355000000000002</v>
      </c>
    </row>
    <row r="219" spans="1:19">
      <c r="A219" t="s">
        <v>8</v>
      </c>
      <c r="B219" t="s">
        <v>198</v>
      </c>
      <c r="C219" t="str">
        <f>Data_Master[[#This Row],[Uniq-ID]]&amp;"-"&amp;Data_Master[[#This Row],[Period]]</f>
        <v>DC-Document_Controller-018-M5</v>
      </c>
      <c r="D219" t="s">
        <v>199</v>
      </c>
      <c r="E219" t="s">
        <v>48</v>
      </c>
      <c r="G219" t="s">
        <v>28</v>
      </c>
      <c r="H219" t="s">
        <v>208</v>
      </c>
      <c r="I219" t="s">
        <v>15</v>
      </c>
      <c r="J219" t="s">
        <v>16</v>
      </c>
      <c r="L219">
        <v>1.5</v>
      </c>
      <c r="M219">
        <v>16.099</v>
      </c>
      <c r="N219" t="s">
        <v>2879</v>
      </c>
      <c r="O219" t="s">
        <v>3179</v>
      </c>
      <c r="P219" t="s">
        <v>2873</v>
      </c>
      <c r="Q219">
        <v>231</v>
      </c>
      <c r="R219">
        <v>1923</v>
      </c>
      <c r="S219">
        <v>8.3247</v>
      </c>
    </row>
    <row r="220" spans="1:19">
      <c r="A220" t="s">
        <v>8</v>
      </c>
      <c r="B220" t="s">
        <v>198</v>
      </c>
      <c r="C220" t="str">
        <f>Data_Master[[#This Row],[Uniq-ID]]&amp;"-"&amp;Data_Master[[#This Row],[Period]]</f>
        <v>DC-Document_Controller-018-M5</v>
      </c>
      <c r="D220" t="s">
        <v>199</v>
      </c>
      <c r="E220" t="s">
        <v>48</v>
      </c>
      <c r="G220" t="s">
        <v>28</v>
      </c>
      <c r="H220" t="s">
        <v>208</v>
      </c>
      <c r="I220" t="s">
        <v>15</v>
      </c>
      <c r="J220" t="s">
        <v>16</v>
      </c>
      <c r="L220">
        <v>1.5</v>
      </c>
      <c r="M220">
        <v>16.099</v>
      </c>
      <c r="N220" t="s">
        <v>2879</v>
      </c>
      <c r="O220" t="s">
        <v>3014</v>
      </c>
      <c r="P220" t="s">
        <v>2916</v>
      </c>
      <c r="Q220">
        <v>31</v>
      </c>
      <c r="R220">
        <v>241</v>
      </c>
      <c r="S220">
        <v>7.7742000000000004</v>
      </c>
    </row>
    <row r="221" spans="1:19">
      <c r="A221" t="s">
        <v>8</v>
      </c>
      <c r="B221" t="s">
        <v>198</v>
      </c>
      <c r="C221" t="str">
        <f>Data_Master[[#This Row],[Uniq-ID]]&amp;"-"&amp;Data_Master[[#This Row],[Period]]</f>
        <v>DC-Document_Controller-018-M6</v>
      </c>
      <c r="D221" t="s">
        <v>199</v>
      </c>
      <c r="E221" t="s">
        <v>48</v>
      </c>
      <c r="G221" t="s">
        <v>31</v>
      </c>
      <c r="H221" t="s">
        <v>210</v>
      </c>
      <c r="I221" t="s">
        <v>33</v>
      </c>
      <c r="J221" t="s">
        <v>16</v>
      </c>
      <c r="L221">
        <v>1.5</v>
      </c>
      <c r="M221">
        <v>5.6879999999999997</v>
      </c>
      <c r="N221" t="s">
        <v>2879</v>
      </c>
      <c r="O221" t="s">
        <v>3179</v>
      </c>
      <c r="P221" t="s">
        <v>2873</v>
      </c>
      <c r="Q221">
        <v>231</v>
      </c>
      <c r="R221">
        <v>1314</v>
      </c>
      <c r="S221">
        <v>5.6882999999999999</v>
      </c>
    </row>
    <row r="222" spans="1:19">
      <c r="A222" t="s">
        <v>8</v>
      </c>
      <c r="B222" t="s">
        <v>412</v>
      </c>
      <c r="C222" t="str">
        <f>Data_Master[[#This Row],[Uniq-ID]]&amp;"-"&amp;Data_Master[[#This Row],[Period]]</f>
        <v>DC-Document_Controller-019-M1</v>
      </c>
      <c r="D222" t="s">
        <v>413</v>
      </c>
      <c r="E222" t="s">
        <v>48</v>
      </c>
      <c r="G222" t="s">
        <v>13</v>
      </c>
      <c r="H222" t="s">
        <v>200</v>
      </c>
      <c r="I222" t="s">
        <v>15</v>
      </c>
      <c r="J222" t="s">
        <v>44</v>
      </c>
      <c r="L222">
        <v>0.55000000000000004</v>
      </c>
      <c r="M222">
        <v>0.55200000000000005</v>
      </c>
      <c r="N222" t="s">
        <v>2871</v>
      </c>
      <c r="O222" t="s">
        <v>3190</v>
      </c>
      <c r="P222" t="s">
        <v>2873</v>
      </c>
      <c r="Q222">
        <v>168</v>
      </c>
      <c r="R222">
        <v>39</v>
      </c>
      <c r="S222">
        <v>0.2321</v>
      </c>
    </row>
    <row r="223" spans="1:19">
      <c r="A223" t="s">
        <v>8</v>
      </c>
      <c r="B223" t="s">
        <v>412</v>
      </c>
      <c r="C223" t="str">
        <f>Data_Master[[#This Row],[Uniq-ID]]&amp;"-"&amp;Data_Master[[#This Row],[Period]]</f>
        <v>DC-Document_Controller-019-M1</v>
      </c>
      <c r="D223" t="s">
        <v>413</v>
      </c>
      <c r="E223" t="s">
        <v>48</v>
      </c>
      <c r="G223" t="s">
        <v>13</v>
      </c>
      <c r="H223" t="s">
        <v>200</v>
      </c>
      <c r="I223" t="s">
        <v>15</v>
      </c>
      <c r="J223" t="s">
        <v>44</v>
      </c>
      <c r="L223">
        <v>0.55000000000000004</v>
      </c>
      <c r="M223">
        <v>0.55200000000000005</v>
      </c>
      <c r="N223" t="s">
        <v>2871</v>
      </c>
      <c r="O223" t="s">
        <v>3192</v>
      </c>
      <c r="P223" t="s">
        <v>2873</v>
      </c>
      <c r="Q223">
        <v>154</v>
      </c>
      <c r="R223">
        <v>19</v>
      </c>
      <c r="S223">
        <v>0.1234</v>
      </c>
    </row>
    <row r="224" spans="1:19">
      <c r="A224" t="s">
        <v>8</v>
      </c>
      <c r="B224" t="s">
        <v>412</v>
      </c>
      <c r="C224" t="str">
        <f>Data_Master[[#This Row],[Uniq-ID]]&amp;"-"&amp;Data_Master[[#This Row],[Period]]</f>
        <v>DC-Document_Controller-019-M1</v>
      </c>
      <c r="D224" t="s">
        <v>413</v>
      </c>
      <c r="E224" t="s">
        <v>48</v>
      </c>
      <c r="G224" t="s">
        <v>13</v>
      </c>
      <c r="H224" t="s">
        <v>200</v>
      </c>
      <c r="I224" t="s">
        <v>15</v>
      </c>
      <c r="J224" t="s">
        <v>44</v>
      </c>
      <c r="L224">
        <v>0.55000000000000004</v>
      </c>
      <c r="M224">
        <v>0.55200000000000005</v>
      </c>
      <c r="N224" t="s">
        <v>2887</v>
      </c>
      <c r="O224" t="s">
        <v>3194</v>
      </c>
      <c r="P224" t="s">
        <v>2873</v>
      </c>
      <c r="Q224">
        <v>616</v>
      </c>
      <c r="R224">
        <v>121</v>
      </c>
      <c r="S224">
        <v>0.19639999999999999</v>
      </c>
    </row>
    <row r="225" spans="1:19">
      <c r="A225" t="s">
        <v>8</v>
      </c>
      <c r="B225" t="s">
        <v>412</v>
      </c>
      <c r="C225" t="str">
        <f>Data_Master[[#This Row],[Uniq-ID]]&amp;"-"&amp;Data_Master[[#This Row],[Period]]</f>
        <v>DC-Document_Controller-019-M2</v>
      </c>
      <c r="D225" t="s">
        <v>413</v>
      </c>
      <c r="E225" t="s">
        <v>48</v>
      </c>
      <c r="G225" t="s">
        <v>18</v>
      </c>
      <c r="H225" t="s">
        <v>202</v>
      </c>
      <c r="I225" t="s">
        <v>15</v>
      </c>
      <c r="J225" t="s">
        <v>44</v>
      </c>
      <c r="L225">
        <v>0.5</v>
      </c>
      <c r="M225">
        <v>0.45100000000000001</v>
      </c>
      <c r="N225" t="s">
        <v>2887</v>
      </c>
      <c r="O225" t="s">
        <v>3194</v>
      </c>
      <c r="P225" t="s">
        <v>2873</v>
      </c>
      <c r="Q225">
        <v>616</v>
      </c>
      <c r="R225">
        <v>61</v>
      </c>
      <c r="S225">
        <v>9.9000000000000005E-2</v>
      </c>
    </row>
    <row r="226" spans="1:19">
      <c r="A226" t="s">
        <v>8</v>
      </c>
      <c r="B226" t="s">
        <v>412</v>
      </c>
      <c r="C226" t="str">
        <f>Data_Master[[#This Row],[Uniq-ID]]&amp;"-"&amp;Data_Master[[#This Row],[Period]]</f>
        <v>DC-Document_Controller-019-M2</v>
      </c>
      <c r="D226" t="s">
        <v>413</v>
      </c>
      <c r="E226" t="s">
        <v>48</v>
      </c>
      <c r="G226" t="s">
        <v>18</v>
      </c>
      <c r="H226" t="s">
        <v>202</v>
      </c>
      <c r="I226" t="s">
        <v>15</v>
      </c>
      <c r="J226" t="s">
        <v>44</v>
      </c>
      <c r="L226">
        <v>0.5</v>
      </c>
      <c r="M226">
        <v>0.45100000000000001</v>
      </c>
      <c r="N226" t="s">
        <v>2871</v>
      </c>
      <c r="O226" t="s">
        <v>3192</v>
      </c>
      <c r="P226" t="s">
        <v>2873</v>
      </c>
      <c r="Q226">
        <v>154</v>
      </c>
      <c r="R226">
        <v>34</v>
      </c>
      <c r="S226">
        <v>0.2208</v>
      </c>
    </row>
    <row r="227" spans="1:19">
      <c r="A227" t="s">
        <v>8</v>
      </c>
      <c r="B227" t="s">
        <v>412</v>
      </c>
      <c r="C227" t="str">
        <f>Data_Master[[#This Row],[Uniq-ID]]&amp;"-"&amp;Data_Master[[#This Row],[Period]]</f>
        <v>DC-Document_Controller-019-M2</v>
      </c>
      <c r="D227" t="s">
        <v>413</v>
      </c>
      <c r="E227" t="s">
        <v>48</v>
      </c>
      <c r="G227" t="s">
        <v>18</v>
      </c>
      <c r="H227" t="s">
        <v>202</v>
      </c>
      <c r="I227" t="s">
        <v>15</v>
      </c>
      <c r="J227" t="s">
        <v>44</v>
      </c>
      <c r="L227">
        <v>0.5</v>
      </c>
      <c r="M227">
        <v>0.45100000000000001</v>
      </c>
      <c r="N227" t="s">
        <v>2871</v>
      </c>
      <c r="O227" t="s">
        <v>3190</v>
      </c>
      <c r="P227" t="s">
        <v>2873</v>
      </c>
      <c r="Q227">
        <v>168</v>
      </c>
      <c r="R227">
        <v>22</v>
      </c>
      <c r="S227">
        <v>0.13100000000000001</v>
      </c>
    </row>
    <row r="228" spans="1:19">
      <c r="A228" t="s">
        <v>8</v>
      </c>
      <c r="B228" t="s">
        <v>412</v>
      </c>
      <c r="C228" t="str">
        <f>Data_Master[[#This Row],[Uniq-ID]]&amp;"-"&amp;Data_Master[[#This Row],[Period]]</f>
        <v>DC-Document_Controller-019-M3</v>
      </c>
      <c r="D228" t="s">
        <v>413</v>
      </c>
      <c r="E228" t="s">
        <v>48</v>
      </c>
      <c r="G228" t="s">
        <v>22</v>
      </c>
      <c r="H228" t="s">
        <v>204</v>
      </c>
      <c r="I228" t="s">
        <v>15</v>
      </c>
      <c r="J228" t="s">
        <v>44</v>
      </c>
      <c r="L228">
        <v>0.5</v>
      </c>
      <c r="M228">
        <v>0.504</v>
      </c>
      <c r="N228" t="s">
        <v>2871</v>
      </c>
      <c r="O228" t="s">
        <v>3190</v>
      </c>
      <c r="P228" t="s">
        <v>2873</v>
      </c>
      <c r="Q228">
        <v>168</v>
      </c>
      <c r="R228">
        <v>5</v>
      </c>
      <c r="S228">
        <v>2.98E-2</v>
      </c>
    </row>
    <row r="229" spans="1:19">
      <c r="A229" t="s">
        <v>8</v>
      </c>
      <c r="B229" t="s">
        <v>412</v>
      </c>
      <c r="C229" t="str">
        <f>Data_Master[[#This Row],[Uniq-ID]]&amp;"-"&amp;Data_Master[[#This Row],[Period]]</f>
        <v>DC-Document_Controller-019-M3</v>
      </c>
      <c r="D229" t="s">
        <v>413</v>
      </c>
      <c r="E229" t="s">
        <v>48</v>
      </c>
      <c r="G229" t="s">
        <v>22</v>
      </c>
      <c r="H229" t="s">
        <v>204</v>
      </c>
      <c r="I229" t="s">
        <v>15</v>
      </c>
      <c r="J229" t="s">
        <v>44</v>
      </c>
      <c r="L229">
        <v>0.5</v>
      </c>
      <c r="M229">
        <v>0.504</v>
      </c>
      <c r="N229" t="s">
        <v>2871</v>
      </c>
      <c r="O229" t="s">
        <v>3192</v>
      </c>
      <c r="P229" t="s">
        <v>2873</v>
      </c>
      <c r="Q229">
        <v>154</v>
      </c>
      <c r="R229">
        <v>13</v>
      </c>
      <c r="S229">
        <v>8.4400000000000003E-2</v>
      </c>
    </row>
    <row r="230" spans="1:19">
      <c r="A230" t="s">
        <v>8</v>
      </c>
      <c r="B230" t="s">
        <v>412</v>
      </c>
      <c r="C230" t="str">
        <f>Data_Master[[#This Row],[Uniq-ID]]&amp;"-"&amp;Data_Master[[#This Row],[Period]]</f>
        <v>DC-Document_Controller-019-M3</v>
      </c>
      <c r="D230" t="s">
        <v>413</v>
      </c>
      <c r="E230" t="s">
        <v>48</v>
      </c>
      <c r="G230" t="s">
        <v>22</v>
      </c>
      <c r="H230" t="s">
        <v>204</v>
      </c>
      <c r="I230" t="s">
        <v>15</v>
      </c>
      <c r="J230" t="s">
        <v>44</v>
      </c>
      <c r="L230">
        <v>0.5</v>
      </c>
      <c r="M230">
        <v>0.504</v>
      </c>
      <c r="N230" t="s">
        <v>2887</v>
      </c>
      <c r="O230" t="s">
        <v>3339</v>
      </c>
      <c r="P230" t="s">
        <v>2873</v>
      </c>
      <c r="Q230">
        <v>154</v>
      </c>
      <c r="R230">
        <v>58</v>
      </c>
      <c r="S230">
        <v>0.37659999999999999</v>
      </c>
    </row>
    <row r="231" spans="1:19">
      <c r="A231" t="s">
        <v>8</v>
      </c>
      <c r="B231" t="s">
        <v>412</v>
      </c>
      <c r="C231" t="str">
        <f>Data_Master[[#This Row],[Uniq-ID]]&amp;"-"&amp;Data_Master[[#This Row],[Period]]</f>
        <v>DC-Document_Controller-019-M3</v>
      </c>
      <c r="D231" t="s">
        <v>413</v>
      </c>
      <c r="E231" t="s">
        <v>48</v>
      </c>
      <c r="G231" t="s">
        <v>22</v>
      </c>
      <c r="H231" t="s">
        <v>204</v>
      </c>
      <c r="I231" t="s">
        <v>15</v>
      </c>
      <c r="J231" t="s">
        <v>44</v>
      </c>
      <c r="L231">
        <v>0.5</v>
      </c>
      <c r="M231">
        <v>0.504</v>
      </c>
      <c r="N231" t="s">
        <v>2887</v>
      </c>
      <c r="O231" t="s">
        <v>3194</v>
      </c>
      <c r="P231" t="s">
        <v>2873</v>
      </c>
      <c r="Q231">
        <v>616</v>
      </c>
      <c r="R231">
        <v>8</v>
      </c>
      <c r="S231">
        <v>1.2999999999999999E-2</v>
      </c>
    </row>
    <row r="232" spans="1:19">
      <c r="A232" t="s">
        <v>8</v>
      </c>
      <c r="B232" t="s">
        <v>412</v>
      </c>
      <c r="C232" t="str">
        <f>Data_Master[[#This Row],[Uniq-ID]]&amp;"-"&amp;Data_Master[[#This Row],[Period]]</f>
        <v>DC-Document_Controller-019-M4</v>
      </c>
      <c r="D232" t="s">
        <v>413</v>
      </c>
      <c r="E232" t="s">
        <v>48</v>
      </c>
      <c r="G232" t="s">
        <v>25</v>
      </c>
      <c r="H232" t="s">
        <v>206</v>
      </c>
      <c r="I232" t="s">
        <v>15</v>
      </c>
      <c r="J232" t="s">
        <v>16</v>
      </c>
      <c r="L232">
        <v>1.19</v>
      </c>
      <c r="M232">
        <v>2.383</v>
      </c>
      <c r="N232" t="s">
        <v>2887</v>
      </c>
      <c r="O232" t="s">
        <v>3339</v>
      </c>
      <c r="P232" t="s">
        <v>2873</v>
      </c>
      <c r="Q232">
        <v>154</v>
      </c>
      <c r="R232">
        <v>363</v>
      </c>
      <c r="S232">
        <v>2.3571</v>
      </c>
    </row>
    <row r="233" spans="1:19">
      <c r="A233" t="s">
        <v>8</v>
      </c>
      <c r="B233" t="s">
        <v>412</v>
      </c>
      <c r="C233" t="str">
        <f>Data_Master[[#This Row],[Uniq-ID]]&amp;"-"&amp;Data_Master[[#This Row],[Period]]</f>
        <v>DC-Document_Controller-019-M4</v>
      </c>
      <c r="D233" t="s">
        <v>413</v>
      </c>
      <c r="E233" t="s">
        <v>48</v>
      </c>
      <c r="G233" t="s">
        <v>25</v>
      </c>
      <c r="H233" t="s">
        <v>206</v>
      </c>
      <c r="I233" t="s">
        <v>15</v>
      </c>
      <c r="J233" t="s">
        <v>16</v>
      </c>
      <c r="L233">
        <v>1.19</v>
      </c>
      <c r="M233">
        <v>2.383</v>
      </c>
      <c r="N233" t="s">
        <v>2871</v>
      </c>
      <c r="O233" t="s">
        <v>3192</v>
      </c>
      <c r="P233" t="s">
        <v>2873</v>
      </c>
      <c r="Q233">
        <v>154</v>
      </c>
      <c r="R233">
        <v>4</v>
      </c>
      <c r="S233">
        <v>2.5999999999999999E-2</v>
      </c>
    </row>
    <row r="234" spans="1:19">
      <c r="A234" t="s">
        <v>8</v>
      </c>
      <c r="B234" t="s">
        <v>412</v>
      </c>
      <c r="C234" t="str">
        <f>Data_Master[[#This Row],[Uniq-ID]]&amp;"-"&amp;Data_Master[[#This Row],[Period]]</f>
        <v>DC-Document_Controller-019-M5</v>
      </c>
      <c r="D234" t="s">
        <v>413</v>
      </c>
      <c r="E234" t="s">
        <v>48</v>
      </c>
      <c r="G234" t="s">
        <v>28</v>
      </c>
      <c r="H234" t="s">
        <v>208</v>
      </c>
      <c r="I234" t="s">
        <v>15</v>
      </c>
      <c r="J234" t="s">
        <v>16</v>
      </c>
      <c r="L234">
        <v>1.34</v>
      </c>
      <c r="M234">
        <v>2.6819999999999999</v>
      </c>
      <c r="N234" t="s">
        <v>2887</v>
      </c>
      <c r="O234" t="s">
        <v>3339</v>
      </c>
      <c r="P234" t="s">
        <v>2873</v>
      </c>
      <c r="Q234">
        <v>154</v>
      </c>
      <c r="R234">
        <v>263</v>
      </c>
      <c r="S234">
        <v>1.7078</v>
      </c>
    </row>
    <row r="235" spans="1:19">
      <c r="A235" t="s">
        <v>8</v>
      </c>
      <c r="B235" t="s">
        <v>412</v>
      </c>
      <c r="C235" t="str">
        <f>Data_Master[[#This Row],[Uniq-ID]]&amp;"-"&amp;Data_Master[[#This Row],[Period]]</f>
        <v>DC-Document_Controller-019-M5</v>
      </c>
      <c r="D235" t="s">
        <v>413</v>
      </c>
      <c r="E235" t="s">
        <v>48</v>
      </c>
      <c r="G235" t="s">
        <v>28</v>
      </c>
      <c r="H235" t="s">
        <v>208</v>
      </c>
      <c r="I235" t="s">
        <v>15</v>
      </c>
      <c r="J235" t="s">
        <v>16</v>
      </c>
      <c r="L235">
        <v>1.34</v>
      </c>
      <c r="M235">
        <v>2.6819999999999999</v>
      </c>
      <c r="N235" t="s">
        <v>2887</v>
      </c>
      <c r="O235" t="s">
        <v>3199</v>
      </c>
      <c r="P235" t="s">
        <v>2873</v>
      </c>
      <c r="Q235">
        <v>462</v>
      </c>
      <c r="R235">
        <v>444</v>
      </c>
      <c r="S235">
        <v>0.96099999999999997</v>
      </c>
    </row>
    <row r="236" spans="1:19">
      <c r="A236" t="s">
        <v>8</v>
      </c>
      <c r="B236" t="s">
        <v>412</v>
      </c>
      <c r="C236" t="str">
        <f>Data_Master[[#This Row],[Uniq-ID]]&amp;"-"&amp;Data_Master[[#This Row],[Period]]</f>
        <v>DC-Document_Controller-019-M5</v>
      </c>
      <c r="D236" t="s">
        <v>413</v>
      </c>
      <c r="E236" t="s">
        <v>48</v>
      </c>
      <c r="G236" t="s">
        <v>28</v>
      </c>
      <c r="H236" t="s">
        <v>208</v>
      </c>
      <c r="I236" t="s">
        <v>15</v>
      </c>
      <c r="J236" t="s">
        <v>16</v>
      </c>
      <c r="L236">
        <v>1.34</v>
      </c>
      <c r="M236">
        <v>2.6819999999999999</v>
      </c>
      <c r="N236" t="s">
        <v>2871</v>
      </c>
      <c r="O236" t="s">
        <v>3192</v>
      </c>
      <c r="P236" t="s">
        <v>2873</v>
      </c>
      <c r="Q236">
        <v>154</v>
      </c>
      <c r="R236">
        <v>2</v>
      </c>
      <c r="S236">
        <v>1.2999999999999999E-2</v>
      </c>
    </row>
    <row r="237" spans="1:19">
      <c r="A237" t="s">
        <v>8</v>
      </c>
      <c r="B237" t="s">
        <v>412</v>
      </c>
      <c r="C237" t="str">
        <f>Data_Master[[#This Row],[Uniq-ID]]&amp;"-"&amp;Data_Master[[#This Row],[Period]]</f>
        <v>DC-Document_Controller-019-M6</v>
      </c>
      <c r="D237" t="s">
        <v>413</v>
      </c>
      <c r="E237" t="s">
        <v>48</v>
      </c>
      <c r="G237" t="s">
        <v>31</v>
      </c>
      <c r="H237" t="s">
        <v>210</v>
      </c>
      <c r="I237" t="s">
        <v>33</v>
      </c>
      <c r="J237" t="s">
        <v>44</v>
      </c>
      <c r="L237">
        <v>0.5</v>
      </c>
      <c r="M237">
        <v>0.48699999999999999</v>
      </c>
      <c r="N237" t="s">
        <v>2887</v>
      </c>
      <c r="O237" t="s">
        <v>3339</v>
      </c>
      <c r="P237" t="s">
        <v>2873</v>
      </c>
      <c r="Q237">
        <v>154</v>
      </c>
      <c r="R237">
        <v>75</v>
      </c>
      <c r="S237">
        <v>0.48699999999999999</v>
      </c>
    </row>
    <row r="238" spans="1:19">
      <c r="A238" t="s">
        <v>8</v>
      </c>
      <c r="B238" t="s">
        <v>405</v>
      </c>
      <c r="C238" t="str">
        <f>Data_Master[[#This Row],[Uniq-ID]]&amp;"-"&amp;Data_Master[[#This Row],[Period]]</f>
        <v>DC-Document_Controller-020-M1</v>
      </c>
      <c r="D238" t="s">
        <v>406</v>
      </c>
      <c r="E238" t="s">
        <v>48</v>
      </c>
      <c r="G238" t="s">
        <v>13</v>
      </c>
      <c r="H238" t="s">
        <v>200</v>
      </c>
      <c r="I238" t="s">
        <v>15</v>
      </c>
      <c r="J238" t="s">
        <v>44</v>
      </c>
      <c r="L238">
        <v>0.74</v>
      </c>
      <c r="M238">
        <v>0.73899999999999999</v>
      </c>
      <c r="N238" t="s">
        <v>2871</v>
      </c>
      <c r="O238" t="s">
        <v>3190</v>
      </c>
      <c r="P238" t="s">
        <v>2873</v>
      </c>
      <c r="Q238">
        <v>168</v>
      </c>
      <c r="R238">
        <v>81</v>
      </c>
      <c r="S238">
        <v>0.48209999999999997</v>
      </c>
    </row>
    <row r="239" spans="1:19">
      <c r="A239" t="s">
        <v>8</v>
      </c>
      <c r="B239" t="s">
        <v>405</v>
      </c>
      <c r="C239" t="str">
        <f>Data_Master[[#This Row],[Uniq-ID]]&amp;"-"&amp;Data_Master[[#This Row],[Period]]</f>
        <v>DC-Document_Controller-020-M1</v>
      </c>
      <c r="D239" t="s">
        <v>406</v>
      </c>
      <c r="E239" t="s">
        <v>48</v>
      </c>
      <c r="G239" t="s">
        <v>13</v>
      </c>
      <c r="H239" t="s">
        <v>200</v>
      </c>
      <c r="I239" t="s">
        <v>15</v>
      </c>
      <c r="J239" t="s">
        <v>44</v>
      </c>
      <c r="L239">
        <v>0.74</v>
      </c>
      <c r="M239">
        <v>0.73899999999999999</v>
      </c>
      <c r="N239" t="s">
        <v>2871</v>
      </c>
      <c r="O239" t="s">
        <v>3192</v>
      </c>
      <c r="P239" t="s">
        <v>2873</v>
      </c>
      <c r="Q239">
        <v>154</v>
      </c>
      <c r="R239">
        <v>19</v>
      </c>
      <c r="S239">
        <v>0.1234</v>
      </c>
    </row>
    <row r="240" spans="1:19">
      <c r="A240" t="s">
        <v>8</v>
      </c>
      <c r="B240" t="s">
        <v>405</v>
      </c>
      <c r="C240" t="str">
        <f>Data_Master[[#This Row],[Uniq-ID]]&amp;"-"&amp;Data_Master[[#This Row],[Period]]</f>
        <v>DC-Document_Controller-020-M1</v>
      </c>
      <c r="D240" t="s">
        <v>406</v>
      </c>
      <c r="E240" t="s">
        <v>48</v>
      </c>
      <c r="G240" t="s">
        <v>13</v>
      </c>
      <c r="H240" t="s">
        <v>200</v>
      </c>
      <c r="I240" t="s">
        <v>15</v>
      </c>
      <c r="J240" t="s">
        <v>44</v>
      </c>
      <c r="L240">
        <v>0.74</v>
      </c>
      <c r="M240">
        <v>0.73899999999999999</v>
      </c>
      <c r="N240" t="s">
        <v>2887</v>
      </c>
      <c r="O240" t="s">
        <v>3194</v>
      </c>
      <c r="P240" t="s">
        <v>2873</v>
      </c>
      <c r="Q240">
        <v>616</v>
      </c>
      <c r="R240">
        <v>82</v>
      </c>
      <c r="S240">
        <v>0.1331</v>
      </c>
    </row>
    <row r="241" spans="1:19">
      <c r="A241" t="s">
        <v>8</v>
      </c>
      <c r="B241" t="s">
        <v>405</v>
      </c>
      <c r="C241" t="str">
        <f>Data_Master[[#This Row],[Uniq-ID]]&amp;"-"&amp;Data_Master[[#This Row],[Period]]</f>
        <v>DC-Document_Controller-020-M2</v>
      </c>
      <c r="D241" t="s">
        <v>406</v>
      </c>
      <c r="E241" t="s">
        <v>48</v>
      </c>
      <c r="G241" t="s">
        <v>18</v>
      </c>
      <c r="H241" t="s">
        <v>202</v>
      </c>
      <c r="I241" t="s">
        <v>15</v>
      </c>
      <c r="J241" t="s">
        <v>44</v>
      </c>
      <c r="L241">
        <v>0.96</v>
      </c>
      <c r="M241">
        <v>0.95799999999999996</v>
      </c>
      <c r="N241" t="s">
        <v>2871</v>
      </c>
      <c r="O241" t="s">
        <v>3190</v>
      </c>
      <c r="P241" t="s">
        <v>2873</v>
      </c>
      <c r="Q241">
        <v>168</v>
      </c>
      <c r="R241">
        <v>84</v>
      </c>
      <c r="S241">
        <v>0.5</v>
      </c>
    </row>
    <row r="242" spans="1:19">
      <c r="A242" t="s">
        <v>8</v>
      </c>
      <c r="B242" t="s">
        <v>405</v>
      </c>
      <c r="C242" t="str">
        <f>Data_Master[[#This Row],[Uniq-ID]]&amp;"-"&amp;Data_Master[[#This Row],[Period]]</f>
        <v>DC-Document_Controller-020-M2</v>
      </c>
      <c r="D242" t="s">
        <v>406</v>
      </c>
      <c r="E242" t="s">
        <v>48</v>
      </c>
      <c r="G242" t="s">
        <v>18</v>
      </c>
      <c r="H242" t="s">
        <v>202</v>
      </c>
      <c r="I242" t="s">
        <v>15</v>
      </c>
      <c r="J242" t="s">
        <v>44</v>
      </c>
      <c r="L242">
        <v>0.96</v>
      </c>
      <c r="M242">
        <v>0.95799999999999996</v>
      </c>
      <c r="N242" t="s">
        <v>2871</v>
      </c>
      <c r="O242" t="s">
        <v>3192</v>
      </c>
      <c r="P242" t="s">
        <v>2873</v>
      </c>
      <c r="Q242">
        <v>154</v>
      </c>
      <c r="R242">
        <v>25</v>
      </c>
      <c r="S242">
        <v>0.1623</v>
      </c>
    </row>
    <row r="243" spans="1:19">
      <c r="A243" t="s">
        <v>8</v>
      </c>
      <c r="B243" t="s">
        <v>405</v>
      </c>
      <c r="C243" t="str">
        <f>Data_Master[[#This Row],[Uniq-ID]]&amp;"-"&amp;Data_Master[[#This Row],[Period]]</f>
        <v>DC-Document_Controller-020-M2</v>
      </c>
      <c r="D243" t="s">
        <v>406</v>
      </c>
      <c r="E243" t="s">
        <v>48</v>
      </c>
      <c r="G243" t="s">
        <v>18</v>
      </c>
      <c r="H243" t="s">
        <v>202</v>
      </c>
      <c r="I243" t="s">
        <v>15</v>
      </c>
      <c r="J243" t="s">
        <v>44</v>
      </c>
      <c r="L243">
        <v>0.96</v>
      </c>
      <c r="M243">
        <v>0.95799999999999996</v>
      </c>
      <c r="N243" t="s">
        <v>2887</v>
      </c>
      <c r="O243" t="s">
        <v>3194</v>
      </c>
      <c r="P243" t="s">
        <v>2873</v>
      </c>
      <c r="Q243">
        <v>616</v>
      </c>
      <c r="R243">
        <v>182</v>
      </c>
      <c r="S243">
        <v>0.29549999999999998</v>
      </c>
    </row>
    <row r="244" spans="1:19">
      <c r="A244" t="s">
        <v>8</v>
      </c>
      <c r="B244" t="s">
        <v>405</v>
      </c>
      <c r="C244" t="str">
        <f>Data_Master[[#This Row],[Uniq-ID]]&amp;"-"&amp;Data_Master[[#This Row],[Period]]</f>
        <v>DC-Document_Controller-020-M3</v>
      </c>
      <c r="D244" t="s">
        <v>406</v>
      </c>
      <c r="E244" t="s">
        <v>48</v>
      </c>
      <c r="G244" t="s">
        <v>22</v>
      </c>
      <c r="H244" t="s">
        <v>204</v>
      </c>
      <c r="I244" t="s">
        <v>15</v>
      </c>
      <c r="J244" t="s">
        <v>16</v>
      </c>
      <c r="L244">
        <v>1.5</v>
      </c>
      <c r="M244">
        <v>3.794</v>
      </c>
      <c r="N244" t="s">
        <v>2887</v>
      </c>
      <c r="O244" t="s">
        <v>3194</v>
      </c>
      <c r="P244" t="s">
        <v>2873</v>
      </c>
      <c r="Q244">
        <v>616</v>
      </c>
      <c r="R244">
        <v>313</v>
      </c>
      <c r="S244">
        <v>0.5081</v>
      </c>
    </row>
    <row r="245" spans="1:19">
      <c r="A245" t="s">
        <v>8</v>
      </c>
      <c r="B245" t="s">
        <v>405</v>
      </c>
      <c r="C245" t="str">
        <f>Data_Master[[#This Row],[Uniq-ID]]&amp;"-"&amp;Data_Master[[#This Row],[Period]]</f>
        <v>DC-Document_Controller-020-M3</v>
      </c>
      <c r="D245" t="s">
        <v>406</v>
      </c>
      <c r="E245" t="s">
        <v>48</v>
      </c>
      <c r="G245" t="s">
        <v>22</v>
      </c>
      <c r="H245" t="s">
        <v>204</v>
      </c>
      <c r="I245" t="s">
        <v>15</v>
      </c>
      <c r="J245" t="s">
        <v>16</v>
      </c>
      <c r="L245">
        <v>1.5</v>
      </c>
      <c r="M245">
        <v>3.794</v>
      </c>
      <c r="N245" t="s">
        <v>2887</v>
      </c>
      <c r="O245" t="s">
        <v>3199</v>
      </c>
      <c r="P245" t="s">
        <v>2916</v>
      </c>
      <c r="R245">
        <v>39</v>
      </c>
    </row>
    <row r="246" spans="1:19">
      <c r="A246" t="s">
        <v>8</v>
      </c>
      <c r="B246" t="s">
        <v>405</v>
      </c>
      <c r="C246" t="str">
        <f>Data_Master[[#This Row],[Uniq-ID]]&amp;"-"&amp;Data_Master[[#This Row],[Period]]</f>
        <v>DC-Document_Controller-020-M3</v>
      </c>
      <c r="D246" t="s">
        <v>406</v>
      </c>
      <c r="E246" t="s">
        <v>48</v>
      </c>
      <c r="G246" t="s">
        <v>22</v>
      </c>
      <c r="H246" t="s">
        <v>204</v>
      </c>
      <c r="I246" t="s">
        <v>15</v>
      </c>
      <c r="J246" t="s">
        <v>16</v>
      </c>
      <c r="L246">
        <v>1.5</v>
      </c>
      <c r="M246">
        <v>3.794</v>
      </c>
      <c r="N246" t="s">
        <v>2887</v>
      </c>
      <c r="O246" t="s">
        <v>3200</v>
      </c>
      <c r="P246" t="s">
        <v>2916</v>
      </c>
      <c r="Q246">
        <v>308</v>
      </c>
      <c r="R246">
        <v>35</v>
      </c>
      <c r="S246">
        <v>0.11360000000000001</v>
      </c>
    </row>
    <row r="247" spans="1:19">
      <c r="A247" t="s">
        <v>8</v>
      </c>
      <c r="B247" t="s">
        <v>405</v>
      </c>
      <c r="C247" t="str">
        <f>Data_Master[[#This Row],[Uniq-ID]]&amp;"-"&amp;Data_Master[[#This Row],[Period]]</f>
        <v>DC-Document_Controller-020-M3</v>
      </c>
      <c r="D247" t="s">
        <v>406</v>
      </c>
      <c r="E247" t="s">
        <v>48</v>
      </c>
      <c r="G247" t="s">
        <v>22</v>
      </c>
      <c r="H247" t="s">
        <v>204</v>
      </c>
      <c r="I247" t="s">
        <v>15</v>
      </c>
      <c r="J247" t="s">
        <v>16</v>
      </c>
      <c r="L247">
        <v>1.5</v>
      </c>
      <c r="M247">
        <v>3.794</v>
      </c>
      <c r="N247" t="s">
        <v>2871</v>
      </c>
      <c r="O247" t="s">
        <v>3192</v>
      </c>
      <c r="P247" t="s">
        <v>2873</v>
      </c>
      <c r="Q247">
        <v>154</v>
      </c>
      <c r="R247">
        <v>65</v>
      </c>
      <c r="S247">
        <v>0.42209999999999998</v>
      </c>
    </row>
    <row r="248" spans="1:19">
      <c r="A248" t="s">
        <v>8</v>
      </c>
      <c r="B248" t="s">
        <v>405</v>
      </c>
      <c r="C248" t="str">
        <f>Data_Master[[#This Row],[Uniq-ID]]&amp;"-"&amp;Data_Master[[#This Row],[Period]]</f>
        <v>DC-Document_Controller-020-M3</v>
      </c>
      <c r="D248" t="s">
        <v>406</v>
      </c>
      <c r="E248" t="s">
        <v>48</v>
      </c>
      <c r="G248" t="s">
        <v>22</v>
      </c>
      <c r="H248" t="s">
        <v>204</v>
      </c>
      <c r="I248" t="s">
        <v>15</v>
      </c>
      <c r="J248" t="s">
        <v>16</v>
      </c>
      <c r="L248">
        <v>1.5</v>
      </c>
      <c r="M248">
        <v>3.794</v>
      </c>
      <c r="N248" t="s">
        <v>2871</v>
      </c>
      <c r="O248" t="s">
        <v>3190</v>
      </c>
      <c r="P248" t="s">
        <v>2873</v>
      </c>
      <c r="Q248">
        <v>168</v>
      </c>
      <c r="R248">
        <v>462</v>
      </c>
      <c r="S248">
        <v>2.75</v>
      </c>
    </row>
    <row r="249" spans="1:19">
      <c r="A249" t="s">
        <v>8</v>
      </c>
      <c r="B249" t="s">
        <v>405</v>
      </c>
      <c r="C249" t="str">
        <f>Data_Master[[#This Row],[Uniq-ID]]&amp;"-"&amp;Data_Master[[#This Row],[Period]]</f>
        <v>DC-Document_Controller-020-M4</v>
      </c>
      <c r="D249" t="s">
        <v>406</v>
      </c>
      <c r="E249" t="s">
        <v>48</v>
      </c>
      <c r="G249" t="s">
        <v>25</v>
      </c>
      <c r="H249" t="s">
        <v>206</v>
      </c>
      <c r="I249" t="s">
        <v>15</v>
      </c>
      <c r="J249" t="s">
        <v>16</v>
      </c>
      <c r="L249">
        <v>1.5</v>
      </c>
      <c r="M249">
        <v>6.9790000000000001</v>
      </c>
      <c r="N249" t="s">
        <v>2879</v>
      </c>
      <c r="O249" t="s">
        <v>3200</v>
      </c>
      <c r="P249" t="s">
        <v>2916</v>
      </c>
      <c r="Q249">
        <v>308</v>
      </c>
      <c r="R249">
        <v>6</v>
      </c>
      <c r="S249">
        <v>1.95E-2</v>
      </c>
    </row>
    <row r="250" spans="1:19">
      <c r="A250" t="s">
        <v>8</v>
      </c>
      <c r="B250" t="s">
        <v>405</v>
      </c>
      <c r="C250" t="str">
        <f>Data_Master[[#This Row],[Uniq-ID]]&amp;"-"&amp;Data_Master[[#This Row],[Period]]</f>
        <v>DC-Document_Controller-020-M4</v>
      </c>
      <c r="D250" t="s">
        <v>406</v>
      </c>
      <c r="E250" t="s">
        <v>48</v>
      </c>
      <c r="G250" t="s">
        <v>25</v>
      </c>
      <c r="H250" t="s">
        <v>206</v>
      </c>
      <c r="I250" t="s">
        <v>15</v>
      </c>
      <c r="J250" t="s">
        <v>16</v>
      </c>
      <c r="L250">
        <v>1.5</v>
      </c>
      <c r="M250">
        <v>6.9790000000000001</v>
      </c>
      <c r="N250" t="s">
        <v>2879</v>
      </c>
      <c r="O250" t="s">
        <v>3014</v>
      </c>
      <c r="P250" t="s">
        <v>2916</v>
      </c>
      <c r="Q250">
        <v>31</v>
      </c>
      <c r="R250">
        <v>75</v>
      </c>
      <c r="S250">
        <v>2.4194</v>
      </c>
    </row>
    <row r="251" spans="1:19">
      <c r="A251" t="s">
        <v>8</v>
      </c>
      <c r="B251" t="s">
        <v>405</v>
      </c>
      <c r="C251" t="str">
        <f>Data_Master[[#This Row],[Uniq-ID]]&amp;"-"&amp;Data_Master[[#This Row],[Period]]</f>
        <v>DC-Document_Controller-020-M4</v>
      </c>
      <c r="D251" t="s">
        <v>406</v>
      </c>
      <c r="E251" t="s">
        <v>48</v>
      </c>
      <c r="G251" t="s">
        <v>25</v>
      </c>
      <c r="H251" t="s">
        <v>206</v>
      </c>
      <c r="I251" t="s">
        <v>15</v>
      </c>
      <c r="J251" t="s">
        <v>16</v>
      </c>
      <c r="L251">
        <v>1.5</v>
      </c>
      <c r="M251">
        <v>6.9790000000000001</v>
      </c>
      <c r="N251" t="s">
        <v>2887</v>
      </c>
      <c r="O251" t="s">
        <v>3194</v>
      </c>
      <c r="P251" t="s">
        <v>2873</v>
      </c>
      <c r="Q251">
        <v>616</v>
      </c>
      <c r="R251">
        <v>327</v>
      </c>
      <c r="S251">
        <v>0.53080000000000005</v>
      </c>
    </row>
    <row r="252" spans="1:19">
      <c r="A252" t="s">
        <v>8</v>
      </c>
      <c r="B252" t="s">
        <v>405</v>
      </c>
      <c r="C252" t="str">
        <f>Data_Master[[#This Row],[Uniq-ID]]&amp;"-"&amp;Data_Master[[#This Row],[Period]]</f>
        <v>DC-Document_Controller-020-M4</v>
      </c>
      <c r="D252" t="s">
        <v>406</v>
      </c>
      <c r="E252" t="s">
        <v>48</v>
      </c>
      <c r="G252" t="s">
        <v>25</v>
      </c>
      <c r="H252" t="s">
        <v>206</v>
      </c>
      <c r="I252" t="s">
        <v>15</v>
      </c>
      <c r="J252" t="s">
        <v>16</v>
      </c>
      <c r="L252">
        <v>1.5</v>
      </c>
      <c r="M252">
        <v>6.9790000000000001</v>
      </c>
      <c r="N252" t="s">
        <v>2887</v>
      </c>
      <c r="O252" t="s">
        <v>3199</v>
      </c>
      <c r="P252" t="s">
        <v>2873</v>
      </c>
      <c r="Q252">
        <v>462</v>
      </c>
      <c r="R252">
        <v>592</v>
      </c>
      <c r="S252">
        <v>1.2814000000000001</v>
      </c>
    </row>
    <row r="253" spans="1:19">
      <c r="A253" t="s">
        <v>8</v>
      </c>
      <c r="B253" t="s">
        <v>405</v>
      </c>
      <c r="C253" t="str">
        <f>Data_Master[[#This Row],[Uniq-ID]]&amp;"-"&amp;Data_Master[[#This Row],[Period]]</f>
        <v>DC-Document_Controller-020-M4</v>
      </c>
      <c r="D253" t="s">
        <v>406</v>
      </c>
      <c r="E253" t="s">
        <v>48</v>
      </c>
      <c r="G253" t="s">
        <v>25</v>
      </c>
      <c r="H253" t="s">
        <v>206</v>
      </c>
      <c r="I253" t="s">
        <v>15</v>
      </c>
      <c r="J253" t="s">
        <v>16</v>
      </c>
      <c r="L253">
        <v>1.5</v>
      </c>
      <c r="M253">
        <v>6.9790000000000001</v>
      </c>
      <c r="N253" t="s">
        <v>2887</v>
      </c>
      <c r="O253" t="s">
        <v>3199</v>
      </c>
      <c r="P253" t="s">
        <v>2916</v>
      </c>
      <c r="R253">
        <v>592</v>
      </c>
    </row>
    <row r="254" spans="1:19">
      <c r="A254" t="s">
        <v>8</v>
      </c>
      <c r="B254" t="s">
        <v>405</v>
      </c>
      <c r="C254" t="str">
        <f>Data_Master[[#This Row],[Uniq-ID]]&amp;"-"&amp;Data_Master[[#This Row],[Period]]</f>
        <v>DC-Document_Controller-020-M4</v>
      </c>
      <c r="D254" t="s">
        <v>406</v>
      </c>
      <c r="E254" t="s">
        <v>48</v>
      </c>
      <c r="G254" t="s">
        <v>25</v>
      </c>
      <c r="H254" t="s">
        <v>206</v>
      </c>
      <c r="I254" t="s">
        <v>15</v>
      </c>
      <c r="J254" t="s">
        <v>16</v>
      </c>
      <c r="L254">
        <v>1.5</v>
      </c>
      <c r="M254">
        <v>6.9790000000000001</v>
      </c>
      <c r="N254" t="s">
        <v>2871</v>
      </c>
      <c r="O254" t="s">
        <v>3192</v>
      </c>
      <c r="P254" t="s">
        <v>2873</v>
      </c>
      <c r="Q254">
        <v>154</v>
      </c>
      <c r="R254">
        <v>190</v>
      </c>
      <c r="S254">
        <v>1.2338</v>
      </c>
    </row>
    <row r="255" spans="1:19">
      <c r="A255" t="s">
        <v>8</v>
      </c>
      <c r="B255" t="s">
        <v>405</v>
      </c>
      <c r="C255" t="str">
        <f>Data_Master[[#This Row],[Uniq-ID]]&amp;"-"&amp;Data_Master[[#This Row],[Period]]</f>
        <v>DC-Document_Controller-020-M4</v>
      </c>
      <c r="D255" t="s">
        <v>406</v>
      </c>
      <c r="E255" t="s">
        <v>48</v>
      </c>
      <c r="G255" t="s">
        <v>25</v>
      </c>
      <c r="H255" t="s">
        <v>206</v>
      </c>
      <c r="I255" t="s">
        <v>15</v>
      </c>
      <c r="J255" t="s">
        <v>16</v>
      </c>
      <c r="L255">
        <v>1.5</v>
      </c>
      <c r="M255">
        <v>6.9790000000000001</v>
      </c>
      <c r="N255" t="s">
        <v>2871</v>
      </c>
      <c r="O255" t="s">
        <v>3190</v>
      </c>
      <c r="P255" t="s">
        <v>2873</v>
      </c>
      <c r="Q255">
        <v>168</v>
      </c>
      <c r="R255">
        <v>251</v>
      </c>
      <c r="S255">
        <v>1.494</v>
      </c>
    </row>
    <row r="256" spans="1:19">
      <c r="A256" t="s">
        <v>8</v>
      </c>
      <c r="B256" t="s">
        <v>405</v>
      </c>
      <c r="C256" t="str">
        <f>Data_Master[[#This Row],[Uniq-ID]]&amp;"-"&amp;Data_Master[[#This Row],[Period]]</f>
        <v>DC-Document_Controller-020-M5</v>
      </c>
      <c r="D256" t="s">
        <v>406</v>
      </c>
      <c r="E256" t="s">
        <v>48</v>
      </c>
      <c r="G256" t="s">
        <v>28</v>
      </c>
      <c r="H256" t="s">
        <v>208</v>
      </c>
      <c r="I256" t="s">
        <v>15</v>
      </c>
      <c r="J256" t="s">
        <v>20</v>
      </c>
      <c r="L256">
        <v>1</v>
      </c>
      <c r="M256">
        <v>1.5609999999999999</v>
      </c>
      <c r="N256" t="s">
        <v>2887</v>
      </c>
      <c r="O256" t="s">
        <v>3194</v>
      </c>
      <c r="P256" t="s">
        <v>2873</v>
      </c>
      <c r="Q256">
        <v>616</v>
      </c>
      <c r="R256">
        <v>33</v>
      </c>
      <c r="S256">
        <v>5.3600000000000002E-2</v>
      </c>
    </row>
    <row r="257" spans="1:19">
      <c r="A257" t="s">
        <v>8</v>
      </c>
      <c r="B257" t="s">
        <v>405</v>
      </c>
      <c r="C257" t="str">
        <f>Data_Master[[#This Row],[Uniq-ID]]&amp;"-"&amp;Data_Master[[#This Row],[Period]]</f>
        <v>DC-Document_Controller-020-M5</v>
      </c>
      <c r="D257" t="s">
        <v>406</v>
      </c>
      <c r="E257" t="s">
        <v>48</v>
      </c>
      <c r="G257" t="s">
        <v>28</v>
      </c>
      <c r="H257" t="s">
        <v>208</v>
      </c>
      <c r="I257" t="s">
        <v>15</v>
      </c>
      <c r="J257" t="s">
        <v>20</v>
      </c>
      <c r="L257">
        <v>1</v>
      </c>
      <c r="M257">
        <v>1.5609999999999999</v>
      </c>
      <c r="N257" t="s">
        <v>2887</v>
      </c>
      <c r="O257" t="s">
        <v>3199</v>
      </c>
      <c r="P257" t="s">
        <v>2873</v>
      </c>
      <c r="Q257">
        <v>462</v>
      </c>
      <c r="R257">
        <v>599</v>
      </c>
      <c r="S257">
        <v>1.2965</v>
      </c>
    </row>
    <row r="258" spans="1:19">
      <c r="A258" t="s">
        <v>8</v>
      </c>
      <c r="B258" t="s">
        <v>405</v>
      </c>
      <c r="C258" t="str">
        <f>Data_Master[[#This Row],[Uniq-ID]]&amp;"-"&amp;Data_Master[[#This Row],[Period]]</f>
        <v>DC-Document_Controller-020-M5</v>
      </c>
      <c r="D258" t="s">
        <v>406</v>
      </c>
      <c r="E258" t="s">
        <v>48</v>
      </c>
      <c r="G258" t="s">
        <v>28</v>
      </c>
      <c r="H258" t="s">
        <v>208</v>
      </c>
      <c r="I258" t="s">
        <v>15</v>
      </c>
      <c r="J258" t="s">
        <v>20</v>
      </c>
      <c r="L258">
        <v>1</v>
      </c>
      <c r="M258">
        <v>1.5609999999999999</v>
      </c>
      <c r="N258" t="s">
        <v>2871</v>
      </c>
      <c r="O258" t="s">
        <v>3192</v>
      </c>
      <c r="P258" t="s">
        <v>2873</v>
      </c>
      <c r="Q258">
        <v>154</v>
      </c>
      <c r="R258">
        <v>26</v>
      </c>
      <c r="S258">
        <v>0.16880000000000001</v>
      </c>
    </row>
    <row r="259" spans="1:19">
      <c r="A259" t="s">
        <v>8</v>
      </c>
      <c r="B259" t="s">
        <v>405</v>
      </c>
      <c r="C259" t="str">
        <f>Data_Master[[#This Row],[Uniq-ID]]&amp;"-"&amp;Data_Master[[#This Row],[Period]]</f>
        <v>DC-Document_Controller-020-M5</v>
      </c>
      <c r="D259" t="s">
        <v>406</v>
      </c>
      <c r="E259" t="s">
        <v>48</v>
      </c>
      <c r="G259" t="s">
        <v>28</v>
      </c>
      <c r="H259" t="s">
        <v>208</v>
      </c>
      <c r="I259" t="s">
        <v>15</v>
      </c>
      <c r="J259" t="s">
        <v>20</v>
      </c>
      <c r="L259">
        <v>1</v>
      </c>
      <c r="M259">
        <v>1.5609999999999999</v>
      </c>
      <c r="N259" t="s">
        <v>2879</v>
      </c>
      <c r="O259" t="s">
        <v>3200</v>
      </c>
      <c r="P259" t="s">
        <v>2916</v>
      </c>
      <c r="Q259">
        <v>308</v>
      </c>
      <c r="R259">
        <v>13</v>
      </c>
      <c r="S259">
        <v>4.2200000000000001E-2</v>
      </c>
    </row>
    <row r="260" spans="1:19">
      <c r="A260" t="s">
        <v>8</v>
      </c>
      <c r="B260" t="s">
        <v>405</v>
      </c>
      <c r="C260" t="str">
        <f>Data_Master[[#This Row],[Uniq-ID]]&amp;"-"&amp;Data_Master[[#This Row],[Period]]</f>
        <v>DC-Document_Controller-020-M6</v>
      </c>
      <c r="D260" t="s">
        <v>406</v>
      </c>
      <c r="E260" t="s">
        <v>48</v>
      </c>
      <c r="G260" t="s">
        <v>31</v>
      </c>
      <c r="H260" t="s">
        <v>210</v>
      </c>
      <c r="I260" t="s">
        <v>33</v>
      </c>
      <c r="J260" t="s">
        <v>44</v>
      </c>
      <c r="L260">
        <v>0.5</v>
      </c>
      <c r="M260">
        <v>6.0000000000000001E-3</v>
      </c>
      <c r="N260" t="s">
        <v>2871</v>
      </c>
      <c r="O260" t="s">
        <v>3192</v>
      </c>
      <c r="P260" t="s">
        <v>2873</v>
      </c>
      <c r="Q260">
        <v>154</v>
      </c>
      <c r="R260">
        <v>1</v>
      </c>
      <c r="S260">
        <v>6.4999999999999997E-3</v>
      </c>
    </row>
    <row r="261" spans="1:19">
      <c r="A261" t="s">
        <v>8</v>
      </c>
      <c r="B261" t="s">
        <v>9</v>
      </c>
      <c r="C261" t="str">
        <f>Data_Master[[#This Row],[Uniq-ID]]&amp;"-"&amp;Data_Master[[#This Row],[Period]]</f>
        <v>DC-Document_Controller-021-M1</v>
      </c>
      <c r="D261" t="s">
        <v>10</v>
      </c>
      <c r="E261" t="s">
        <v>11</v>
      </c>
      <c r="G261" t="s">
        <v>13</v>
      </c>
      <c r="H261" t="s">
        <v>14</v>
      </c>
      <c r="I261" t="s">
        <v>15</v>
      </c>
      <c r="J261" t="s">
        <v>16</v>
      </c>
      <c r="L261">
        <v>1.36</v>
      </c>
      <c r="M261">
        <v>2.7229999999999999</v>
      </c>
      <c r="N261" t="s">
        <v>2871</v>
      </c>
      <c r="O261" t="s">
        <v>2872</v>
      </c>
      <c r="P261" t="s">
        <v>2873</v>
      </c>
      <c r="Q261">
        <v>35</v>
      </c>
      <c r="R261">
        <v>2</v>
      </c>
      <c r="S261">
        <v>5.7099999999999998E-2</v>
      </c>
    </row>
    <row r="262" spans="1:19">
      <c r="A262" t="s">
        <v>8</v>
      </c>
      <c r="B262" t="s">
        <v>9</v>
      </c>
      <c r="C262" t="str">
        <f>Data_Master[[#This Row],[Uniq-ID]]&amp;"-"&amp;Data_Master[[#This Row],[Period]]</f>
        <v>DC-Document_Controller-021-M1</v>
      </c>
      <c r="D262" t="s">
        <v>10</v>
      </c>
      <c r="E262" t="s">
        <v>11</v>
      </c>
      <c r="G262" t="s">
        <v>13</v>
      </c>
      <c r="H262" t="s">
        <v>14</v>
      </c>
      <c r="I262" t="s">
        <v>15</v>
      </c>
      <c r="J262" t="s">
        <v>16</v>
      </c>
      <c r="L262">
        <v>1.36</v>
      </c>
      <c r="M262">
        <v>2.7229999999999999</v>
      </c>
      <c r="N262" t="s">
        <v>2871</v>
      </c>
      <c r="O262" t="s">
        <v>2875</v>
      </c>
      <c r="P262" t="s">
        <v>2873</v>
      </c>
      <c r="Q262">
        <v>36</v>
      </c>
      <c r="R262">
        <v>2</v>
      </c>
      <c r="S262">
        <v>5.5599999999999997E-2</v>
      </c>
    </row>
    <row r="263" spans="1:19">
      <c r="A263" t="s">
        <v>8</v>
      </c>
      <c r="B263" t="s">
        <v>9</v>
      </c>
      <c r="C263" t="str">
        <f>Data_Master[[#This Row],[Uniq-ID]]&amp;"-"&amp;Data_Master[[#This Row],[Period]]</f>
        <v>DC-Document_Controller-021-M1</v>
      </c>
      <c r="D263" t="s">
        <v>10</v>
      </c>
      <c r="E263" t="s">
        <v>11</v>
      </c>
      <c r="G263" t="s">
        <v>13</v>
      </c>
      <c r="H263" t="s">
        <v>14</v>
      </c>
      <c r="I263" t="s">
        <v>15</v>
      </c>
      <c r="J263" t="s">
        <v>16</v>
      </c>
      <c r="L263">
        <v>1.36</v>
      </c>
      <c r="M263">
        <v>2.7229999999999999</v>
      </c>
      <c r="N263" t="s">
        <v>2871</v>
      </c>
      <c r="O263" t="s">
        <v>2877</v>
      </c>
      <c r="P263" t="s">
        <v>2873</v>
      </c>
      <c r="Q263">
        <v>32</v>
      </c>
      <c r="R263">
        <v>54</v>
      </c>
      <c r="S263">
        <v>1.6875</v>
      </c>
    </row>
    <row r="264" spans="1:19">
      <c r="A264" t="s">
        <v>8</v>
      </c>
      <c r="B264" t="s">
        <v>9</v>
      </c>
      <c r="C264" t="str">
        <f>Data_Master[[#This Row],[Uniq-ID]]&amp;"-"&amp;Data_Master[[#This Row],[Period]]</f>
        <v>DC-Document_Controller-021-M1</v>
      </c>
      <c r="D264" t="s">
        <v>10</v>
      </c>
      <c r="E264" t="s">
        <v>11</v>
      </c>
      <c r="G264" t="s">
        <v>13</v>
      </c>
      <c r="H264" t="s">
        <v>14</v>
      </c>
      <c r="I264" t="s">
        <v>15</v>
      </c>
      <c r="J264" t="s">
        <v>16</v>
      </c>
      <c r="L264">
        <v>1.36</v>
      </c>
      <c r="M264">
        <v>2.7229999999999999</v>
      </c>
      <c r="N264" t="s">
        <v>2879</v>
      </c>
      <c r="O264" t="s">
        <v>2880</v>
      </c>
      <c r="P264" t="s">
        <v>2873</v>
      </c>
      <c r="Q264">
        <v>13</v>
      </c>
      <c r="R264">
        <v>12</v>
      </c>
      <c r="S264">
        <v>0.92310000000000003</v>
      </c>
    </row>
    <row r="265" spans="1:19">
      <c r="A265" t="s">
        <v>8</v>
      </c>
      <c r="B265" t="s">
        <v>9</v>
      </c>
      <c r="C265" t="str">
        <f>Data_Master[[#This Row],[Uniq-ID]]&amp;"-"&amp;Data_Master[[#This Row],[Period]]</f>
        <v>DC-Document_Controller-021-M2</v>
      </c>
      <c r="D265" t="s">
        <v>10</v>
      </c>
      <c r="E265" t="s">
        <v>11</v>
      </c>
      <c r="G265" t="s">
        <v>18</v>
      </c>
      <c r="H265" t="s">
        <v>19</v>
      </c>
      <c r="I265" t="s">
        <v>15</v>
      </c>
      <c r="J265" t="s">
        <v>20</v>
      </c>
      <c r="L265">
        <v>1</v>
      </c>
      <c r="M265">
        <v>1.9510000000000001</v>
      </c>
      <c r="N265" t="s">
        <v>2871</v>
      </c>
      <c r="O265" t="s">
        <v>2877</v>
      </c>
      <c r="P265" t="s">
        <v>2873</v>
      </c>
      <c r="Q265">
        <v>32</v>
      </c>
      <c r="R265">
        <v>30</v>
      </c>
      <c r="S265">
        <v>0.9375</v>
      </c>
    </row>
    <row r="266" spans="1:19">
      <c r="A266" t="s">
        <v>8</v>
      </c>
      <c r="B266" t="s">
        <v>9</v>
      </c>
      <c r="C266" t="str">
        <f>Data_Master[[#This Row],[Uniq-ID]]&amp;"-"&amp;Data_Master[[#This Row],[Period]]</f>
        <v>DC-Document_Controller-021-M2</v>
      </c>
      <c r="D266" t="s">
        <v>10</v>
      </c>
      <c r="E266" t="s">
        <v>11</v>
      </c>
      <c r="G266" t="s">
        <v>18</v>
      </c>
      <c r="H266" t="s">
        <v>19</v>
      </c>
      <c r="I266" t="s">
        <v>15</v>
      </c>
      <c r="J266" t="s">
        <v>20</v>
      </c>
      <c r="L266">
        <v>1</v>
      </c>
      <c r="M266">
        <v>1.9510000000000001</v>
      </c>
      <c r="N266" t="s">
        <v>2871</v>
      </c>
      <c r="O266" t="s">
        <v>2875</v>
      </c>
      <c r="P266" t="s">
        <v>2873</v>
      </c>
      <c r="Q266">
        <v>36</v>
      </c>
      <c r="R266">
        <v>19</v>
      </c>
      <c r="S266">
        <v>0.52780000000000005</v>
      </c>
    </row>
    <row r="267" spans="1:19">
      <c r="A267" t="s">
        <v>8</v>
      </c>
      <c r="B267" t="s">
        <v>9</v>
      </c>
      <c r="C267" t="str">
        <f>Data_Master[[#This Row],[Uniq-ID]]&amp;"-"&amp;Data_Master[[#This Row],[Period]]</f>
        <v>DC-Document_Controller-021-M2</v>
      </c>
      <c r="D267" t="s">
        <v>10</v>
      </c>
      <c r="E267" t="s">
        <v>11</v>
      </c>
      <c r="G267" t="s">
        <v>18</v>
      </c>
      <c r="H267" t="s">
        <v>19</v>
      </c>
      <c r="I267" t="s">
        <v>15</v>
      </c>
      <c r="J267" t="s">
        <v>20</v>
      </c>
      <c r="L267">
        <v>1</v>
      </c>
      <c r="M267">
        <v>1.9510000000000001</v>
      </c>
      <c r="N267" t="s">
        <v>2871</v>
      </c>
      <c r="O267" t="s">
        <v>2872</v>
      </c>
      <c r="P267" t="s">
        <v>2873</v>
      </c>
      <c r="Q267">
        <v>35</v>
      </c>
      <c r="R267">
        <v>17</v>
      </c>
      <c r="S267">
        <v>0.48570000000000002</v>
      </c>
    </row>
    <row r="268" spans="1:19">
      <c r="A268" t="s">
        <v>8</v>
      </c>
      <c r="B268" t="s">
        <v>9</v>
      </c>
      <c r="C268" t="str">
        <f>Data_Master[[#This Row],[Uniq-ID]]&amp;"-"&amp;Data_Master[[#This Row],[Period]]</f>
        <v>DC-Document_Controller-021-M3</v>
      </c>
      <c r="D268" t="s">
        <v>10</v>
      </c>
      <c r="E268" t="s">
        <v>11</v>
      </c>
      <c r="G268" t="s">
        <v>22</v>
      </c>
      <c r="H268" t="s">
        <v>23</v>
      </c>
      <c r="I268" t="s">
        <v>15</v>
      </c>
      <c r="J268" t="s">
        <v>16</v>
      </c>
      <c r="L268">
        <v>1.5</v>
      </c>
      <c r="M268">
        <v>8.8789999999999996</v>
      </c>
      <c r="N268" t="s">
        <v>2887</v>
      </c>
      <c r="O268" t="s">
        <v>2888</v>
      </c>
      <c r="P268" t="s">
        <v>2873</v>
      </c>
      <c r="Q268">
        <v>205</v>
      </c>
      <c r="R268">
        <v>537</v>
      </c>
      <c r="S268">
        <v>2.6194999999999999</v>
      </c>
    </row>
    <row r="269" spans="1:19">
      <c r="A269" t="s">
        <v>8</v>
      </c>
      <c r="B269" t="s">
        <v>9</v>
      </c>
      <c r="C269" t="str">
        <f>Data_Master[[#This Row],[Uniq-ID]]&amp;"-"&amp;Data_Master[[#This Row],[Period]]</f>
        <v>DC-Document_Controller-021-M3</v>
      </c>
      <c r="D269" t="s">
        <v>10</v>
      </c>
      <c r="E269" t="s">
        <v>11</v>
      </c>
      <c r="G269" t="s">
        <v>22</v>
      </c>
      <c r="H269" t="s">
        <v>23</v>
      </c>
      <c r="I269" t="s">
        <v>15</v>
      </c>
      <c r="J269" t="s">
        <v>16</v>
      </c>
      <c r="L269">
        <v>1.5</v>
      </c>
      <c r="M269">
        <v>8.8789999999999996</v>
      </c>
      <c r="N269" t="s">
        <v>2887</v>
      </c>
      <c r="O269" t="s">
        <v>2890</v>
      </c>
      <c r="P269" t="s">
        <v>2873</v>
      </c>
      <c r="Q269">
        <v>205</v>
      </c>
      <c r="R269">
        <v>537</v>
      </c>
      <c r="S269">
        <v>2.6194999999999999</v>
      </c>
    </row>
    <row r="270" spans="1:19">
      <c r="A270" t="s">
        <v>8</v>
      </c>
      <c r="B270" t="s">
        <v>9</v>
      </c>
      <c r="C270" t="str">
        <f>Data_Master[[#This Row],[Uniq-ID]]&amp;"-"&amp;Data_Master[[#This Row],[Period]]</f>
        <v>DC-Document_Controller-021-M3</v>
      </c>
      <c r="D270" t="s">
        <v>10</v>
      </c>
      <c r="E270" t="s">
        <v>11</v>
      </c>
      <c r="G270" t="s">
        <v>22</v>
      </c>
      <c r="H270" t="s">
        <v>23</v>
      </c>
      <c r="I270" t="s">
        <v>15</v>
      </c>
      <c r="J270" t="s">
        <v>16</v>
      </c>
      <c r="L270">
        <v>1.5</v>
      </c>
      <c r="M270">
        <v>8.8789999999999996</v>
      </c>
      <c r="N270" t="s">
        <v>2871</v>
      </c>
      <c r="O270" t="s">
        <v>2875</v>
      </c>
      <c r="P270" t="s">
        <v>2873</v>
      </c>
      <c r="Q270">
        <v>36</v>
      </c>
      <c r="R270">
        <v>9</v>
      </c>
      <c r="S270">
        <v>0.25</v>
      </c>
    </row>
    <row r="271" spans="1:19">
      <c r="A271" t="s">
        <v>8</v>
      </c>
      <c r="B271" t="s">
        <v>9</v>
      </c>
      <c r="C271" t="str">
        <f>Data_Master[[#This Row],[Uniq-ID]]&amp;"-"&amp;Data_Master[[#This Row],[Period]]</f>
        <v>DC-Document_Controller-021-M3</v>
      </c>
      <c r="D271" t="s">
        <v>10</v>
      </c>
      <c r="E271" t="s">
        <v>11</v>
      </c>
      <c r="G271" t="s">
        <v>22</v>
      </c>
      <c r="H271" t="s">
        <v>23</v>
      </c>
      <c r="I271" t="s">
        <v>15</v>
      </c>
      <c r="J271" t="s">
        <v>16</v>
      </c>
      <c r="L271">
        <v>1.5</v>
      </c>
      <c r="M271">
        <v>8.8789999999999996</v>
      </c>
      <c r="N271" t="s">
        <v>2871</v>
      </c>
      <c r="O271" t="s">
        <v>2872</v>
      </c>
      <c r="P271" t="s">
        <v>2873</v>
      </c>
      <c r="Q271">
        <v>35</v>
      </c>
      <c r="R271">
        <v>14</v>
      </c>
      <c r="S271">
        <v>0.4</v>
      </c>
    </row>
    <row r="272" spans="1:19">
      <c r="A272" t="s">
        <v>8</v>
      </c>
      <c r="B272" t="s">
        <v>9</v>
      </c>
      <c r="C272" t="str">
        <f>Data_Master[[#This Row],[Uniq-ID]]&amp;"-"&amp;Data_Master[[#This Row],[Period]]</f>
        <v>DC-Document_Controller-021-M3</v>
      </c>
      <c r="D272" t="s">
        <v>10</v>
      </c>
      <c r="E272" t="s">
        <v>11</v>
      </c>
      <c r="G272" t="s">
        <v>22</v>
      </c>
      <c r="H272" t="s">
        <v>23</v>
      </c>
      <c r="I272" t="s">
        <v>15</v>
      </c>
      <c r="J272" t="s">
        <v>16</v>
      </c>
      <c r="L272">
        <v>1.5</v>
      </c>
      <c r="M272">
        <v>8.8789999999999996</v>
      </c>
      <c r="N272" t="s">
        <v>2871</v>
      </c>
      <c r="O272" t="s">
        <v>2877</v>
      </c>
      <c r="P272" t="s">
        <v>2873</v>
      </c>
      <c r="Q272">
        <v>32</v>
      </c>
      <c r="R272">
        <v>92</v>
      </c>
      <c r="S272">
        <v>2.875</v>
      </c>
    </row>
    <row r="273" spans="1:19">
      <c r="A273" t="s">
        <v>8</v>
      </c>
      <c r="B273" t="s">
        <v>9</v>
      </c>
      <c r="C273" t="str">
        <f>Data_Master[[#This Row],[Uniq-ID]]&amp;"-"&amp;Data_Master[[#This Row],[Period]]</f>
        <v>DC-Document_Controller-021-M3</v>
      </c>
      <c r="D273" t="s">
        <v>10</v>
      </c>
      <c r="E273" t="s">
        <v>11</v>
      </c>
      <c r="G273" t="s">
        <v>22</v>
      </c>
      <c r="H273" t="s">
        <v>23</v>
      </c>
      <c r="I273" t="s">
        <v>15</v>
      </c>
      <c r="J273" t="s">
        <v>16</v>
      </c>
      <c r="L273">
        <v>1.5</v>
      </c>
      <c r="M273">
        <v>8.8789999999999996</v>
      </c>
      <c r="N273" t="s">
        <v>2879</v>
      </c>
      <c r="O273" t="s">
        <v>2894</v>
      </c>
      <c r="P273" t="s">
        <v>2873</v>
      </c>
      <c r="Q273">
        <v>26</v>
      </c>
      <c r="R273">
        <v>3</v>
      </c>
      <c r="S273">
        <v>0.1154</v>
      </c>
    </row>
    <row r="274" spans="1:19">
      <c r="A274" t="s">
        <v>8</v>
      </c>
      <c r="B274" t="s">
        <v>9</v>
      </c>
      <c r="C274" t="str">
        <f>Data_Master[[#This Row],[Uniq-ID]]&amp;"-"&amp;Data_Master[[#This Row],[Period]]</f>
        <v>DC-Document_Controller-021-M4</v>
      </c>
      <c r="D274" t="s">
        <v>10</v>
      </c>
      <c r="E274" t="s">
        <v>11</v>
      </c>
      <c r="G274" t="s">
        <v>25</v>
      </c>
      <c r="H274" t="s">
        <v>26</v>
      </c>
      <c r="I274" t="s">
        <v>15</v>
      </c>
      <c r="J274" t="s">
        <v>16</v>
      </c>
      <c r="L274">
        <v>1.43</v>
      </c>
      <c r="M274">
        <v>2.863</v>
      </c>
      <c r="N274" t="s">
        <v>2879</v>
      </c>
      <c r="O274" t="s">
        <v>2880</v>
      </c>
      <c r="P274" t="s">
        <v>2873</v>
      </c>
      <c r="Q274">
        <v>13</v>
      </c>
      <c r="R274">
        <v>8</v>
      </c>
      <c r="S274">
        <v>0.61539999999999995</v>
      </c>
    </row>
    <row r="275" spans="1:19">
      <c r="A275" t="s">
        <v>8</v>
      </c>
      <c r="B275" t="s">
        <v>9</v>
      </c>
      <c r="C275" t="str">
        <f>Data_Master[[#This Row],[Uniq-ID]]&amp;"-"&amp;Data_Master[[#This Row],[Period]]</f>
        <v>DC-Document_Controller-021-M4</v>
      </c>
      <c r="D275" t="s">
        <v>10</v>
      </c>
      <c r="E275" t="s">
        <v>11</v>
      </c>
      <c r="G275" t="s">
        <v>25</v>
      </c>
      <c r="H275" t="s">
        <v>26</v>
      </c>
      <c r="I275" t="s">
        <v>15</v>
      </c>
      <c r="J275" t="s">
        <v>16</v>
      </c>
      <c r="L275">
        <v>1.43</v>
      </c>
      <c r="M275">
        <v>2.863</v>
      </c>
      <c r="N275" t="s">
        <v>2871</v>
      </c>
      <c r="O275" t="s">
        <v>2877</v>
      </c>
      <c r="P275" t="s">
        <v>2873</v>
      </c>
      <c r="Q275">
        <v>32</v>
      </c>
      <c r="R275">
        <v>44</v>
      </c>
      <c r="S275">
        <v>1.375</v>
      </c>
    </row>
    <row r="276" spans="1:19">
      <c r="A276" t="s">
        <v>8</v>
      </c>
      <c r="B276" t="s">
        <v>9</v>
      </c>
      <c r="C276" t="str">
        <f>Data_Master[[#This Row],[Uniq-ID]]&amp;"-"&amp;Data_Master[[#This Row],[Period]]</f>
        <v>DC-Document_Controller-021-M4</v>
      </c>
      <c r="D276" t="s">
        <v>10</v>
      </c>
      <c r="E276" t="s">
        <v>11</v>
      </c>
      <c r="G276" t="s">
        <v>25</v>
      </c>
      <c r="H276" t="s">
        <v>26</v>
      </c>
      <c r="I276" t="s">
        <v>15</v>
      </c>
      <c r="J276" t="s">
        <v>16</v>
      </c>
      <c r="L276">
        <v>1.43</v>
      </c>
      <c r="M276">
        <v>2.863</v>
      </c>
      <c r="N276" t="s">
        <v>2871</v>
      </c>
      <c r="O276" t="s">
        <v>2872</v>
      </c>
      <c r="P276" t="s">
        <v>2873</v>
      </c>
      <c r="Q276">
        <v>35</v>
      </c>
      <c r="R276">
        <v>15</v>
      </c>
      <c r="S276">
        <v>0.42859999999999998</v>
      </c>
    </row>
    <row r="277" spans="1:19">
      <c r="A277" t="s">
        <v>8</v>
      </c>
      <c r="B277" t="s">
        <v>9</v>
      </c>
      <c r="C277" t="str">
        <f>Data_Master[[#This Row],[Uniq-ID]]&amp;"-"&amp;Data_Master[[#This Row],[Period]]</f>
        <v>DC-Document_Controller-021-M4</v>
      </c>
      <c r="D277" t="s">
        <v>10</v>
      </c>
      <c r="E277" t="s">
        <v>11</v>
      </c>
      <c r="G277" t="s">
        <v>25</v>
      </c>
      <c r="H277" t="s">
        <v>26</v>
      </c>
      <c r="I277" t="s">
        <v>15</v>
      </c>
      <c r="J277" t="s">
        <v>16</v>
      </c>
      <c r="L277">
        <v>1.43</v>
      </c>
      <c r="M277">
        <v>2.863</v>
      </c>
      <c r="N277" t="s">
        <v>2871</v>
      </c>
      <c r="O277" t="s">
        <v>2875</v>
      </c>
      <c r="P277" t="s">
        <v>2873</v>
      </c>
      <c r="Q277">
        <v>36</v>
      </c>
      <c r="R277">
        <v>16</v>
      </c>
      <c r="S277">
        <v>0.44440000000000002</v>
      </c>
    </row>
    <row r="278" spans="1:19">
      <c r="A278" t="s">
        <v>8</v>
      </c>
      <c r="B278" t="s">
        <v>9</v>
      </c>
      <c r="C278" t="str">
        <f>Data_Master[[#This Row],[Uniq-ID]]&amp;"-"&amp;Data_Master[[#This Row],[Period]]</f>
        <v>DC-Document_Controller-021-M5</v>
      </c>
      <c r="D278" t="s">
        <v>10</v>
      </c>
      <c r="E278" t="s">
        <v>11</v>
      </c>
      <c r="G278" t="s">
        <v>28</v>
      </c>
      <c r="H278" t="s">
        <v>29</v>
      </c>
      <c r="I278" t="s">
        <v>15</v>
      </c>
      <c r="J278" t="s">
        <v>16</v>
      </c>
      <c r="L278">
        <v>1.0900000000000001</v>
      </c>
      <c r="M278">
        <v>2.1859999999999999</v>
      </c>
      <c r="N278" t="s">
        <v>2871</v>
      </c>
      <c r="O278" t="s">
        <v>2875</v>
      </c>
      <c r="P278" t="s">
        <v>2873</v>
      </c>
      <c r="Q278">
        <v>36</v>
      </c>
      <c r="R278">
        <v>9</v>
      </c>
      <c r="S278">
        <v>0.25</v>
      </c>
    </row>
    <row r="279" spans="1:19">
      <c r="A279" t="s">
        <v>8</v>
      </c>
      <c r="B279" t="s">
        <v>9</v>
      </c>
      <c r="C279" t="str">
        <f>Data_Master[[#This Row],[Uniq-ID]]&amp;"-"&amp;Data_Master[[#This Row],[Period]]</f>
        <v>DC-Document_Controller-021-M5</v>
      </c>
      <c r="D279" t="s">
        <v>10</v>
      </c>
      <c r="E279" t="s">
        <v>11</v>
      </c>
      <c r="G279" t="s">
        <v>28</v>
      </c>
      <c r="H279" t="s">
        <v>29</v>
      </c>
      <c r="I279" t="s">
        <v>15</v>
      </c>
      <c r="J279" t="s">
        <v>16</v>
      </c>
      <c r="L279">
        <v>1.0900000000000001</v>
      </c>
      <c r="M279">
        <v>2.1859999999999999</v>
      </c>
      <c r="N279" t="s">
        <v>2871</v>
      </c>
      <c r="O279" t="s">
        <v>2872</v>
      </c>
      <c r="P279" t="s">
        <v>2873</v>
      </c>
      <c r="Q279">
        <v>35</v>
      </c>
      <c r="R279">
        <v>14</v>
      </c>
      <c r="S279">
        <v>0.4</v>
      </c>
    </row>
    <row r="280" spans="1:19">
      <c r="A280" t="s">
        <v>8</v>
      </c>
      <c r="B280" t="s">
        <v>9</v>
      </c>
      <c r="C280" t="str">
        <f>Data_Master[[#This Row],[Uniq-ID]]&amp;"-"&amp;Data_Master[[#This Row],[Period]]</f>
        <v>DC-Document_Controller-021-M5</v>
      </c>
      <c r="D280" t="s">
        <v>10</v>
      </c>
      <c r="E280" t="s">
        <v>11</v>
      </c>
      <c r="G280" t="s">
        <v>28</v>
      </c>
      <c r="H280" t="s">
        <v>29</v>
      </c>
      <c r="I280" t="s">
        <v>15</v>
      </c>
      <c r="J280" t="s">
        <v>16</v>
      </c>
      <c r="L280">
        <v>1.0900000000000001</v>
      </c>
      <c r="M280">
        <v>2.1859999999999999</v>
      </c>
      <c r="N280" t="s">
        <v>2871</v>
      </c>
      <c r="O280" t="s">
        <v>2877</v>
      </c>
      <c r="P280" t="s">
        <v>2873</v>
      </c>
      <c r="Q280">
        <v>32</v>
      </c>
      <c r="R280">
        <v>11</v>
      </c>
      <c r="S280">
        <v>0.34379999999999999</v>
      </c>
    </row>
    <row r="281" spans="1:19">
      <c r="A281" t="s">
        <v>8</v>
      </c>
      <c r="B281" t="s">
        <v>9</v>
      </c>
      <c r="C281" t="str">
        <f>Data_Master[[#This Row],[Uniq-ID]]&amp;"-"&amp;Data_Master[[#This Row],[Period]]</f>
        <v>DC-Document_Controller-021-M5</v>
      </c>
      <c r="D281" t="s">
        <v>10</v>
      </c>
      <c r="E281" t="s">
        <v>11</v>
      </c>
      <c r="G281" t="s">
        <v>28</v>
      </c>
      <c r="H281" t="s">
        <v>29</v>
      </c>
      <c r="I281" t="s">
        <v>15</v>
      </c>
      <c r="J281" t="s">
        <v>16</v>
      </c>
      <c r="L281">
        <v>1.0900000000000001</v>
      </c>
      <c r="M281">
        <v>2.1859999999999999</v>
      </c>
      <c r="N281" t="s">
        <v>2879</v>
      </c>
      <c r="O281" t="s">
        <v>2894</v>
      </c>
      <c r="P281" t="s">
        <v>2873</v>
      </c>
      <c r="Q281">
        <v>26</v>
      </c>
      <c r="R281">
        <v>15</v>
      </c>
      <c r="S281">
        <v>0.57689999999999997</v>
      </c>
    </row>
    <row r="282" spans="1:19">
      <c r="A282" t="s">
        <v>8</v>
      </c>
      <c r="B282" t="s">
        <v>9</v>
      </c>
      <c r="C282" t="str">
        <f>Data_Master[[#This Row],[Uniq-ID]]&amp;"-"&amp;Data_Master[[#This Row],[Period]]</f>
        <v>DC-Document_Controller-021-M5</v>
      </c>
      <c r="D282" t="s">
        <v>10</v>
      </c>
      <c r="E282" t="s">
        <v>11</v>
      </c>
      <c r="G282" t="s">
        <v>28</v>
      </c>
      <c r="H282" t="s">
        <v>29</v>
      </c>
      <c r="I282" t="s">
        <v>15</v>
      </c>
      <c r="J282" t="s">
        <v>16</v>
      </c>
      <c r="L282">
        <v>1.0900000000000001</v>
      </c>
      <c r="M282">
        <v>2.1859999999999999</v>
      </c>
      <c r="N282" t="s">
        <v>2879</v>
      </c>
      <c r="O282" t="s">
        <v>2880</v>
      </c>
      <c r="P282" t="s">
        <v>2873</v>
      </c>
      <c r="Q282">
        <v>13</v>
      </c>
      <c r="R282">
        <v>8</v>
      </c>
      <c r="S282">
        <v>0.61539999999999995</v>
      </c>
    </row>
    <row r="283" spans="1:19">
      <c r="A283" t="s">
        <v>8</v>
      </c>
      <c r="B283" t="s">
        <v>9</v>
      </c>
      <c r="C283" t="str">
        <f>Data_Master[[#This Row],[Uniq-ID]]&amp;"-"&amp;Data_Master[[#This Row],[Period]]</f>
        <v>DC-Document_Controller-021-M6</v>
      </c>
      <c r="D283" t="s">
        <v>10</v>
      </c>
      <c r="E283" t="s">
        <v>11</v>
      </c>
      <c r="G283" t="s">
        <v>31</v>
      </c>
      <c r="H283" t="s">
        <v>32</v>
      </c>
      <c r="I283" t="s">
        <v>33</v>
      </c>
      <c r="J283" t="s">
        <v>16</v>
      </c>
      <c r="L283">
        <v>1.32</v>
      </c>
      <c r="M283">
        <v>2.6459999999999999</v>
      </c>
      <c r="N283" t="s">
        <v>2871</v>
      </c>
      <c r="O283" t="s">
        <v>2875</v>
      </c>
      <c r="P283" t="s">
        <v>2873</v>
      </c>
      <c r="Q283">
        <v>36</v>
      </c>
      <c r="R283">
        <v>10</v>
      </c>
      <c r="S283">
        <v>0.27779999999999999</v>
      </c>
    </row>
    <row r="284" spans="1:19">
      <c r="A284" t="s">
        <v>8</v>
      </c>
      <c r="B284" t="s">
        <v>9</v>
      </c>
      <c r="C284" t="str">
        <f>Data_Master[[#This Row],[Uniq-ID]]&amp;"-"&amp;Data_Master[[#This Row],[Period]]</f>
        <v>DC-Document_Controller-021-M6</v>
      </c>
      <c r="D284" t="s">
        <v>10</v>
      </c>
      <c r="E284" t="s">
        <v>11</v>
      </c>
      <c r="G284" t="s">
        <v>31</v>
      </c>
      <c r="H284" t="s">
        <v>32</v>
      </c>
      <c r="I284" t="s">
        <v>33</v>
      </c>
      <c r="J284" t="s">
        <v>16</v>
      </c>
      <c r="L284">
        <v>1.32</v>
      </c>
      <c r="M284">
        <v>2.6459999999999999</v>
      </c>
      <c r="N284" t="s">
        <v>2871</v>
      </c>
      <c r="O284" t="s">
        <v>2872</v>
      </c>
      <c r="P284" t="s">
        <v>2873</v>
      </c>
      <c r="Q284">
        <v>35</v>
      </c>
      <c r="R284">
        <v>17</v>
      </c>
      <c r="S284">
        <v>0.48570000000000002</v>
      </c>
    </row>
    <row r="285" spans="1:19">
      <c r="A285" t="s">
        <v>8</v>
      </c>
      <c r="B285" t="s">
        <v>9</v>
      </c>
      <c r="C285" t="str">
        <f>Data_Master[[#This Row],[Uniq-ID]]&amp;"-"&amp;Data_Master[[#This Row],[Period]]</f>
        <v>DC-Document_Controller-021-M6</v>
      </c>
      <c r="D285" t="s">
        <v>10</v>
      </c>
      <c r="E285" t="s">
        <v>11</v>
      </c>
      <c r="G285" t="s">
        <v>31</v>
      </c>
      <c r="H285" t="s">
        <v>32</v>
      </c>
      <c r="I285" t="s">
        <v>33</v>
      </c>
      <c r="J285" t="s">
        <v>16</v>
      </c>
      <c r="L285">
        <v>1.32</v>
      </c>
      <c r="M285">
        <v>2.6459999999999999</v>
      </c>
      <c r="N285" t="s">
        <v>2871</v>
      </c>
      <c r="O285" t="s">
        <v>2877</v>
      </c>
      <c r="P285" t="s">
        <v>2873</v>
      </c>
      <c r="Q285">
        <v>32</v>
      </c>
      <c r="R285">
        <v>11</v>
      </c>
      <c r="S285">
        <v>0.34379999999999999</v>
      </c>
    </row>
    <row r="286" spans="1:19">
      <c r="A286" t="s">
        <v>8</v>
      </c>
      <c r="B286" t="s">
        <v>9</v>
      </c>
      <c r="C286" t="str">
        <f>Data_Master[[#This Row],[Uniq-ID]]&amp;"-"&amp;Data_Master[[#This Row],[Period]]</f>
        <v>DC-Document_Controller-021-M6</v>
      </c>
      <c r="D286" t="s">
        <v>10</v>
      </c>
      <c r="E286" t="s">
        <v>11</v>
      </c>
      <c r="G286" t="s">
        <v>31</v>
      </c>
      <c r="H286" t="s">
        <v>32</v>
      </c>
      <c r="I286" t="s">
        <v>33</v>
      </c>
      <c r="J286" t="s">
        <v>16</v>
      </c>
      <c r="L286">
        <v>1.32</v>
      </c>
      <c r="M286">
        <v>2.6459999999999999</v>
      </c>
      <c r="N286" t="s">
        <v>2879</v>
      </c>
      <c r="O286" t="s">
        <v>2880</v>
      </c>
      <c r="P286" t="s">
        <v>2873</v>
      </c>
      <c r="Q286">
        <v>13</v>
      </c>
      <c r="R286">
        <v>20</v>
      </c>
      <c r="S286">
        <v>1.5385</v>
      </c>
    </row>
    <row r="287" spans="1:19">
      <c r="A287" t="s">
        <v>8</v>
      </c>
      <c r="B287" t="s">
        <v>192</v>
      </c>
      <c r="C287" t="str">
        <f>Data_Master[[#This Row],[Uniq-ID]]&amp;"-"&amp;Data_Master[[#This Row],[Period]]</f>
        <v>DC-Document_Controller-022-M1</v>
      </c>
      <c r="D287" t="s">
        <v>193</v>
      </c>
      <c r="E287" t="s">
        <v>112</v>
      </c>
      <c r="G287" t="s">
        <v>13</v>
      </c>
      <c r="H287" t="s">
        <v>14</v>
      </c>
      <c r="I287" t="s">
        <v>15</v>
      </c>
      <c r="J287" t="s">
        <v>16</v>
      </c>
      <c r="L287">
        <v>1.01</v>
      </c>
      <c r="M287">
        <v>2.0179999999999998</v>
      </c>
      <c r="N287" t="s">
        <v>2879</v>
      </c>
      <c r="O287" t="s">
        <v>2915</v>
      </c>
      <c r="P287" t="s">
        <v>2916</v>
      </c>
      <c r="Q287">
        <v>308</v>
      </c>
      <c r="R287">
        <v>22</v>
      </c>
      <c r="S287">
        <v>7.1400000000000005E-2</v>
      </c>
    </row>
    <row r="288" spans="1:19">
      <c r="A288" t="s">
        <v>8</v>
      </c>
      <c r="B288" t="s">
        <v>192</v>
      </c>
      <c r="C288" t="str">
        <f>Data_Master[[#This Row],[Uniq-ID]]&amp;"-"&amp;Data_Master[[#This Row],[Period]]</f>
        <v>DC-Document_Controller-022-M1</v>
      </c>
      <c r="D288" t="s">
        <v>193</v>
      </c>
      <c r="E288" t="s">
        <v>112</v>
      </c>
      <c r="G288" t="s">
        <v>13</v>
      </c>
      <c r="H288" t="s">
        <v>14</v>
      </c>
      <c r="I288" t="s">
        <v>15</v>
      </c>
      <c r="J288" t="s">
        <v>16</v>
      </c>
      <c r="L288">
        <v>1.01</v>
      </c>
      <c r="M288">
        <v>2.0179999999999998</v>
      </c>
      <c r="N288" t="s">
        <v>2879</v>
      </c>
      <c r="O288" t="s">
        <v>2915</v>
      </c>
      <c r="P288" t="s">
        <v>2916</v>
      </c>
      <c r="Q288">
        <v>26</v>
      </c>
      <c r="R288">
        <v>22</v>
      </c>
      <c r="S288">
        <v>0.84619999999999995</v>
      </c>
    </row>
    <row r="289" spans="1:19">
      <c r="A289" t="s">
        <v>8</v>
      </c>
      <c r="B289" t="s">
        <v>192</v>
      </c>
      <c r="C289" t="str">
        <f>Data_Master[[#This Row],[Uniq-ID]]&amp;"-"&amp;Data_Master[[#This Row],[Period]]</f>
        <v>DC-Document_Controller-022-M1</v>
      </c>
      <c r="D289" t="s">
        <v>193</v>
      </c>
      <c r="E289" t="s">
        <v>112</v>
      </c>
      <c r="G289" t="s">
        <v>13</v>
      </c>
      <c r="H289" t="s">
        <v>14</v>
      </c>
      <c r="I289" t="s">
        <v>15</v>
      </c>
      <c r="J289" t="s">
        <v>16</v>
      </c>
      <c r="L289">
        <v>1.01</v>
      </c>
      <c r="M289">
        <v>2.0179999999999998</v>
      </c>
      <c r="N289" t="s">
        <v>2879</v>
      </c>
      <c r="O289" t="s">
        <v>2915</v>
      </c>
      <c r="P289" t="s">
        <v>2916</v>
      </c>
      <c r="Q289">
        <v>20</v>
      </c>
      <c r="R289">
        <v>22</v>
      </c>
      <c r="S289">
        <v>1.1000000000000001</v>
      </c>
    </row>
    <row r="290" spans="1:19">
      <c r="A290" t="s">
        <v>8</v>
      </c>
      <c r="B290" t="s">
        <v>192</v>
      </c>
      <c r="C290" t="str">
        <f>Data_Master[[#This Row],[Uniq-ID]]&amp;"-"&amp;Data_Master[[#This Row],[Period]]</f>
        <v>DC-Document_Controller-022-M2</v>
      </c>
      <c r="D290" t="s">
        <v>193</v>
      </c>
      <c r="E290" t="s">
        <v>112</v>
      </c>
      <c r="G290" t="s">
        <v>18</v>
      </c>
      <c r="H290" t="s">
        <v>19</v>
      </c>
      <c r="I290" t="s">
        <v>15</v>
      </c>
      <c r="J290" t="s">
        <v>20</v>
      </c>
      <c r="L290">
        <v>1</v>
      </c>
      <c r="M290">
        <v>1.9259999999999999</v>
      </c>
      <c r="N290" t="s">
        <v>2879</v>
      </c>
      <c r="O290" t="s">
        <v>2915</v>
      </c>
      <c r="P290" t="s">
        <v>2916</v>
      </c>
      <c r="Q290">
        <v>20</v>
      </c>
      <c r="R290">
        <v>21</v>
      </c>
      <c r="S290">
        <v>1.05</v>
      </c>
    </row>
    <row r="291" spans="1:19">
      <c r="A291" t="s">
        <v>8</v>
      </c>
      <c r="B291" t="s">
        <v>192</v>
      </c>
      <c r="C291" t="str">
        <f>Data_Master[[#This Row],[Uniq-ID]]&amp;"-"&amp;Data_Master[[#This Row],[Period]]</f>
        <v>DC-Document_Controller-022-M2</v>
      </c>
      <c r="D291" t="s">
        <v>193</v>
      </c>
      <c r="E291" t="s">
        <v>112</v>
      </c>
      <c r="G291" t="s">
        <v>18</v>
      </c>
      <c r="H291" t="s">
        <v>19</v>
      </c>
      <c r="I291" t="s">
        <v>15</v>
      </c>
      <c r="J291" t="s">
        <v>20</v>
      </c>
      <c r="L291">
        <v>1</v>
      </c>
      <c r="M291">
        <v>1.9259999999999999</v>
      </c>
      <c r="N291" t="s">
        <v>2879</v>
      </c>
      <c r="O291" t="s">
        <v>2915</v>
      </c>
      <c r="P291" t="s">
        <v>2916</v>
      </c>
      <c r="Q291">
        <v>26</v>
      </c>
      <c r="R291">
        <v>21</v>
      </c>
      <c r="S291">
        <v>0.80769999999999997</v>
      </c>
    </row>
    <row r="292" spans="1:19">
      <c r="A292" t="s">
        <v>8</v>
      </c>
      <c r="B292" t="s">
        <v>192</v>
      </c>
      <c r="C292" t="str">
        <f>Data_Master[[#This Row],[Uniq-ID]]&amp;"-"&amp;Data_Master[[#This Row],[Period]]</f>
        <v>DC-Document_Controller-022-M2</v>
      </c>
      <c r="D292" t="s">
        <v>193</v>
      </c>
      <c r="E292" t="s">
        <v>112</v>
      </c>
      <c r="G292" t="s">
        <v>18</v>
      </c>
      <c r="H292" t="s">
        <v>19</v>
      </c>
      <c r="I292" t="s">
        <v>15</v>
      </c>
      <c r="J292" t="s">
        <v>20</v>
      </c>
      <c r="L292">
        <v>1</v>
      </c>
      <c r="M292">
        <v>1.9259999999999999</v>
      </c>
      <c r="N292" t="s">
        <v>2879</v>
      </c>
      <c r="O292" t="s">
        <v>2915</v>
      </c>
      <c r="P292" t="s">
        <v>2916</v>
      </c>
      <c r="Q292">
        <v>308</v>
      </c>
      <c r="R292">
        <v>21</v>
      </c>
      <c r="S292">
        <v>6.8199999999999997E-2</v>
      </c>
    </row>
    <row r="293" spans="1:19">
      <c r="A293" t="s">
        <v>8</v>
      </c>
      <c r="B293" t="s">
        <v>192</v>
      </c>
      <c r="C293" t="str">
        <f>Data_Master[[#This Row],[Uniq-ID]]&amp;"-"&amp;Data_Master[[#This Row],[Period]]</f>
        <v>DC-Document_Controller-022-M3</v>
      </c>
      <c r="D293" t="s">
        <v>193</v>
      </c>
      <c r="E293" t="s">
        <v>112</v>
      </c>
      <c r="G293" t="s">
        <v>22</v>
      </c>
      <c r="H293" t="s">
        <v>23</v>
      </c>
      <c r="I293" t="s">
        <v>15</v>
      </c>
      <c r="J293" t="s">
        <v>44</v>
      </c>
      <c r="L293">
        <v>0.83</v>
      </c>
      <c r="M293">
        <v>0.82499999999999996</v>
      </c>
      <c r="N293" t="s">
        <v>2879</v>
      </c>
      <c r="O293" t="s">
        <v>2915</v>
      </c>
      <c r="P293" t="s">
        <v>2916</v>
      </c>
      <c r="Q293">
        <v>20</v>
      </c>
      <c r="R293">
        <v>9</v>
      </c>
      <c r="S293">
        <v>0.45</v>
      </c>
    </row>
    <row r="294" spans="1:19">
      <c r="A294" t="s">
        <v>8</v>
      </c>
      <c r="B294" t="s">
        <v>192</v>
      </c>
      <c r="C294" t="str">
        <f>Data_Master[[#This Row],[Uniq-ID]]&amp;"-"&amp;Data_Master[[#This Row],[Period]]</f>
        <v>DC-Document_Controller-022-M3</v>
      </c>
      <c r="D294" t="s">
        <v>193</v>
      </c>
      <c r="E294" t="s">
        <v>112</v>
      </c>
      <c r="G294" t="s">
        <v>22</v>
      </c>
      <c r="H294" t="s">
        <v>23</v>
      </c>
      <c r="I294" t="s">
        <v>15</v>
      </c>
      <c r="J294" t="s">
        <v>44</v>
      </c>
      <c r="L294">
        <v>0.83</v>
      </c>
      <c r="M294">
        <v>0.82499999999999996</v>
      </c>
      <c r="N294" t="s">
        <v>2879</v>
      </c>
      <c r="O294" t="s">
        <v>2915</v>
      </c>
      <c r="P294" t="s">
        <v>2916</v>
      </c>
      <c r="Q294">
        <v>308</v>
      </c>
      <c r="R294">
        <v>9</v>
      </c>
      <c r="S294">
        <v>2.92E-2</v>
      </c>
    </row>
    <row r="295" spans="1:19">
      <c r="A295" t="s">
        <v>8</v>
      </c>
      <c r="B295" t="s">
        <v>192</v>
      </c>
      <c r="C295" t="str">
        <f>Data_Master[[#This Row],[Uniq-ID]]&amp;"-"&amp;Data_Master[[#This Row],[Period]]</f>
        <v>DC-Document_Controller-022-M3</v>
      </c>
      <c r="D295" t="s">
        <v>193</v>
      </c>
      <c r="E295" t="s">
        <v>112</v>
      </c>
      <c r="G295" t="s">
        <v>22</v>
      </c>
      <c r="H295" t="s">
        <v>23</v>
      </c>
      <c r="I295" t="s">
        <v>15</v>
      </c>
      <c r="J295" t="s">
        <v>44</v>
      </c>
      <c r="L295">
        <v>0.83</v>
      </c>
      <c r="M295">
        <v>0.82499999999999996</v>
      </c>
      <c r="N295" t="s">
        <v>2879</v>
      </c>
      <c r="O295" t="s">
        <v>2915</v>
      </c>
      <c r="P295" t="s">
        <v>2916</v>
      </c>
      <c r="Q295">
        <v>26</v>
      </c>
      <c r="R295">
        <v>9</v>
      </c>
      <c r="S295">
        <v>0.34620000000000001</v>
      </c>
    </row>
    <row r="296" spans="1:19">
      <c r="A296" t="s">
        <v>8</v>
      </c>
      <c r="B296" t="s">
        <v>192</v>
      </c>
      <c r="C296" t="str">
        <f>Data_Master[[#This Row],[Uniq-ID]]&amp;"-"&amp;Data_Master[[#This Row],[Period]]</f>
        <v>DC-Document_Controller-022-M4</v>
      </c>
      <c r="D296" t="s">
        <v>193</v>
      </c>
      <c r="E296" t="s">
        <v>112</v>
      </c>
      <c r="G296" t="s">
        <v>25</v>
      </c>
      <c r="H296" t="s">
        <v>26</v>
      </c>
      <c r="I296" t="s">
        <v>15</v>
      </c>
      <c r="J296" t="s">
        <v>16</v>
      </c>
      <c r="L296">
        <v>1.5</v>
      </c>
      <c r="M296">
        <v>3.3010000000000002</v>
      </c>
      <c r="N296" t="s">
        <v>2879</v>
      </c>
      <c r="O296" t="s">
        <v>2915</v>
      </c>
      <c r="P296" t="s">
        <v>2916</v>
      </c>
      <c r="Q296">
        <v>308</v>
      </c>
      <c r="R296">
        <v>36</v>
      </c>
      <c r="S296">
        <v>0.1169</v>
      </c>
    </row>
    <row r="297" spans="1:19">
      <c r="A297" t="s">
        <v>8</v>
      </c>
      <c r="B297" t="s">
        <v>192</v>
      </c>
      <c r="C297" t="str">
        <f>Data_Master[[#This Row],[Uniq-ID]]&amp;"-"&amp;Data_Master[[#This Row],[Period]]</f>
        <v>DC-Document_Controller-022-M4</v>
      </c>
      <c r="D297" t="s">
        <v>193</v>
      </c>
      <c r="E297" t="s">
        <v>112</v>
      </c>
      <c r="G297" t="s">
        <v>25</v>
      </c>
      <c r="H297" t="s">
        <v>26</v>
      </c>
      <c r="I297" t="s">
        <v>15</v>
      </c>
      <c r="J297" t="s">
        <v>16</v>
      </c>
      <c r="L297">
        <v>1.5</v>
      </c>
      <c r="M297">
        <v>3.3010000000000002</v>
      </c>
      <c r="N297" t="s">
        <v>2879</v>
      </c>
      <c r="O297" t="s">
        <v>2915</v>
      </c>
      <c r="P297" t="s">
        <v>2916</v>
      </c>
      <c r="Q297">
        <v>26</v>
      </c>
      <c r="R297">
        <v>36</v>
      </c>
      <c r="S297">
        <v>1.3846000000000001</v>
      </c>
    </row>
    <row r="298" spans="1:19">
      <c r="A298" t="s">
        <v>8</v>
      </c>
      <c r="B298" t="s">
        <v>192</v>
      </c>
      <c r="C298" t="str">
        <f>Data_Master[[#This Row],[Uniq-ID]]&amp;"-"&amp;Data_Master[[#This Row],[Period]]</f>
        <v>DC-Document_Controller-022-M4</v>
      </c>
      <c r="D298" t="s">
        <v>193</v>
      </c>
      <c r="E298" t="s">
        <v>112</v>
      </c>
      <c r="G298" t="s">
        <v>25</v>
      </c>
      <c r="H298" t="s">
        <v>26</v>
      </c>
      <c r="I298" t="s">
        <v>15</v>
      </c>
      <c r="J298" t="s">
        <v>16</v>
      </c>
      <c r="L298">
        <v>1.5</v>
      </c>
      <c r="M298">
        <v>3.3010000000000002</v>
      </c>
      <c r="N298" t="s">
        <v>2879</v>
      </c>
      <c r="O298" t="s">
        <v>2915</v>
      </c>
      <c r="P298" t="s">
        <v>2916</v>
      </c>
      <c r="Q298">
        <v>20</v>
      </c>
      <c r="R298">
        <v>36</v>
      </c>
      <c r="S298">
        <v>1.8</v>
      </c>
    </row>
    <row r="299" spans="1:19">
      <c r="A299" t="s">
        <v>8</v>
      </c>
      <c r="B299" t="s">
        <v>192</v>
      </c>
      <c r="C299" t="str">
        <f>Data_Master[[#This Row],[Uniq-ID]]&amp;"-"&amp;Data_Master[[#This Row],[Period]]</f>
        <v>DC-Document_Controller-022-M5</v>
      </c>
      <c r="D299" t="s">
        <v>193</v>
      </c>
      <c r="E299" t="s">
        <v>112</v>
      </c>
      <c r="G299" t="s">
        <v>28</v>
      </c>
      <c r="H299" t="s">
        <v>29</v>
      </c>
      <c r="I299" t="s">
        <v>15</v>
      </c>
      <c r="J299" t="s">
        <v>44</v>
      </c>
      <c r="M299">
        <v>0</v>
      </c>
    </row>
    <row r="300" spans="1:19">
      <c r="A300" t="s">
        <v>8</v>
      </c>
      <c r="B300" t="s">
        <v>192</v>
      </c>
      <c r="C300" t="str">
        <f>Data_Master[[#This Row],[Uniq-ID]]&amp;"-"&amp;Data_Master[[#This Row],[Period]]</f>
        <v>DC-Document_Controller-022-M6</v>
      </c>
      <c r="D300" t="s">
        <v>193</v>
      </c>
      <c r="E300" t="s">
        <v>112</v>
      </c>
      <c r="G300" t="s">
        <v>31</v>
      </c>
      <c r="H300" t="s">
        <v>32</v>
      </c>
      <c r="I300" t="s">
        <v>33</v>
      </c>
      <c r="J300" t="s">
        <v>44</v>
      </c>
      <c r="M300">
        <v>0</v>
      </c>
    </row>
    <row r="301" spans="1:19">
      <c r="A301" t="s">
        <v>8</v>
      </c>
      <c r="B301" t="s">
        <v>185</v>
      </c>
      <c r="C301" t="str">
        <f>Data_Master[[#This Row],[Uniq-ID]]&amp;"-"&amp;Data_Master[[#This Row],[Period]]</f>
        <v>DC-Document_Controller-023-M1</v>
      </c>
      <c r="D301" t="s">
        <v>186</v>
      </c>
      <c r="E301" t="s">
        <v>76</v>
      </c>
      <c r="G301" t="s">
        <v>13</v>
      </c>
      <c r="H301" t="s">
        <v>14</v>
      </c>
      <c r="I301" t="s">
        <v>15</v>
      </c>
      <c r="J301" t="s">
        <v>16</v>
      </c>
      <c r="L301">
        <v>1.5</v>
      </c>
      <c r="M301">
        <v>24.5</v>
      </c>
      <c r="N301" t="s">
        <v>2887</v>
      </c>
      <c r="O301" t="s">
        <v>3019</v>
      </c>
      <c r="P301" t="s">
        <v>2916</v>
      </c>
      <c r="Q301">
        <v>4</v>
      </c>
      <c r="R301">
        <v>98</v>
      </c>
      <c r="S301">
        <v>24.5</v>
      </c>
    </row>
    <row r="302" spans="1:19">
      <c r="A302" t="s">
        <v>8</v>
      </c>
      <c r="B302" t="s">
        <v>185</v>
      </c>
      <c r="C302" t="str">
        <f>Data_Master[[#This Row],[Uniq-ID]]&amp;"-"&amp;Data_Master[[#This Row],[Period]]</f>
        <v>DC-Document_Controller-023-M2</v>
      </c>
      <c r="D302" t="s">
        <v>186</v>
      </c>
      <c r="E302" t="s">
        <v>76</v>
      </c>
      <c r="G302" t="s">
        <v>18</v>
      </c>
      <c r="H302" t="s">
        <v>19</v>
      </c>
      <c r="I302" t="s">
        <v>15</v>
      </c>
      <c r="J302" t="s">
        <v>16</v>
      </c>
      <c r="L302">
        <v>1.5</v>
      </c>
      <c r="M302">
        <v>5.032</v>
      </c>
      <c r="N302" t="s">
        <v>3017</v>
      </c>
      <c r="O302" t="s">
        <v>3014</v>
      </c>
      <c r="P302" t="s">
        <v>2916</v>
      </c>
      <c r="Q302">
        <v>31</v>
      </c>
      <c r="R302">
        <v>156</v>
      </c>
      <c r="S302">
        <v>5.0323000000000002</v>
      </c>
    </row>
    <row r="303" spans="1:19">
      <c r="A303" t="s">
        <v>8</v>
      </c>
      <c r="B303" t="s">
        <v>185</v>
      </c>
      <c r="C303" t="str">
        <f>Data_Master[[#This Row],[Uniq-ID]]&amp;"-"&amp;Data_Master[[#This Row],[Period]]</f>
        <v>DC-Document_Controller-023-M3</v>
      </c>
      <c r="D303" t="s">
        <v>186</v>
      </c>
      <c r="E303" t="s">
        <v>76</v>
      </c>
      <c r="G303" t="s">
        <v>22</v>
      </c>
      <c r="H303" t="s">
        <v>23</v>
      </c>
      <c r="I303" t="s">
        <v>15</v>
      </c>
      <c r="J303" t="s">
        <v>20</v>
      </c>
      <c r="L303">
        <v>1</v>
      </c>
      <c r="M303">
        <v>1.516</v>
      </c>
      <c r="N303" t="s">
        <v>3017</v>
      </c>
      <c r="O303" t="s">
        <v>3014</v>
      </c>
      <c r="P303" t="s">
        <v>2916</v>
      </c>
      <c r="R303">
        <v>47</v>
      </c>
    </row>
    <row r="304" spans="1:19">
      <c r="A304" t="s">
        <v>8</v>
      </c>
      <c r="B304" t="s">
        <v>185</v>
      </c>
      <c r="C304" t="str">
        <f>Data_Master[[#This Row],[Uniq-ID]]&amp;"-"&amp;Data_Master[[#This Row],[Period]]</f>
        <v>DC-Document_Controller-023-M3</v>
      </c>
      <c r="D304" t="s">
        <v>186</v>
      </c>
      <c r="E304" t="s">
        <v>76</v>
      </c>
      <c r="G304" t="s">
        <v>22</v>
      </c>
      <c r="H304" t="s">
        <v>23</v>
      </c>
      <c r="I304" t="s">
        <v>15</v>
      </c>
      <c r="J304" t="s">
        <v>20</v>
      </c>
      <c r="L304">
        <v>1</v>
      </c>
      <c r="M304">
        <v>1.516</v>
      </c>
      <c r="N304" t="s">
        <v>3017</v>
      </c>
      <c r="O304" t="s">
        <v>3014</v>
      </c>
      <c r="P304" t="s">
        <v>2916</v>
      </c>
      <c r="Q304">
        <v>31</v>
      </c>
      <c r="R304">
        <v>47</v>
      </c>
      <c r="S304">
        <v>1.5161</v>
      </c>
    </row>
    <row r="305" spans="1:19">
      <c r="A305" t="s">
        <v>8</v>
      </c>
      <c r="B305" t="s">
        <v>185</v>
      </c>
      <c r="C305" t="str">
        <f>Data_Master[[#This Row],[Uniq-ID]]&amp;"-"&amp;Data_Master[[#This Row],[Period]]</f>
        <v>DC-Document_Controller-023-M3</v>
      </c>
      <c r="D305" t="s">
        <v>186</v>
      </c>
      <c r="E305" t="s">
        <v>76</v>
      </c>
      <c r="G305" t="s">
        <v>22</v>
      </c>
      <c r="H305" t="s">
        <v>23</v>
      </c>
      <c r="I305" t="s">
        <v>15</v>
      </c>
      <c r="J305" t="s">
        <v>20</v>
      </c>
      <c r="L305">
        <v>1</v>
      </c>
      <c r="M305">
        <v>1.516</v>
      </c>
      <c r="N305" t="s">
        <v>2887</v>
      </c>
      <c r="O305" t="s">
        <v>3014</v>
      </c>
      <c r="P305" t="s">
        <v>2916</v>
      </c>
      <c r="R305">
        <v>38</v>
      </c>
    </row>
    <row r="306" spans="1:19">
      <c r="A306" t="s">
        <v>8</v>
      </c>
      <c r="B306" t="s">
        <v>185</v>
      </c>
      <c r="C306" t="str">
        <f>Data_Master[[#This Row],[Uniq-ID]]&amp;"-"&amp;Data_Master[[#This Row],[Period]]</f>
        <v>DC-Document_Controller-023-M4</v>
      </c>
      <c r="D306" t="s">
        <v>186</v>
      </c>
      <c r="E306" t="s">
        <v>76</v>
      </c>
      <c r="G306" t="s">
        <v>25</v>
      </c>
      <c r="H306" t="s">
        <v>26</v>
      </c>
      <c r="I306" t="s">
        <v>15</v>
      </c>
      <c r="J306" t="s">
        <v>16</v>
      </c>
      <c r="L306">
        <v>1.5</v>
      </c>
      <c r="M306">
        <v>43.25</v>
      </c>
      <c r="N306" t="s">
        <v>2887</v>
      </c>
      <c r="O306" t="s">
        <v>3019</v>
      </c>
      <c r="P306" t="s">
        <v>2916</v>
      </c>
      <c r="Q306">
        <v>4</v>
      </c>
      <c r="R306">
        <v>173</v>
      </c>
      <c r="S306">
        <v>43.25</v>
      </c>
    </row>
    <row r="307" spans="1:19">
      <c r="A307" t="s">
        <v>8</v>
      </c>
      <c r="B307" t="s">
        <v>185</v>
      </c>
      <c r="C307" t="str">
        <f>Data_Master[[#This Row],[Uniq-ID]]&amp;"-"&amp;Data_Master[[#This Row],[Period]]</f>
        <v>DC-Document_Controller-023-M5</v>
      </c>
      <c r="D307" t="s">
        <v>186</v>
      </c>
      <c r="E307" t="s">
        <v>76</v>
      </c>
      <c r="G307" t="s">
        <v>28</v>
      </c>
      <c r="H307" t="s">
        <v>29</v>
      </c>
      <c r="I307" t="s">
        <v>15</v>
      </c>
      <c r="J307" t="s">
        <v>16</v>
      </c>
      <c r="L307">
        <v>1.5</v>
      </c>
      <c r="M307">
        <v>3.097</v>
      </c>
      <c r="N307" t="s">
        <v>2879</v>
      </c>
      <c r="O307" t="s">
        <v>3014</v>
      </c>
      <c r="P307" t="s">
        <v>2916</v>
      </c>
      <c r="Q307">
        <v>31</v>
      </c>
      <c r="R307">
        <v>96</v>
      </c>
      <c r="S307">
        <v>3.0968</v>
      </c>
    </row>
    <row r="308" spans="1:19">
      <c r="A308" t="s">
        <v>8</v>
      </c>
      <c r="B308" t="s">
        <v>185</v>
      </c>
      <c r="C308" t="str">
        <f>Data_Master[[#This Row],[Uniq-ID]]&amp;"-"&amp;Data_Master[[#This Row],[Period]]</f>
        <v>DC-Document_Controller-023-M6</v>
      </c>
      <c r="D308" t="s">
        <v>186</v>
      </c>
      <c r="E308" t="s">
        <v>76</v>
      </c>
      <c r="G308" t="s">
        <v>31</v>
      </c>
      <c r="H308" t="s">
        <v>32</v>
      </c>
      <c r="I308" t="s">
        <v>33</v>
      </c>
      <c r="J308" t="s">
        <v>44</v>
      </c>
      <c r="M308">
        <v>0</v>
      </c>
    </row>
    <row r="309" spans="1:19">
      <c r="A309" t="s">
        <v>8</v>
      </c>
      <c r="B309" t="s">
        <v>384</v>
      </c>
      <c r="C309" t="str">
        <f>Data_Master[[#This Row],[Uniq-ID]]&amp;"-"&amp;Data_Master[[#This Row],[Period]]</f>
        <v>DC-Document_Controller-024-M1</v>
      </c>
      <c r="D309" t="s">
        <v>385</v>
      </c>
      <c r="E309" t="s">
        <v>48</v>
      </c>
      <c r="G309" t="s">
        <v>13</v>
      </c>
      <c r="H309" t="s">
        <v>14</v>
      </c>
      <c r="I309" t="s">
        <v>15</v>
      </c>
      <c r="J309" t="s">
        <v>44</v>
      </c>
      <c r="M309">
        <v>0</v>
      </c>
    </row>
    <row r="310" spans="1:19">
      <c r="A310" t="s">
        <v>8</v>
      </c>
      <c r="B310" t="s">
        <v>384</v>
      </c>
      <c r="C310" t="str">
        <f>Data_Master[[#This Row],[Uniq-ID]]&amp;"-"&amp;Data_Master[[#This Row],[Period]]</f>
        <v>DC-Document_Controller-024-M2</v>
      </c>
      <c r="D310" t="s">
        <v>385</v>
      </c>
      <c r="E310" t="s">
        <v>48</v>
      </c>
      <c r="G310" t="s">
        <v>18</v>
      </c>
      <c r="H310" t="s">
        <v>19</v>
      </c>
      <c r="I310" t="s">
        <v>15</v>
      </c>
      <c r="J310" t="s">
        <v>44</v>
      </c>
      <c r="L310">
        <v>0.5</v>
      </c>
      <c r="M310">
        <v>9.1999999999999998E-2</v>
      </c>
      <c r="N310" t="s">
        <v>2879</v>
      </c>
      <c r="O310" t="s">
        <v>2915</v>
      </c>
      <c r="P310" t="s">
        <v>2916</v>
      </c>
      <c r="Q310">
        <v>20</v>
      </c>
      <c r="R310">
        <v>1</v>
      </c>
      <c r="S310">
        <v>0.05</v>
      </c>
    </row>
    <row r="311" spans="1:19">
      <c r="A311" t="s">
        <v>8</v>
      </c>
      <c r="B311" t="s">
        <v>384</v>
      </c>
      <c r="C311" t="str">
        <f>Data_Master[[#This Row],[Uniq-ID]]&amp;"-"&amp;Data_Master[[#This Row],[Period]]</f>
        <v>DC-Document_Controller-024-M2</v>
      </c>
      <c r="D311" t="s">
        <v>385</v>
      </c>
      <c r="E311" t="s">
        <v>48</v>
      </c>
      <c r="G311" t="s">
        <v>18</v>
      </c>
      <c r="H311" t="s">
        <v>19</v>
      </c>
      <c r="I311" t="s">
        <v>15</v>
      </c>
      <c r="J311" t="s">
        <v>44</v>
      </c>
      <c r="L311">
        <v>0.5</v>
      </c>
      <c r="M311">
        <v>9.1999999999999998E-2</v>
      </c>
      <c r="N311" t="s">
        <v>2879</v>
      </c>
      <c r="O311" t="s">
        <v>2915</v>
      </c>
      <c r="P311" t="s">
        <v>2916</v>
      </c>
      <c r="Q311">
        <v>308</v>
      </c>
      <c r="R311">
        <v>1</v>
      </c>
      <c r="S311">
        <v>3.2000000000000002E-3</v>
      </c>
    </row>
    <row r="312" spans="1:19">
      <c r="A312" t="s">
        <v>8</v>
      </c>
      <c r="B312" t="s">
        <v>384</v>
      </c>
      <c r="C312" t="str">
        <f>Data_Master[[#This Row],[Uniq-ID]]&amp;"-"&amp;Data_Master[[#This Row],[Period]]</f>
        <v>DC-Document_Controller-024-M2</v>
      </c>
      <c r="D312" t="s">
        <v>385</v>
      </c>
      <c r="E312" t="s">
        <v>48</v>
      </c>
      <c r="G312" t="s">
        <v>18</v>
      </c>
      <c r="H312" t="s">
        <v>19</v>
      </c>
      <c r="I312" t="s">
        <v>15</v>
      </c>
      <c r="J312" t="s">
        <v>44</v>
      </c>
      <c r="L312">
        <v>0.5</v>
      </c>
      <c r="M312">
        <v>9.1999999999999998E-2</v>
      </c>
      <c r="N312" t="s">
        <v>2879</v>
      </c>
      <c r="O312" t="s">
        <v>2915</v>
      </c>
      <c r="P312" t="s">
        <v>2916</v>
      </c>
      <c r="Q312">
        <v>26</v>
      </c>
      <c r="R312">
        <v>1</v>
      </c>
      <c r="S312">
        <v>3.85E-2</v>
      </c>
    </row>
    <row r="313" spans="1:19">
      <c r="A313" t="s">
        <v>8</v>
      </c>
      <c r="B313" t="s">
        <v>384</v>
      </c>
      <c r="C313" t="str">
        <f>Data_Master[[#This Row],[Uniq-ID]]&amp;"-"&amp;Data_Master[[#This Row],[Period]]</f>
        <v>DC-Document_Controller-024-M3</v>
      </c>
      <c r="D313" t="s">
        <v>385</v>
      </c>
      <c r="E313" t="s">
        <v>48</v>
      </c>
      <c r="G313" t="s">
        <v>22</v>
      </c>
      <c r="H313" t="s">
        <v>23</v>
      </c>
      <c r="I313" t="s">
        <v>15</v>
      </c>
      <c r="J313" t="s">
        <v>44</v>
      </c>
      <c r="M313">
        <v>0</v>
      </c>
    </row>
    <row r="314" spans="1:19">
      <c r="A314" t="s">
        <v>8</v>
      </c>
      <c r="B314" t="s">
        <v>384</v>
      </c>
      <c r="C314" t="str">
        <f>Data_Master[[#This Row],[Uniq-ID]]&amp;"-"&amp;Data_Master[[#This Row],[Period]]</f>
        <v>DC-Document_Controller-024-M4</v>
      </c>
      <c r="D314" t="s">
        <v>385</v>
      </c>
      <c r="E314" t="s">
        <v>48</v>
      </c>
      <c r="G314" t="s">
        <v>25</v>
      </c>
      <c r="H314" t="s">
        <v>26</v>
      </c>
      <c r="I314" t="s">
        <v>15</v>
      </c>
      <c r="J314" t="s">
        <v>16</v>
      </c>
      <c r="L314">
        <v>1.5</v>
      </c>
      <c r="M314">
        <v>50.715000000000003</v>
      </c>
      <c r="N314" t="s">
        <v>2879</v>
      </c>
      <c r="O314" t="s">
        <v>2915</v>
      </c>
      <c r="P314" t="s">
        <v>2916</v>
      </c>
      <c r="Q314">
        <v>308</v>
      </c>
      <c r="R314">
        <v>553</v>
      </c>
      <c r="S314">
        <v>1.7955000000000001</v>
      </c>
    </row>
    <row r="315" spans="1:19">
      <c r="A315" t="s">
        <v>8</v>
      </c>
      <c r="B315" t="s">
        <v>384</v>
      </c>
      <c r="C315" t="str">
        <f>Data_Master[[#This Row],[Uniq-ID]]&amp;"-"&amp;Data_Master[[#This Row],[Period]]</f>
        <v>DC-Document_Controller-024-M4</v>
      </c>
      <c r="D315" t="s">
        <v>385</v>
      </c>
      <c r="E315" t="s">
        <v>48</v>
      </c>
      <c r="G315" t="s">
        <v>25</v>
      </c>
      <c r="H315" t="s">
        <v>26</v>
      </c>
      <c r="I315" t="s">
        <v>15</v>
      </c>
      <c r="J315" t="s">
        <v>16</v>
      </c>
      <c r="L315">
        <v>1.5</v>
      </c>
      <c r="M315">
        <v>50.715000000000003</v>
      </c>
      <c r="N315" t="s">
        <v>2879</v>
      </c>
      <c r="O315" t="s">
        <v>2915</v>
      </c>
      <c r="P315" t="s">
        <v>2916</v>
      </c>
      <c r="Q315">
        <v>26</v>
      </c>
      <c r="R315">
        <v>553</v>
      </c>
      <c r="S315">
        <v>21.269200000000001</v>
      </c>
    </row>
    <row r="316" spans="1:19">
      <c r="A316" t="s">
        <v>8</v>
      </c>
      <c r="B316" t="s">
        <v>384</v>
      </c>
      <c r="C316" t="str">
        <f>Data_Master[[#This Row],[Uniq-ID]]&amp;"-"&amp;Data_Master[[#This Row],[Period]]</f>
        <v>DC-Document_Controller-024-M4</v>
      </c>
      <c r="D316" t="s">
        <v>385</v>
      </c>
      <c r="E316" t="s">
        <v>48</v>
      </c>
      <c r="G316" t="s">
        <v>25</v>
      </c>
      <c r="H316" t="s">
        <v>26</v>
      </c>
      <c r="I316" t="s">
        <v>15</v>
      </c>
      <c r="J316" t="s">
        <v>16</v>
      </c>
      <c r="L316">
        <v>1.5</v>
      </c>
      <c r="M316">
        <v>50.715000000000003</v>
      </c>
      <c r="N316" t="s">
        <v>2879</v>
      </c>
      <c r="O316" t="s">
        <v>2915</v>
      </c>
      <c r="P316" t="s">
        <v>2916</v>
      </c>
      <c r="Q316">
        <v>20</v>
      </c>
      <c r="R316">
        <v>553</v>
      </c>
      <c r="S316">
        <v>27.65</v>
      </c>
    </row>
    <row r="317" spans="1:19">
      <c r="A317" t="s">
        <v>8</v>
      </c>
      <c r="B317" t="s">
        <v>384</v>
      </c>
      <c r="C317" t="str">
        <f>Data_Master[[#This Row],[Uniq-ID]]&amp;"-"&amp;Data_Master[[#This Row],[Period]]</f>
        <v>DC-Document_Controller-024-M5</v>
      </c>
      <c r="D317" t="s">
        <v>385</v>
      </c>
      <c r="E317" t="s">
        <v>48</v>
      </c>
      <c r="G317" t="s">
        <v>28</v>
      </c>
      <c r="H317" t="s">
        <v>29</v>
      </c>
      <c r="I317" t="s">
        <v>15</v>
      </c>
      <c r="J317" t="s">
        <v>16</v>
      </c>
      <c r="L317">
        <v>1.5</v>
      </c>
      <c r="M317">
        <v>44.02</v>
      </c>
      <c r="N317" t="s">
        <v>2879</v>
      </c>
      <c r="O317" t="s">
        <v>2915</v>
      </c>
      <c r="P317" t="s">
        <v>2916</v>
      </c>
      <c r="Q317">
        <v>20</v>
      </c>
      <c r="R317">
        <v>480</v>
      </c>
      <c r="S317">
        <v>24</v>
      </c>
    </row>
    <row r="318" spans="1:19">
      <c r="A318" t="s">
        <v>8</v>
      </c>
      <c r="B318" t="s">
        <v>384</v>
      </c>
      <c r="C318" t="str">
        <f>Data_Master[[#This Row],[Uniq-ID]]&amp;"-"&amp;Data_Master[[#This Row],[Period]]</f>
        <v>DC-Document_Controller-024-M5</v>
      </c>
      <c r="D318" t="s">
        <v>385</v>
      </c>
      <c r="E318" t="s">
        <v>48</v>
      </c>
      <c r="G318" t="s">
        <v>28</v>
      </c>
      <c r="H318" t="s">
        <v>29</v>
      </c>
      <c r="I318" t="s">
        <v>15</v>
      </c>
      <c r="J318" t="s">
        <v>16</v>
      </c>
      <c r="L318">
        <v>1.5</v>
      </c>
      <c r="M318">
        <v>44.02</v>
      </c>
      <c r="N318" t="s">
        <v>2879</v>
      </c>
      <c r="O318" t="s">
        <v>2915</v>
      </c>
      <c r="P318" t="s">
        <v>2916</v>
      </c>
      <c r="Q318">
        <v>26</v>
      </c>
      <c r="R318">
        <v>480</v>
      </c>
      <c r="S318">
        <v>18.461500000000001</v>
      </c>
    </row>
    <row r="319" spans="1:19">
      <c r="A319" t="s">
        <v>8</v>
      </c>
      <c r="B319" t="s">
        <v>384</v>
      </c>
      <c r="C319" t="str">
        <f>Data_Master[[#This Row],[Uniq-ID]]&amp;"-"&amp;Data_Master[[#This Row],[Period]]</f>
        <v>DC-Document_Controller-024-M5</v>
      </c>
      <c r="D319" t="s">
        <v>385</v>
      </c>
      <c r="E319" t="s">
        <v>48</v>
      </c>
      <c r="G319" t="s">
        <v>28</v>
      </c>
      <c r="H319" t="s">
        <v>29</v>
      </c>
      <c r="I319" t="s">
        <v>15</v>
      </c>
      <c r="J319" t="s">
        <v>16</v>
      </c>
      <c r="L319">
        <v>1.5</v>
      </c>
      <c r="M319">
        <v>44.02</v>
      </c>
      <c r="N319" t="s">
        <v>2879</v>
      </c>
      <c r="O319" t="s">
        <v>2915</v>
      </c>
      <c r="P319" t="s">
        <v>2916</v>
      </c>
      <c r="Q319">
        <v>308</v>
      </c>
      <c r="R319">
        <v>480</v>
      </c>
      <c r="S319">
        <v>1.5584</v>
      </c>
    </row>
    <row r="320" spans="1:19">
      <c r="A320" t="s">
        <v>8</v>
      </c>
      <c r="B320" t="s">
        <v>384</v>
      </c>
      <c r="C320" t="str">
        <f>Data_Master[[#This Row],[Uniq-ID]]&amp;"-"&amp;Data_Master[[#This Row],[Period]]</f>
        <v>DC-Document_Controller-024-M6</v>
      </c>
      <c r="D320" t="s">
        <v>385</v>
      </c>
      <c r="E320" t="s">
        <v>48</v>
      </c>
      <c r="G320" t="s">
        <v>31</v>
      </c>
      <c r="H320" t="s">
        <v>32</v>
      </c>
      <c r="I320" t="s">
        <v>33</v>
      </c>
      <c r="J320" t="s">
        <v>44</v>
      </c>
      <c r="M320">
        <v>0</v>
      </c>
    </row>
    <row r="321" spans="1:19">
      <c r="A321" t="s">
        <v>8</v>
      </c>
      <c r="B321" t="s">
        <v>177</v>
      </c>
      <c r="C321" t="str">
        <f>Data_Master[[#This Row],[Uniq-ID]]&amp;"-"&amp;Data_Master[[#This Row],[Period]]</f>
        <v>DC-Document_Controller-025-M1</v>
      </c>
      <c r="D321" t="s">
        <v>178</v>
      </c>
      <c r="E321" t="s">
        <v>76</v>
      </c>
      <c r="G321" t="s">
        <v>13</v>
      </c>
      <c r="H321" t="s">
        <v>14</v>
      </c>
      <c r="I321" t="s">
        <v>15</v>
      </c>
      <c r="J321" t="s">
        <v>16</v>
      </c>
      <c r="L321">
        <v>1.05</v>
      </c>
      <c r="M321">
        <v>2.093</v>
      </c>
      <c r="N321" t="s">
        <v>2947</v>
      </c>
      <c r="O321" t="s">
        <v>2948</v>
      </c>
      <c r="P321" t="s">
        <v>2873</v>
      </c>
      <c r="Q321">
        <v>110</v>
      </c>
      <c r="R321">
        <v>5</v>
      </c>
      <c r="S321">
        <v>4.5499999999999999E-2</v>
      </c>
    </row>
    <row r="322" spans="1:19">
      <c r="A322" t="s">
        <v>8</v>
      </c>
      <c r="B322" t="s">
        <v>177</v>
      </c>
      <c r="C322" t="str">
        <f>Data_Master[[#This Row],[Uniq-ID]]&amp;"-"&amp;Data_Master[[#This Row],[Period]]</f>
        <v>DC-Document_Controller-025-M1</v>
      </c>
      <c r="D322" t="s">
        <v>178</v>
      </c>
      <c r="E322" t="s">
        <v>76</v>
      </c>
      <c r="G322" t="s">
        <v>13</v>
      </c>
      <c r="H322" t="s">
        <v>14</v>
      </c>
      <c r="I322" t="s">
        <v>15</v>
      </c>
      <c r="J322" t="s">
        <v>16</v>
      </c>
      <c r="L322">
        <v>1.05</v>
      </c>
      <c r="M322">
        <v>2.093</v>
      </c>
      <c r="N322" t="s">
        <v>2947</v>
      </c>
      <c r="O322" t="s">
        <v>2988</v>
      </c>
      <c r="P322" t="s">
        <v>2873</v>
      </c>
      <c r="Q322">
        <v>103</v>
      </c>
      <c r="R322">
        <v>32</v>
      </c>
      <c r="S322">
        <v>0.31069999999999998</v>
      </c>
    </row>
    <row r="323" spans="1:19">
      <c r="A323" t="s">
        <v>8</v>
      </c>
      <c r="B323" t="s">
        <v>177</v>
      </c>
      <c r="C323" t="str">
        <f>Data_Master[[#This Row],[Uniq-ID]]&amp;"-"&amp;Data_Master[[#This Row],[Period]]</f>
        <v>DC-Document_Controller-025-M1</v>
      </c>
      <c r="D323" t="s">
        <v>178</v>
      </c>
      <c r="E323" t="s">
        <v>76</v>
      </c>
      <c r="G323" t="s">
        <v>13</v>
      </c>
      <c r="H323" t="s">
        <v>14</v>
      </c>
      <c r="I323" t="s">
        <v>15</v>
      </c>
      <c r="J323" t="s">
        <v>16</v>
      </c>
      <c r="L323">
        <v>1.05</v>
      </c>
      <c r="M323">
        <v>2.093</v>
      </c>
      <c r="N323" t="s">
        <v>2871</v>
      </c>
      <c r="O323" t="s">
        <v>2954</v>
      </c>
      <c r="P323" t="s">
        <v>2873</v>
      </c>
      <c r="Q323">
        <v>220</v>
      </c>
      <c r="R323">
        <v>153</v>
      </c>
      <c r="S323">
        <v>0.69550000000000001</v>
      </c>
    </row>
    <row r="324" spans="1:19">
      <c r="A324" t="s">
        <v>8</v>
      </c>
      <c r="B324" t="s">
        <v>177</v>
      </c>
      <c r="C324" t="str">
        <f>Data_Master[[#This Row],[Uniq-ID]]&amp;"-"&amp;Data_Master[[#This Row],[Period]]</f>
        <v>DC-Document_Controller-025-M1</v>
      </c>
      <c r="D324" t="s">
        <v>178</v>
      </c>
      <c r="E324" t="s">
        <v>76</v>
      </c>
      <c r="G324" t="s">
        <v>13</v>
      </c>
      <c r="H324" t="s">
        <v>14</v>
      </c>
      <c r="I324" t="s">
        <v>15</v>
      </c>
      <c r="J324" t="s">
        <v>16</v>
      </c>
      <c r="L324">
        <v>1.05</v>
      </c>
      <c r="M324">
        <v>2.093</v>
      </c>
      <c r="N324" t="s">
        <v>2871</v>
      </c>
      <c r="O324" t="s">
        <v>2956</v>
      </c>
      <c r="P324" t="s">
        <v>2873</v>
      </c>
      <c r="Q324">
        <v>298</v>
      </c>
      <c r="R324">
        <v>221</v>
      </c>
      <c r="S324">
        <v>0.74160000000000004</v>
      </c>
    </row>
    <row r="325" spans="1:19">
      <c r="A325" t="s">
        <v>8</v>
      </c>
      <c r="B325" t="s">
        <v>177</v>
      </c>
      <c r="C325" t="str">
        <f>Data_Master[[#This Row],[Uniq-ID]]&amp;"-"&amp;Data_Master[[#This Row],[Period]]</f>
        <v>DC-Document_Controller-025-M1</v>
      </c>
      <c r="D325" t="s">
        <v>178</v>
      </c>
      <c r="E325" t="s">
        <v>76</v>
      </c>
      <c r="G325" t="s">
        <v>13</v>
      </c>
      <c r="H325" t="s">
        <v>14</v>
      </c>
      <c r="I325" t="s">
        <v>15</v>
      </c>
      <c r="J325" t="s">
        <v>16</v>
      </c>
      <c r="L325">
        <v>1.05</v>
      </c>
      <c r="M325">
        <v>2.093</v>
      </c>
      <c r="N325" t="s">
        <v>2887</v>
      </c>
      <c r="O325" t="s">
        <v>2992</v>
      </c>
      <c r="P325" t="s">
        <v>2873</v>
      </c>
      <c r="Q325">
        <v>220</v>
      </c>
      <c r="R325">
        <v>66</v>
      </c>
      <c r="S325">
        <v>0.3</v>
      </c>
    </row>
    <row r="326" spans="1:19">
      <c r="A326" t="s">
        <v>8</v>
      </c>
      <c r="B326" t="s">
        <v>177</v>
      </c>
      <c r="C326" t="str">
        <f>Data_Master[[#This Row],[Uniq-ID]]&amp;"-"&amp;Data_Master[[#This Row],[Period]]</f>
        <v>DC-Document_Controller-025-M2</v>
      </c>
      <c r="D326" t="s">
        <v>178</v>
      </c>
      <c r="E326" t="s">
        <v>76</v>
      </c>
      <c r="G326" t="s">
        <v>18</v>
      </c>
      <c r="H326" t="s">
        <v>19</v>
      </c>
      <c r="I326" t="s">
        <v>15</v>
      </c>
      <c r="J326" t="s">
        <v>20</v>
      </c>
      <c r="L326">
        <v>1</v>
      </c>
      <c r="M326">
        <v>1.202</v>
      </c>
      <c r="N326" t="s">
        <v>2871</v>
      </c>
      <c r="O326" t="s">
        <v>2956</v>
      </c>
      <c r="P326" t="s">
        <v>2873</v>
      </c>
      <c r="Q326">
        <v>298</v>
      </c>
      <c r="R326">
        <v>94</v>
      </c>
      <c r="S326">
        <v>0.31540000000000001</v>
      </c>
    </row>
    <row r="327" spans="1:19">
      <c r="A327" t="s">
        <v>8</v>
      </c>
      <c r="B327" t="s">
        <v>177</v>
      </c>
      <c r="C327" t="str">
        <f>Data_Master[[#This Row],[Uniq-ID]]&amp;"-"&amp;Data_Master[[#This Row],[Period]]</f>
        <v>DC-Document_Controller-025-M2</v>
      </c>
      <c r="D327" t="s">
        <v>178</v>
      </c>
      <c r="E327" t="s">
        <v>76</v>
      </c>
      <c r="G327" t="s">
        <v>18</v>
      </c>
      <c r="H327" t="s">
        <v>19</v>
      </c>
      <c r="I327" t="s">
        <v>15</v>
      </c>
      <c r="J327" t="s">
        <v>20</v>
      </c>
      <c r="L327">
        <v>1</v>
      </c>
      <c r="M327">
        <v>1.202</v>
      </c>
      <c r="N327" t="s">
        <v>2871</v>
      </c>
      <c r="O327" t="s">
        <v>2954</v>
      </c>
      <c r="P327" t="s">
        <v>2873</v>
      </c>
      <c r="Q327">
        <v>220</v>
      </c>
      <c r="R327">
        <v>90</v>
      </c>
      <c r="S327">
        <v>0.40910000000000002</v>
      </c>
    </row>
    <row r="328" spans="1:19">
      <c r="A328" t="s">
        <v>8</v>
      </c>
      <c r="B328" t="s">
        <v>177</v>
      </c>
      <c r="C328" t="str">
        <f>Data_Master[[#This Row],[Uniq-ID]]&amp;"-"&amp;Data_Master[[#This Row],[Period]]</f>
        <v>DC-Document_Controller-025-M2</v>
      </c>
      <c r="D328" t="s">
        <v>178</v>
      </c>
      <c r="E328" t="s">
        <v>76</v>
      </c>
      <c r="G328" t="s">
        <v>18</v>
      </c>
      <c r="H328" t="s">
        <v>19</v>
      </c>
      <c r="I328" t="s">
        <v>15</v>
      </c>
      <c r="J328" t="s">
        <v>20</v>
      </c>
      <c r="L328">
        <v>1</v>
      </c>
      <c r="M328">
        <v>1.202</v>
      </c>
      <c r="N328" t="s">
        <v>2947</v>
      </c>
      <c r="O328" t="s">
        <v>2988</v>
      </c>
      <c r="P328" t="s">
        <v>2873</v>
      </c>
      <c r="Q328">
        <v>103</v>
      </c>
      <c r="R328">
        <v>29</v>
      </c>
      <c r="S328">
        <v>0.28160000000000002</v>
      </c>
    </row>
    <row r="329" spans="1:19">
      <c r="A329" t="s">
        <v>8</v>
      </c>
      <c r="B329" t="s">
        <v>177</v>
      </c>
      <c r="C329" t="str">
        <f>Data_Master[[#This Row],[Uniq-ID]]&amp;"-"&amp;Data_Master[[#This Row],[Period]]</f>
        <v>DC-Document_Controller-025-M2</v>
      </c>
      <c r="D329" t="s">
        <v>178</v>
      </c>
      <c r="E329" t="s">
        <v>76</v>
      </c>
      <c r="G329" t="s">
        <v>18</v>
      </c>
      <c r="H329" t="s">
        <v>19</v>
      </c>
      <c r="I329" t="s">
        <v>15</v>
      </c>
      <c r="J329" t="s">
        <v>20</v>
      </c>
      <c r="L329">
        <v>1</v>
      </c>
      <c r="M329">
        <v>1.202</v>
      </c>
      <c r="N329" t="s">
        <v>2947</v>
      </c>
      <c r="O329" t="s">
        <v>2948</v>
      </c>
      <c r="P329" t="s">
        <v>2873</v>
      </c>
      <c r="Q329">
        <v>110</v>
      </c>
      <c r="R329">
        <v>3</v>
      </c>
      <c r="S329">
        <v>2.7300000000000001E-2</v>
      </c>
    </row>
    <row r="330" spans="1:19">
      <c r="A330" t="s">
        <v>8</v>
      </c>
      <c r="B330" t="s">
        <v>177</v>
      </c>
      <c r="C330" t="str">
        <f>Data_Master[[#This Row],[Uniq-ID]]&amp;"-"&amp;Data_Master[[#This Row],[Period]]</f>
        <v>DC-Document_Controller-025-M2</v>
      </c>
      <c r="D330" t="s">
        <v>178</v>
      </c>
      <c r="E330" t="s">
        <v>76</v>
      </c>
      <c r="G330" t="s">
        <v>18</v>
      </c>
      <c r="H330" t="s">
        <v>19</v>
      </c>
      <c r="I330" t="s">
        <v>15</v>
      </c>
      <c r="J330" t="s">
        <v>20</v>
      </c>
      <c r="L330">
        <v>1</v>
      </c>
      <c r="M330">
        <v>1.202</v>
      </c>
      <c r="N330" t="s">
        <v>2887</v>
      </c>
      <c r="O330" t="s">
        <v>2992</v>
      </c>
      <c r="P330" t="s">
        <v>2873</v>
      </c>
      <c r="Q330">
        <v>220</v>
      </c>
      <c r="R330">
        <v>37</v>
      </c>
      <c r="S330">
        <v>0.16819999999999999</v>
      </c>
    </row>
    <row r="331" spans="1:19">
      <c r="A331" t="s">
        <v>8</v>
      </c>
      <c r="B331" t="s">
        <v>177</v>
      </c>
      <c r="C331" t="str">
        <f>Data_Master[[#This Row],[Uniq-ID]]&amp;"-"&amp;Data_Master[[#This Row],[Period]]</f>
        <v>DC-Document_Controller-025-M3</v>
      </c>
      <c r="D331" t="s">
        <v>178</v>
      </c>
      <c r="E331" t="s">
        <v>76</v>
      </c>
      <c r="G331" t="s">
        <v>22</v>
      </c>
      <c r="H331" t="s">
        <v>23</v>
      </c>
      <c r="I331" t="s">
        <v>15</v>
      </c>
      <c r="J331" t="s">
        <v>20</v>
      </c>
      <c r="L331">
        <v>1</v>
      </c>
      <c r="M331">
        <v>1.534</v>
      </c>
      <c r="N331" t="s">
        <v>2887</v>
      </c>
      <c r="O331" t="s">
        <v>2992</v>
      </c>
      <c r="P331" t="s">
        <v>2873</v>
      </c>
      <c r="Q331">
        <v>220</v>
      </c>
      <c r="R331">
        <v>59</v>
      </c>
      <c r="S331">
        <v>0.26819999999999999</v>
      </c>
    </row>
    <row r="332" spans="1:19">
      <c r="A332" t="s">
        <v>8</v>
      </c>
      <c r="B332" t="s">
        <v>177</v>
      </c>
      <c r="C332" t="str">
        <f>Data_Master[[#This Row],[Uniq-ID]]&amp;"-"&amp;Data_Master[[#This Row],[Period]]</f>
        <v>DC-Document_Controller-025-M3</v>
      </c>
      <c r="D332" t="s">
        <v>178</v>
      </c>
      <c r="E332" t="s">
        <v>76</v>
      </c>
      <c r="G332" t="s">
        <v>22</v>
      </c>
      <c r="H332" t="s">
        <v>23</v>
      </c>
      <c r="I332" t="s">
        <v>15</v>
      </c>
      <c r="J332" t="s">
        <v>20</v>
      </c>
      <c r="L332">
        <v>1</v>
      </c>
      <c r="M332">
        <v>1.534</v>
      </c>
      <c r="N332" t="s">
        <v>2947</v>
      </c>
      <c r="O332" t="s">
        <v>2948</v>
      </c>
      <c r="P332" t="s">
        <v>2873</v>
      </c>
      <c r="Q332">
        <v>110</v>
      </c>
      <c r="R332">
        <v>1</v>
      </c>
      <c r="S332">
        <v>9.1000000000000004E-3</v>
      </c>
    </row>
    <row r="333" spans="1:19">
      <c r="A333" t="s">
        <v>8</v>
      </c>
      <c r="B333" t="s">
        <v>177</v>
      </c>
      <c r="C333" t="str">
        <f>Data_Master[[#This Row],[Uniq-ID]]&amp;"-"&amp;Data_Master[[#This Row],[Period]]</f>
        <v>DC-Document_Controller-025-M3</v>
      </c>
      <c r="D333" t="s">
        <v>178</v>
      </c>
      <c r="E333" t="s">
        <v>76</v>
      </c>
      <c r="G333" t="s">
        <v>22</v>
      </c>
      <c r="H333" t="s">
        <v>23</v>
      </c>
      <c r="I333" t="s">
        <v>15</v>
      </c>
      <c r="J333" t="s">
        <v>20</v>
      </c>
      <c r="L333">
        <v>1</v>
      </c>
      <c r="M333">
        <v>1.534</v>
      </c>
      <c r="N333" t="s">
        <v>2947</v>
      </c>
      <c r="O333" t="s">
        <v>2988</v>
      </c>
      <c r="P333" t="s">
        <v>2873</v>
      </c>
      <c r="Q333">
        <v>103</v>
      </c>
      <c r="R333">
        <v>23</v>
      </c>
      <c r="S333">
        <v>0.2233</v>
      </c>
    </row>
    <row r="334" spans="1:19">
      <c r="A334" t="s">
        <v>8</v>
      </c>
      <c r="B334" t="s">
        <v>177</v>
      </c>
      <c r="C334" t="str">
        <f>Data_Master[[#This Row],[Uniq-ID]]&amp;"-"&amp;Data_Master[[#This Row],[Period]]</f>
        <v>DC-Document_Controller-025-M3</v>
      </c>
      <c r="D334" t="s">
        <v>178</v>
      </c>
      <c r="E334" t="s">
        <v>76</v>
      </c>
      <c r="G334" t="s">
        <v>22</v>
      </c>
      <c r="H334" t="s">
        <v>23</v>
      </c>
      <c r="I334" t="s">
        <v>15</v>
      </c>
      <c r="J334" t="s">
        <v>20</v>
      </c>
      <c r="L334">
        <v>1</v>
      </c>
      <c r="M334">
        <v>1.534</v>
      </c>
      <c r="N334" t="s">
        <v>2871</v>
      </c>
      <c r="O334" t="s">
        <v>2954</v>
      </c>
      <c r="P334" t="s">
        <v>2873</v>
      </c>
      <c r="Q334">
        <v>220</v>
      </c>
      <c r="R334">
        <v>127</v>
      </c>
      <c r="S334">
        <v>0.57730000000000004</v>
      </c>
    </row>
    <row r="335" spans="1:19">
      <c r="A335" t="s">
        <v>8</v>
      </c>
      <c r="B335" t="s">
        <v>177</v>
      </c>
      <c r="C335" t="str">
        <f>Data_Master[[#This Row],[Uniq-ID]]&amp;"-"&amp;Data_Master[[#This Row],[Period]]</f>
        <v>DC-Document_Controller-025-M3</v>
      </c>
      <c r="D335" t="s">
        <v>178</v>
      </c>
      <c r="E335" t="s">
        <v>76</v>
      </c>
      <c r="G335" t="s">
        <v>22</v>
      </c>
      <c r="H335" t="s">
        <v>23</v>
      </c>
      <c r="I335" t="s">
        <v>15</v>
      </c>
      <c r="J335" t="s">
        <v>20</v>
      </c>
      <c r="L335">
        <v>1</v>
      </c>
      <c r="M335">
        <v>1.534</v>
      </c>
      <c r="N335" t="s">
        <v>2871</v>
      </c>
      <c r="O335" t="s">
        <v>2956</v>
      </c>
      <c r="P335" t="s">
        <v>2873</v>
      </c>
      <c r="Q335">
        <v>298</v>
      </c>
      <c r="R335">
        <v>136</v>
      </c>
      <c r="S335">
        <v>0.45639999999999997</v>
      </c>
    </row>
    <row r="336" spans="1:19">
      <c r="A336" t="s">
        <v>8</v>
      </c>
      <c r="B336" t="s">
        <v>177</v>
      </c>
      <c r="C336" t="str">
        <f>Data_Master[[#This Row],[Uniq-ID]]&amp;"-"&amp;Data_Master[[#This Row],[Period]]</f>
        <v>DC-Document_Controller-025-M4</v>
      </c>
      <c r="D336" t="s">
        <v>178</v>
      </c>
      <c r="E336" t="s">
        <v>76</v>
      </c>
      <c r="G336" t="s">
        <v>25</v>
      </c>
      <c r="H336" t="s">
        <v>26</v>
      </c>
      <c r="I336" t="s">
        <v>15</v>
      </c>
      <c r="J336" t="s">
        <v>44</v>
      </c>
      <c r="L336">
        <v>0.86</v>
      </c>
      <c r="M336">
        <v>0.85499999999999998</v>
      </c>
      <c r="N336" t="s">
        <v>2887</v>
      </c>
      <c r="O336" t="s">
        <v>3154</v>
      </c>
      <c r="P336" t="s">
        <v>2916</v>
      </c>
      <c r="Q336">
        <v>110</v>
      </c>
      <c r="R336">
        <v>1</v>
      </c>
      <c r="S336">
        <v>9.1000000000000004E-3</v>
      </c>
    </row>
    <row r="337" spans="1:19">
      <c r="A337" t="s">
        <v>8</v>
      </c>
      <c r="B337" t="s">
        <v>177</v>
      </c>
      <c r="C337" t="str">
        <f>Data_Master[[#This Row],[Uniq-ID]]&amp;"-"&amp;Data_Master[[#This Row],[Period]]</f>
        <v>DC-Document_Controller-025-M4</v>
      </c>
      <c r="D337" t="s">
        <v>178</v>
      </c>
      <c r="E337" t="s">
        <v>76</v>
      </c>
      <c r="G337" t="s">
        <v>25</v>
      </c>
      <c r="H337" t="s">
        <v>26</v>
      </c>
      <c r="I337" t="s">
        <v>15</v>
      </c>
      <c r="J337" t="s">
        <v>44</v>
      </c>
      <c r="L337">
        <v>0.86</v>
      </c>
      <c r="M337">
        <v>0.85499999999999998</v>
      </c>
      <c r="N337" t="s">
        <v>2887</v>
      </c>
      <c r="O337" t="s">
        <v>2992</v>
      </c>
      <c r="P337" t="s">
        <v>2873</v>
      </c>
      <c r="Q337">
        <v>220</v>
      </c>
      <c r="R337">
        <v>68</v>
      </c>
      <c r="S337">
        <v>0.30909999999999999</v>
      </c>
    </row>
    <row r="338" spans="1:19">
      <c r="A338" t="s">
        <v>8</v>
      </c>
      <c r="B338" t="s">
        <v>177</v>
      </c>
      <c r="C338" t="str">
        <f>Data_Master[[#This Row],[Uniq-ID]]&amp;"-"&amp;Data_Master[[#This Row],[Period]]</f>
        <v>DC-Document_Controller-025-M4</v>
      </c>
      <c r="D338" t="s">
        <v>178</v>
      </c>
      <c r="E338" t="s">
        <v>76</v>
      </c>
      <c r="G338" t="s">
        <v>25</v>
      </c>
      <c r="H338" t="s">
        <v>26</v>
      </c>
      <c r="I338" t="s">
        <v>15</v>
      </c>
      <c r="J338" t="s">
        <v>44</v>
      </c>
      <c r="L338">
        <v>0.86</v>
      </c>
      <c r="M338">
        <v>0.85499999999999998</v>
      </c>
      <c r="N338" t="s">
        <v>2871</v>
      </c>
      <c r="O338" t="s">
        <v>2956</v>
      </c>
      <c r="P338" t="s">
        <v>2873</v>
      </c>
      <c r="Q338">
        <v>298</v>
      </c>
      <c r="R338">
        <v>88</v>
      </c>
      <c r="S338">
        <v>0.29530000000000001</v>
      </c>
    </row>
    <row r="339" spans="1:19">
      <c r="A339" t="s">
        <v>8</v>
      </c>
      <c r="B339" t="s">
        <v>177</v>
      </c>
      <c r="C339" t="str">
        <f>Data_Master[[#This Row],[Uniq-ID]]&amp;"-"&amp;Data_Master[[#This Row],[Period]]</f>
        <v>DC-Document_Controller-025-M4</v>
      </c>
      <c r="D339" t="s">
        <v>178</v>
      </c>
      <c r="E339" t="s">
        <v>76</v>
      </c>
      <c r="G339" t="s">
        <v>25</v>
      </c>
      <c r="H339" t="s">
        <v>26</v>
      </c>
      <c r="I339" t="s">
        <v>15</v>
      </c>
      <c r="J339" t="s">
        <v>44</v>
      </c>
      <c r="L339">
        <v>0.86</v>
      </c>
      <c r="M339">
        <v>0.85499999999999998</v>
      </c>
      <c r="N339" t="s">
        <v>2871</v>
      </c>
      <c r="O339" t="s">
        <v>2954</v>
      </c>
      <c r="P339" t="s">
        <v>2873</v>
      </c>
      <c r="Q339">
        <v>220</v>
      </c>
      <c r="R339">
        <v>51</v>
      </c>
      <c r="S339">
        <v>0.23180000000000001</v>
      </c>
    </row>
    <row r="340" spans="1:19">
      <c r="A340" t="s">
        <v>8</v>
      </c>
      <c r="B340" t="s">
        <v>177</v>
      </c>
      <c r="C340" t="str">
        <f>Data_Master[[#This Row],[Uniq-ID]]&amp;"-"&amp;Data_Master[[#This Row],[Period]]</f>
        <v>DC-Document_Controller-025-M4</v>
      </c>
      <c r="D340" t="s">
        <v>178</v>
      </c>
      <c r="E340" t="s">
        <v>76</v>
      </c>
      <c r="G340" t="s">
        <v>25</v>
      </c>
      <c r="H340" t="s">
        <v>26</v>
      </c>
      <c r="I340" t="s">
        <v>15</v>
      </c>
      <c r="J340" t="s">
        <v>44</v>
      </c>
      <c r="L340">
        <v>0.86</v>
      </c>
      <c r="M340">
        <v>0.85499999999999998</v>
      </c>
      <c r="N340" t="s">
        <v>2947</v>
      </c>
      <c r="O340" t="s">
        <v>2988</v>
      </c>
      <c r="P340" t="s">
        <v>2873</v>
      </c>
      <c r="Q340">
        <v>103</v>
      </c>
      <c r="R340">
        <v>1</v>
      </c>
      <c r="S340">
        <v>9.7000000000000003E-3</v>
      </c>
    </row>
    <row r="341" spans="1:19">
      <c r="A341" t="s">
        <v>8</v>
      </c>
      <c r="B341" t="s">
        <v>177</v>
      </c>
      <c r="C341" t="str">
        <f>Data_Master[[#This Row],[Uniq-ID]]&amp;"-"&amp;Data_Master[[#This Row],[Period]]</f>
        <v>DC-Document_Controller-025-M5</v>
      </c>
      <c r="D341" t="s">
        <v>178</v>
      </c>
      <c r="E341" t="s">
        <v>76</v>
      </c>
      <c r="G341" t="s">
        <v>28</v>
      </c>
      <c r="H341" t="s">
        <v>29</v>
      </c>
      <c r="I341" t="s">
        <v>15</v>
      </c>
      <c r="J341" t="s">
        <v>44</v>
      </c>
      <c r="L341">
        <v>0.5</v>
      </c>
      <c r="M341">
        <v>0.40500000000000003</v>
      </c>
      <c r="N341" t="s">
        <v>2871</v>
      </c>
      <c r="O341" t="s">
        <v>2956</v>
      </c>
      <c r="P341" t="s">
        <v>2873</v>
      </c>
      <c r="Q341">
        <v>298</v>
      </c>
      <c r="R341">
        <v>6</v>
      </c>
      <c r="S341">
        <v>2.01E-2</v>
      </c>
    </row>
    <row r="342" spans="1:19">
      <c r="A342" t="s">
        <v>8</v>
      </c>
      <c r="B342" t="s">
        <v>177</v>
      </c>
      <c r="C342" t="str">
        <f>Data_Master[[#This Row],[Uniq-ID]]&amp;"-"&amp;Data_Master[[#This Row],[Period]]</f>
        <v>DC-Document_Controller-025-M5</v>
      </c>
      <c r="D342" t="s">
        <v>178</v>
      </c>
      <c r="E342" t="s">
        <v>76</v>
      </c>
      <c r="G342" t="s">
        <v>28</v>
      </c>
      <c r="H342" t="s">
        <v>29</v>
      </c>
      <c r="I342" t="s">
        <v>15</v>
      </c>
      <c r="J342" t="s">
        <v>44</v>
      </c>
      <c r="L342">
        <v>0.5</v>
      </c>
      <c r="M342">
        <v>0.40500000000000003</v>
      </c>
      <c r="N342" t="s">
        <v>2871</v>
      </c>
      <c r="O342" t="s">
        <v>2954</v>
      </c>
      <c r="P342" t="s">
        <v>2873</v>
      </c>
      <c r="Q342">
        <v>220</v>
      </c>
      <c r="R342">
        <v>39</v>
      </c>
      <c r="S342">
        <v>0.17730000000000001</v>
      </c>
    </row>
    <row r="343" spans="1:19">
      <c r="A343" t="s">
        <v>8</v>
      </c>
      <c r="B343" t="s">
        <v>177</v>
      </c>
      <c r="C343" t="str">
        <f>Data_Master[[#This Row],[Uniq-ID]]&amp;"-"&amp;Data_Master[[#This Row],[Period]]</f>
        <v>DC-Document_Controller-025-M5</v>
      </c>
      <c r="D343" t="s">
        <v>178</v>
      </c>
      <c r="E343" t="s">
        <v>76</v>
      </c>
      <c r="G343" t="s">
        <v>28</v>
      </c>
      <c r="H343" t="s">
        <v>29</v>
      </c>
      <c r="I343" t="s">
        <v>15</v>
      </c>
      <c r="J343" t="s">
        <v>44</v>
      </c>
      <c r="L343">
        <v>0.5</v>
      </c>
      <c r="M343">
        <v>0.40500000000000003</v>
      </c>
      <c r="N343" t="s">
        <v>2947</v>
      </c>
      <c r="O343" t="s">
        <v>2988</v>
      </c>
      <c r="P343" t="s">
        <v>2873</v>
      </c>
      <c r="Q343">
        <v>103</v>
      </c>
      <c r="R343">
        <v>12</v>
      </c>
      <c r="S343">
        <v>0.11650000000000001</v>
      </c>
    </row>
    <row r="344" spans="1:19">
      <c r="A344" t="s">
        <v>8</v>
      </c>
      <c r="B344" t="s">
        <v>177</v>
      </c>
      <c r="C344" t="str">
        <f>Data_Master[[#This Row],[Uniq-ID]]&amp;"-"&amp;Data_Master[[#This Row],[Period]]</f>
        <v>DC-Document_Controller-025-M5</v>
      </c>
      <c r="D344" t="s">
        <v>178</v>
      </c>
      <c r="E344" t="s">
        <v>76</v>
      </c>
      <c r="G344" t="s">
        <v>28</v>
      </c>
      <c r="H344" t="s">
        <v>29</v>
      </c>
      <c r="I344" t="s">
        <v>15</v>
      </c>
      <c r="J344" t="s">
        <v>44</v>
      </c>
      <c r="L344">
        <v>0.5</v>
      </c>
      <c r="M344">
        <v>0.40500000000000003</v>
      </c>
      <c r="N344" t="s">
        <v>2887</v>
      </c>
      <c r="O344" t="s">
        <v>2992</v>
      </c>
      <c r="P344" t="s">
        <v>2873</v>
      </c>
      <c r="Q344">
        <v>220</v>
      </c>
      <c r="R344">
        <v>20</v>
      </c>
      <c r="S344">
        <v>9.0899999999999995E-2</v>
      </c>
    </row>
    <row r="345" spans="1:19">
      <c r="A345" t="s">
        <v>8</v>
      </c>
      <c r="B345" t="s">
        <v>177</v>
      </c>
      <c r="C345" t="str">
        <f>Data_Master[[#This Row],[Uniq-ID]]&amp;"-"&amp;Data_Master[[#This Row],[Period]]</f>
        <v>DC-Document_Controller-025-M6</v>
      </c>
      <c r="D345" t="s">
        <v>178</v>
      </c>
      <c r="E345" t="s">
        <v>76</v>
      </c>
      <c r="G345" t="s">
        <v>31</v>
      </c>
      <c r="H345" t="s">
        <v>32</v>
      </c>
      <c r="I345" t="s">
        <v>33</v>
      </c>
      <c r="J345" t="s">
        <v>44</v>
      </c>
      <c r="L345">
        <v>0.5</v>
      </c>
      <c r="M345">
        <v>4.9000000000000002E-2</v>
      </c>
      <c r="N345" t="s">
        <v>2947</v>
      </c>
      <c r="O345" t="s">
        <v>2988</v>
      </c>
      <c r="P345" t="s">
        <v>2873</v>
      </c>
      <c r="Q345">
        <v>103</v>
      </c>
      <c r="R345">
        <v>1</v>
      </c>
      <c r="S345">
        <v>9.7000000000000003E-3</v>
      </c>
    </row>
    <row r="346" spans="1:19">
      <c r="A346" t="s">
        <v>8</v>
      </c>
      <c r="B346" t="s">
        <v>177</v>
      </c>
      <c r="C346" t="str">
        <f>Data_Master[[#This Row],[Uniq-ID]]&amp;"-"&amp;Data_Master[[#This Row],[Period]]</f>
        <v>DC-Document_Controller-025-M6</v>
      </c>
      <c r="D346" t="s">
        <v>178</v>
      </c>
      <c r="E346" t="s">
        <v>76</v>
      </c>
      <c r="G346" t="s">
        <v>31</v>
      </c>
      <c r="H346" t="s">
        <v>32</v>
      </c>
      <c r="I346" t="s">
        <v>33</v>
      </c>
      <c r="J346" t="s">
        <v>44</v>
      </c>
      <c r="L346">
        <v>0.5</v>
      </c>
      <c r="M346">
        <v>4.9000000000000002E-2</v>
      </c>
      <c r="N346" t="s">
        <v>2871</v>
      </c>
      <c r="O346" t="s">
        <v>2954</v>
      </c>
      <c r="P346" t="s">
        <v>2873</v>
      </c>
      <c r="Q346">
        <v>220</v>
      </c>
      <c r="R346">
        <v>4</v>
      </c>
      <c r="S346">
        <v>1.8200000000000001E-2</v>
      </c>
    </row>
    <row r="347" spans="1:19">
      <c r="A347" t="s">
        <v>8</v>
      </c>
      <c r="B347" t="s">
        <v>177</v>
      </c>
      <c r="C347" t="str">
        <f>Data_Master[[#This Row],[Uniq-ID]]&amp;"-"&amp;Data_Master[[#This Row],[Period]]</f>
        <v>DC-Document_Controller-025-M6</v>
      </c>
      <c r="D347" t="s">
        <v>178</v>
      </c>
      <c r="E347" t="s">
        <v>76</v>
      </c>
      <c r="G347" t="s">
        <v>31</v>
      </c>
      <c r="H347" t="s">
        <v>32</v>
      </c>
      <c r="I347" t="s">
        <v>33</v>
      </c>
      <c r="J347" t="s">
        <v>44</v>
      </c>
      <c r="L347">
        <v>0.5</v>
      </c>
      <c r="M347">
        <v>4.9000000000000002E-2</v>
      </c>
      <c r="N347" t="s">
        <v>2871</v>
      </c>
      <c r="O347" t="s">
        <v>2956</v>
      </c>
      <c r="P347" t="s">
        <v>2873</v>
      </c>
      <c r="Q347">
        <v>298</v>
      </c>
      <c r="R347">
        <v>5</v>
      </c>
      <c r="S347">
        <v>1.6799999999999999E-2</v>
      </c>
    </row>
    <row r="348" spans="1:19">
      <c r="A348" t="s">
        <v>8</v>
      </c>
      <c r="B348" t="s">
        <v>177</v>
      </c>
      <c r="C348" t="str">
        <f>Data_Master[[#This Row],[Uniq-ID]]&amp;"-"&amp;Data_Master[[#This Row],[Period]]</f>
        <v>DC-Document_Controller-025-M6</v>
      </c>
      <c r="D348" t="s">
        <v>178</v>
      </c>
      <c r="E348" t="s">
        <v>76</v>
      </c>
      <c r="G348" t="s">
        <v>31</v>
      </c>
      <c r="H348" t="s">
        <v>32</v>
      </c>
      <c r="I348" t="s">
        <v>33</v>
      </c>
      <c r="J348" t="s">
        <v>44</v>
      </c>
      <c r="L348">
        <v>0.5</v>
      </c>
      <c r="M348">
        <v>4.9000000000000002E-2</v>
      </c>
      <c r="N348" t="s">
        <v>2887</v>
      </c>
      <c r="O348" t="s">
        <v>2992</v>
      </c>
      <c r="P348" t="s">
        <v>2873</v>
      </c>
      <c r="Q348">
        <v>220</v>
      </c>
      <c r="R348">
        <v>1</v>
      </c>
      <c r="S348">
        <v>4.4999999999999997E-3</v>
      </c>
    </row>
    <row r="349" spans="1:19">
      <c r="A349" t="s">
        <v>8</v>
      </c>
      <c r="B349" t="s">
        <v>304</v>
      </c>
      <c r="C349" t="str">
        <f>Data_Master[[#This Row],[Uniq-ID]]&amp;"-"&amp;Data_Master[[#This Row],[Period]]</f>
        <v>DC-Document_Controller-026-M1</v>
      </c>
      <c r="D349" t="s">
        <v>305</v>
      </c>
      <c r="E349" t="s">
        <v>76</v>
      </c>
      <c r="G349" t="s">
        <v>13</v>
      </c>
      <c r="H349" t="s">
        <v>14</v>
      </c>
      <c r="I349" t="s">
        <v>15</v>
      </c>
      <c r="J349" t="s">
        <v>44</v>
      </c>
      <c r="L349">
        <v>0.5</v>
      </c>
      <c r="M349">
        <v>0.26900000000000002</v>
      </c>
      <c r="N349" t="s">
        <v>2947</v>
      </c>
      <c r="O349" t="s">
        <v>2988</v>
      </c>
      <c r="P349" t="s">
        <v>2873</v>
      </c>
      <c r="Q349">
        <v>103</v>
      </c>
      <c r="R349">
        <v>9</v>
      </c>
      <c r="S349">
        <v>8.7400000000000005E-2</v>
      </c>
    </row>
    <row r="350" spans="1:19">
      <c r="A350" t="s">
        <v>8</v>
      </c>
      <c r="B350" t="s">
        <v>304</v>
      </c>
      <c r="C350" t="str">
        <f>Data_Master[[#This Row],[Uniq-ID]]&amp;"-"&amp;Data_Master[[#This Row],[Period]]</f>
        <v>DC-Document_Controller-026-M1</v>
      </c>
      <c r="D350" t="s">
        <v>305</v>
      </c>
      <c r="E350" t="s">
        <v>76</v>
      </c>
      <c r="G350" t="s">
        <v>13</v>
      </c>
      <c r="H350" t="s">
        <v>14</v>
      </c>
      <c r="I350" t="s">
        <v>15</v>
      </c>
      <c r="J350" t="s">
        <v>44</v>
      </c>
      <c r="L350">
        <v>0.5</v>
      </c>
      <c r="M350">
        <v>0.26900000000000002</v>
      </c>
      <c r="N350" t="s">
        <v>2947</v>
      </c>
      <c r="O350" t="s">
        <v>2948</v>
      </c>
      <c r="P350" t="s">
        <v>2873</v>
      </c>
      <c r="Q350">
        <v>110</v>
      </c>
      <c r="R350">
        <v>6</v>
      </c>
      <c r="S350">
        <v>5.45E-2</v>
      </c>
    </row>
    <row r="351" spans="1:19">
      <c r="A351" t="s">
        <v>8</v>
      </c>
      <c r="B351" t="s">
        <v>304</v>
      </c>
      <c r="C351" t="str">
        <f>Data_Master[[#This Row],[Uniq-ID]]&amp;"-"&amp;Data_Master[[#This Row],[Period]]</f>
        <v>DC-Document_Controller-026-M1</v>
      </c>
      <c r="D351" t="s">
        <v>305</v>
      </c>
      <c r="E351" t="s">
        <v>76</v>
      </c>
      <c r="G351" t="s">
        <v>13</v>
      </c>
      <c r="H351" t="s">
        <v>14</v>
      </c>
      <c r="I351" t="s">
        <v>15</v>
      </c>
      <c r="J351" t="s">
        <v>44</v>
      </c>
      <c r="L351">
        <v>0.5</v>
      </c>
      <c r="M351">
        <v>0.26900000000000002</v>
      </c>
      <c r="N351" t="s">
        <v>2871</v>
      </c>
      <c r="O351" t="s">
        <v>3061</v>
      </c>
      <c r="P351" t="s">
        <v>2873</v>
      </c>
      <c r="Q351">
        <v>66</v>
      </c>
      <c r="R351">
        <v>4</v>
      </c>
      <c r="S351">
        <v>6.0600000000000001E-2</v>
      </c>
    </row>
    <row r="352" spans="1:19">
      <c r="A352" t="s">
        <v>8</v>
      </c>
      <c r="B352" t="s">
        <v>304</v>
      </c>
      <c r="C352" t="str">
        <f>Data_Master[[#This Row],[Uniq-ID]]&amp;"-"&amp;Data_Master[[#This Row],[Period]]</f>
        <v>DC-Document_Controller-026-M1</v>
      </c>
      <c r="D352" t="s">
        <v>305</v>
      </c>
      <c r="E352" t="s">
        <v>76</v>
      </c>
      <c r="G352" t="s">
        <v>13</v>
      </c>
      <c r="H352" t="s">
        <v>14</v>
      </c>
      <c r="I352" t="s">
        <v>15</v>
      </c>
      <c r="J352" t="s">
        <v>44</v>
      </c>
      <c r="L352">
        <v>0.5</v>
      </c>
      <c r="M352">
        <v>0.26900000000000002</v>
      </c>
      <c r="N352" t="s">
        <v>2871</v>
      </c>
      <c r="O352" t="s">
        <v>2952</v>
      </c>
      <c r="P352" t="s">
        <v>2873</v>
      </c>
      <c r="Q352">
        <v>257</v>
      </c>
      <c r="R352">
        <v>1</v>
      </c>
      <c r="S352">
        <v>3.8999999999999998E-3</v>
      </c>
    </row>
    <row r="353" spans="1:19">
      <c r="A353" t="s">
        <v>8</v>
      </c>
      <c r="B353" t="s">
        <v>304</v>
      </c>
      <c r="C353" t="str">
        <f>Data_Master[[#This Row],[Uniq-ID]]&amp;"-"&amp;Data_Master[[#This Row],[Period]]</f>
        <v>DC-Document_Controller-026-M1</v>
      </c>
      <c r="D353" t="s">
        <v>305</v>
      </c>
      <c r="E353" t="s">
        <v>76</v>
      </c>
      <c r="G353" t="s">
        <v>13</v>
      </c>
      <c r="H353" t="s">
        <v>14</v>
      </c>
      <c r="I353" t="s">
        <v>15</v>
      </c>
      <c r="J353" t="s">
        <v>44</v>
      </c>
      <c r="L353">
        <v>0.5</v>
      </c>
      <c r="M353">
        <v>0.26900000000000002</v>
      </c>
      <c r="N353" t="s">
        <v>2871</v>
      </c>
      <c r="O353" t="s">
        <v>2954</v>
      </c>
      <c r="P353" t="s">
        <v>2873</v>
      </c>
      <c r="Q353">
        <v>220</v>
      </c>
      <c r="R353">
        <v>1</v>
      </c>
      <c r="S353">
        <v>4.4999999999999997E-3</v>
      </c>
    </row>
    <row r="354" spans="1:19">
      <c r="A354" t="s">
        <v>8</v>
      </c>
      <c r="B354" t="s">
        <v>304</v>
      </c>
      <c r="C354" t="str">
        <f>Data_Master[[#This Row],[Uniq-ID]]&amp;"-"&amp;Data_Master[[#This Row],[Period]]</f>
        <v>DC-Document_Controller-026-M1</v>
      </c>
      <c r="D354" t="s">
        <v>305</v>
      </c>
      <c r="E354" t="s">
        <v>76</v>
      </c>
      <c r="G354" t="s">
        <v>13</v>
      </c>
      <c r="H354" t="s">
        <v>14</v>
      </c>
      <c r="I354" t="s">
        <v>15</v>
      </c>
      <c r="J354" t="s">
        <v>44</v>
      </c>
      <c r="L354">
        <v>0.5</v>
      </c>
      <c r="M354">
        <v>0.26900000000000002</v>
      </c>
      <c r="N354" t="s">
        <v>2871</v>
      </c>
      <c r="O354" t="s">
        <v>2956</v>
      </c>
      <c r="P354" t="s">
        <v>2873</v>
      </c>
      <c r="Q354">
        <v>298</v>
      </c>
      <c r="R354">
        <v>3</v>
      </c>
      <c r="S354">
        <v>1.01E-2</v>
      </c>
    </row>
    <row r="355" spans="1:19">
      <c r="A355" t="s">
        <v>8</v>
      </c>
      <c r="B355" t="s">
        <v>304</v>
      </c>
      <c r="C355" t="str">
        <f>Data_Master[[#This Row],[Uniq-ID]]&amp;"-"&amp;Data_Master[[#This Row],[Period]]</f>
        <v>DC-Document_Controller-026-M1</v>
      </c>
      <c r="D355" t="s">
        <v>305</v>
      </c>
      <c r="E355" t="s">
        <v>76</v>
      </c>
      <c r="G355" t="s">
        <v>13</v>
      </c>
      <c r="H355" t="s">
        <v>14</v>
      </c>
      <c r="I355" t="s">
        <v>15</v>
      </c>
      <c r="J355" t="s">
        <v>44</v>
      </c>
      <c r="L355">
        <v>0.5</v>
      </c>
      <c r="M355">
        <v>0.26900000000000002</v>
      </c>
      <c r="N355" t="s">
        <v>2871</v>
      </c>
      <c r="O355" t="s">
        <v>2958</v>
      </c>
      <c r="P355" t="s">
        <v>2873</v>
      </c>
      <c r="Q355">
        <v>154</v>
      </c>
      <c r="R355">
        <v>6</v>
      </c>
      <c r="S355">
        <v>3.9E-2</v>
      </c>
    </row>
    <row r="356" spans="1:19">
      <c r="A356" t="s">
        <v>8</v>
      </c>
      <c r="B356" t="s">
        <v>304</v>
      </c>
      <c r="C356" t="str">
        <f>Data_Master[[#This Row],[Uniq-ID]]&amp;"-"&amp;Data_Master[[#This Row],[Period]]</f>
        <v>DC-Document_Controller-026-M1</v>
      </c>
      <c r="D356" t="s">
        <v>305</v>
      </c>
      <c r="E356" t="s">
        <v>76</v>
      </c>
      <c r="G356" t="s">
        <v>13</v>
      </c>
      <c r="H356" t="s">
        <v>14</v>
      </c>
      <c r="I356" t="s">
        <v>15</v>
      </c>
      <c r="J356" t="s">
        <v>44</v>
      </c>
      <c r="L356">
        <v>0.5</v>
      </c>
      <c r="M356">
        <v>0.26900000000000002</v>
      </c>
      <c r="N356" t="s">
        <v>2887</v>
      </c>
      <c r="O356" t="s">
        <v>2992</v>
      </c>
      <c r="P356" t="s">
        <v>2873</v>
      </c>
      <c r="Q356">
        <v>220</v>
      </c>
      <c r="R356">
        <v>2</v>
      </c>
      <c r="S356">
        <v>9.1000000000000004E-3</v>
      </c>
    </row>
    <row r="357" spans="1:19">
      <c r="A357" t="s">
        <v>8</v>
      </c>
      <c r="B357" t="s">
        <v>304</v>
      </c>
      <c r="C357" t="str">
        <f>Data_Master[[#This Row],[Uniq-ID]]&amp;"-"&amp;Data_Master[[#This Row],[Period]]</f>
        <v>DC-Document_Controller-026-M2</v>
      </c>
      <c r="D357" t="s">
        <v>305</v>
      </c>
      <c r="E357" t="s">
        <v>76</v>
      </c>
      <c r="G357" t="s">
        <v>18</v>
      </c>
      <c r="H357" t="s">
        <v>19</v>
      </c>
      <c r="I357" t="s">
        <v>15</v>
      </c>
      <c r="J357" t="s">
        <v>44</v>
      </c>
      <c r="L357">
        <v>0.5</v>
      </c>
      <c r="M357">
        <v>0.443</v>
      </c>
      <c r="N357" t="s">
        <v>2947</v>
      </c>
      <c r="O357" t="s">
        <v>2948</v>
      </c>
      <c r="P357" t="s">
        <v>2873</v>
      </c>
      <c r="Q357">
        <v>110</v>
      </c>
      <c r="R357">
        <v>6</v>
      </c>
      <c r="S357">
        <v>5.45E-2</v>
      </c>
    </row>
    <row r="358" spans="1:19">
      <c r="A358" t="s">
        <v>8</v>
      </c>
      <c r="B358" t="s">
        <v>304</v>
      </c>
      <c r="C358" t="str">
        <f>Data_Master[[#This Row],[Uniq-ID]]&amp;"-"&amp;Data_Master[[#This Row],[Period]]</f>
        <v>DC-Document_Controller-026-M2</v>
      </c>
      <c r="D358" t="s">
        <v>305</v>
      </c>
      <c r="E358" t="s">
        <v>76</v>
      </c>
      <c r="G358" t="s">
        <v>18</v>
      </c>
      <c r="H358" t="s">
        <v>19</v>
      </c>
      <c r="I358" t="s">
        <v>15</v>
      </c>
      <c r="J358" t="s">
        <v>44</v>
      </c>
      <c r="L358">
        <v>0.5</v>
      </c>
      <c r="M358">
        <v>0.443</v>
      </c>
      <c r="N358" t="s">
        <v>2947</v>
      </c>
      <c r="O358" t="s">
        <v>2988</v>
      </c>
      <c r="P358" t="s">
        <v>2873</v>
      </c>
      <c r="Q358">
        <v>103</v>
      </c>
      <c r="R358">
        <v>31</v>
      </c>
      <c r="S358">
        <v>0.30099999999999999</v>
      </c>
    </row>
    <row r="359" spans="1:19">
      <c r="A359" t="s">
        <v>8</v>
      </c>
      <c r="B359" t="s">
        <v>304</v>
      </c>
      <c r="C359" t="str">
        <f>Data_Master[[#This Row],[Uniq-ID]]&amp;"-"&amp;Data_Master[[#This Row],[Period]]</f>
        <v>DC-Document_Controller-026-M2</v>
      </c>
      <c r="D359" t="s">
        <v>305</v>
      </c>
      <c r="E359" t="s">
        <v>76</v>
      </c>
      <c r="G359" t="s">
        <v>18</v>
      </c>
      <c r="H359" t="s">
        <v>19</v>
      </c>
      <c r="I359" t="s">
        <v>15</v>
      </c>
      <c r="J359" t="s">
        <v>44</v>
      </c>
      <c r="L359">
        <v>0.5</v>
      </c>
      <c r="M359">
        <v>0.443</v>
      </c>
      <c r="N359" t="s">
        <v>2871</v>
      </c>
      <c r="O359" t="s">
        <v>3061</v>
      </c>
      <c r="P359" t="s">
        <v>2873</v>
      </c>
      <c r="Q359">
        <v>66</v>
      </c>
      <c r="R359">
        <v>2</v>
      </c>
      <c r="S359">
        <v>3.0300000000000001E-2</v>
      </c>
    </row>
    <row r="360" spans="1:19">
      <c r="A360" t="s">
        <v>8</v>
      </c>
      <c r="B360" t="s">
        <v>304</v>
      </c>
      <c r="C360" t="str">
        <f>Data_Master[[#This Row],[Uniq-ID]]&amp;"-"&amp;Data_Master[[#This Row],[Period]]</f>
        <v>DC-Document_Controller-026-M2</v>
      </c>
      <c r="D360" t="s">
        <v>305</v>
      </c>
      <c r="E360" t="s">
        <v>76</v>
      </c>
      <c r="G360" t="s">
        <v>18</v>
      </c>
      <c r="H360" t="s">
        <v>19</v>
      </c>
      <c r="I360" t="s">
        <v>15</v>
      </c>
      <c r="J360" t="s">
        <v>44</v>
      </c>
      <c r="L360">
        <v>0.5</v>
      </c>
      <c r="M360">
        <v>0.443</v>
      </c>
      <c r="N360" t="s">
        <v>2871</v>
      </c>
      <c r="O360" t="s">
        <v>2954</v>
      </c>
      <c r="P360" t="s">
        <v>2873</v>
      </c>
      <c r="Q360">
        <v>220</v>
      </c>
      <c r="R360">
        <v>8</v>
      </c>
      <c r="S360">
        <v>3.6400000000000002E-2</v>
      </c>
    </row>
    <row r="361" spans="1:19">
      <c r="A361" t="s">
        <v>8</v>
      </c>
      <c r="B361" t="s">
        <v>304</v>
      </c>
      <c r="C361" t="str">
        <f>Data_Master[[#This Row],[Uniq-ID]]&amp;"-"&amp;Data_Master[[#This Row],[Period]]</f>
        <v>DC-Document_Controller-026-M2</v>
      </c>
      <c r="D361" t="s">
        <v>305</v>
      </c>
      <c r="E361" t="s">
        <v>76</v>
      </c>
      <c r="G361" t="s">
        <v>18</v>
      </c>
      <c r="H361" t="s">
        <v>19</v>
      </c>
      <c r="I361" t="s">
        <v>15</v>
      </c>
      <c r="J361" t="s">
        <v>44</v>
      </c>
      <c r="L361">
        <v>0.5</v>
      </c>
      <c r="M361">
        <v>0.443</v>
      </c>
      <c r="N361" t="s">
        <v>2871</v>
      </c>
      <c r="O361" t="s">
        <v>2956</v>
      </c>
      <c r="P361" t="s">
        <v>2873</v>
      </c>
      <c r="Q361">
        <v>298</v>
      </c>
      <c r="R361">
        <v>3</v>
      </c>
      <c r="S361">
        <v>1.01E-2</v>
      </c>
    </row>
    <row r="362" spans="1:19">
      <c r="A362" t="s">
        <v>8</v>
      </c>
      <c r="B362" t="s">
        <v>304</v>
      </c>
      <c r="C362" t="str">
        <f>Data_Master[[#This Row],[Uniq-ID]]&amp;"-"&amp;Data_Master[[#This Row],[Period]]</f>
        <v>DC-Document_Controller-026-M2</v>
      </c>
      <c r="D362" t="s">
        <v>305</v>
      </c>
      <c r="E362" t="s">
        <v>76</v>
      </c>
      <c r="G362" t="s">
        <v>18</v>
      </c>
      <c r="H362" t="s">
        <v>19</v>
      </c>
      <c r="I362" t="s">
        <v>15</v>
      </c>
      <c r="J362" t="s">
        <v>44</v>
      </c>
      <c r="L362">
        <v>0.5</v>
      </c>
      <c r="M362">
        <v>0.443</v>
      </c>
      <c r="N362" t="s">
        <v>2871</v>
      </c>
      <c r="O362" t="s">
        <v>2958</v>
      </c>
      <c r="P362" t="s">
        <v>2873</v>
      </c>
      <c r="Q362">
        <v>154</v>
      </c>
      <c r="R362">
        <v>1</v>
      </c>
      <c r="S362">
        <v>6.4999999999999997E-3</v>
      </c>
    </row>
    <row r="363" spans="1:19">
      <c r="A363" t="s">
        <v>8</v>
      </c>
      <c r="B363" t="s">
        <v>304</v>
      </c>
      <c r="C363" t="str">
        <f>Data_Master[[#This Row],[Uniq-ID]]&amp;"-"&amp;Data_Master[[#This Row],[Period]]</f>
        <v>DC-Document_Controller-026-M2</v>
      </c>
      <c r="D363" t="s">
        <v>305</v>
      </c>
      <c r="E363" t="s">
        <v>76</v>
      </c>
      <c r="G363" t="s">
        <v>18</v>
      </c>
      <c r="H363" t="s">
        <v>19</v>
      </c>
      <c r="I363" t="s">
        <v>15</v>
      </c>
      <c r="J363" t="s">
        <v>44</v>
      </c>
      <c r="L363">
        <v>0.5</v>
      </c>
      <c r="M363">
        <v>0.443</v>
      </c>
      <c r="N363" t="s">
        <v>2887</v>
      </c>
      <c r="O363" t="s">
        <v>2992</v>
      </c>
      <c r="P363" t="s">
        <v>2873</v>
      </c>
      <c r="Q363">
        <v>220</v>
      </c>
      <c r="R363">
        <v>1</v>
      </c>
      <c r="S363">
        <v>4.4999999999999997E-3</v>
      </c>
    </row>
    <row r="364" spans="1:19">
      <c r="A364" t="s">
        <v>8</v>
      </c>
      <c r="B364" t="s">
        <v>304</v>
      </c>
      <c r="C364" t="str">
        <f>Data_Master[[#This Row],[Uniq-ID]]&amp;"-"&amp;Data_Master[[#This Row],[Period]]</f>
        <v>DC-Document_Controller-026-M3</v>
      </c>
      <c r="D364" t="s">
        <v>305</v>
      </c>
      <c r="E364" t="s">
        <v>76</v>
      </c>
      <c r="G364" t="s">
        <v>22</v>
      </c>
      <c r="H364" t="s">
        <v>23</v>
      </c>
      <c r="I364" t="s">
        <v>15</v>
      </c>
      <c r="J364" t="s">
        <v>44</v>
      </c>
      <c r="L364">
        <v>0.5</v>
      </c>
      <c r="M364">
        <v>0.372</v>
      </c>
      <c r="N364" t="s">
        <v>2871</v>
      </c>
      <c r="O364" t="s">
        <v>2954</v>
      </c>
      <c r="P364" t="s">
        <v>2873</v>
      </c>
      <c r="Q364">
        <v>220</v>
      </c>
      <c r="R364">
        <v>2</v>
      </c>
      <c r="S364">
        <v>9.1000000000000004E-3</v>
      </c>
    </row>
    <row r="365" spans="1:19">
      <c r="A365" t="s">
        <v>8</v>
      </c>
      <c r="B365" t="s">
        <v>304</v>
      </c>
      <c r="C365" t="str">
        <f>Data_Master[[#This Row],[Uniq-ID]]&amp;"-"&amp;Data_Master[[#This Row],[Period]]</f>
        <v>DC-Document_Controller-026-M3</v>
      </c>
      <c r="D365" t="s">
        <v>305</v>
      </c>
      <c r="E365" t="s">
        <v>76</v>
      </c>
      <c r="G365" t="s">
        <v>22</v>
      </c>
      <c r="H365" t="s">
        <v>23</v>
      </c>
      <c r="I365" t="s">
        <v>15</v>
      </c>
      <c r="J365" t="s">
        <v>44</v>
      </c>
      <c r="L365">
        <v>0.5</v>
      </c>
      <c r="M365">
        <v>0.372</v>
      </c>
      <c r="N365" t="s">
        <v>2871</v>
      </c>
      <c r="O365" t="s">
        <v>2956</v>
      </c>
      <c r="P365" t="s">
        <v>2873</v>
      </c>
      <c r="Q365">
        <v>298</v>
      </c>
      <c r="R365">
        <v>3</v>
      </c>
      <c r="S365">
        <v>1.01E-2</v>
      </c>
    </row>
    <row r="366" spans="1:19">
      <c r="A366" t="s">
        <v>8</v>
      </c>
      <c r="B366" t="s">
        <v>304</v>
      </c>
      <c r="C366" t="str">
        <f>Data_Master[[#This Row],[Uniq-ID]]&amp;"-"&amp;Data_Master[[#This Row],[Period]]</f>
        <v>DC-Document_Controller-026-M3</v>
      </c>
      <c r="D366" t="s">
        <v>305</v>
      </c>
      <c r="E366" t="s">
        <v>76</v>
      </c>
      <c r="G366" t="s">
        <v>22</v>
      </c>
      <c r="H366" t="s">
        <v>23</v>
      </c>
      <c r="I366" t="s">
        <v>15</v>
      </c>
      <c r="J366" t="s">
        <v>44</v>
      </c>
      <c r="L366">
        <v>0.5</v>
      </c>
      <c r="M366">
        <v>0.372</v>
      </c>
      <c r="N366" t="s">
        <v>2871</v>
      </c>
      <c r="O366" t="s">
        <v>2958</v>
      </c>
      <c r="P366" t="s">
        <v>2873</v>
      </c>
      <c r="Q366">
        <v>154</v>
      </c>
      <c r="R366">
        <v>1</v>
      </c>
      <c r="S366">
        <v>6.4999999999999997E-3</v>
      </c>
    </row>
    <row r="367" spans="1:19">
      <c r="A367" t="s">
        <v>8</v>
      </c>
      <c r="B367" t="s">
        <v>304</v>
      </c>
      <c r="C367" t="str">
        <f>Data_Master[[#This Row],[Uniq-ID]]&amp;"-"&amp;Data_Master[[#This Row],[Period]]</f>
        <v>DC-Document_Controller-026-M3</v>
      </c>
      <c r="D367" t="s">
        <v>305</v>
      </c>
      <c r="E367" t="s">
        <v>76</v>
      </c>
      <c r="G367" t="s">
        <v>22</v>
      </c>
      <c r="H367" t="s">
        <v>23</v>
      </c>
      <c r="I367" t="s">
        <v>15</v>
      </c>
      <c r="J367" t="s">
        <v>44</v>
      </c>
      <c r="L367">
        <v>0.5</v>
      </c>
      <c r="M367">
        <v>0.372</v>
      </c>
      <c r="N367" t="s">
        <v>2947</v>
      </c>
      <c r="O367" t="s">
        <v>3264</v>
      </c>
      <c r="P367" t="s">
        <v>2916</v>
      </c>
      <c r="Q367">
        <v>1027</v>
      </c>
      <c r="R367">
        <v>28</v>
      </c>
      <c r="S367">
        <v>2.7300000000000001E-2</v>
      </c>
    </row>
    <row r="368" spans="1:19">
      <c r="A368" t="s">
        <v>8</v>
      </c>
      <c r="B368" t="s">
        <v>304</v>
      </c>
      <c r="C368" t="str">
        <f>Data_Master[[#This Row],[Uniq-ID]]&amp;"-"&amp;Data_Master[[#This Row],[Period]]</f>
        <v>DC-Document_Controller-026-M3</v>
      </c>
      <c r="D368" t="s">
        <v>305</v>
      </c>
      <c r="E368" t="s">
        <v>76</v>
      </c>
      <c r="G368" t="s">
        <v>22</v>
      </c>
      <c r="H368" t="s">
        <v>23</v>
      </c>
      <c r="I368" t="s">
        <v>15</v>
      </c>
      <c r="J368" t="s">
        <v>44</v>
      </c>
      <c r="L368">
        <v>0.5</v>
      </c>
      <c r="M368">
        <v>0.372</v>
      </c>
      <c r="N368" t="s">
        <v>2947</v>
      </c>
      <c r="O368" t="s">
        <v>2948</v>
      </c>
      <c r="P368" t="s">
        <v>2873</v>
      </c>
      <c r="Q368">
        <v>110</v>
      </c>
      <c r="R368">
        <v>2</v>
      </c>
      <c r="S368">
        <v>1.8200000000000001E-2</v>
      </c>
    </row>
    <row r="369" spans="1:19">
      <c r="A369" t="s">
        <v>8</v>
      </c>
      <c r="B369" t="s">
        <v>304</v>
      </c>
      <c r="C369" t="str">
        <f>Data_Master[[#This Row],[Uniq-ID]]&amp;"-"&amp;Data_Master[[#This Row],[Period]]</f>
        <v>DC-Document_Controller-026-M3</v>
      </c>
      <c r="D369" t="s">
        <v>305</v>
      </c>
      <c r="E369" t="s">
        <v>76</v>
      </c>
      <c r="G369" t="s">
        <v>22</v>
      </c>
      <c r="H369" t="s">
        <v>23</v>
      </c>
      <c r="I369" t="s">
        <v>15</v>
      </c>
      <c r="J369" t="s">
        <v>44</v>
      </c>
      <c r="L369">
        <v>0.5</v>
      </c>
      <c r="M369">
        <v>0.372</v>
      </c>
      <c r="N369" t="s">
        <v>2947</v>
      </c>
      <c r="O369" t="s">
        <v>2988</v>
      </c>
      <c r="P369" t="s">
        <v>2873</v>
      </c>
      <c r="Q369">
        <v>103</v>
      </c>
      <c r="R369">
        <v>31</v>
      </c>
      <c r="S369">
        <v>0.30099999999999999</v>
      </c>
    </row>
    <row r="370" spans="1:19">
      <c r="A370" t="s">
        <v>8</v>
      </c>
      <c r="B370" t="s">
        <v>304</v>
      </c>
      <c r="C370" t="str">
        <f>Data_Master[[#This Row],[Uniq-ID]]&amp;"-"&amp;Data_Master[[#This Row],[Period]]</f>
        <v>DC-Document_Controller-026-M4</v>
      </c>
      <c r="D370" t="s">
        <v>305</v>
      </c>
      <c r="E370" t="s">
        <v>76</v>
      </c>
      <c r="G370" t="s">
        <v>25</v>
      </c>
      <c r="H370" t="s">
        <v>26</v>
      </c>
      <c r="I370" t="s">
        <v>15</v>
      </c>
      <c r="J370" t="s">
        <v>20</v>
      </c>
      <c r="L370">
        <v>1</v>
      </c>
      <c r="M370">
        <v>1.4690000000000001</v>
      </c>
      <c r="N370" t="s">
        <v>2947</v>
      </c>
      <c r="O370" t="s">
        <v>3264</v>
      </c>
      <c r="P370" t="s">
        <v>2916</v>
      </c>
      <c r="Q370">
        <v>1027</v>
      </c>
      <c r="R370">
        <v>108</v>
      </c>
      <c r="S370">
        <v>0.1052</v>
      </c>
    </row>
    <row r="371" spans="1:19">
      <c r="A371" t="s">
        <v>8</v>
      </c>
      <c r="B371" t="s">
        <v>304</v>
      </c>
      <c r="C371" t="str">
        <f>Data_Master[[#This Row],[Uniq-ID]]&amp;"-"&amp;Data_Master[[#This Row],[Period]]</f>
        <v>DC-Document_Controller-026-M4</v>
      </c>
      <c r="D371" t="s">
        <v>305</v>
      </c>
      <c r="E371" t="s">
        <v>76</v>
      </c>
      <c r="G371" t="s">
        <v>25</v>
      </c>
      <c r="H371" t="s">
        <v>26</v>
      </c>
      <c r="I371" t="s">
        <v>15</v>
      </c>
      <c r="J371" t="s">
        <v>20</v>
      </c>
      <c r="L371">
        <v>1</v>
      </c>
      <c r="M371">
        <v>1.4690000000000001</v>
      </c>
      <c r="N371" t="s">
        <v>2947</v>
      </c>
      <c r="O371" t="s">
        <v>2988</v>
      </c>
      <c r="P371" t="s">
        <v>2873</v>
      </c>
      <c r="Q371">
        <v>103</v>
      </c>
      <c r="R371">
        <v>19</v>
      </c>
      <c r="S371">
        <v>0.1845</v>
      </c>
    </row>
    <row r="372" spans="1:19">
      <c r="A372" t="s">
        <v>8</v>
      </c>
      <c r="B372" t="s">
        <v>304</v>
      </c>
      <c r="C372" t="str">
        <f>Data_Master[[#This Row],[Uniq-ID]]&amp;"-"&amp;Data_Master[[#This Row],[Period]]</f>
        <v>DC-Document_Controller-026-M4</v>
      </c>
      <c r="D372" t="s">
        <v>305</v>
      </c>
      <c r="E372" t="s">
        <v>76</v>
      </c>
      <c r="G372" t="s">
        <v>25</v>
      </c>
      <c r="H372" t="s">
        <v>26</v>
      </c>
      <c r="I372" t="s">
        <v>15</v>
      </c>
      <c r="J372" t="s">
        <v>20</v>
      </c>
      <c r="L372">
        <v>1</v>
      </c>
      <c r="M372">
        <v>1.4690000000000001</v>
      </c>
      <c r="N372" t="s">
        <v>2871</v>
      </c>
      <c r="O372" t="s">
        <v>3061</v>
      </c>
      <c r="P372" t="s">
        <v>2873</v>
      </c>
      <c r="Q372">
        <v>66</v>
      </c>
      <c r="R372">
        <v>2</v>
      </c>
      <c r="S372">
        <v>3.0300000000000001E-2</v>
      </c>
    </row>
    <row r="373" spans="1:19">
      <c r="A373" t="s">
        <v>8</v>
      </c>
      <c r="B373" t="s">
        <v>304</v>
      </c>
      <c r="C373" t="str">
        <f>Data_Master[[#This Row],[Uniq-ID]]&amp;"-"&amp;Data_Master[[#This Row],[Period]]</f>
        <v>DC-Document_Controller-026-M4</v>
      </c>
      <c r="D373" t="s">
        <v>305</v>
      </c>
      <c r="E373" t="s">
        <v>76</v>
      </c>
      <c r="G373" t="s">
        <v>25</v>
      </c>
      <c r="H373" t="s">
        <v>26</v>
      </c>
      <c r="I373" t="s">
        <v>15</v>
      </c>
      <c r="J373" t="s">
        <v>20</v>
      </c>
      <c r="L373">
        <v>1</v>
      </c>
      <c r="M373">
        <v>1.4690000000000001</v>
      </c>
      <c r="N373" t="s">
        <v>2871</v>
      </c>
      <c r="O373" t="s">
        <v>2958</v>
      </c>
      <c r="P373" t="s">
        <v>2873</v>
      </c>
      <c r="Q373">
        <v>154</v>
      </c>
      <c r="R373">
        <v>1</v>
      </c>
      <c r="S373">
        <v>6.4999999999999997E-3</v>
      </c>
    </row>
    <row r="374" spans="1:19">
      <c r="A374" t="s">
        <v>8</v>
      </c>
      <c r="B374" t="s">
        <v>304</v>
      </c>
      <c r="C374" t="str">
        <f>Data_Master[[#This Row],[Uniq-ID]]&amp;"-"&amp;Data_Master[[#This Row],[Period]]</f>
        <v>DC-Document_Controller-026-M4</v>
      </c>
      <c r="D374" t="s">
        <v>305</v>
      </c>
      <c r="E374" t="s">
        <v>76</v>
      </c>
      <c r="G374" t="s">
        <v>25</v>
      </c>
      <c r="H374" t="s">
        <v>26</v>
      </c>
      <c r="I374" t="s">
        <v>15</v>
      </c>
      <c r="J374" t="s">
        <v>20</v>
      </c>
      <c r="L374">
        <v>1</v>
      </c>
      <c r="M374">
        <v>1.4690000000000001</v>
      </c>
      <c r="N374" t="s">
        <v>2871</v>
      </c>
      <c r="O374" t="s">
        <v>2956</v>
      </c>
      <c r="P374" t="s">
        <v>2873</v>
      </c>
      <c r="Q374">
        <v>298</v>
      </c>
      <c r="R374">
        <v>2</v>
      </c>
      <c r="S374">
        <v>6.7000000000000002E-3</v>
      </c>
    </row>
    <row r="375" spans="1:19">
      <c r="A375" t="s">
        <v>8</v>
      </c>
      <c r="B375" t="s">
        <v>304</v>
      </c>
      <c r="C375" t="str">
        <f>Data_Master[[#This Row],[Uniq-ID]]&amp;"-"&amp;Data_Master[[#This Row],[Period]]</f>
        <v>DC-Document_Controller-026-M4</v>
      </c>
      <c r="D375" t="s">
        <v>305</v>
      </c>
      <c r="E375" t="s">
        <v>76</v>
      </c>
      <c r="G375" t="s">
        <v>25</v>
      </c>
      <c r="H375" t="s">
        <v>26</v>
      </c>
      <c r="I375" t="s">
        <v>15</v>
      </c>
      <c r="J375" t="s">
        <v>20</v>
      </c>
      <c r="L375">
        <v>1</v>
      </c>
      <c r="M375">
        <v>1.4690000000000001</v>
      </c>
      <c r="N375" t="s">
        <v>2871</v>
      </c>
      <c r="O375" t="s">
        <v>2950</v>
      </c>
      <c r="P375" t="s">
        <v>2873</v>
      </c>
      <c r="Q375">
        <v>88</v>
      </c>
      <c r="R375">
        <v>100</v>
      </c>
      <c r="S375">
        <v>1.1364000000000001</v>
      </c>
    </row>
    <row r="376" spans="1:19">
      <c r="A376" t="s">
        <v>8</v>
      </c>
      <c r="B376" t="s">
        <v>304</v>
      </c>
      <c r="C376" t="str">
        <f>Data_Master[[#This Row],[Uniq-ID]]&amp;"-"&amp;Data_Master[[#This Row],[Period]]</f>
        <v>DC-Document_Controller-026-M5</v>
      </c>
      <c r="D376" t="s">
        <v>305</v>
      </c>
      <c r="E376" t="s">
        <v>76</v>
      </c>
      <c r="G376" t="s">
        <v>28</v>
      </c>
      <c r="H376" t="s">
        <v>29</v>
      </c>
      <c r="I376" t="s">
        <v>15</v>
      </c>
      <c r="J376" t="s">
        <v>44</v>
      </c>
      <c r="L376">
        <v>0.83</v>
      </c>
      <c r="M376">
        <v>0.83199999999999996</v>
      </c>
      <c r="N376" t="s">
        <v>2947</v>
      </c>
      <c r="O376" t="s">
        <v>2948</v>
      </c>
      <c r="P376" t="s">
        <v>2873</v>
      </c>
      <c r="Q376">
        <v>110</v>
      </c>
      <c r="R376">
        <v>1</v>
      </c>
      <c r="S376">
        <v>9.1000000000000004E-3</v>
      </c>
    </row>
    <row r="377" spans="1:19">
      <c r="A377" t="s">
        <v>8</v>
      </c>
      <c r="B377" t="s">
        <v>304</v>
      </c>
      <c r="C377" t="str">
        <f>Data_Master[[#This Row],[Uniq-ID]]&amp;"-"&amp;Data_Master[[#This Row],[Period]]</f>
        <v>DC-Document_Controller-026-M5</v>
      </c>
      <c r="D377" t="s">
        <v>305</v>
      </c>
      <c r="E377" t="s">
        <v>76</v>
      </c>
      <c r="G377" t="s">
        <v>28</v>
      </c>
      <c r="H377" t="s">
        <v>29</v>
      </c>
      <c r="I377" t="s">
        <v>15</v>
      </c>
      <c r="J377" t="s">
        <v>44</v>
      </c>
      <c r="L377">
        <v>0.83</v>
      </c>
      <c r="M377">
        <v>0.83199999999999996</v>
      </c>
      <c r="N377" t="s">
        <v>2947</v>
      </c>
      <c r="O377" t="s">
        <v>3264</v>
      </c>
      <c r="P377" t="s">
        <v>2916</v>
      </c>
      <c r="Q377">
        <v>1027</v>
      </c>
      <c r="R377">
        <v>104</v>
      </c>
      <c r="S377">
        <v>0.1013</v>
      </c>
    </row>
    <row r="378" spans="1:19">
      <c r="A378" t="s">
        <v>8</v>
      </c>
      <c r="B378" t="s">
        <v>304</v>
      </c>
      <c r="C378" t="str">
        <f>Data_Master[[#This Row],[Uniq-ID]]&amp;"-"&amp;Data_Master[[#This Row],[Period]]</f>
        <v>DC-Document_Controller-026-M5</v>
      </c>
      <c r="D378" t="s">
        <v>305</v>
      </c>
      <c r="E378" t="s">
        <v>76</v>
      </c>
      <c r="G378" t="s">
        <v>28</v>
      </c>
      <c r="H378" t="s">
        <v>29</v>
      </c>
      <c r="I378" t="s">
        <v>15</v>
      </c>
      <c r="J378" t="s">
        <v>44</v>
      </c>
      <c r="L378">
        <v>0.83</v>
      </c>
      <c r="M378">
        <v>0.83199999999999996</v>
      </c>
      <c r="N378" t="s">
        <v>2947</v>
      </c>
      <c r="O378" t="s">
        <v>2988</v>
      </c>
      <c r="P378" t="s">
        <v>2873</v>
      </c>
      <c r="Q378">
        <v>103</v>
      </c>
      <c r="R378">
        <v>73</v>
      </c>
      <c r="S378">
        <v>0.7087</v>
      </c>
    </row>
    <row r="379" spans="1:19">
      <c r="A379" t="s">
        <v>8</v>
      </c>
      <c r="B379" t="s">
        <v>304</v>
      </c>
      <c r="C379" t="str">
        <f>Data_Master[[#This Row],[Uniq-ID]]&amp;"-"&amp;Data_Master[[#This Row],[Period]]</f>
        <v>DC-Document_Controller-026-M5</v>
      </c>
      <c r="D379" t="s">
        <v>305</v>
      </c>
      <c r="E379" t="s">
        <v>76</v>
      </c>
      <c r="G379" t="s">
        <v>28</v>
      </c>
      <c r="H379" t="s">
        <v>29</v>
      </c>
      <c r="I379" t="s">
        <v>15</v>
      </c>
      <c r="J379" t="s">
        <v>44</v>
      </c>
      <c r="L379">
        <v>0.83</v>
      </c>
      <c r="M379">
        <v>0.83199999999999996</v>
      </c>
      <c r="N379" t="s">
        <v>2871</v>
      </c>
      <c r="O379" t="s">
        <v>2954</v>
      </c>
      <c r="P379" t="s">
        <v>2873</v>
      </c>
      <c r="Q379">
        <v>220</v>
      </c>
      <c r="R379">
        <v>1</v>
      </c>
      <c r="S379">
        <v>4.4999999999999997E-3</v>
      </c>
    </row>
    <row r="380" spans="1:19">
      <c r="A380" t="s">
        <v>8</v>
      </c>
      <c r="B380" t="s">
        <v>304</v>
      </c>
      <c r="C380" t="str">
        <f>Data_Master[[#This Row],[Uniq-ID]]&amp;"-"&amp;Data_Master[[#This Row],[Period]]</f>
        <v>DC-Document_Controller-026-M5</v>
      </c>
      <c r="D380" t="s">
        <v>305</v>
      </c>
      <c r="E380" t="s">
        <v>76</v>
      </c>
      <c r="G380" t="s">
        <v>28</v>
      </c>
      <c r="H380" t="s">
        <v>29</v>
      </c>
      <c r="I380" t="s">
        <v>15</v>
      </c>
      <c r="J380" t="s">
        <v>44</v>
      </c>
      <c r="L380">
        <v>0.83</v>
      </c>
      <c r="M380">
        <v>0.83199999999999996</v>
      </c>
      <c r="N380" t="s">
        <v>2871</v>
      </c>
      <c r="O380" t="s">
        <v>2956</v>
      </c>
      <c r="P380" t="s">
        <v>2873</v>
      </c>
      <c r="Q380">
        <v>298</v>
      </c>
      <c r="R380">
        <v>1</v>
      </c>
      <c r="S380">
        <v>3.3999999999999998E-3</v>
      </c>
    </row>
    <row r="381" spans="1:19">
      <c r="A381" t="s">
        <v>8</v>
      </c>
      <c r="B381" t="s">
        <v>304</v>
      </c>
      <c r="C381" t="str">
        <f>Data_Master[[#This Row],[Uniq-ID]]&amp;"-"&amp;Data_Master[[#This Row],[Period]]</f>
        <v>DC-Document_Controller-026-M5</v>
      </c>
      <c r="D381" t="s">
        <v>305</v>
      </c>
      <c r="E381" t="s">
        <v>76</v>
      </c>
      <c r="G381" t="s">
        <v>28</v>
      </c>
      <c r="H381" t="s">
        <v>29</v>
      </c>
      <c r="I381" t="s">
        <v>15</v>
      </c>
      <c r="J381" t="s">
        <v>44</v>
      </c>
      <c r="L381">
        <v>0.83</v>
      </c>
      <c r="M381">
        <v>0.83199999999999996</v>
      </c>
      <c r="N381" t="s">
        <v>2887</v>
      </c>
      <c r="O381" t="s">
        <v>2992</v>
      </c>
      <c r="P381" t="s">
        <v>2873</v>
      </c>
      <c r="Q381">
        <v>220</v>
      </c>
      <c r="R381">
        <v>1</v>
      </c>
      <c r="S381">
        <v>4.4999999999999997E-3</v>
      </c>
    </row>
    <row r="382" spans="1:19">
      <c r="A382" t="s">
        <v>8</v>
      </c>
      <c r="B382" t="s">
        <v>304</v>
      </c>
      <c r="C382" t="str">
        <f>Data_Master[[#This Row],[Uniq-ID]]&amp;"-"&amp;Data_Master[[#This Row],[Period]]</f>
        <v>DC-Document_Controller-026-M6</v>
      </c>
      <c r="D382" t="s">
        <v>305</v>
      </c>
      <c r="E382" t="s">
        <v>76</v>
      </c>
      <c r="G382" t="s">
        <v>31</v>
      </c>
      <c r="H382" t="s">
        <v>32</v>
      </c>
      <c r="I382" t="s">
        <v>33</v>
      </c>
      <c r="J382" t="s">
        <v>44</v>
      </c>
      <c r="L382">
        <v>0.5</v>
      </c>
      <c r="M382">
        <v>0.47299999999999998</v>
      </c>
      <c r="N382" t="s">
        <v>2871</v>
      </c>
      <c r="O382" t="s">
        <v>2958</v>
      </c>
      <c r="P382" t="s">
        <v>2873</v>
      </c>
      <c r="Q382">
        <v>154</v>
      </c>
      <c r="R382">
        <v>2</v>
      </c>
      <c r="S382">
        <v>1.2999999999999999E-2</v>
      </c>
    </row>
    <row r="383" spans="1:19">
      <c r="A383" t="s">
        <v>8</v>
      </c>
      <c r="B383" t="s">
        <v>304</v>
      </c>
      <c r="C383" t="str">
        <f>Data_Master[[#This Row],[Uniq-ID]]&amp;"-"&amp;Data_Master[[#This Row],[Period]]</f>
        <v>DC-Document_Controller-026-M6</v>
      </c>
      <c r="D383" t="s">
        <v>305</v>
      </c>
      <c r="E383" t="s">
        <v>76</v>
      </c>
      <c r="G383" t="s">
        <v>31</v>
      </c>
      <c r="H383" t="s">
        <v>32</v>
      </c>
      <c r="I383" t="s">
        <v>33</v>
      </c>
      <c r="J383" t="s">
        <v>44</v>
      </c>
      <c r="L383">
        <v>0.5</v>
      </c>
      <c r="M383">
        <v>0.47299999999999998</v>
      </c>
      <c r="N383" t="s">
        <v>2871</v>
      </c>
      <c r="O383" t="s">
        <v>2956</v>
      </c>
      <c r="P383" t="s">
        <v>2873</v>
      </c>
      <c r="Q383">
        <v>298</v>
      </c>
      <c r="R383">
        <v>1</v>
      </c>
      <c r="S383">
        <v>3.3999999999999998E-3</v>
      </c>
    </row>
    <row r="384" spans="1:19">
      <c r="A384" t="s">
        <v>8</v>
      </c>
      <c r="B384" t="s">
        <v>304</v>
      </c>
      <c r="C384" t="str">
        <f>Data_Master[[#This Row],[Uniq-ID]]&amp;"-"&amp;Data_Master[[#This Row],[Period]]</f>
        <v>DC-Document_Controller-026-M6</v>
      </c>
      <c r="D384" t="s">
        <v>305</v>
      </c>
      <c r="E384" t="s">
        <v>76</v>
      </c>
      <c r="G384" t="s">
        <v>31</v>
      </c>
      <c r="H384" t="s">
        <v>32</v>
      </c>
      <c r="I384" t="s">
        <v>33</v>
      </c>
      <c r="J384" t="s">
        <v>44</v>
      </c>
      <c r="L384">
        <v>0.5</v>
      </c>
      <c r="M384">
        <v>0.47299999999999998</v>
      </c>
      <c r="N384" t="s">
        <v>2947</v>
      </c>
      <c r="O384" t="s">
        <v>2988</v>
      </c>
      <c r="P384" t="s">
        <v>2873</v>
      </c>
      <c r="Q384">
        <v>103</v>
      </c>
      <c r="R384">
        <v>47</v>
      </c>
      <c r="S384">
        <v>0.45629999999999998</v>
      </c>
    </row>
    <row r="385" spans="1:19">
      <c r="A385" t="s">
        <v>8</v>
      </c>
      <c r="B385" t="s">
        <v>433</v>
      </c>
      <c r="C385" t="str">
        <f>Data_Master[[#This Row],[Uniq-ID]]&amp;"-"&amp;Data_Master[[#This Row],[Period]]</f>
        <v>DC-Document_Controller-028-M1</v>
      </c>
      <c r="D385" t="s">
        <v>434</v>
      </c>
      <c r="E385" t="s">
        <v>76</v>
      </c>
      <c r="G385" t="s">
        <v>13</v>
      </c>
      <c r="H385" t="s">
        <v>14</v>
      </c>
      <c r="I385" t="s">
        <v>15</v>
      </c>
      <c r="J385" t="s">
        <v>44</v>
      </c>
      <c r="M385">
        <v>0</v>
      </c>
    </row>
    <row r="386" spans="1:19">
      <c r="A386" t="s">
        <v>8</v>
      </c>
      <c r="B386" t="s">
        <v>433</v>
      </c>
      <c r="C386" t="str">
        <f>Data_Master[[#This Row],[Uniq-ID]]&amp;"-"&amp;Data_Master[[#This Row],[Period]]</f>
        <v>DC-Document_Controller-028-M2</v>
      </c>
      <c r="D386" t="s">
        <v>434</v>
      </c>
      <c r="E386" t="s">
        <v>76</v>
      </c>
      <c r="G386" t="s">
        <v>18</v>
      </c>
      <c r="H386" t="s">
        <v>19</v>
      </c>
      <c r="I386" t="s">
        <v>15</v>
      </c>
      <c r="J386" t="s">
        <v>44</v>
      </c>
      <c r="M386">
        <v>0</v>
      </c>
    </row>
    <row r="387" spans="1:19">
      <c r="A387" t="s">
        <v>8</v>
      </c>
      <c r="B387" t="s">
        <v>433</v>
      </c>
      <c r="C387" t="str">
        <f>Data_Master[[#This Row],[Uniq-ID]]&amp;"-"&amp;Data_Master[[#This Row],[Period]]</f>
        <v>DC-Document_Controller-028-M3</v>
      </c>
      <c r="D387" t="s">
        <v>434</v>
      </c>
      <c r="E387" t="s">
        <v>76</v>
      </c>
      <c r="G387" t="s">
        <v>22</v>
      </c>
      <c r="H387" t="s">
        <v>23</v>
      </c>
      <c r="I387" t="s">
        <v>15</v>
      </c>
      <c r="J387" t="s">
        <v>44</v>
      </c>
      <c r="M387">
        <v>0</v>
      </c>
    </row>
    <row r="388" spans="1:19">
      <c r="A388" t="s">
        <v>8</v>
      </c>
      <c r="B388" t="s">
        <v>433</v>
      </c>
      <c r="C388" t="str">
        <f>Data_Master[[#This Row],[Uniq-ID]]&amp;"-"&amp;Data_Master[[#This Row],[Period]]</f>
        <v>DC-Document_Controller-028-M4</v>
      </c>
      <c r="D388" t="s">
        <v>434</v>
      </c>
      <c r="E388" t="s">
        <v>76</v>
      </c>
      <c r="G388" t="s">
        <v>25</v>
      </c>
      <c r="H388" t="s">
        <v>26</v>
      </c>
      <c r="I388" t="s">
        <v>15</v>
      </c>
      <c r="J388" t="s">
        <v>44</v>
      </c>
      <c r="M388">
        <v>0</v>
      </c>
    </row>
    <row r="389" spans="1:19">
      <c r="A389" t="s">
        <v>8</v>
      </c>
      <c r="B389" t="s">
        <v>433</v>
      </c>
      <c r="C389" t="str">
        <f>Data_Master[[#This Row],[Uniq-ID]]&amp;"-"&amp;Data_Master[[#This Row],[Period]]</f>
        <v>DC-Document_Controller-028-M5</v>
      </c>
      <c r="D389" t="s">
        <v>434</v>
      </c>
      <c r="E389" t="s">
        <v>76</v>
      </c>
      <c r="G389" t="s">
        <v>28</v>
      </c>
      <c r="H389" t="s">
        <v>29</v>
      </c>
      <c r="I389" t="s">
        <v>15</v>
      </c>
      <c r="J389" t="s">
        <v>44</v>
      </c>
      <c r="M389">
        <v>0</v>
      </c>
    </row>
    <row r="390" spans="1:19">
      <c r="A390" t="s">
        <v>8</v>
      </c>
      <c r="B390" t="s">
        <v>433</v>
      </c>
      <c r="C390" t="str">
        <f>Data_Master[[#This Row],[Uniq-ID]]&amp;"-"&amp;Data_Master[[#This Row],[Period]]</f>
        <v>DC-Document_Controller-028-M6</v>
      </c>
      <c r="D390" t="s">
        <v>434</v>
      </c>
      <c r="E390" t="s">
        <v>76</v>
      </c>
      <c r="G390" t="s">
        <v>31</v>
      </c>
      <c r="H390" t="s">
        <v>32</v>
      </c>
      <c r="I390" t="s">
        <v>33</v>
      </c>
      <c r="J390" t="s">
        <v>44</v>
      </c>
      <c r="M390">
        <v>0</v>
      </c>
    </row>
    <row r="391" spans="1:19">
      <c r="A391" t="s">
        <v>8</v>
      </c>
      <c r="B391" t="s">
        <v>162</v>
      </c>
      <c r="C391" t="str">
        <f>Data_Master[[#This Row],[Uniq-ID]]&amp;"-"&amp;Data_Master[[#This Row],[Period]]</f>
        <v>DC-Document_Controller-029-M1</v>
      </c>
      <c r="D391" t="s">
        <v>163</v>
      </c>
      <c r="E391" t="s">
        <v>11</v>
      </c>
      <c r="G391" t="s">
        <v>13</v>
      </c>
      <c r="H391" t="s">
        <v>14</v>
      </c>
      <c r="I391" t="s">
        <v>15</v>
      </c>
      <c r="J391" t="s">
        <v>16</v>
      </c>
      <c r="L391">
        <v>1.5</v>
      </c>
      <c r="M391">
        <v>17.649999999999999</v>
      </c>
      <c r="N391" t="s">
        <v>2879</v>
      </c>
      <c r="O391" t="s">
        <v>2894</v>
      </c>
      <c r="P391" t="s">
        <v>2873</v>
      </c>
      <c r="Q391">
        <v>26</v>
      </c>
      <c r="R391">
        <v>32</v>
      </c>
      <c r="S391">
        <v>1.2307999999999999</v>
      </c>
    </row>
    <row r="392" spans="1:19">
      <c r="A392" t="s">
        <v>8</v>
      </c>
      <c r="B392" t="s">
        <v>162</v>
      </c>
      <c r="C392" t="str">
        <f>Data_Master[[#This Row],[Uniq-ID]]&amp;"-"&amp;Data_Master[[#This Row],[Period]]</f>
        <v>DC-Document_Controller-029-M1</v>
      </c>
      <c r="D392" t="s">
        <v>163</v>
      </c>
      <c r="E392" t="s">
        <v>11</v>
      </c>
      <c r="G392" t="s">
        <v>13</v>
      </c>
      <c r="H392" t="s">
        <v>14</v>
      </c>
      <c r="I392" t="s">
        <v>15</v>
      </c>
      <c r="J392" t="s">
        <v>16</v>
      </c>
      <c r="L392">
        <v>1.5</v>
      </c>
      <c r="M392">
        <v>17.649999999999999</v>
      </c>
      <c r="N392" t="s">
        <v>2871</v>
      </c>
      <c r="O392" t="s">
        <v>2872</v>
      </c>
      <c r="P392" t="s">
        <v>2873</v>
      </c>
      <c r="Q392">
        <v>35</v>
      </c>
      <c r="R392">
        <v>52</v>
      </c>
      <c r="S392">
        <v>1.4857</v>
      </c>
    </row>
    <row r="393" spans="1:19">
      <c r="A393" t="s">
        <v>8</v>
      </c>
      <c r="B393" t="s">
        <v>162</v>
      </c>
      <c r="C393" t="str">
        <f>Data_Master[[#This Row],[Uniq-ID]]&amp;"-"&amp;Data_Master[[#This Row],[Period]]</f>
        <v>DC-Document_Controller-029-M1</v>
      </c>
      <c r="D393" t="s">
        <v>163</v>
      </c>
      <c r="E393" t="s">
        <v>11</v>
      </c>
      <c r="G393" t="s">
        <v>13</v>
      </c>
      <c r="H393" t="s">
        <v>14</v>
      </c>
      <c r="I393" t="s">
        <v>15</v>
      </c>
      <c r="J393" t="s">
        <v>16</v>
      </c>
      <c r="L393">
        <v>1.5</v>
      </c>
      <c r="M393">
        <v>17.649999999999999</v>
      </c>
      <c r="N393" t="s">
        <v>2871</v>
      </c>
      <c r="O393" t="s">
        <v>2875</v>
      </c>
      <c r="P393" t="s">
        <v>2873</v>
      </c>
      <c r="Q393">
        <v>36</v>
      </c>
      <c r="R393">
        <v>293</v>
      </c>
      <c r="S393">
        <v>8.1388999999999996</v>
      </c>
    </row>
    <row r="394" spans="1:19">
      <c r="A394" t="s">
        <v>8</v>
      </c>
      <c r="B394" t="s">
        <v>162</v>
      </c>
      <c r="C394" t="str">
        <f>Data_Master[[#This Row],[Uniq-ID]]&amp;"-"&amp;Data_Master[[#This Row],[Period]]</f>
        <v>DC-Document_Controller-029-M1</v>
      </c>
      <c r="D394" t="s">
        <v>163</v>
      </c>
      <c r="E394" t="s">
        <v>11</v>
      </c>
      <c r="G394" t="s">
        <v>13</v>
      </c>
      <c r="H394" t="s">
        <v>14</v>
      </c>
      <c r="I394" t="s">
        <v>15</v>
      </c>
      <c r="J394" t="s">
        <v>16</v>
      </c>
      <c r="L394">
        <v>1.5</v>
      </c>
      <c r="M394">
        <v>17.649999999999999</v>
      </c>
      <c r="N394" t="s">
        <v>2887</v>
      </c>
      <c r="O394" t="s">
        <v>2979</v>
      </c>
      <c r="P394" t="s">
        <v>2873</v>
      </c>
      <c r="Q394">
        <v>205</v>
      </c>
      <c r="R394">
        <v>918</v>
      </c>
      <c r="S394">
        <v>4.4779999999999998</v>
      </c>
    </row>
    <row r="395" spans="1:19">
      <c r="A395" t="s">
        <v>8</v>
      </c>
      <c r="B395" t="s">
        <v>162</v>
      </c>
      <c r="C395" t="str">
        <f>Data_Master[[#This Row],[Uniq-ID]]&amp;"-"&amp;Data_Master[[#This Row],[Period]]</f>
        <v>DC-Document_Controller-029-M1</v>
      </c>
      <c r="D395" t="s">
        <v>163</v>
      </c>
      <c r="E395" t="s">
        <v>11</v>
      </c>
      <c r="G395" t="s">
        <v>13</v>
      </c>
      <c r="H395" t="s">
        <v>14</v>
      </c>
      <c r="I395" t="s">
        <v>15</v>
      </c>
      <c r="J395" t="s">
        <v>16</v>
      </c>
      <c r="L395">
        <v>1.5</v>
      </c>
      <c r="M395">
        <v>17.649999999999999</v>
      </c>
      <c r="N395" t="s">
        <v>2887</v>
      </c>
      <c r="O395" t="s">
        <v>2890</v>
      </c>
      <c r="P395" t="s">
        <v>2873</v>
      </c>
      <c r="Q395">
        <v>205</v>
      </c>
      <c r="R395">
        <v>475</v>
      </c>
      <c r="S395">
        <v>2.3170999999999999</v>
      </c>
    </row>
    <row r="396" spans="1:19">
      <c r="A396" t="s">
        <v>8</v>
      </c>
      <c r="B396" t="s">
        <v>162</v>
      </c>
      <c r="C396" t="str">
        <f>Data_Master[[#This Row],[Uniq-ID]]&amp;"-"&amp;Data_Master[[#This Row],[Period]]</f>
        <v>DC-Document_Controller-029-M2</v>
      </c>
      <c r="D396" t="s">
        <v>163</v>
      </c>
      <c r="E396" t="s">
        <v>11</v>
      </c>
      <c r="G396" t="s">
        <v>18</v>
      </c>
      <c r="H396" t="s">
        <v>19</v>
      </c>
      <c r="I396" t="s">
        <v>15</v>
      </c>
      <c r="J396" t="s">
        <v>16</v>
      </c>
      <c r="L396">
        <v>1.5</v>
      </c>
      <c r="M396">
        <v>20.728999999999999</v>
      </c>
      <c r="N396" t="s">
        <v>2887</v>
      </c>
      <c r="O396" t="s">
        <v>2890</v>
      </c>
      <c r="P396" t="s">
        <v>2873</v>
      </c>
      <c r="Q396">
        <v>205</v>
      </c>
      <c r="R396">
        <v>717</v>
      </c>
      <c r="S396">
        <v>3.4975999999999998</v>
      </c>
    </row>
    <row r="397" spans="1:19">
      <c r="A397" t="s">
        <v>8</v>
      </c>
      <c r="B397" t="s">
        <v>162</v>
      </c>
      <c r="C397" t="str">
        <f>Data_Master[[#This Row],[Uniq-ID]]&amp;"-"&amp;Data_Master[[#This Row],[Period]]</f>
        <v>DC-Document_Controller-029-M2</v>
      </c>
      <c r="D397" t="s">
        <v>163</v>
      </c>
      <c r="E397" t="s">
        <v>11</v>
      </c>
      <c r="G397" t="s">
        <v>18</v>
      </c>
      <c r="H397" t="s">
        <v>19</v>
      </c>
      <c r="I397" t="s">
        <v>15</v>
      </c>
      <c r="J397" t="s">
        <v>16</v>
      </c>
      <c r="L397">
        <v>1.5</v>
      </c>
      <c r="M397">
        <v>20.728999999999999</v>
      </c>
      <c r="N397" t="s">
        <v>2887</v>
      </c>
      <c r="O397" t="s">
        <v>2979</v>
      </c>
      <c r="P397" t="s">
        <v>2873</v>
      </c>
      <c r="Q397">
        <v>205</v>
      </c>
      <c r="R397">
        <v>1297</v>
      </c>
      <c r="S397">
        <v>6.3268000000000004</v>
      </c>
    </row>
    <row r="398" spans="1:19">
      <c r="A398" t="s">
        <v>8</v>
      </c>
      <c r="B398" t="s">
        <v>162</v>
      </c>
      <c r="C398" t="str">
        <f>Data_Master[[#This Row],[Uniq-ID]]&amp;"-"&amp;Data_Master[[#This Row],[Period]]</f>
        <v>DC-Document_Controller-029-M2</v>
      </c>
      <c r="D398" t="s">
        <v>163</v>
      </c>
      <c r="E398" t="s">
        <v>11</v>
      </c>
      <c r="G398" t="s">
        <v>18</v>
      </c>
      <c r="H398" t="s">
        <v>19</v>
      </c>
      <c r="I398" t="s">
        <v>15</v>
      </c>
      <c r="J398" t="s">
        <v>16</v>
      </c>
      <c r="L398">
        <v>1.5</v>
      </c>
      <c r="M398">
        <v>20.728999999999999</v>
      </c>
      <c r="N398" t="s">
        <v>2871</v>
      </c>
      <c r="O398" t="s">
        <v>2875</v>
      </c>
      <c r="P398" t="s">
        <v>2873</v>
      </c>
      <c r="Q398">
        <v>36</v>
      </c>
      <c r="R398">
        <v>281</v>
      </c>
      <c r="S398">
        <v>7.8056000000000001</v>
      </c>
    </row>
    <row r="399" spans="1:19">
      <c r="A399" t="s">
        <v>8</v>
      </c>
      <c r="B399" t="s">
        <v>162</v>
      </c>
      <c r="C399" t="str">
        <f>Data_Master[[#This Row],[Uniq-ID]]&amp;"-"&amp;Data_Master[[#This Row],[Period]]</f>
        <v>DC-Document_Controller-029-M2</v>
      </c>
      <c r="D399" t="s">
        <v>163</v>
      </c>
      <c r="E399" t="s">
        <v>11</v>
      </c>
      <c r="G399" t="s">
        <v>18</v>
      </c>
      <c r="H399" t="s">
        <v>19</v>
      </c>
      <c r="I399" t="s">
        <v>15</v>
      </c>
      <c r="J399" t="s">
        <v>16</v>
      </c>
      <c r="L399">
        <v>1.5</v>
      </c>
      <c r="M399">
        <v>20.728999999999999</v>
      </c>
      <c r="N399" t="s">
        <v>2871</v>
      </c>
      <c r="O399" t="s">
        <v>2872</v>
      </c>
      <c r="P399" t="s">
        <v>2873</v>
      </c>
      <c r="Q399">
        <v>35</v>
      </c>
      <c r="R399">
        <v>60</v>
      </c>
      <c r="S399">
        <v>1.7142999999999999</v>
      </c>
    </row>
    <row r="400" spans="1:19">
      <c r="A400" t="s">
        <v>8</v>
      </c>
      <c r="B400" t="s">
        <v>162</v>
      </c>
      <c r="C400" t="str">
        <f>Data_Master[[#This Row],[Uniq-ID]]&amp;"-"&amp;Data_Master[[#This Row],[Period]]</f>
        <v>DC-Document_Controller-029-M2</v>
      </c>
      <c r="D400" t="s">
        <v>163</v>
      </c>
      <c r="E400" t="s">
        <v>11</v>
      </c>
      <c r="G400" t="s">
        <v>18</v>
      </c>
      <c r="H400" t="s">
        <v>19</v>
      </c>
      <c r="I400" t="s">
        <v>15</v>
      </c>
      <c r="J400" t="s">
        <v>16</v>
      </c>
      <c r="L400">
        <v>1.5</v>
      </c>
      <c r="M400">
        <v>20.728999999999999</v>
      </c>
      <c r="N400" t="s">
        <v>2879</v>
      </c>
      <c r="O400" t="s">
        <v>2894</v>
      </c>
      <c r="P400" t="s">
        <v>2873</v>
      </c>
      <c r="Q400">
        <v>26</v>
      </c>
      <c r="R400">
        <v>36</v>
      </c>
      <c r="S400">
        <v>1.3846000000000001</v>
      </c>
    </row>
    <row r="401" spans="1:19">
      <c r="A401" t="s">
        <v>8</v>
      </c>
      <c r="B401" t="s">
        <v>162</v>
      </c>
      <c r="C401" t="str">
        <f>Data_Master[[#This Row],[Uniq-ID]]&amp;"-"&amp;Data_Master[[#This Row],[Period]]</f>
        <v>DC-Document_Controller-029-M3</v>
      </c>
      <c r="D401" t="s">
        <v>163</v>
      </c>
      <c r="E401" t="s">
        <v>11</v>
      </c>
      <c r="G401" t="s">
        <v>22</v>
      </c>
      <c r="H401" t="s">
        <v>23</v>
      </c>
      <c r="I401" t="s">
        <v>15</v>
      </c>
      <c r="J401" t="s">
        <v>16</v>
      </c>
      <c r="L401">
        <v>1.5</v>
      </c>
      <c r="M401">
        <v>42.210999999999999</v>
      </c>
      <c r="N401" t="s">
        <v>2887</v>
      </c>
      <c r="O401" t="s">
        <v>2977</v>
      </c>
      <c r="P401" t="s">
        <v>2873</v>
      </c>
      <c r="Q401">
        <v>205</v>
      </c>
      <c r="R401">
        <v>389</v>
      </c>
      <c r="S401">
        <v>1.8976</v>
      </c>
    </row>
    <row r="402" spans="1:19">
      <c r="A402" t="s">
        <v>8</v>
      </c>
      <c r="B402" t="s">
        <v>162</v>
      </c>
      <c r="C402" t="str">
        <f>Data_Master[[#This Row],[Uniq-ID]]&amp;"-"&amp;Data_Master[[#This Row],[Period]]</f>
        <v>DC-Document_Controller-029-M3</v>
      </c>
      <c r="D402" t="s">
        <v>163</v>
      </c>
      <c r="E402" t="s">
        <v>11</v>
      </c>
      <c r="G402" t="s">
        <v>22</v>
      </c>
      <c r="H402" t="s">
        <v>23</v>
      </c>
      <c r="I402" t="s">
        <v>15</v>
      </c>
      <c r="J402" t="s">
        <v>16</v>
      </c>
      <c r="L402">
        <v>1.5</v>
      </c>
      <c r="M402">
        <v>42.210999999999999</v>
      </c>
      <c r="N402" t="s">
        <v>2887</v>
      </c>
      <c r="O402" t="s">
        <v>2890</v>
      </c>
      <c r="P402" t="s">
        <v>2873</v>
      </c>
      <c r="Q402">
        <v>205</v>
      </c>
      <c r="R402">
        <v>4046</v>
      </c>
      <c r="S402">
        <v>19.736599999999999</v>
      </c>
    </row>
    <row r="403" spans="1:19">
      <c r="A403" t="s">
        <v>8</v>
      </c>
      <c r="B403" t="s">
        <v>162</v>
      </c>
      <c r="C403" t="str">
        <f>Data_Master[[#This Row],[Uniq-ID]]&amp;"-"&amp;Data_Master[[#This Row],[Period]]</f>
        <v>DC-Document_Controller-029-M3</v>
      </c>
      <c r="D403" t="s">
        <v>163</v>
      </c>
      <c r="E403" t="s">
        <v>11</v>
      </c>
      <c r="G403" t="s">
        <v>22</v>
      </c>
      <c r="H403" t="s">
        <v>23</v>
      </c>
      <c r="I403" t="s">
        <v>15</v>
      </c>
      <c r="J403" t="s">
        <v>16</v>
      </c>
      <c r="L403">
        <v>1.5</v>
      </c>
      <c r="M403">
        <v>42.210999999999999</v>
      </c>
      <c r="N403" t="s">
        <v>2887</v>
      </c>
      <c r="O403" t="s">
        <v>2979</v>
      </c>
      <c r="P403" t="s">
        <v>2873</v>
      </c>
      <c r="Q403">
        <v>205</v>
      </c>
      <c r="R403">
        <v>3966</v>
      </c>
      <c r="S403">
        <v>19.346299999999999</v>
      </c>
    </row>
    <row r="404" spans="1:19">
      <c r="A404" t="s">
        <v>8</v>
      </c>
      <c r="B404" t="s">
        <v>162</v>
      </c>
      <c r="C404" t="str">
        <f>Data_Master[[#This Row],[Uniq-ID]]&amp;"-"&amp;Data_Master[[#This Row],[Period]]</f>
        <v>DC-Document_Controller-029-M3</v>
      </c>
      <c r="D404" t="s">
        <v>163</v>
      </c>
      <c r="E404" t="s">
        <v>11</v>
      </c>
      <c r="G404" t="s">
        <v>22</v>
      </c>
      <c r="H404" t="s">
        <v>23</v>
      </c>
      <c r="I404" t="s">
        <v>15</v>
      </c>
      <c r="J404" t="s">
        <v>16</v>
      </c>
      <c r="L404">
        <v>1.5</v>
      </c>
      <c r="M404">
        <v>42.210999999999999</v>
      </c>
      <c r="N404" t="s">
        <v>2879</v>
      </c>
      <c r="O404" t="s">
        <v>2894</v>
      </c>
      <c r="P404" t="s">
        <v>2873</v>
      </c>
      <c r="Q404">
        <v>26</v>
      </c>
      <c r="R404">
        <v>32</v>
      </c>
      <c r="S404">
        <v>1.2307999999999999</v>
      </c>
    </row>
    <row r="405" spans="1:19">
      <c r="A405" t="s">
        <v>8</v>
      </c>
      <c r="B405" t="s">
        <v>162</v>
      </c>
      <c r="C405" t="str">
        <f>Data_Master[[#This Row],[Uniq-ID]]&amp;"-"&amp;Data_Master[[#This Row],[Period]]</f>
        <v>DC-Document_Controller-029-M4</v>
      </c>
      <c r="D405" t="s">
        <v>163</v>
      </c>
      <c r="E405" t="s">
        <v>11</v>
      </c>
      <c r="G405" t="s">
        <v>25</v>
      </c>
      <c r="H405" t="s">
        <v>26</v>
      </c>
      <c r="I405" t="s">
        <v>15</v>
      </c>
      <c r="J405" t="s">
        <v>16</v>
      </c>
      <c r="L405">
        <v>1.5</v>
      </c>
      <c r="M405">
        <v>8.4770000000000003</v>
      </c>
      <c r="N405" t="s">
        <v>2887</v>
      </c>
      <c r="O405" t="s">
        <v>2890</v>
      </c>
      <c r="P405" t="s">
        <v>2873</v>
      </c>
      <c r="Q405">
        <v>205</v>
      </c>
      <c r="R405">
        <v>609</v>
      </c>
      <c r="S405">
        <v>2.9706999999999999</v>
      </c>
    </row>
    <row r="406" spans="1:19">
      <c r="A406" t="s">
        <v>8</v>
      </c>
      <c r="B406" t="s">
        <v>162</v>
      </c>
      <c r="C406" t="str">
        <f>Data_Master[[#This Row],[Uniq-ID]]&amp;"-"&amp;Data_Master[[#This Row],[Period]]</f>
        <v>DC-Document_Controller-029-M4</v>
      </c>
      <c r="D406" t="s">
        <v>163</v>
      </c>
      <c r="E406" t="s">
        <v>11</v>
      </c>
      <c r="G406" t="s">
        <v>25</v>
      </c>
      <c r="H406" t="s">
        <v>26</v>
      </c>
      <c r="I406" t="s">
        <v>15</v>
      </c>
      <c r="J406" t="s">
        <v>16</v>
      </c>
      <c r="L406">
        <v>1.5</v>
      </c>
      <c r="M406">
        <v>8.4770000000000003</v>
      </c>
      <c r="N406" t="s">
        <v>2887</v>
      </c>
      <c r="O406" t="s">
        <v>2979</v>
      </c>
      <c r="P406" t="s">
        <v>2873</v>
      </c>
      <c r="Q406">
        <v>205</v>
      </c>
      <c r="R406">
        <v>847</v>
      </c>
      <c r="S406">
        <v>4.1317000000000004</v>
      </c>
    </row>
    <row r="407" spans="1:19">
      <c r="A407" t="s">
        <v>8</v>
      </c>
      <c r="B407" t="s">
        <v>162</v>
      </c>
      <c r="C407" t="str">
        <f>Data_Master[[#This Row],[Uniq-ID]]&amp;"-"&amp;Data_Master[[#This Row],[Period]]</f>
        <v>DC-Document_Controller-029-M4</v>
      </c>
      <c r="D407" t="s">
        <v>163</v>
      </c>
      <c r="E407" t="s">
        <v>11</v>
      </c>
      <c r="G407" t="s">
        <v>25</v>
      </c>
      <c r="H407" t="s">
        <v>26</v>
      </c>
      <c r="I407" t="s">
        <v>15</v>
      </c>
      <c r="J407" t="s">
        <v>16</v>
      </c>
      <c r="L407">
        <v>1.5</v>
      </c>
      <c r="M407">
        <v>8.4770000000000003</v>
      </c>
      <c r="N407" t="s">
        <v>2871</v>
      </c>
      <c r="O407" t="s">
        <v>2872</v>
      </c>
      <c r="P407" t="s">
        <v>2873</v>
      </c>
      <c r="Q407">
        <v>35</v>
      </c>
      <c r="R407">
        <v>1</v>
      </c>
      <c r="S407">
        <v>2.86E-2</v>
      </c>
    </row>
    <row r="408" spans="1:19">
      <c r="A408" t="s">
        <v>8</v>
      </c>
      <c r="B408" t="s">
        <v>162</v>
      </c>
      <c r="C408" t="str">
        <f>Data_Master[[#This Row],[Uniq-ID]]&amp;"-"&amp;Data_Master[[#This Row],[Period]]</f>
        <v>DC-Document_Controller-029-M4</v>
      </c>
      <c r="D408" t="s">
        <v>163</v>
      </c>
      <c r="E408" t="s">
        <v>11</v>
      </c>
      <c r="G408" t="s">
        <v>25</v>
      </c>
      <c r="H408" t="s">
        <v>26</v>
      </c>
      <c r="I408" t="s">
        <v>15</v>
      </c>
      <c r="J408" t="s">
        <v>16</v>
      </c>
      <c r="L408">
        <v>1.5</v>
      </c>
      <c r="M408">
        <v>8.4770000000000003</v>
      </c>
      <c r="N408" t="s">
        <v>2879</v>
      </c>
      <c r="O408" t="s">
        <v>2894</v>
      </c>
      <c r="P408" t="s">
        <v>2873</v>
      </c>
      <c r="Q408">
        <v>26</v>
      </c>
      <c r="R408">
        <v>35</v>
      </c>
      <c r="S408">
        <v>1.3462000000000001</v>
      </c>
    </row>
    <row r="409" spans="1:19">
      <c r="A409" t="s">
        <v>8</v>
      </c>
      <c r="B409" t="s">
        <v>162</v>
      </c>
      <c r="C409" t="str">
        <f>Data_Master[[#This Row],[Uniq-ID]]&amp;"-"&amp;Data_Master[[#This Row],[Period]]</f>
        <v>DC-Document_Controller-029-M5</v>
      </c>
      <c r="D409" t="s">
        <v>163</v>
      </c>
      <c r="E409" t="s">
        <v>11</v>
      </c>
      <c r="G409" t="s">
        <v>28</v>
      </c>
      <c r="H409" t="s">
        <v>29</v>
      </c>
      <c r="I409" t="s">
        <v>15</v>
      </c>
      <c r="J409" t="s">
        <v>16</v>
      </c>
      <c r="L409">
        <v>1.5</v>
      </c>
      <c r="M409">
        <v>4.0720000000000001</v>
      </c>
      <c r="N409" t="s">
        <v>2887</v>
      </c>
      <c r="O409" t="s">
        <v>2888</v>
      </c>
      <c r="P409" t="s">
        <v>2873</v>
      </c>
      <c r="Q409">
        <v>205</v>
      </c>
      <c r="R409">
        <v>240</v>
      </c>
      <c r="S409">
        <v>1.1707000000000001</v>
      </c>
    </row>
    <row r="410" spans="1:19">
      <c r="A410" t="s">
        <v>8</v>
      </c>
      <c r="B410" t="s">
        <v>162</v>
      </c>
      <c r="C410" t="str">
        <f>Data_Master[[#This Row],[Uniq-ID]]&amp;"-"&amp;Data_Master[[#This Row],[Period]]</f>
        <v>DC-Document_Controller-029-M5</v>
      </c>
      <c r="D410" t="s">
        <v>163</v>
      </c>
      <c r="E410" t="s">
        <v>11</v>
      </c>
      <c r="G410" t="s">
        <v>28</v>
      </c>
      <c r="H410" t="s">
        <v>29</v>
      </c>
      <c r="I410" t="s">
        <v>15</v>
      </c>
      <c r="J410" t="s">
        <v>16</v>
      </c>
      <c r="L410">
        <v>1.5</v>
      </c>
      <c r="M410">
        <v>4.0720000000000001</v>
      </c>
      <c r="N410" t="s">
        <v>2887</v>
      </c>
      <c r="O410" t="s">
        <v>2890</v>
      </c>
      <c r="P410" t="s">
        <v>2873</v>
      </c>
      <c r="Q410">
        <v>205</v>
      </c>
      <c r="R410">
        <v>254</v>
      </c>
      <c r="S410">
        <v>1.2390000000000001</v>
      </c>
    </row>
    <row r="411" spans="1:19">
      <c r="A411" t="s">
        <v>8</v>
      </c>
      <c r="B411" t="s">
        <v>162</v>
      </c>
      <c r="C411" t="str">
        <f>Data_Master[[#This Row],[Uniq-ID]]&amp;"-"&amp;Data_Master[[#This Row],[Period]]</f>
        <v>DC-Document_Controller-029-M5</v>
      </c>
      <c r="D411" t="s">
        <v>163</v>
      </c>
      <c r="E411" t="s">
        <v>11</v>
      </c>
      <c r="G411" t="s">
        <v>28</v>
      </c>
      <c r="H411" t="s">
        <v>29</v>
      </c>
      <c r="I411" t="s">
        <v>15</v>
      </c>
      <c r="J411" t="s">
        <v>16</v>
      </c>
      <c r="L411">
        <v>1.5</v>
      </c>
      <c r="M411">
        <v>4.0720000000000001</v>
      </c>
      <c r="N411" t="s">
        <v>2887</v>
      </c>
      <c r="O411" t="s">
        <v>2979</v>
      </c>
      <c r="P411" t="s">
        <v>2873</v>
      </c>
      <c r="Q411">
        <v>205</v>
      </c>
      <c r="R411">
        <v>233</v>
      </c>
      <c r="S411">
        <v>1.1366000000000001</v>
      </c>
    </row>
    <row r="412" spans="1:19">
      <c r="A412" t="s">
        <v>8</v>
      </c>
      <c r="B412" t="s">
        <v>162</v>
      </c>
      <c r="C412" t="str">
        <f>Data_Master[[#This Row],[Uniq-ID]]&amp;"-"&amp;Data_Master[[#This Row],[Period]]</f>
        <v>DC-Document_Controller-029-M5</v>
      </c>
      <c r="D412" t="s">
        <v>163</v>
      </c>
      <c r="E412" t="s">
        <v>11</v>
      </c>
      <c r="G412" t="s">
        <v>28</v>
      </c>
      <c r="H412" t="s">
        <v>29</v>
      </c>
      <c r="I412" t="s">
        <v>15</v>
      </c>
      <c r="J412" t="s">
        <v>16</v>
      </c>
      <c r="L412">
        <v>1.5</v>
      </c>
      <c r="M412">
        <v>4.0720000000000001</v>
      </c>
      <c r="N412" t="s">
        <v>2871</v>
      </c>
      <c r="O412" t="s">
        <v>2875</v>
      </c>
      <c r="P412" t="s">
        <v>2873</v>
      </c>
      <c r="Q412">
        <v>36</v>
      </c>
      <c r="R412">
        <v>12</v>
      </c>
      <c r="S412">
        <v>0.33329999999999999</v>
      </c>
    </row>
    <row r="413" spans="1:19">
      <c r="A413" t="s">
        <v>8</v>
      </c>
      <c r="B413" t="s">
        <v>162</v>
      </c>
      <c r="C413" t="str">
        <f>Data_Master[[#This Row],[Uniq-ID]]&amp;"-"&amp;Data_Master[[#This Row],[Period]]</f>
        <v>DC-Document_Controller-029-M5</v>
      </c>
      <c r="D413" t="s">
        <v>163</v>
      </c>
      <c r="E413" t="s">
        <v>11</v>
      </c>
      <c r="G413" t="s">
        <v>28</v>
      </c>
      <c r="H413" t="s">
        <v>29</v>
      </c>
      <c r="I413" t="s">
        <v>15</v>
      </c>
      <c r="J413" t="s">
        <v>16</v>
      </c>
      <c r="L413">
        <v>1.5</v>
      </c>
      <c r="M413">
        <v>4.0720000000000001</v>
      </c>
      <c r="N413" t="s">
        <v>2879</v>
      </c>
      <c r="O413" t="s">
        <v>2894</v>
      </c>
      <c r="P413" t="s">
        <v>2873</v>
      </c>
      <c r="Q413">
        <v>26</v>
      </c>
      <c r="R413">
        <v>5</v>
      </c>
      <c r="S413">
        <v>0.1923</v>
      </c>
    </row>
    <row r="414" spans="1:19">
      <c r="A414" t="s">
        <v>8</v>
      </c>
      <c r="B414" t="s">
        <v>162</v>
      </c>
      <c r="C414" t="str">
        <f>Data_Master[[#This Row],[Uniq-ID]]&amp;"-"&amp;Data_Master[[#This Row],[Period]]</f>
        <v>DC-Document_Controller-029-M6</v>
      </c>
      <c r="D414" t="s">
        <v>163</v>
      </c>
      <c r="E414" t="s">
        <v>11</v>
      </c>
      <c r="G414" t="s">
        <v>31</v>
      </c>
      <c r="H414" t="s">
        <v>32</v>
      </c>
      <c r="I414" t="s">
        <v>33</v>
      </c>
      <c r="J414" t="s">
        <v>44</v>
      </c>
      <c r="L414">
        <v>0.64</v>
      </c>
      <c r="M414">
        <v>0.63900000000000001</v>
      </c>
      <c r="N414" t="s">
        <v>2871</v>
      </c>
      <c r="O414" t="s">
        <v>2875</v>
      </c>
      <c r="P414" t="s">
        <v>2873</v>
      </c>
      <c r="Q414">
        <v>36</v>
      </c>
      <c r="R414">
        <v>23</v>
      </c>
      <c r="S414">
        <v>0.63890000000000002</v>
      </c>
    </row>
    <row r="415" spans="1:19">
      <c r="A415" t="s">
        <v>8</v>
      </c>
      <c r="B415" t="s">
        <v>153</v>
      </c>
      <c r="C415" t="str">
        <f>Data_Master[[#This Row],[Uniq-ID]]&amp;"-"&amp;Data_Master[[#This Row],[Period]]</f>
        <v>DC-Document_Controller-030-M1</v>
      </c>
      <c r="D415" t="s">
        <v>154</v>
      </c>
      <c r="E415" t="s">
        <v>155</v>
      </c>
      <c r="G415" t="s">
        <v>13</v>
      </c>
      <c r="H415" t="s">
        <v>14</v>
      </c>
      <c r="I415" t="s">
        <v>15</v>
      </c>
      <c r="J415" t="s">
        <v>16</v>
      </c>
      <c r="L415">
        <v>1.5</v>
      </c>
      <c r="M415">
        <v>3.8460000000000001</v>
      </c>
      <c r="N415" t="s">
        <v>3098</v>
      </c>
      <c r="O415" t="s">
        <v>3099</v>
      </c>
      <c r="P415" t="s">
        <v>2873</v>
      </c>
      <c r="Q415">
        <v>26</v>
      </c>
      <c r="R415">
        <v>100</v>
      </c>
      <c r="S415">
        <v>3.8462000000000001</v>
      </c>
    </row>
    <row r="416" spans="1:19">
      <c r="A416" t="s">
        <v>8</v>
      </c>
      <c r="B416" t="s">
        <v>153</v>
      </c>
      <c r="C416" t="str">
        <f>Data_Master[[#This Row],[Uniq-ID]]&amp;"-"&amp;Data_Master[[#This Row],[Period]]</f>
        <v>DC-Document_Controller-030-M2</v>
      </c>
      <c r="D416" t="s">
        <v>154</v>
      </c>
      <c r="E416" t="s">
        <v>155</v>
      </c>
      <c r="G416" t="s">
        <v>18</v>
      </c>
      <c r="H416" t="s">
        <v>19</v>
      </c>
      <c r="I416" t="s">
        <v>15</v>
      </c>
      <c r="J416" t="s">
        <v>16</v>
      </c>
      <c r="L416">
        <v>1.27</v>
      </c>
      <c r="M416">
        <v>2.5379999999999998</v>
      </c>
      <c r="N416" t="s">
        <v>3098</v>
      </c>
      <c r="O416" t="s">
        <v>3099</v>
      </c>
      <c r="P416" t="s">
        <v>2873</v>
      </c>
      <c r="Q416">
        <v>26</v>
      </c>
      <c r="R416">
        <v>66</v>
      </c>
      <c r="S416">
        <v>2.5385</v>
      </c>
    </row>
    <row r="417" spans="1:19">
      <c r="A417" t="s">
        <v>8</v>
      </c>
      <c r="B417" t="s">
        <v>153</v>
      </c>
      <c r="C417" t="str">
        <f>Data_Master[[#This Row],[Uniq-ID]]&amp;"-"&amp;Data_Master[[#This Row],[Period]]</f>
        <v>DC-Document_Controller-030-M3</v>
      </c>
      <c r="D417" t="s">
        <v>154</v>
      </c>
      <c r="E417" t="s">
        <v>155</v>
      </c>
      <c r="G417" t="s">
        <v>22</v>
      </c>
      <c r="H417" t="s">
        <v>23</v>
      </c>
      <c r="I417" t="s">
        <v>15</v>
      </c>
      <c r="J417" t="s">
        <v>16</v>
      </c>
      <c r="L417">
        <v>1.5</v>
      </c>
      <c r="M417">
        <v>3.577</v>
      </c>
      <c r="N417" t="s">
        <v>3098</v>
      </c>
      <c r="O417" t="s">
        <v>3099</v>
      </c>
      <c r="P417" t="s">
        <v>2873</v>
      </c>
      <c r="Q417">
        <v>26</v>
      </c>
      <c r="R417">
        <v>93</v>
      </c>
      <c r="S417">
        <v>3.5769000000000002</v>
      </c>
    </row>
    <row r="418" spans="1:19">
      <c r="A418" t="s">
        <v>8</v>
      </c>
      <c r="B418" t="s">
        <v>153</v>
      </c>
      <c r="C418" t="str">
        <f>Data_Master[[#This Row],[Uniq-ID]]&amp;"-"&amp;Data_Master[[#This Row],[Period]]</f>
        <v>DC-Document_Controller-030-M4</v>
      </c>
      <c r="D418" t="s">
        <v>154</v>
      </c>
      <c r="E418" t="s">
        <v>155</v>
      </c>
      <c r="G418" t="s">
        <v>25</v>
      </c>
      <c r="H418" t="s">
        <v>26</v>
      </c>
      <c r="I418" t="s">
        <v>15</v>
      </c>
      <c r="J418" t="s">
        <v>20</v>
      </c>
      <c r="L418">
        <v>1</v>
      </c>
      <c r="M418">
        <v>1.615</v>
      </c>
      <c r="N418" t="s">
        <v>3098</v>
      </c>
      <c r="O418" t="s">
        <v>3099</v>
      </c>
      <c r="P418" t="s">
        <v>2873</v>
      </c>
      <c r="Q418">
        <v>26</v>
      </c>
      <c r="R418">
        <v>42</v>
      </c>
      <c r="S418">
        <v>1.6153999999999999</v>
      </c>
    </row>
    <row r="419" spans="1:19">
      <c r="A419" t="s">
        <v>8</v>
      </c>
      <c r="B419" t="s">
        <v>153</v>
      </c>
      <c r="C419" t="str">
        <f>Data_Master[[#This Row],[Uniq-ID]]&amp;"-"&amp;Data_Master[[#This Row],[Period]]</f>
        <v>DC-Document_Controller-030-M5</v>
      </c>
      <c r="D419" t="s">
        <v>154</v>
      </c>
      <c r="E419" t="s">
        <v>155</v>
      </c>
      <c r="G419" t="s">
        <v>28</v>
      </c>
      <c r="H419" t="s">
        <v>29</v>
      </c>
      <c r="I419" t="s">
        <v>15</v>
      </c>
      <c r="J419" t="s">
        <v>20</v>
      </c>
      <c r="L419">
        <v>1</v>
      </c>
      <c r="M419">
        <v>1.423</v>
      </c>
      <c r="N419" t="s">
        <v>3098</v>
      </c>
      <c r="O419" t="s">
        <v>3099</v>
      </c>
      <c r="P419" t="s">
        <v>2873</v>
      </c>
      <c r="Q419">
        <v>26</v>
      </c>
      <c r="R419">
        <v>37</v>
      </c>
      <c r="S419">
        <v>1.4231</v>
      </c>
    </row>
    <row r="420" spans="1:19">
      <c r="A420" t="s">
        <v>8</v>
      </c>
      <c r="B420" t="s">
        <v>153</v>
      </c>
      <c r="C420" t="str">
        <f>Data_Master[[#This Row],[Uniq-ID]]&amp;"-"&amp;Data_Master[[#This Row],[Period]]</f>
        <v>DC-Document_Controller-030-M6</v>
      </c>
      <c r="D420" t="s">
        <v>154</v>
      </c>
      <c r="E420" t="s">
        <v>155</v>
      </c>
      <c r="G420" t="s">
        <v>31</v>
      </c>
      <c r="H420" t="s">
        <v>32</v>
      </c>
      <c r="I420" t="s">
        <v>33</v>
      </c>
      <c r="J420" t="s">
        <v>44</v>
      </c>
      <c r="L420">
        <v>0.5</v>
      </c>
      <c r="M420">
        <v>0.23100000000000001</v>
      </c>
      <c r="N420" t="s">
        <v>3098</v>
      </c>
      <c r="O420" t="s">
        <v>3099</v>
      </c>
      <c r="P420" t="s">
        <v>2873</v>
      </c>
      <c r="Q420">
        <v>26</v>
      </c>
      <c r="R420">
        <v>6</v>
      </c>
      <c r="S420">
        <v>0.23080000000000001</v>
      </c>
    </row>
    <row r="421" spans="1:19">
      <c r="A421" t="s">
        <v>8</v>
      </c>
      <c r="B421" t="s">
        <v>377</v>
      </c>
      <c r="C421" t="str">
        <f>Data_Master[[#This Row],[Uniq-ID]]&amp;"-"&amp;Data_Master[[#This Row],[Period]]</f>
        <v>DC-Document_Controller-031-M1</v>
      </c>
      <c r="D421" t="s">
        <v>378</v>
      </c>
      <c r="E421" t="s">
        <v>250</v>
      </c>
      <c r="G421" t="s">
        <v>13</v>
      </c>
      <c r="H421" t="s">
        <v>14</v>
      </c>
      <c r="I421" t="s">
        <v>15</v>
      </c>
      <c r="J421" t="s">
        <v>44</v>
      </c>
      <c r="M421">
        <v>0</v>
      </c>
    </row>
    <row r="422" spans="1:19">
      <c r="A422" t="s">
        <v>8</v>
      </c>
      <c r="B422" t="s">
        <v>377</v>
      </c>
      <c r="C422" t="str">
        <f>Data_Master[[#This Row],[Uniq-ID]]&amp;"-"&amp;Data_Master[[#This Row],[Period]]</f>
        <v>DC-Document_Controller-031-M2</v>
      </c>
      <c r="D422" t="s">
        <v>378</v>
      </c>
      <c r="E422" t="s">
        <v>250</v>
      </c>
      <c r="G422" t="s">
        <v>18</v>
      </c>
      <c r="H422" t="s">
        <v>19</v>
      </c>
      <c r="I422" t="s">
        <v>15</v>
      </c>
      <c r="J422" t="s">
        <v>44</v>
      </c>
      <c r="M422">
        <v>0</v>
      </c>
    </row>
    <row r="423" spans="1:19">
      <c r="A423" t="s">
        <v>8</v>
      </c>
      <c r="B423" t="s">
        <v>377</v>
      </c>
      <c r="C423" t="str">
        <f>Data_Master[[#This Row],[Uniq-ID]]&amp;"-"&amp;Data_Master[[#This Row],[Period]]</f>
        <v>DC-Document_Controller-031-M3</v>
      </c>
      <c r="D423" t="s">
        <v>378</v>
      </c>
      <c r="E423" t="s">
        <v>250</v>
      </c>
      <c r="G423" t="s">
        <v>22</v>
      </c>
      <c r="H423" t="s">
        <v>23</v>
      </c>
      <c r="I423" t="s">
        <v>15</v>
      </c>
      <c r="J423" t="s">
        <v>20</v>
      </c>
      <c r="L423">
        <v>1</v>
      </c>
      <c r="M423">
        <v>1.08</v>
      </c>
      <c r="N423" t="s">
        <v>2887</v>
      </c>
      <c r="O423" t="s">
        <v>3244</v>
      </c>
      <c r="P423" t="s">
        <v>2873</v>
      </c>
      <c r="Q423">
        <v>50</v>
      </c>
      <c r="R423">
        <v>54</v>
      </c>
      <c r="S423">
        <v>1.08</v>
      </c>
    </row>
    <row r="424" spans="1:19">
      <c r="A424" t="s">
        <v>8</v>
      </c>
      <c r="B424" t="s">
        <v>377</v>
      </c>
      <c r="C424" t="str">
        <f>Data_Master[[#This Row],[Uniq-ID]]&amp;"-"&amp;Data_Master[[#This Row],[Period]]</f>
        <v>DC-Document_Controller-031-M4</v>
      </c>
      <c r="D424" t="s">
        <v>378</v>
      </c>
      <c r="E424" t="s">
        <v>250</v>
      </c>
      <c r="G424" t="s">
        <v>25</v>
      </c>
      <c r="H424" t="s">
        <v>26</v>
      </c>
      <c r="I424" t="s">
        <v>15</v>
      </c>
      <c r="J424" t="s">
        <v>20</v>
      </c>
      <c r="L424">
        <v>1</v>
      </c>
      <c r="M424">
        <v>1.54</v>
      </c>
      <c r="N424" t="s">
        <v>2887</v>
      </c>
      <c r="O424" t="s">
        <v>3244</v>
      </c>
      <c r="P424" t="s">
        <v>2873</v>
      </c>
      <c r="Q424">
        <v>50</v>
      </c>
      <c r="R424">
        <v>77</v>
      </c>
      <c r="S424">
        <v>1.54</v>
      </c>
    </row>
    <row r="425" spans="1:19">
      <c r="A425" t="s">
        <v>8</v>
      </c>
      <c r="B425" t="s">
        <v>377</v>
      </c>
      <c r="C425" t="str">
        <f>Data_Master[[#This Row],[Uniq-ID]]&amp;"-"&amp;Data_Master[[#This Row],[Period]]</f>
        <v>DC-Document_Controller-031-M5</v>
      </c>
      <c r="D425" t="s">
        <v>378</v>
      </c>
      <c r="E425" t="s">
        <v>250</v>
      </c>
      <c r="G425" t="s">
        <v>28</v>
      </c>
      <c r="H425" t="s">
        <v>29</v>
      </c>
      <c r="I425" t="s">
        <v>15</v>
      </c>
      <c r="J425" t="s">
        <v>20</v>
      </c>
      <c r="L425">
        <v>1</v>
      </c>
      <c r="M425">
        <v>1.04</v>
      </c>
      <c r="N425" t="s">
        <v>2887</v>
      </c>
      <c r="O425" t="s">
        <v>3244</v>
      </c>
      <c r="P425" t="s">
        <v>2873</v>
      </c>
      <c r="Q425">
        <v>50</v>
      </c>
      <c r="R425">
        <v>52</v>
      </c>
      <c r="S425">
        <v>1.04</v>
      </c>
    </row>
    <row r="426" spans="1:19">
      <c r="A426" t="s">
        <v>8</v>
      </c>
      <c r="B426" t="s">
        <v>377</v>
      </c>
      <c r="C426" t="str">
        <f>Data_Master[[#This Row],[Uniq-ID]]&amp;"-"&amp;Data_Master[[#This Row],[Period]]</f>
        <v>DC-Document_Controller-031-M6</v>
      </c>
      <c r="D426" t="s">
        <v>378</v>
      </c>
      <c r="E426" t="s">
        <v>250</v>
      </c>
      <c r="G426" t="s">
        <v>31</v>
      </c>
      <c r="H426" t="s">
        <v>32</v>
      </c>
      <c r="I426" t="s">
        <v>33</v>
      </c>
      <c r="J426" t="s">
        <v>44</v>
      </c>
      <c r="M426">
        <v>0</v>
      </c>
    </row>
    <row r="427" spans="1:19">
      <c r="A427" t="s">
        <v>8</v>
      </c>
      <c r="B427" t="s">
        <v>145</v>
      </c>
      <c r="C427" t="str">
        <f>Data_Master[[#This Row],[Uniq-ID]]&amp;"-"&amp;Data_Master[[#This Row],[Period]]</f>
        <v>DC-Document_Controller-033-M1</v>
      </c>
      <c r="D427" t="s">
        <v>146</v>
      </c>
      <c r="E427" t="s">
        <v>76</v>
      </c>
      <c r="G427" t="s">
        <v>13</v>
      </c>
      <c r="H427" t="s">
        <v>14</v>
      </c>
      <c r="I427" t="s">
        <v>15</v>
      </c>
      <c r="J427" t="s">
        <v>16</v>
      </c>
      <c r="L427">
        <v>1.06</v>
      </c>
      <c r="M427">
        <v>2.1139999999999999</v>
      </c>
      <c r="N427" t="s">
        <v>2871</v>
      </c>
      <c r="O427" t="s">
        <v>2958</v>
      </c>
      <c r="P427" t="s">
        <v>2873</v>
      </c>
      <c r="Q427">
        <v>154</v>
      </c>
      <c r="R427">
        <v>9</v>
      </c>
      <c r="S427">
        <v>5.8400000000000001E-2</v>
      </c>
    </row>
    <row r="428" spans="1:19">
      <c r="A428" t="s">
        <v>8</v>
      </c>
      <c r="B428" t="s">
        <v>145</v>
      </c>
      <c r="C428" t="str">
        <f>Data_Master[[#This Row],[Uniq-ID]]&amp;"-"&amp;Data_Master[[#This Row],[Period]]</f>
        <v>DC-Document_Controller-033-M1</v>
      </c>
      <c r="D428" t="s">
        <v>146</v>
      </c>
      <c r="E428" t="s">
        <v>76</v>
      </c>
      <c r="G428" t="s">
        <v>13</v>
      </c>
      <c r="H428" t="s">
        <v>14</v>
      </c>
      <c r="I428" t="s">
        <v>15</v>
      </c>
      <c r="J428" t="s">
        <v>16</v>
      </c>
      <c r="L428">
        <v>1.06</v>
      </c>
      <c r="M428">
        <v>2.1139999999999999</v>
      </c>
      <c r="N428" t="s">
        <v>2871</v>
      </c>
      <c r="O428" t="s">
        <v>3061</v>
      </c>
      <c r="P428" t="s">
        <v>2873</v>
      </c>
      <c r="Q428">
        <v>66</v>
      </c>
      <c r="R428">
        <v>9</v>
      </c>
      <c r="S428">
        <v>0.13639999999999999</v>
      </c>
    </row>
    <row r="429" spans="1:19">
      <c r="A429" t="s">
        <v>8</v>
      </c>
      <c r="B429" t="s">
        <v>145</v>
      </c>
      <c r="C429" t="str">
        <f>Data_Master[[#This Row],[Uniq-ID]]&amp;"-"&amp;Data_Master[[#This Row],[Period]]</f>
        <v>DC-Document_Controller-033-M1</v>
      </c>
      <c r="D429" t="s">
        <v>146</v>
      </c>
      <c r="E429" t="s">
        <v>76</v>
      </c>
      <c r="G429" t="s">
        <v>13</v>
      </c>
      <c r="H429" t="s">
        <v>14</v>
      </c>
      <c r="I429" t="s">
        <v>15</v>
      </c>
      <c r="J429" t="s">
        <v>16</v>
      </c>
      <c r="L429">
        <v>1.06</v>
      </c>
      <c r="M429">
        <v>2.1139999999999999</v>
      </c>
      <c r="N429" t="s">
        <v>2871</v>
      </c>
      <c r="O429" t="s">
        <v>2950</v>
      </c>
      <c r="P429" t="s">
        <v>2873</v>
      </c>
      <c r="Q429">
        <v>88</v>
      </c>
      <c r="R429">
        <v>28</v>
      </c>
      <c r="S429">
        <v>0.31819999999999998</v>
      </c>
    </row>
    <row r="430" spans="1:19">
      <c r="A430" t="s">
        <v>8</v>
      </c>
      <c r="B430" t="s">
        <v>145</v>
      </c>
      <c r="C430" t="str">
        <f>Data_Master[[#This Row],[Uniq-ID]]&amp;"-"&amp;Data_Master[[#This Row],[Period]]</f>
        <v>DC-Document_Controller-033-M1</v>
      </c>
      <c r="D430" t="s">
        <v>146</v>
      </c>
      <c r="E430" t="s">
        <v>76</v>
      </c>
      <c r="G430" t="s">
        <v>13</v>
      </c>
      <c r="H430" t="s">
        <v>14</v>
      </c>
      <c r="I430" t="s">
        <v>15</v>
      </c>
      <c r="J430" t="s">
        <v>16</v>
      </c>
      <c r="L430">
        <v>1.06</v>
      </c>
      <c r="M430">
        <v>2.1139999999999999</v>
      </c>
      <c r="N430" t="s">
        <v>2871</v>
      </c>
      <c r="O430" t="s">
        <v>2952</v>
      </c>
      <c r="P430" t="s">
        <v>2873</v>
      </c>
      <c r="Q430">
        <v>257</v>
      </c>
      <c r="R430">
        <v>20</v>
      </c>
      <c r="S430">
        <v>7.7799999999999994E-2</v>
      </c>
    </row>
    <row r="431" spans="1:19">
      <c r="A431" t="s">
        <v>8</v>
      </c>
      <c r="B431" t="s">
        <v>145</v>
      </c>
      <c r="C431" t="str">
        <f>Data_Master[[#This Row],[Uniq-ID]]&amp;"-"&amp;Data_Master[[#This Row],[Period]]</f>
        <v>DC-Document_Controller-033-M1</v>
      </c>
      <c r="D431" t="s">
        <v>146</v>
      </c>
      <c r="E431" t="s">
        <v>76</v>
      </c>
      <c r="G431" t="s">
        <v>13</v>
      </c>
      <c r="H431" t="s">
        <v>14</v>
      </c>
      <c r="I431" t="s">
        <v>15</v>
      </c>
      <c r="J431" t="s">
        <v>16</v>
      </c>
      <c r="L431">
        <v>1.06</v>
      </c>
      <c r="M431">
        <v>2.1139999999999999</v>
      </c>
      <c r="N431" t="s">
        <v>2871</v>
      </c>
      <c r="O431" t="s">
        <v>2954</v>
      </c>
      <c r="P431" t="s">
        <v>2873</v>
      </c>
      <c r="Q431">
        <v>220</v>
      </c>
      <c r="R431">
        <v>182</v>
      </c>
      <c r="S431">
        <v>0.82730000000000004</v>
      </c>
    </row>
    <row r="432" spans="1:19">
      <c r="A432" t="s">
        <v>8</v>
      </c>
      <c r="B432" t="s">
        <v>145</v>
      </c>
      <c r="C432" t="str">
        <f>Data_Master[[#This Row],[Uniq-ID]]&amp;"-"&amp;Data_Master[[#This Row],[Period]]</f>
        <v>DC-Document_Controller-033-M1</v>
      </c>
      <c r="D432" t="s">
        <v>146</v>
      </c>
      <c r="E432" t="s">
        <v>76</v>
      </c>
      <c r="G432" t="s">
        <v>13</v>
      </c>
      <c r="H432" t="s">
        <v>14</v>
      </c>
      <c r="I432" t="s">
        <v>15</v>
      </c>
      <c r="J432" t="s">
        <v>16</v>
      </c>
      <c r="L432">
        <v>1.06</v>
      </c>
      <c r="M432">
        <v>2.1139999999999999</v>
      </c>
      <c r="N432" t="s">
        <v>2871</v>
      </c>
      <c r="O432" t="s">
        <v>2956</v>
      </c>
      <c r="P432" t="s">
        <v>2873</v>
      </c>
      <c r="Q432">
        <v>298</v>
      </c>
      <c r="R432">
        <v>86</v>
      </c>
      <c r="S432">
        <v>0.28860000000000002</v>
      </c>
    </row>
    <row r="433" spans="1:19">
      <c r="A433" t="s">
        <v>8</v>
      </c>
      <c r="B433" t="s">
        <v>145</v>
      </c>
      <c r="C433" t="str">
        <f>Data_Master[[#This Row],[Uniq-ID]]&amp;"-"&amp;Data_Master[[#This Row],[Period]]</f>
        <v>DC-Document_Controller-033-M1</v>
      </c>
      <c r="D433" t="s">
        <v>146</v>
      </c>
      <c r="E433" t="s">
        <v>76</v>
      </c>
      <c r="G433" t="s">
        <v>13</v>
      </c>
      <c r="H433" t="s">
        <v>14</v>
      </c>
      <c r="I433" t="s">
        <v>15</v>
      </c>
      <c r="J433" t="s">
        <v>16</v>
      </c>
      <c r="L433">
        <v>1.06</v>
      </c>
      <c r="M433">
        <v>2.1139999999999999</v>
      </c>
      <c r="N433" t="s">
        <v>2947</v>
      </c>
      <c r="O433" t="s">
        <v>2948</v>
      </c>
      <c r="P433" t="s">
        <v>2873</v>
      </c>
      <c r="Q433">
        <v>110</v>
      </c>
      <c r="R433">
        <v>17</v>
      </c>
      <c r="S433">
        <v>0.1545</v>
      </c>
    </row>
    <row r="434" spans="1:19">
      <c r="A434" t="s">
        <v>8</v>
      </c>
      <c r="B434" t="s">
        <v>145</v>
      </c>
      <c r="C434" t="str">
        <f>Data_Master[[#This Row],[Uniq-ID]]&amp;"-"&amp;Data_Master[[#This Row],[Period]]</f>
        <v>DC-Document_Controller-033-M1</v>
      </c>
      <c r="D434" t="s">
        <v>146</v>
      </c>
      <c r="E434" t="s">
        <v>76</v>
      </c>
      <c r="G434" t="s">
        <v>13</v>
      </c>
      <c r="H434" t="s">
        <v>14</v>
      </c>
      <c r="I434" t="s">
        <v>15</v>
      </c>
      <c r="J434" t="s">
        <v>16</v>
      </c>
      <c r="L434">
        <v>1.06</v>
      </c>
      <c r="M434">
        <v>2.1139999999999999</v>
      </c>
      <c r="N434" t="s">
        <v>2947</v>
      </c>
      <c r="O434" t="s">
        <v>2988</v>
      </c>
      <c r="P434" t="s">
        <v>2873</v>
      </c>
      <c r="Q434">
        <v>103</v>
      </c>
      <c r="R434">
        <v>26</v>
      </c>
      <c r="S434">
        <v>0.25240000000000001</v>
      </c>
    </row>
    <row r="435" spans="1:19">
      <c r="A435" t="s">
        <v>8</v>
      </c>
      <c r="B435" t="s">
        <v>145</v>
      </c>
      <c r="C435" t="str">
        <f>Data_Master[[#This Row],[Uniq-ID]]&amp;"-"&amp;Data_Master[[#This Row],[Period]]</f>
        <v>DC-Document_Controller-033-M2</v>
      </c>
      <c r="D435" t="s">
        <v>146</v>
      </c>
      <c r="E435" t="s">
        <v>76</v>
      </c>
      <c r="G435" t="s">
        <v>18</v>
      </c>
      <c r="H435" t="s">
        <v>19</v>
      </c>
      <c r="I435" t="s">
        <v>15</v>
      </c>
      <c r="J435" t="s">
        <v>20</v>
      </c>
      <c r="L435">
        <v>1</v>
      </c>
      <c r="M435">
        <v>1.76</v>
      </c>
      <c r="N435" t="s">
        <v>2947</v>
      </c>
      <c r="O435" t="s">
        <v>2948</v>
      </c>
      <c r="P435" t="s">
        <v>2873</v>
      </c>
      <c r="Q435">
        <v>110</v>
      </c>
      <c r="R435">
        <v>9</v>
      </c>
      <c r="S435">
        <v>8.1799999999999998E-2</v>
      </c>
    </row>
    <row r="436" spans="1:19">
      <c r="A436" t="s">
        <v>8</v>
      </c>
      <c r="B436" t="s">
        <v>145</v>
      </c>
      <c r="C436" t="str">
        <f>Data_Master[[#This Row],[Uniq-ID]]&amp;"-"&amp;Data_Master[[#This Row],[Period]]</f>
        <v>DC-Document_Controller-033-M2</v>
      </c>
      <c r="D436" t="s">
        <v>146</v>
      </c>
      <c r="E436" t="s">
        <v>76</v>
      </c>
      <c r="G436" t="s">
        <v>18</v>
      </c>
      <c r="H436" t="s">
        <v>19</v>
      </c>
      <c r="I436" t="s">
        <v>15</v>
      </c>
      <c r="J436" t="s">
        <v>20</v>
      </c>
      <c r="L436">
        <v>1</v>
      </c>
      <c r="M436">
        <v>1.76</v>
      </c>
      <c r="N436" t="s">
        <v>2947</v>
      </c>
      <c r="O436" t="s">
        <v>2988</v>
      </c>
      <c r="P436" t="s">
        <v>2873</v>
      </c>
      <c r="Q436">
        <v>103</v>
      </c>
      <c r="R436">
        <v>7</v>
      </c>
      <c r="S436">
        <v>6.8000000000000005E-2</v>
      </c>
    </row>
    <row r="437" spans="1:19">
      <c r="A437" t="s">
        <v>8</v>
      </c>
      <c r="B437" t="s">
        <v>145</v>
      </c>
      <c r="C437" t="str">
        <f>Data_Master[[#This Row],[Uniq-ID]]&amp;"-"&amp;Data_Master[[#This Row],[Period]]</f>
        <v>DC-Document_Controller-033-M2</v>
      </c>
      <c r="D437" t="s">
        <v>146</v>
      </c>
      <c r="E437" t="s">
        <v>76</v>
      </c>
      <c r="G437" t="s">
        <v>18</v>
      </c>
      <c r="H437" t="s">
        <v>19</v>
      </c>
      <c r="I437" t="s">
        <v>15</v>
      </c>
      <c r="J437" t="s">
        <v>20</v>
      </c>
      <c r="L437">
        <v>1</v>
      </c>
      <c r="M437">
        <v>1.76</v>
      </c>
      <c r="N437" t="s">
        <v>2871</v>
      </c>
      <c r="O437" t="s">
        <v>3061</v>
      </c>
      <c r="P437" t="s">
        <v>2873</v>
      </c>
      <c r="Q437">
        <v>66</v>
      </c>
      <c r="R437">
        <v>5</v>
      </c>
      <c r="S437">
        <v>7.5800000000000006E-2</v>
      </c>
    </row>
    <row r="438" spans="1:19">
      <c r="A438" t="s">
        <v>8</v>
      </c>
      <c r="B438" t="s">
        <v>145</v>
      </c>
      <c r="C438" t="str">
        <f>Data_Master[[#This Row],[Uniq-ID]]&amp;"-"&amp;Data_Master[[#This Row],[Period]]</f>
        <v>DC-Document_Controller-033-M2</v>
      </c>
      <c r="D438" t="s">
        <v>146</v>
      </c>
      <c r="E438" t="s">
        <v>76</v>
      </c>
      <c r="G438" t="s">
        <v>18</v>
      </c>
      <c r="H438" t="s">
        <v>19</v>
      </c>
      <c r="I438" t="s">
        <v>15</v>
      </c>
      <c r="J438" t="s">
        <v>20</v>
      </c>
      <c r="L438">
        <v>1</v>
      </c>
      <c r="M438">
        <v>1.76</v>
      </c>
      <c r="N438" t="s">
        <v>2871</v>
      </c>
      <c r="O438" t="s">
        <v>2950</v>
      </c>
      <c r="P438" t="s">
        <v>2873</v>
      </c>
      <c r="Q438">
        <v>88</v>
      </c>
      <c r="R438">
        <v>28</v>
      </c>
      <c r="S438">
        <v>0.31819999999999998</v>
      </c>
    </row>
    <row r="439" spans="1:19">
      <c r="A439" t="s">
        <v>8</v>
      </c>
      <c r="B439" t="s">
        <v>145</v>
      </c>
      <c r="C439" t="str">
        <f>Data_Master[[#This Row],[Uniq-ID]]&amp;"-"&amp;Data_Master[[#This Row],[Period]]</f>
        <v>DC-Document_Controller-033-M2</v>
      </c>
      <c r="D439" t="s">
        <v>146</v>
      </c>
      <c r="E439" t="s">
        <v>76</v>
      </c>
      <c r="G439" t="s">
        <v>18</v>
      </c>
      <c r="H439" t="s">
        <v>19</v>
      </c>
      <c r="I439" t="s">
        <v>15</v>
      </c>
      <c r="J439" t="s">
        <v>20</v>
      </c>
      <c r="L439">
        <v>1</v>
      </c>
      <c r="M439">
        <v>1.76</v>
      </c>
      <c r="N439" t="s">
        <v>2871</v>
      </c>
      <c r="O439" t="s">
        <v>2952</v>
      </c>
      <c r="P439" t="s">
        <v>2873</v>
      </c>
      <c r="Q439">
        <v>257</v>
      </c>
      <c r="R439">
        <v>31</v>
      </c>
      <c r="S439">
        <v>0.1206</v>
      </c>
    </row>
    <row r="440" spans="1:19">
      <c r="A440" t="s">
        <v>8</v>
      </c>
      <c r="B440" t="s">
        <v>145</v>
      </c>
      <c r="C440" t="str">
        <f>Data_Master[[#This Row],[Uniq-ID]]&amp;"-"&amp;Data_Master[[#This Row],[Period]]</f>
        <v>DC-Document_Controller-033-M2</v>
      </c>
      <c r="D440" t="s">
        <v>146</v>
      </c>
      <c r="E440" t="s">
        <v>76</v>
      </c>
      <c r="G440" t="s">
        <v>18</v>
      </c>
      <c r="H440" t="s">
        <v>19</v>
      </c>
      <c r="I440" t="s">
        <v>15</v>
      </c>
      <c r="J440" t="s">
        <v>20</v>
      </c>
      <c r="L440">
        <v>1</v>
      </c>
      <c r="M440">
        <v>1.76</v>
      </c>
      <c r="N440" t="s">
        <v>2871</v>
      </c>
      <c r="O440" t="s">
        <v>2954</v>
      </c>
      <c r="P440" t="s">
        <v>2873</v>
      </c>
      <c r="Q440">
        <v>220</v>
      </c>
      <c r="R440">
        <v>223</v>
      </c>
      <c r="S440">
        <v>1.0136000000000001</v>
      </c>
    </row>
    <row r="441" spans="1:19">
      <c r="A441" t="s">
        <v>8</v>
      </c>
      <c r="B441" t="s">
        <v>145</v>
      </c>
      <c r="C441" t="str">
        <f>Data_Master[[#This Row],[Uniq-ID]]&amp;"-"&amp;Data_Master[[#This Row],[Period]]</f>
        <v>DC-Document_Controller-033-M2</v>
      </c>
      <c r="D441" t="s">
        <v>146</v>
      </c>
      <c r="E441" t="s">
        <v>76</v>
      </c>
      <c r="G441" t="s">
        <v>18</v>
      </c>
      <c r="H441" t="s">
        <v>19</v>
      </c>
      <c r="I441" t="s">
        <v>15</v>
      </c>
      <c r="J441" t="s">
        <v>20</v>
      </c>
      <c r="L441">
        <v>1</v>
      </c>
      <c r="M441">
        <v>1.76</v>
      </c>
      <c r="N441" t="s">
        <v>2871</v>
      </c>
      <c r="O441" t="s">
        <v>2956</v>
      </c>
      <c r="P441" t="s">
        <v>2873</v>
      </c>
      <c r="Q441">
        <v>298</v>
      </c>
      <c r="R441">
        <v>11</v>
      </c>
      <c r="S441">
        <v>3.6900000000000002E-2</v>
      </c>
    </row>
    <row r="442" spans="1:19">
      <c r="A442" t="s">
        <v>8</v>
      </c>
      <c r="B442" t="s">
        <v>145</v>
      </c>
      <c r="C442" t="str">
        <f>Data_Master[[#This Row],[Uniq-ID]]&amp;"-"&amp;Data_Master[[#This Row],[Period]]</f>
        <v>DC-Document_Controller-033-M2</v>
      </c>
      <c r="D442" t="s">
        <v>146</v>
      </c>
      <c r="E442" t="s">
        <v>76</v>
      </c>
      <c r="G442" t="s">
        <v>18</v>
      </c>
      <c r="H442" t="s">
        <v>19</v>
      </c>
      <c r="I442" t="s">
        <v>15</v>
      </c>
      <c r="J442" t="s">
        <v>20</v>
      </c>
      <c r="L442">
        <v>1</v>
      </c>
      <c r="M442">
        <v>1.76</v>
      </c>
      <c r="N442" t="s">
        <v>2871</v>
      </c>
      <c r="O442" t="s">
        <v>2958</v>
      </c>
      <c r="P442" t="s">
        <v>2873</v>
      </c>
      <c r="Q442">
        <v>154</v>
      </c>
      <c r="R442">
        <v>7</v>
      </c>
      <c r="S442">
        <v>4.5499999999999999E-2</v>
      </c>
    </row>
    <row r="443" spans="1:19">
      <c r="A443" t="s">
        <v>8</v>
      </c>
      <c r="B443" t="s">
        <v>145</v>
      </c>
      <c r="C443" t="str">
        <f>Data_Master[[#This Row],[Uniq-ID]]&amp;"-"&amp;Data_Master[[#This Row],[Period]]</f>
        <v>DC-Document_Controller-033-M3</v>
      </c>
      <c r="D443" t="s">
        <v>146</v>
      </c>
      <c r="E443" t="s">
        <v>76</v>
      </c>
      <c r="G443" t="s">
        <v>22</v>
      </c>
      <c r="H443" t="s">
        <v>23</v>
      </c>
      <c r="I443" t="s">
        <v>15</v>
      </c>
      <c r="J443" t="s">
        <v>16</v>
      </c>
      <c r="L443">
        <v>1.5</v>
      </c>
      <c r="M443">
        <v>5.8760000000000003</v>
      </c>
      <c r="N443" t="s">
        <v>2871</v>
      </c>
      <c r="O443" t="s">
        <v>2958</v>
      </c>
      <c r="P443" t="s">
        <v>2873</v>
      </c>
      <c r="Q443">
        <v>154</v>
      </c>
      <c r="R443">
        <v>27</v>
      </c>
      <c r="S443">
        <v>0.17530000000000001</v>
      </c>
    </row>
    <row r="444" spans="1:19">
      <c r="A444" t="s">
        <v>8</v>
      </c>
      <c r="B444" t="s">
        <v>145</v>
      </c>
      <c r="C444" t="str">
        <f>Data_Master[[#This Row],[Uniq-ID]]&amp;"-"&amp;Data_Master[[#This Row],[Period]]</f>
        <v>DC-Document_Controller-033-M3</v>
      </c>
      <c r="D444" t="s">
        <v>146</v>
      </c>
      <c r="E444" t="s">
        <v>76</v>
      </c>
      <c r="G444" t="s">
        <v>22</v>
      </c>
      <c r="H444" t="s">
        <v>23</v>
      </c>
      <c r="I444" t="s">
        <v>15</v>
      </c>
      <c r="J444" t="s">
        <v>16</v>
      </c>
      <c r="L444">
        <v>1.5</v>
      </c>
      <c r="M444">
        <v>5.8760000000000003</v>
      </c>
      <c r="N444" t="s">
        <v>2871</v>
      </c>
      <c r="O444" t="s">
        <v>2956</v>
      </c>
      <c r="P444" t="s">
        <v>2873</v>
      </c>
      <c r="Q444">
        <v>298</v>
      </c>
      <c r="R444">
        <v>197</v>
      </c>
      <c r="S444">
        <v>0.66110000000000002</v>
      </c>
    </row>
    <row r="445" spans="1:19">
      <c r="A445" t="s">
        <v>8</v>
      </c>
      <c r="B445" t="s">
        <v>145</v>
      </c>
      <c r="C445" t="str">
        <f>Data_Master[[#This Row],[Uniq-ID]]&amp;"-"&amp;Data_Master[[#This Row],[Period]]</f>
        <v>DC-Document_Controller-033-M3</v>
      </c>
      <c r="D445" t="s">
        <v>146</v>
      </c>
      <c r="E445" t="s">
        <v>76</v>
      </c>
      <c r="G445" t="s">
        <v>22</v>
      </c>
      <c r="H445" t="s">
        <v>23</v>
      </c>
      <c r="I445" t="s">
        <v>15</v>
      </c>
      <c r="J445" t="s">
        <v>16</v>
      </c>
      <c r="L445">
        <v>1.5</v>
      </c>
      <c r="M445">
        <v>5.8760000000000003</v>
      </c>
      <c r="N445" t="s">
        <v>2871</v>
      </c>
      <c r="O445" t="s">
        <v>2954</v>
      </c>
      <c r="P445" t="s">
        <v>2873</v>
      </c>
      <c r="Q445">
        <v>220</v>
      </c>
      <c r="R445">
        <v>510</v>
      </c>
      <c r="S445">
        <v>2.3182</v>
      </c>
    </row>
    <row r="446" spans="1:19">
      <c r="A446" t="s">
        <v>8</v>
      </c>
      <c r="B446" t="s">
        <v>145</v>
      </c>
      <c r="C446" t="str">
        <f>Data_Master[[#This Row],[Uniq-ID]]&amp;"-"&amp;Data_Master[[#This Row],[Period]]</f>
        <v>DC-Document_Controller-033-M3</v>
      </c>
      <c r="D446" t="s">
        <v>146</v>
      </c>
      <c r="E446" t="s">
        <v>76</v>
      </c>
      <c r="G446" t="s">
        <v>22</v>
      </c>
      <c r="H446" t="s">
        <v>23</v>
      </c>
      <c r="I446" t="s">
        <v>15</v>
      </c>
      <c r="J446" t="s">
        <v>16</v>
      </c>
      <c r="L446">
        <v>1.5</v>
      </c>
      <c r="M446">
        <v>5.8760000000000003</v>
      </c>
      <c r="N446" t="s">
        <v>2871</v>
      </c>
      <c r="O446" t="s">
        <v>2952</v>
      </c>
      <c r="P446" t="s">
        <v>2873</v>
      </c>
      <c r="Q446">
        <v>257</v>
      </c>
      <c r="R446">
        <v>86</v>
      </c>
      <c r="S446">
        <v>0.33460000000000001</v>
      </c>
    </row>
    <row r="447" spans="1:19">
      <c r="A447" t="s">
        <v>8</v>
      </c>
      <c r="B447" t="s">
        <v>145</v>
      </c>
      <c r="C447" t="str">
        <f>Data_Master[[#This Row],[Uniq-ID]]&amp;"-"&amp;Data_Master[[#This Row],[Period]]</f>
        <v>DC-Document_Controller-033-M3</v>
      </c>
      <c r="D447" t="s">
        <v>146</v>
      </c>
      <c r="E447" t="s">
        <v>76</v>
      </c>
      <c r="G447" t="s">
        <v>22</v>
      </c>
      <c r="H447" t="s">
        <v>23</v>
      </c>
      <c r="I447" t="s">
        <v>15</v>
      </c>
      <c r="J447" t="s">
        <v>16</v>
      </c>
      <c r="L447">
        <v>1.5</v>
      </c>
      <c r="M447">
        <v>5.8760000000000003</v>
      </c>
      <c r="N447" t="s">
        <v>2871</v>
      </c>
      <c r="O447" t="s">
        <v>2950</v>
      </c>
      <c r="P447" t="s">
        <v>2873</v>
      </c>
      <c r="Q447">
        <v>88</v>
      </c>
      <c r="R447">
        <v>103</v>
      </c>
      <c r="S447">
        <v>1.1705000000000001</v>
      </c>
    </row>
    <row r="448" spans="1:19">
      <c r="A448" t="s">
        <v>8</v>
      </c>
      <c r="B448" t="s">
        <v>145</v>
      </c>
      <c r="C448" t="str">
        <f>Data_Master[[#This Row],[Uniq-ID]]&amp;"-"&amp;Data_Master[[#This Row],[Period]]</f>
        <v>DC-Document_Controller-033-M3</v>
      </c>
      <c r="D448" t="s">
        <v>146</v>
      </c>
      <c r="E448" t="s">
        <v>76</v>
      </c>
      <c r="G448" t="s">
        <v>22</v>
      </c>
      <c r="H448" t="s">
        <v>23</v>
      </c>
      <c r="I448" t="s">
        <v>15</v>
      </c>
      <c r="J448" t="s">
        <v>16</v>
      </c>
      <c r="L448">
        <v>1.5</v>
      </c>
      <c r="M448">
        <v>5.8760000000000003</v>
      </c>
      <c r="N448" t="s">
        <v>2871</v>
      </c>
      <c r="O448" t="s">
        <v>3061</v>
      </c>
      <c r="P448" t="s">
        <v>2873</v>
      </c>
      <c r="Q448">
        <v>66</v>
      </c>
      <c r="R448">
        <v>19</v>
      </c>
      <c r="S448">
        <v>0.28789999999999999</v>
      </c>
    </row>
    <row r="449" spans="1:19">
      <c r="A449" t="s">
        <v>8</v>
      </c>
      <c r="B449" t="s">
        <v>145</v>
      </c>
      <c r="C449" t="str">
        <f>Data_Master[[#This Row],[Uniq-ID]]&amp;"-"&amp;Data_Master[[#This Row],[Period]]</f>
        <v>DC-Document_Controller-033-M3</v>
      </c>
      <c r="D449" t="s">
        <v>146</v>
      </c>
      <c r="E449" t="s">
        <v>76</v>
      </c>
      <c r="G449" t="s">
        <v>22</v>
      </c>
      <c r="H449" t="s">
        <v>23</v>
      </c>
      <c r="I449" t="s">
        <v>15</v>
      </c>
      <c r="J449" t="s">
        <v>16</v>
      </c>
      <c r="L449">
        <v>1.5</v>
      </c>
      <c r="M449">
        <v>5.8760000000000003</v>
      </c>
      <c r="N449" t="s">
        <v>2947</v>
      </c>
      <c r="O449" t="s">
        <v>2988</v>
      </c>
      <c r="P449" t="s">
        <v>2873</v>
      </c>
      <c r="Q449">
        <v>103</v>
      </c>
      <c r="R449">
        <v>90</v>
      </c>
      <c r="S449">
        <v>0.87380000000000002</v>
      </c>
    </row>
    <row r="450" spans="1:19">
      <c r="A450" t="s">
        <v>8</v>
      </c>
      <c r="B450" t="s">
        <v>145</v>
      </c>
      <c r="C450" t="str">
        <f>Data_Master[[#This Row],[Uniq-ID]]&amp;"-"&amp;Data_Master[[#This Row],[Period]]</f>
        <v>DC-Document_Controller-033-M3</v>
      </c>
      <c r="D450" t="s">
        <v>146</v>
      </c>
      <c r="E450" t="s">
        <v>76</v>
      </c>
      <c r="G450" t="s">
        <v>22</v>
      </c>
      <c r="H450" t="s">
        <v>23</v>
      </c>
      <c r="I450" t="s">
        <v>15</v>
      </c>
      <c r="J450" t="s">
        <v>16</v>
      </c>
      <c r="L450">
        <v>1.5</v>
      </c>
      <c r="M450">
        <v>5.8760000000000003</v>
      </c>
      <c r="N450" t="s">
        <v>2947</v>
      </c>
      <c r="O450" t="s">
        <v>2948</v>
      </c>
      <c r="P450" t="s">
        <v>2873</v>
      </c>
      <c r="Q450">
        <v>110</v>
      </c>
      <c r="R450">
        <v>6</v>
      </c>
      <c r="S450">
        <v>5.45E-2</v>
      </c>
    </row>
    <row r="451" spans="1:19">
      <c r="A451" t="s">
        <v>8</v>
      </c>
      <c r="B451" t="s">
        <v>145</v>
      </c>
      <c r="C451" t="str">
        <f>Data_Master[[#This Row],[Uniq-ID]]&amp;"-"&amp;Data_Master[[#This Row],[Period]]</f>
        <v>DC-Document_Controller-033-M4</v>
      </c>
      <c r="D451" t="s">
        <v>146</v>
      </c>
      <c r="E451" t="s">
        <v>76</v>
      </c>
      <c r="G451" t="s">
        <v>25</v>
      </c>
      <c r="H451" t="s">
        <v>26</v>
      </c>
      <c r="I451" t="s">
        <v>15</v>
      </c>
      <c r="J451" t="s">
        <v>16</v>
      </c>
      <c r="L451">
        <v>1.5</v>
      </c>
      <c r="M451">
        <v>3.64</v>
      </c>
      <c r="N451" t="s">
        <v>2871</v>
      </c>
      <c r="O451" t="s">
        <v>2958</v>
      </c>
      <c r="P451" t="s">
        <v>2873</v>
      </c>
      <c r="Q451">
        <v>154</v>
      </c>
      <c r="R451">
        <v>76</v>
      </c>
      <c r="S451">
        <v>0.49349999999999999</v>
      </c>
    </row>
    <row r="452" spans="1:19">
      <c r="A452" t="s">
        <v>8</v>
      </c>
      <c r="B452" t="s">
        <v>145</v>
      </c>
      <c r="C452" t="str">
        <f>Data_Master[[#This Row],[Uniq-ID]]&amp;"-"&amp;Data_Master[[#This Row],[Period]]</f>
        <v>DC-Document_Controller-033-M4</v>
      </c>
      <c r="D452" t="s">
        <v>146</v>
      </c>
      <c r="E452" t="s">
        <v>76</v>
      </c>
      <c r="G452" t="s">
        <v>25</v>
      </c>
      <c r="H452" t="s">
        <v>26</v>
      </c>
      <c r="I452" t="s">
        <v>15</v>
      </c>
      <c r="J452" t="s">
        <v>16</v>
      </c>
      <c r="L452">
        <v>1.5</v>
      </c>
      <c r="M452">
        <v>3.64</v>
      </c>
      <c r="N452" t="s">
        <v>2871</v>
      </c>
      <c r="O452" t="s">
        <v>2956</v>
      </c>
      <c r="P452" t="s">
        <v>2873</v>
      </c>
      <c r="Q452">
        <v>298</v>
      </c>
      <c r="R452">
        <v>124</v>
      </c>
      <c r="S452">
        <v>0.41610000000000003</v>
      </c>
    </row>
    <row r="453" spans="1:19">
      <c r="A453" t="s">
        <v>8</v>
      </c>
      <c r="B453" t="s">
        <v>145</v>
      </c>
      <c r="C453" t="str">
        <f>Data_Master[[#This Row],[Uniq-ID]]&amp;"-"&amp;Data_Master[[#This Row],[Period]]</f>
        <v>DC-Document_Controller-033-M4</v>
      </c>
      <c r="D453" t="s">
        <v>146</v>
      </c>
      <c r="E453" t="s">
        <v>76</v>
      </c>
      <c r="G453" t="s">
        <v>25</v>
      </c>
      <c r="H453" t="s">
        <v>26</v>
      </c>
      <c r="I453" t="s">
        <v>15</v>
      </c>
      <c r="J453" t="s">
        <v>16</v>
      </c>
      <c r="L453">
        <v>1.5</v>
      </c>
      <c r="M453">
        <v>3.64</v>
      </c>
      <c r="N453" t="s">
        <v>2871</v>
      </c>
      <c r="O453" t="s">
        <v>2954</v>
      </c>
      <c r="P453" t="s">
        <v>2873</v>
      </c>
      <c r="Q453">
        <v>220</v>
      </c>
      <c r="R453">
        <v>478</v>
      </c>
      <c r="S453">
        <v>2.1726999999999999</v>
      </c>
    </row>
    <row r="454" spans="1:19">
      <c r="A454" t="s">
        <v>8</v>
      </c>
      <c r="B454" t="s">
        <v>145</v>
      </c>
      <c r="C454" t="str">
        <f>Data_Master[[#This Row],[Uniq-ID]]&amp;"-"&amp;Data_Master[[#This Row],[Period]]</f>
        <v>DC-Document_Controller-033-M4</v>
      </c>
      <c r="D454" t="s">
        <v>146</v>
      </c>
      <c r="E454" t="s">
        <v>76</v>
      </c>
      <c r="G454" t="s">
        <v>25</v>
      </c>
      <c r="H454" t="s">
        <v>26</v>
      </c>
      <c r="I454" t="s">
        <v>15</v>
      </c>
      <c r="J454" t="s">
        <v>16</v>
      </c>
      <c r="L454">
        <v>1.5</v>
      </c>
      <c r="M454">
        <v>3.64</v>
      </c>
      <c r="N454" t="s">
        <v>2871</v>
      </c>
      <c r="O454" t="s">
        <v>2952</v>
      </c>
      <c r="P454" t="s">
        <v>2873</v>
      </c>
      <c r="Q454">
        <v>257</v>
      </c>
      <c r="R454">
        <v>43</v>
      </c>
      <c r="S454">
        <v>0.1673</v>
      </c>
    </row>
    <row r="455" spans="1:19">
      <c r="A455" t="s">
        <v>8</v>
      </c>
      <c r="B455" t="s">
        <v>145</v>
      </c>
      <c r="C455" t="str">
        <f>Data_Master[[#This Row],[Uniq-ID]]&amp;"-"&amp;Data_Master[[#This Row],[Period]]</f>
        <v>DC-Document_Controller-033-M4</v>
      </c>
      <c r="D455" t="s">
        <v>146</v>
      </c>
      <c r="E455" t="s">
        <v>76</v>
      </c>
      <c r="G455" t="s">
        <v>25</v>
      </c>
      <c r="H455" t="s">
        <v>26</v>
      </c>
      <c r="I455" t="s">
        <v>15</v>
      </c>
      <c r="J455" t="s">
        <v>16</v>
      </c>
      <c r="L455">
        <v>1.5</v>
      </c>
      <c r="M455">
        <v>3.64</v>
      </c>
      <c r="N455" t="s">
        <v>2871</v>
      </c>
      <c r="O455" t="s">
        <v>2950</v>
      </c>
      <c r="P455" t="s">
        <v>2873</v>
      </c>
      <c r="Q455">
        <v>88</v>
      </c>
      <c r="R455">
        <v>31</v>
      </c>
      <c r="S455">
        <v>0.3523</v>
      </c>
    </row>
    <row r="456" spans="1:19">
      <c r="A456" t="s">
        <v>8</v>
      </c>
      <c r="B456" t="s">
        <v>145</v>
      </c>
      <c r="C456" t="str">
        <f>Data_Master[[#This Row],[Uniq-ID]]&amp;"-"&amp;Data_Master[[#This Row],[Period]]</f>
        <v>DC-Document_Controller-033-M4</v>
      </c>
      <c r="D456" t="s">
        <v>146</v>
      </c>
      <c r="E456" t="s">
        <v>76</v>
      </c>
      <c r="G456" t="s">
        <v>25</v>
      </c>
      <c r="H456" t="s">
        <v>26</v>
      </c>
      <c r="I456" t="s">
        <v>15</v>
      </c>
      <c r="J456" t="s">
        <v>16</v>
      </c>
      <c r="L456">
        <v>1.5</v>
      </c>
      <c r="M456">
        <v>3.64</v>
      </c>
      <c r="N456" t="s">
        <v>2947</v>
      </c>
      <c r="O456" t="s">
        <v>2988</v>
      </c>
      <c r="P456" t="s">
        <v>2873</v>
      </c>
      <c r="Q456">
        <v>103</v>
      </c>
      <c r="R456">
        <v>2</v>
      </c>
      <c r="S456">
        <v>1.9400000000000001E-2</v>
      </c>
    </row>
    <row r="457" spans="1:19">
      <c r="A457" t="s">
        <v>8</v>
      </c>
      <c r="B457" t="s">
        <v>145</v>
      </c>
      <c r="C457" t="str">
        <f>Data_Master[[#This Row],[Uniq-ID]]&amp;"-"&amp;Data_Master[[#This Row],[Period]]</f>
        <v>DC-Document_Controller-033-M4</v>
      </c>
      <c r="D457" t="s">
        <v>146</v>
      </c>
      <c r="E457" t="s">
        <v>76</v>
      </c>
      <c r="G457" t="s">
        <v>25</v>
      </c>
      <c r="H457" t="s">
        <v>26</v>
      </c>
      <c r="I457" t="s">
        <v>15</v>
      </c>
      <c r="J457" t="s">
        <v>16</v>
      </c>
      <c r="L457">
        <v>1.5</v>
      </c>
      <c r="M457">
        <v>3.64</v>
      </c>
      <c r="N457" t="s">
        <v>2947</v>
      </c>
      <c r="O457" t="s">
        <v>2948</v>
      </c>
      <c r="P457" t="s">
        <v>2873</v>
      </c>
      <c r="Q457">
        <v>110</v>
      </c>
      <c r="R457">
        <v>2</v>
      </c>
      <c r="S457">
        <v>1.8200000000000001E-2</v>
      </c>
    </row>
    <row r="458" spans="1:19">
      <c r="A458" t="s">
        <v>8</v>
      </c>
      <c r="B458" t="s">
        <v>145</v>
      </c>
      <c r="C458" t="str">
        <f>Data_Master[[#This Row],[Uniq-ID]]&amp;"-"&amp;Data_Master[[#This Row],[Period]]</f>
        <v>DC-Document_Controller-033-M5</v>
      </c>
      <c r="D458" t="s">
        <v>146</v>
      </c>
      <c r="E458" t="s">
        <v>76</v>
      </c>
      <c r="G458" t="s">
        <v>28</v>
      </c>
      <c r="H458" t="s">
        <v>29</v>
      </c>
      <c r="I458" t="s">
        <v>15</v>
      </c>
      <c r="J458" t="s">
        <v>20</v>
      </c>
      <c r="L458">
        <v>1</v>
      </c>
      <c r="M458">
        <v>1.3320000000000001</v>
      </c>
      <c r="N458" t="s">
        <v>2947</v>
      </c>
      <c r="O458" t="s">
        <v>2988</v>
      </c>
      <c r="P458" t="s">
        <v>2873</v>
      </c>
      <c r="Q458">
        <v>103</v>
      </c>
      <c r="R458">
        <v>3</v>
      </c>
      <c r="S458">
        <v>2.9100000000000001E-2</v>
      </c>
    </row>
    <row r="459" spans="1:19">
      <c r="A459" t="s">
        <v>8</v>
      </c>
      <c r="B459" t="s">
        <v>145</v>
      </c>
      <c r="C459" t="str">
        <f>Data_Master[[#This Row],[Uniq-ID]]&amp;"-"&amp;Data_Master[[#This Row],[Period]]</f>
        <v>DC-Document_Controller-033-M5</v>
      </c>
      <c r="D459" t="s">
        <v>146</v>
      </c>
      <c r="E459" t="s">
        <v>76</v>
      </c>
      <c r="G459" t="s">
        <v>28</v>
      </c>
      <c r="H459" t="s">
        <v>29</v>
      </c>
      <c r="I459" t="s">
        <v>15</v>
      </c>
      <c r="J459" t="s">
        <v>20</v>
      </c>
      <c r="L459">
        <v>1</v>
      </c>
      <c r="M459">
        <v>1.3320000000000001</v>
      </c>
      <c r="N459" t="s">
        <v>2871</v>
      </c>
      <c r="O459" t="s">
        <v>3061</v>
      </c>
      <c r="P459" t="s">
        <v>2873</v>
      </c>
      <c r="Q459">
        <v>66</v>
      </c>
      <c r="R459">
        <v>3</v>
      </c>
      <c r="S459">
        <v>4.5499999999999999E-2</v>
      </c>
    </row>
    <row r="460" spans="1:19">
      <c r="A460" t="s">
        <v>8</v>
      </c>
      <c r="B460" t="s">
        <v>145</v>
      </c>
      <c r="C460" t="str">
        <f>Data_Master[[#This Row],[Uniq-ID]]&amp;"-"&amp;Data_Master[[#This Row],[Period]]</f>
        <v>DC-Document_Controller-033-M5</v>
      </c>
      <c r="D460" t="s">
        <v>146</v>
      </c>
      <c r="E460" t="s">
        <v>76</v>
      </c>
      <c r="G460" t="s">
        <v>28</v>
      </c>
      <c r="H460" t="s">
        <v>29</v>
      </c>
      <c r="I460" t="s">
        <v>15</v>
      </c>
      <c r="J460" t="s">
        <v>20</v>
      </c>
      <c r="L460">
        <v>1</v>
      </c>
      <c r="M460">
        <v>1.3320000000000001</v>
      </c>
      <c r="N460" t="s">
        <v>2871</v>
      </c>
      <c r="O460" t="s">
        <v>2950</v>
      </c>
      <c r="P460" t="s">
        <v>2873</v>
      </c>
      <c r="Q460">
        <v>88</v>
      </c>
      <c r="R460">
        <v>2</v>
      </c>
      <c r="S460">
        <v>2.2700000000000001E-2</v>
      </c>
    </row>
    <row r="461" spans="1:19">
      <c r="A461" t="s">
        <v>8</v>
      </c>
      <c r="B461" t="s">
        <v>145</v>
      </c>
      <c r="C461" t="str">
        <f>Data_Master[[#This Row],[Uniq-ID]]&amp;"-"&amp;Data_Master[[#This Row],[Period]]</f>
        <v>DC-Document_Controller-033-M5</v>
      </c>
      <c r="D461" t="s">
        <v>146</v>
      </c>
      <c r="E461" t="s">
        <v>76</v>
      </c>
      <c r="G461" t="s">
        <v>28</v>
      </c>
      <c r="H461" t="s">
        <v>29</v>
      </c>
      <c r="I461" t="s">
        <v>15</v>
      </c>
      <c r="J461" t="s">
        <v>20</v>
      </c>
      <c r="L461">
        <v>1</v>
      </c>
      <c r="M461">
        <v>1.3320000000000001</v>
      </c>
      <c r="N461" t="s">
        <v>2871</v>
      </c>
      <c r="O461" t="s">
        <v>2952</v>
      </c>
      <c r="P461" t="s">
        <v>2873</v>
      </c>
      <c r="Q461">
        <v>257</v>
      </c>
      <c r="R461">
        <v>2</v>
      </c>
      <c r="S461">
        <v>7.7999999999999996E-3</v>
      </c>
    </row>
    <row r="462" spans="1:19">
      <c r="A462" t="s">
        <v>8</v>
      </c>
      <c r="B462" t="s">
        <v>145</v>
      </c>
      <c r="C462" t="str">
        <f>Data_Master[[#This Row],[Uniq-ID]]&amp;"-"&amp;Data_Master[[#This Row],[Period]]</f>
        <v>DC-Document_Controller-033-M5</v>
      </c>
      <c r="D462" t="s">
        <v>146</v>
      </c>
      <c r="E462" t="s">
        <v>76</v>
      </c>
      <c r="G462" t="s">
        <v>28</v>
      </c>
      <c r="H462" t="s">
        <v>29</v>
      </c>
      <c r="I462" t="s">
        <v>15</v>
      </c>
      <c r="J462" t="s">
        <v>20</v>
      </c>
      <c r="L462">
        <v>1</v>
      </c>
      <c r="M462">
        <v>1.3320000000000001</v>
      </c>
      <c r="N462" t="s">
        <v>2871</v>
      </c>
      <c r="O462" t="s">
        <v>2954</v>
      </c>
      <c r="P462" t="s">
        <v>2873</v>
      </c>
      <c r="Q462">
        <v>220</v>
      </c>
      <c r="R462">
        <v>58</v>
      </c>
      <c r="S462">
        <v>0.2636</v>
      </c>
    </row>
    <row r="463" spans="1:19">
      <c r="A463" t="s">
        <v>8</v>
      </c>
      <c r="B463" t="s">
        <v>145</v>
      </c>
      <c r="C463" t="str">
        <f>Data_Master[[#This Row],[Uniq-ID]]&amp;"-"&amp;Data_Master[[#This Row],[Period]]</f>
        <v>DC-Document_Controller-033-M5</v>
      </c>
      <c r="D463" t="s">
        <v>146</v>
      </c>
      <c r="E463" t="s">
        <v>76</v>
      </c>
      <c r="G463" t="s">
        <v>28</v>
      </c>
      <c r="H463" t="s">
        <v>29</v>
      </c>
      <c r="I463" t="s">
        <v>15</v>
      </c>
      <c r="J463" t="s">
        <v>20</v>
      </c>
      <c r="L463">
        <v>1</v>
      </c>
      <c r="M463">
        <v>1.3320000000000001</v>
      </c>
      <c r="N463" t="s">
        <v>2871</v>
      </c>
      <c r="O463" t="s">
        <v>2956</v>
      </c>
      <c r="P463" t="s">
        <v>2873</v>
      </c>
      <c r="Q463">
        <v>298</v>
      </c>
      <c r="R463">
        <v>229</v>
      </c>
      <c r="S463">
        <v>0.76849999999999996</v>
      </c>
    </row>
    <row r="464" spans="1:19">
      <c r="A464" t="s">
        <v>8</v>
      </c>
      <c r="B464" t="s">
        <v>145</v>
      </c>
      <c r="C464" t="str">
        <f>Data_Master[[#This Row],[Uniq-ID]]&amp;"-"&amp;Data_Master[[#This Row],[Period]]</f>
        <v>DC-Document_Controller-033-M5</v>
      </c>
      <c r="D464" t="s">
        <v>146</v>
      </c>
      <c r="E464" t="s">
        <v>76</v>
      </c>
      <c r="G464" t="s">
        <v>28</v>
      </c>
      <c r="H464" t="s">
        <v>29</v>
      </c>
      <c r="I464" t="s">
        <v>15</v>
      </c>
      <c r="J464" t="s">
        <v>20</v>
      </c>
      <c r="L464">
        <v>1</v>
      </c>
      <c r="M464">
        <v>1.3320000000000001</v>
      </c>
      <c r="N464" t="s">
        <v>2871</v>
      </c>
      <c r="O464" t="s">
        <v>2958</v>
      </c>
      <c r="P464" t="s">
        <v>2873</v>
      </c>
      <c r="Q464">
        <v>154</v>
      </c>
      <c r="R464">
        <v>30</v>
      </c>
      <c r="S464">
        <v>0.1948</v>
      </c>
    </row>
    <row r="465" spans="1:19">
      <c r="A465" t="s">
        <v>8</v>
      </c>
      <c r="B465" t="s">
        <v>145</v>
      </c>
      <c r="C465" t="str">
        <f>Data_Master[[#This Row],[Uniq-ID]]&amp;"-"&amp;Data_Master[[#This Row],[Period]]</f>
        <v>DC-Document_Controller-033-M6</v>
      </c>
      <c r="D465" t="s">
        <v>146</v>
      </c>
      <c r="E465" t="s">
        <v>76</v>
      </c>
      <c r="G465" t="s">
        <v>31</v>
      </c>
      <c r="H465" t="s">
        <v>32</v>
      </c>
      <c r="I465" t="s">
        <v>33</v>
      </c>
      <c r="J465" t="s">
        <v>44</v>
      </c>
      <c r="L465">
        <v>0.61</v>
      </c>
      <c r="M465">
        <v>0.60899999999999999</v>
      </c>
      <c r="N465" t="s">
        <v>2871</v>
      </c>
      <c r="O465" t="s">
        <v>2958</v>
      </c>
      <c r="P465" t="s">
        <v>2873</v>
      </c>
      <c r="Q465">
        <v>154</v>
      </c>
      <c r="R465">
        <v>9</v>
      </c>
      <c r="S465">
        <v>5.8400000000000001E-2</v>
      </c>
    </row>
    <row r="466" spans="1:19">
      <c r="A466" t="s">
        <v>8</v>
      </c>
      <c r="B466" t="s">
        <v>145</v>
      </c>
      <c r="C466" t="str">
        <f>Data_Master[[#This Row],[Uniq-ID]]&amp;"-"&amp;Data_Master[[#This Row],[Period]]</f>
        <v>DC-Document_Controller-033-M6</v>
      </c>
      <c r="D466" t="s">
        <v>146</v>
      </c>
      <c r="E466" t="s">
        <v>76</v>
      </c>
      <c r="G466" t="s">
        <v>31</v>
      </c>
      <c r="H466" t="s">
        <v>32</v>
      </c>
      <c r="I466" t="s">
        <v>33</v>
      </c>
      <c r="J466" t="s">
        <v>44</v>
      </c>
      <c r="L466">
        <v>0.61</v>
      </c>
      <c r="M466">
        <v>0.60899999999999999</v>
      </c>
      <c r="N466" t="s">
        <v>2871</v>
      </c>
      <c r="O466" t="s">
        <v>2956</v>
      </c>
      <c r="P466" t="s">
        <v>2873</v>
      </c>
      <c r="Q466">
        <v>298</v>
      </c>
      <c r="R466">
        <v>132</v>
      </c>
      <c r="S466">
        <v>0.443</v>
      </c>
    </row>
    <row r="467" spans="1:19">
      <c r="A467" t="s">
        <v>8</v>
      </c>
      <c r="B467" t="s">
        <v>145</v>
      </c>
      <c r="C467" t="str">
        <f>Data_Master[[#This Row],[Uniq-ID]]&amp;"-"&amp;Data_Master[[#This Row],[Period]]</f>
        <v>DC-Document_Controller-033-M6</v>
      </c>
      <c r="D467" t="s">
        <v>146</v>
      </c>
      <c r="E467" t="s">
        <v>76</v>
      </c>
      <c r="G467" t="s">
        <v>31</v>
      </c>
      <c r="H467" t="s">
        <v>32</v>
      </c>
      <c r="I467" t="s">
        <v>33</v>
      </c>
      <c r="J467" t="s">
        <v>44</v>
      </c>
      <c r="L467">
        <v>0.61</v>
      </c>
      <c r="M467">
        <v>0.60899999999999999</v>
      </c>
      <c r="N467" t="s">
        <v>2871</v>
      </c>
      <c r="O467" t="s">
        <v>2954</v>
      </c>
      <c r="P467" t="s">
        <v>2873</v>
      </c>
      <c r="Q467">
        <v>220</v>
      </c>
      <c r="R467">
        <v>21</v>
      </c>
      <c r="S467">
        <v>9.5500000000000002E-2</v>
      </c>
    </row>
    <row r="468" spans="1:19">
      <c r="A468" t="s">
        <v>8</v>
      </c>
      <c r="B468" t="s">
        <v>145</v>
      </c>
      <c r="C468" t="str">
        <f>Data_Master[[#This Row],[Uniq-ID]]&amp;"-"&amp;Data_Master[[#This Row],[Period]]</f>
        <v>DC-Document_Controller-033-M6</v>
      </c>
      <c r="D468" t="s">
        <v>146</v>
      </c>
      <c r="E468" t="s">
        <v>76</v>
      </c>
      <c r="G468" t="s">
        <v>31</v>
      </c>
      <c r="H468" t="s">
        <v>32</v>
      </c>
      <c r="I468" t="s">
        <v>33</v>
      </c>
      <c r="J468" t="s">
        <v>44</v>
      </c>
      <c r="L468">
        <v>0.61</v>
      </c>
      <c r="M468">
        <v>0.60899999999999999</v>
      </c>
      <c r="N468" t="s">
        <v>2871</v>
      </c>
      <c r="O468" t="s">
        <v>2952</v>
      </c>
      <c r="P468" t="s">
        <v>2873</v>
      </c>
      <c r="Q468">
        <v>257</v>
      </c>
      <c r="R468">
        <v>3</v>
      </c>
      <c r="S468">
        <v>1.17E-2</v>
      </c>
    </row>
    <row r="469" spans="1:19">
      <c r="A469" t="s">
        <v>8</v>
      </c>
      <c r="B469" t="s">
        <v>138</v>
      </c>
      <c r="C469" t="str">
        <f>Data_Master[[#This Row],[Uniq-ID]]&amp;"-"&amp;Data_Master[[#This Row],[Period]]</f>
        <v>DC-Document_Controller-034-M1</v>
      </c>
      <c r="D469" t="s">
        <v>139</v>
      </c>
      <c r="E469" t="s">
        <v>140</v>
      </c>
      <c r="G469" t="s">
        <v>13</v>
      </c>
      <c r="H469" t="s">
        <v>14</v>
      </c>
      <c r="I469" t="s">
        <v>15</v>
      </c>
      <c r="J469" t="s">
        <v>16</v>
      </c>
      <c r="L469">
        <v>1.5</v>
      </c>
      <c r="M469">
        <v>9.52</v>
      </c>
      <c r="N469" t="s">
        <v>2871</v>
      </c>
      <c r="O469" t="s">
        <v>3050</v>
      </c>
      <c r="P469" t="s">
        <v>2873</v>
      </c>
      <c r="Q469">
        <v>14</v>
      </c>
      <c r="R469">
        <v>14</v>
      </c>
      <c r="S469">
        <v>1</v>
      </c>
    </row>
    <row r="470" spans="1:19">
      <c r="A470" t="s">
        <v>8</v>
      </c>
      <c r="B470" t="s">
        <v>138</v>
      </c>
      <c r="C470" t="str">
        <f>Data_Master[[#This Row],[Uniq-ID]]&amp;"-"&amp;Data_Master[[#This Row],[Period]]</f>
        <v>DC-Document_Controller-034-M1</v>
      </c>
      <c r="D470" t="s">
        <v>139</v>
      </c>
      <c r="E470" t="s">
        <v>140</v>
      </c>
      <c r="G470" t="s">
        <v>13</v>
      </c>
      <c r="H470" t="s">
        <v>14</v>
      </c>
      <c r="I470" t="s">
        <v>15</v>
      </c>
      <c r="J470" t="s">
        <v>16</v>
      </c>
      <c r="L470">
        <v>1.5</v>
      </c>
      <c r="M470">
        <v>9.52</v>
      </c>
      <c r="N470" t="s">
        <v>2887</v>
      </c>
      <c r="O470" t="s">
        <v>3051</v>
      </c>
      <c r="P470" t="s">
        <v>2873</v>
      </c>
      <c r="Q470">
        <v>14</v>
      </c>
      <c r="R470">
        <v>14</v>
      </c>
      <c r="S470">
        <v>1</v>
      </c>
    </row>
    <row r="471" spans="1:19">
      <c r="A471" t="s">
        <v>8</v>
      </c>
      <c r="B471" t="s">
        <v>138</v>
      </c>
      <c r="C471" t="str">
        <f>Data_Master[[#This Row],[Uniq-ID]]&amp;"-"&amp;Data_Master[[#This Row],[Period]]</f>
        <v>DC-Document_Controller-034-M1</v>
      </c>
      <c r="D471" t="s">
        <v>139</v>
      </c>
      <c r="E471" t="s">
        <v>140</v>
      </c>
      <c r="G471" t="s">
        <v>13</v>
      </c>
      <c r="H471" t="s">
        <v>14</v>
      </c>
      <c r="I471" t="s">
        <v>15</v>
      </c>
      <c r="J471" t="s">
        <v>16</v>
      </c>
      <c r="L471">
        <v>1.5</v>
      </c>
      <c r="M471">
        <v>9.52</v>
      </c>
      <c r="N471" t="s">
        <v>2887</v>
      </c>
      <c r="O471" t="s">
        <v>3052</v>
      </c>
      <c r="P471" t="s">
        <v>2873</v>
      </c>
      <c r="Q471">
        <v>25</v>
      </c>
      <c r="R471">
        <v>188</v>
      </c>
      <c r="S471">
        <v>7.52</v>
      </c>
    </row>
    <row r="472" spans="1:19">
      <c r="A472" t="s">
        <v>8</v>
      </c>
      <c r="B472" t="s">
        <v>138</v>
      </c>
      <c r="C472" t="str">
        <f>Data_Master[[#This Row],[Uniq-ID]]&amp;"-"&amp;Data_Master[[#This Row],[Period]]</f>
        <v>DC-Document_Controller-034-M2</v>
      </c>
      <c r="D472" t="s">
        <v>139</v>
      </c>
      <c r="E472" t="s">
        <v>140</v>
      </c>
      <c r="G472" t="s">
        <v>18</v>
      </c>
      <c r="H472" t="s">
        <v>19</v>
      </c>
      <c r="I472" t="s">
        <v>15</v>
      </c>
      <c r="J472" t="s">
        <v>16</v>
      </c>
      <c r="L472">
        <v>1.5</v>
      </c>
      <c r="M472">
        <v>9.4860000000000007</v>
      </c>
      <c r="N472" t="s">
        <v>2887</v>
      </c>
      <c r="O472" t="s">
        <v>3052</v>
      </c>
      <c r="P472" t="s">
        <v>2873</v>
      </c>
      <c r="Q472">
        <v>25</v>
      </c>
      <c r="R472">
        <v>180</v>
      </c>
      <c r="S472">
        <v>7.2</v>
      </c>
    </row>
    <row r="473" spans="1:19">
      <c r="A473" t="s">
        <v>8</v>
      </c>
      <c r="B473" t="s">
        <v>138</v>
      </c>
      <c r="C473" t="str">
        <f>Data_Master[[#This Row],[Uniq-ID]]&amp;"-"&amp;Data_Master[[#This Row],[Period]]</f>
        <v>DC-Document_Controller-034-M2</v>
      </c>
      <c r="D473" t="s">
        <v>139</v>
      </c>
      <c r="E473" t="s">
        <v>140</v>
      </c>
      <c r="G473" t="s">
        <v>18</v>
      </c>
      <c r="H473" t="s">
        <v>19</v>
      </c>
      <c r="I473" t="s">
        <v>15</v>
      </c>
      <c r="J473" t="s">
        <v>16</v>
      </c>
      <c r="L473">
        <v>1.5</v>
      </c>
      <c r="M473">
        <v>9.4860000000000007</v>
      </c>
      <c r="N473" t="s">
        <v>2887</v>
      </c>
      <c r="O473" t="s">
        <v>3051</v>
      </c>
      <c r="P473" t="s">
        <v>2873</v>
      </c>
      <c r="Q473">
        <v>14</v>
      </c>
      <c r="R473">
        <v>12</v>
      </c>
      <c r="S473">
        <v>0.85709999999999997</v>
      </c>
    </row>
    <row r="474" spans="1:19">
      <c r="A474" t="s">
        <v>8</v>
      </c>
      <c r="B474" t="s">
        <v>138</v>
      </c>
      <c r="C474" t="str">
        <f>Data_Master[[#This Row],[Uniq-ID]]&amp;"-"&amp;Data_Master[[#This Row],[Period]]</f>
        <v>DC-Document_Controller-034-M2</v>
      </c>
      <c r="D474" t="s">
        <v>139</v>
      </c>
      <c r="E474" t="s">
        <v>140</v>
      </c>
      <c r="G474" t="s">
        <v>18</v>
      </c>
      <c r="H474" t="s">
        <v>19</v>
      </c>
      <c r="I474" t="s">
        <v>15</v>
      </c>
      <c r="J474" t="s">
        <v>16</v>
      </c>
      <c r="L474">
        <v>1.5</v>
      </c>
      <c r="M474">
        <v>9.4860000000000007</v>
      </c>
      <c r="N474" t="s">
        <v>2871</v>
      </c>
      <c r="O474" t="s">
        <v>3050</v>
      </c>
      <c r="P474" t="s">
        <v>2873</v>
      </c>
      <c r="Q474">
        <v>14</v>
      </c>
      <c r="R474">
        <v>20</v>
      </c>
      <c r="S474">
        <v>1.4286000000000001</v>
      </c>
    </row>
    <row r="475" spans="1:19">
      <c r="A475" t="s">
        <v>8</v>
      </c>
      <c r="B475" t="s">
        <v>138</v>
      </c>
      <c r="C475" t="str">
        <f>Data_Master[[#This Row],[Uniq-ID]]&amp;"-"&amp;Data_Master[[#This Row],[Period]]</f>
        <v>DC-Document_Controller-034-M3</v>
      </c>
      <c r="D475" t="s">
        <v>139</v>
      </c>
      <c r="E475" t="s">
        <v>140</v>
      </c>
      <c r="G475" t="s">
        <v>22</v>
      </c>
      <c r="H475" t="s">
        <v>23</v>
      </c>
      <c r="I475" t="s">
        <v>15</v>
      </c>
      <c r="J475" t="s">
        <v>16</v>
      </c>
      <c r="L475">
        <v>1.41</v>
      </c>
      <c r="M475">
        <v>2.82</v>
      </c>
      <c r="N475" t="s">
        <v>2887</v>
      </c>
      <c r="O475" t="s">
        <v>3052</v>
      </c>
      <c r="P475" t="s">
        <v>2873</v>
      </c>
      <c r="Q475">
        <v>25</v>
      </c>
      <c r="R475">
        <v>58</v>
      </c>
      <c r="S475">
        <v>2.3199999999999998</v>
      </c>
    </row>
    <row r="476" spans="1:19">
      <c r="A476" t="s">
        <v>8</v>
      </c>
      <c r="B476" t="s">
        <v>138</v>
      </c>
      <c r="C476" t="str">
        <f>Data_Master[[#This Row],[Uniq-ID]]&amp;"-"&amp;Data_Master[[#This Row],[Period]]</f>
        <v>DC-Document_Controller-034-M3</v>
      </c>
      <c r="D476" t="s">
        <v>139</v>
      </c>
      <c r="E476" t="s">
        <v>140</v>
      </c>
      <c r="G476" t="s">
        <v>22</v>
      </c>
      <c r="H476" t="s">
        <v>23</v>
      </c>
      <c r="I476" t="s">
        <v>15</v>
      </c>
      <c r="J476" t="s">
        <v>16</v>
      </c>
      <c r="L476">
        <v>1.41</v>
      </c>
      <c r="M476">
        <v>2.82</v>
      </c>
      <c r="N476" t="s">
        <v>2887</v>
      </c>
      <c r="O476" t="s">
        <v>3051</v>
      </c>
      <c r="P476" t="s">
        <v>2873</v>
      </c>
      <c r="Q476">
        <v>14</v>
      </c>
      <c r="R476">
        <v>5</v>
      </c>
      <c r="S476">
        <v>0.35709999999999997</v>
      </c>
    </row>
    <row r="477" spans="1:19">
      <c r="A477" t="s">
        <v>8</v>
      </c>
      <c r="B477" t="s">
        <v>138</v>
      </c>
      <c r="C477" t="str">
        <f>Data_Master[[#This Row],[Uniq-ID]]&amp;"-"&amp;Data_Master[[#This Row],[Period]]</f>
        <v>DC-Document_Controller-034-M3</v>
      </c>
      <c r="D477" t="s">
        <v>139</v>
      </c>
      <c r="E477" t="s">
        <v>140</v>
      </c>
      <c r="G477" t="s">
        <v>22</v>
      </c>
      <c r="H477" t="s">
        <v>23</v>
      </c>
      <c r="I477" t="s">
        <v>15</v>
      </c>
      <c r="J477" t="s">
        <v>16</v>
      </c>
      <c r="L477">
        <v>1.41</v>
      </c>
      <c r="M477">
        <v>2.82</v>
      </c>
      <c r="N477" t="s">
        <v>2871</v>
      </c>
      <c r="O477" t="s">
        <v>3050</v>
      </c>
      <c r="P477" t="s">
        <v>2873</v>
      </c>
      <c r="Q477">
        <v>14</v>
      </c>
      <c r="R477">
        <v>2</v>
      </c>
      <c r="S477">
        <v>0.1429</v>
      </c>
    </row>
    <row r="478" spans="1:19">
      <c r="A478" t="s">
        <v>8</v>
      </c>
      <c r="B478" t="s">
        <v>138</v>
      </c>
      <c r="C478" t="str">
        <f>Data_Master[[#This Row],[Uniq-ID]]&amp;"-"&amp;Data_Master[[#This Row],[Period]]</f>
        <v>DC-Document_Controller-034-M4</v>
      </c>
      <c r="D478" t="s">
        <v>139</v>
      </c>
      <c r="E478" t="s">
        <v>140</v>
      </c>
      <c r="G478" t="s">
        <v>25</v>
      </c>
      <c r="H478" t="s">
        <v>26</v>
      </c>
      <c r="I478" t="s">
        <v>15</v>
      </c>
      <c r="J478" t="s">
        <v>16</v>
      </c>
      <c r="L478">
        <v>1.06</v>
      </c>
      <c r="M478">
        <v>2.12</v>
      </c>
      <c r="N478" t="s">
        <v>2887</v>
      </c>
      <c r="O478" t="s">
        <v>3052</v>
      </c>
      <c r="P478" t="s">
        <v>2873</v>
      </c>
      <c r="Q478">
        <v>25</v>
      </c>
      <c r="R478">
        <v>28</v>
      </c>
      <c r="S478">
        <v>1.1200000000000001</v>
      </c>
    </row>
    <row r="479" spans="1:19">
      <c r="A479" t="s">
        <v>8</v>
      </c>
      <c r="B479" t="s">
        <v>138</v>
      </c>
      <c r="C479" t="str">
        <f>Data_Master[[#This Row],[Uniq-ID]]&amp;"-"&amp;Data_Master[[#This Row],[Period]]</f>
        <v>DC-Document_Controller-034-M4</v>
      </c>
      <c r="D479" t="s">
        <v>139</v>
      </c>
      <c r="E479" t="s">
        <v>140</v>
      </c>
      <c r="G479" t="s">
        <v>25</v>
      </c>
      <c r="H479" t="s">
        <v>26</v>
      </c>
      <c r="I479" t="s">
        <v>15</v>
      </c>
      <c r="J479" t="s">
        <v>16</v>
      </c>
      <c r="L479">
        <v>1.06</v>
      </c>
      <c r="M479">
        <v>2.12</v>
      </c>
      <c r="N479" t="s">
        <v>2887</v>
      </c>
      <c r="O479" t="s">
        <v>3051</v>
      </c>
      <c r="P479" t="s">
        <v>2873</v>
      </c>
      <c r="Q479">
        <v>14</v>
      </c>
      <c r="R479">
        <v>12</v>
      </c>
      <c r="S479">
        <v>0.85709999999999997</v>
      </c>
    </row>
    <row r="480" spans="1:19">
      <c r="A480" t="s">
        <v>8</v>
      </c>
      <c r="B480" t="s">
        <v>138</v>
      </c>
      <c r="C480" t="str">
        <f>Data_Master[[#This Row],[Uniq-ID]]&amp;"-"&amp;Data_Master[[#This Row],[Period]]</f>
        <v>DC-Document_Controller-034-M4</v>
      </c>
      <c r="D480" t="s">
        <v>139</v>
      </c>
      <c r="E480" t="s">
        <v>140</v>
      </c>
      <c r="G480" t="s">
        <v>25</v>
      </c>
      <c r="H480" t="s">
        <v>26</v>
      </c>
      <c r="I480" t="s">
        <v>15</v>
      </c>
      <c r="J480" t="s">
        <v>16</v>
      </c>
      <c r="L480">
        <v>1.06</v>
      </c>
      <c r="M480">
        <v>2.12</v>
      </c>
      <c r="N480" t="s">
        <v>2871</v>
      </c>
      <c r="O480" t="s">
        <v>3050</v>
      </c>
      <c r="P480" t="s">
        <v>2873</v>
      </c>
      <c r="Q480">
        <v>14</v>
      </c>
      <c r="R480">
        <v>2</v>
      </c>
      <c r="S480">
        <v>0.1429</v>
      </c>
    </row>
    <row r="481" spans="1:19">
      <c r="A481" t="s">
        <v>8</v>
      </c>
      <c r="B481" t="s">
        <v>138</v>
      </c>
      <c r="C481" t="str">
        <f>Data_Master[[#This Row],[Uniq-ID]]&amp;"-"&amp;Data_Master[[#This Row],[Period]]</f>
        <v>DC-Document_Controller-034-M5</v>
      </c>
      <c r="D481" t="s">
        <v>139</v>
      </c>
      <c r="E481" t="s">
        <v>140</v>
      </c>
      <c r="G481" t="s">
        <v>28</v>
      </c>
      <c r="H481" t="s">
        <v>29</v>
      </c>
      <c r="I481" t="s">
        <v>15</v>
      </c>
      <c r="J481" t="s">
        <v>44</v>
      </c>
      <c r="M481">
        <v>0</v>
      </c>
    </row>
    <row r="482" spans="1:19">
      <c r="A482" t="s">
        <v>8</v>
      </c>
      <c r="B482" t="s">
        <v>138</v>
      </c>
      <c r="C482" t="str">
        <f>Data_Master[[#This Row],[Uniq-ID]]&amp;"-"&amp;Data_Master[[#This Row],[Period]]</f>
        <v>DC-Document_Controller-034-M6</v>
      </c>
      <c r="D482" t="s">
        <v>139</v>
      </c>
      <c r="E482" t="s">
        <v>140</v>
      </c>
      <c r="G482" t="s">
        <v>31</v>
      </c>
      <c r="H482" t="s">
        <v>32</v>
      </c>
      <c r="I482" t="s">
        <v>33</v>
      </c>
      <c r="J482" t="s">
        <v>44</v>
      </c>
      <c r="M482">
        <v>0</v>
      </c>
    </row>
    <row r="483" spans="1:19">
      <c r="A483" t="s">
        <v>8</v>
      </c>
      <c r="B483" t="s">
        <v>390</v>
      </c>
      <c r="C483" t="str">
        <f>Data_Master[[#This Row],[Uniq-ID]]&amp;"-"&amp;Data_Master[[#This Row],[Period]]</f>
        <v>DC-Document_Controller-035-M1</v>
      </c>
      <c r="D483" t="s">
        <v>391</v>
      </c>
      <c r="E483" t="s">
        <v>76</v>
      </c>
      <c r="G483" t="s">
        <v>13</v>
      </c>
      <c r="H483" t="s">
        <v>392</v>
      </c>
      <c r="I483" t="s">
        <v>15</v>
      </c>
      <c r="J483" t="s">
        <v>44</v>
      </c>
      <c r="M483">
        <v>0</v>
      </c>
    </row>
    <row r="484" spans="1:19">
      <c r="A484" t="s">
        <v>8</v>
      </c>
      <c r="B484" t="s">
        <v>390</v>
      </c>
      <c r="C484" t="str">
        <f>Data_Master[[#This Row],[Uniq-ID]]&amp;"-"&amp;Data_Master[[#This Row],[Period]]</f>
        <v>DC-Document_Controller-035-M2</v>
      </c>
      <c r="D484" t="s">
        <v>391</v>
      </c>
      <c r="E484" t="s">
        <v>76</v>
      </c>
      <c r="G484" t="s">
        <v>18</v>
      </c>
      <c r="H484" t="s">
        <v>393</v>
      </c>
      <c r="I484" t="s">
        <v>15</v>
      </c>
      <c r="J484" t="s">
        <v>16</v>
      </c>
      <c r="L484">
        <v>1.0900000000000001</v>
      </c>
      <c r="M484">
        <v>2.1760000000000002</v>
      </c>
      <c r="N484" t="s">
        <v>2887</v>
      </c>
      <c r="O484" t="s">
        <v>3306</v>
      </c>
      <c r="P484" t="s">
        <v>2916</v>
      </c>
      <c r="Q484">
        <v>51</v>
      </c>
      <c r="R484">
        <v>58</v>
      </c>
      <c r="S484">
        <v>1.1373</v>
      </c>
    </row>
    <row r="485" spans="1:19">
      <c r="A485" t="s">
        <v>8</v>
      </c>
      <c r="B485" t="s">
        <v>390</v>
      </c>
      <c r="C485" t="str">
        <f>Data_Master[[#This Row],[Uniq-ID]]&amp;"-"&amp;Data_Master[[#This Row],[Period]]</f>
        <v>DC-Document_Controller-035-M2</v>
      </c>
      <c r="D485" t="s">
        <v>391</v>
      </c>
      <c r="E485" t="s">
        <v>76</v>
      </c>
      <c r="G485" t="s">
        <v>18</v>
      </c>
      <c r="H485" t="s">
        <v>393</v>
      </c>
      <c r="I485" t="s">
        <v>15</v>
      </c>
      <c r="J485" t="s">
        <v>16</v>
      </c>
      <c r="L485">
        <v>1.0900000000000001</v>
      </c>
      <c r="M485">
        <v>2.1760000000000002</v>
      </c>
      <c r="N485" t="s">
        <v>2887</v>
      </c>
      <c r="O485" t="s">
        <v>3308</v>
      </c>
      <c r="P485" t="s">
        <v>2916</v>
      </c>
      <c r="Q485">
        <v>154</v>
      </c>
      <c r="R485">
        <v>160</v>
      </c>
      <c r="S485">
        <v>1.0389999999999999</v>
      </c>
    </row>
    <row r="486" spans="1:19">
      <c r="A486" t="s">
        <v>8</v>
      </c>
      <c r="B486" t="s">
        <v>390</v>
      </c>
      <c r="C486" t="str">
        <f>Data_Master[[#This Row],[Uniq-ID]]&amp;"-"&amp;Data_Master[[#This Row],[Period]]</f>
        <v>DC-Document_Controller-035-M3</v>
      </c>
      <c r="D486" t="s">
        <v>391</v>
      </c>
      <c r="E486" t="s">
        <v>76</v>
      </c>
      <c r="G486" t="s">
        <v>22</v>
      </c>
      <c r="H486" t="s">
        <v>395</v>
      </c>
      <c r="I486" t="s">
        <v>15</v>
      </c>
      <c r="J486" t="s">
        <v>16</v>
      </c>
      <c r="L486">
        <v>1.04</v>
      </c>
      <c r="M486">
        <v>2.085</v>
      </c>
      <c r="N486" t="s">
        <v>2887</v>
      </c>
      <c r="O486" t="s">
        <v>3306</v>
      </c>
      <c r="P486" t="s">
        <v>2916</v>
      </c>
      <c r="Q486">
        <v>51</v>
      </c>
      <c r="R486">
        <v>54</v>
      </c>
      <c r="S486">
        <v>1.0588</v>
      </c>
    </row>
    <row r="487" spans="1:19">
      <c r="A487" t="s">
        <v>8</v>
      </c>
      <c r="B487" t="s">
        <v>390</v>
      </c>
      <c r="C487" t="str">
        <f>Data_Master[[#This Row],[Uniq-ID]]&amp;"-"&amp;Data_Master[[#This Row],[Period]]</f>
        <v>DC-Document_Controller-035-M3</v>
      </c>
      <c r="D487" t="s">
        <v>391</v>
      </c>
      <c r="E487" t="s">
        <v>76</v>
      </c>
      <c r="G487" t="s">
        <v>22</v>
      </c>
      <c r="H487" t="s">
        <v>395</v>
      </c>
      <c r="I487" t="s">
        <v>15</v>
      </c>
      <c r="J487" t="s">
        <v>16</v>
      </c>
      <c r="L487">
        <v>1.04</v>
      </c>
      <c r="M487">
        <v>2.085</v>
      </c>
      <c r="N487" t="s">
        <v>2887</v>
      </c>
      <c r="O487" t="s">
        <v>3308</v>
      </c>
      <c r="P487" t="s">
        <v>2916</v>
      </c>
      <c r="Q487">
        <v>154</v>
      </c>
      <c r="R487">
        <v>158</v>
      </c>
      <c r="S487">
        <v>1.026</v>
      </c>
    </row>
    <row r="488" spans="1:19">
      <c r="A488" t="s">
        <v>8</v>
      </c>
      <c r="B488" t="s">
        <v>390</v>
      </c>
      <c r="C488" t="str">
        <f>Data_Master[[#This Row],[Uniq-ID]]&amp;"-"&amp;Data_Master[[#This Row],[Period]]</f>
        <v>DC-Document_Controller-035-M4</v>
      </c>
      <c r="D488" t="s">
        <v>391</v>
      </c>
      <c r="E488" t="s">
        <v>76</v>
      </c>
      <c r="G488" t="s">
        <v>25</v>
      </c>
      <c r="H488" t="s">
        <v>348</v>
      </c>
      <c r="I488" t="s">
        <v>33</v>
      </c>
      <c r="J488" t="s">
        <v>16</v>
      </c>
      <c r="L488">
        <v>1.01</v>
      </c>
      <c r="M488">
        <v>2.0259999999999998</v>
      </c>
      <c r="N488" t="s">
        <v>2887</v>
      </c>
      <c r="O488" t="s">
        <v>3306</v>
      </c>
      <c r="P488" t="s">
        <v>2916</v>
      </c>
      <c r="Q488">
        <v>51</v>
      </c>
      <c r="R488">
        <v>52</v>
      </c>
      <c r="S488">
        <v>1.0196000000000001</v>
      </c>
    </row>
    <row r="489" spans="1:19">
      <c r="A489" t="s">
        <v>8</v>
      </c>
      <c r="B489" t="s">
        <v>390</v>
      </c>
      <c r="C489" t="str">
        <f>Data_Master[[#This Row],[Uniq-ID]]&amp;"-"&amp;Data_Master[[#This Row],[Period]]</f>
        <v>DC-Document_Controller-035-M4</v>
      </c>
      <c r="D489" t="s">
        <v>391</v>
      </c>
      <c r="E489" t="s">
        <v>76</v>
      </c>
      <c r="G489" t="s">
        <v>25</v>
      </c>
      <c r="H489" t="s">
        <v>348</v>
      </c>
      <c r="I489" t="s">
        <v>33</v>
      </c>
      <c r="J489" t="s">
        <v>16</v>
      </c>
      <c r="L489">
        <v>1.01</v>
      </c>
      <c r="M489">
        <v>2.0259999999999998</v>
      </c>
      <c r="N489" t="s">
        <v>2887</v>
      </c>
      <c r="O489" t="s">
        <v>3308</v>
      </c>
      <c r="P489" t="s">
        <v>2916</v>
      </c>
      <c r="Q489">
        <v>154</v>
      </c>
      <c r="R489">
        <v>155</v>
      </c>
      <c r="S489">
        <v>1.0065</v>
      </c>
    </row>
    <row r="490" spans="1:19">
      <c r="A490" t="s">
        <v>8</v>
      </c>
      <c r="B490" t="s">
        <v>390</v>
      </c>
      <c r="C490" t="str">
        <f>Data_Master[[#This Row],[Uniq-ID]]&amp;"-"&amp;Data_Master[[#This Row],[Period]]</f>
        <v>DC-Document_Controller-035-M5</v>
      </c>
      <c r="D490" t="s">
        <v>391</v>
      </c>
      <c r="E490" t="s">
        <v>76</v>
      </c>
      <c r="G490" t="s">
        <v>28</v>
      </c>
      <c r="H490" t="s">
        <v>4150</v>
      </c>
      <c r="I490" t="s">
        <v>225</v>
      </c>
      <c r="J490" t="s">
        <v>44</v>
      </c>
      <c r="M490">
        <v>0</v>
      </c>
    </row>
    <row r="491" spans="1:19">
      <c r="A491" t="s">
        <v>8</v>
      </c>
      <c r="B491" t="s">
        <v>133</v>
      </c>
      <c r="C491" t="str">
        <f>Data_Master[[#This Row],[Uniq-ID]]&amp;"-"&amp;Data_Master[[#This Row],[Period]]</f>
        <v>DC-Document_Controller-036-M1</v>
      </c>
      <c r="D491" t="s">
        <v>134</v>
      </c>
      <c r="E491" t="s">
        <v>112</v>
      </c>
      <c r="G491" t="s">
        <v>13</v>
      </c>
      <c r="H491" t="s">
        <v>113</v>
      </c>
      <c r="I491" t="s">
        <v>15</v>
      </c>
      <c r="J491" t="s">
        <v>16</v>
      </c>
      <c r="L491">
        <v>1.5</v>
      </c>
      <c r="M491">
        <v>5.2270000000000003</v>
      </c>
      <c r="N491" t="s">
        <v>2879</v>
      </c>
      <c r="O491" t="s">
        <v>2915</v>
      </c>
      <c r="P491" t="s">
        <v>2916</v>
      </c>
      <c r="Q491">
        <v>308</v>
      </c>
      <c r="R491">
        <v>57</v>
      </c>
      <c r="S491">
        <v>0.18509999999999999</v>
      </c>
    </row>
    <row r="492" spans="1:19">
      <c r="A492" t="s">
        <v>8</v>
      </c>
      <c r="B492" t="s">
        <v>133</v>
      </c>
      <c r="C492" t="str">
        <f>Data_Master[[#This Row],[Uniq-ID]]&amp;"-"&amp;Data_Master[[#This Row],[Period]]</f>
        <v>DC-Document_Controller-036-M1</v>
      </c>
      <c r="D492" t="s">
        <v>134</v>
      </c>
      <c r="E492" t="s">
        <v>112</v>
      </c>
      <c r="G492" t="s">
        <v>13</v>
      </c>
      <c r="H492" t="s">
        <v>113</v>
      </c>
      <c r="I492" t="s">
        <v>15</v>
      </c>
      <c r="J492" t="s">
        <v>16</v>
      </c>
      <c r="L492">
        <v>1.5</v>
      </c>
      <c r="M492">
        <v>5.2270000000000003</v>
      </c>
      <c r="N492" t="s">
        <v>2879</v>
      </c>
      <c r="O492" t="s">
        <v>2915</v>
      </c>
      <c r="P492" t="s">
        <v>2916</v>
      </c>
      <c r="Q492">
        <v>26</v>
      </c>
      <c r="R492">
        <v>57</v>
      </c>
      <c r="S492">
        <v>2.1922999999999999</v>
      </c>
    </row>
    <row r="493" spans="1:19">
      <c r="A493" t="s">
        <v>8</v>
      </c>
      <c r="B493" t="s">
        <v>133</v>
      </c>
      <c r="C493" t="str">
        <f>Data_Master[[#This Row],[Uniq-ID]]&amp;"-"&amp;Data_Master[[#This Row],[Period]]</f>
        <v>DC-Document_Controller-036-M1</v>
      </c>
      <c r="D493" t="s">
        <v>134</v>
      </c>
      <c r="E493" t="s">
        <v>112</v>
      </c>
      <c r="G493" t="s">
        <v>13</v>
      </c>
      <c r="H493" t="s">
        <v>113</v>
      </c>
      <c r="I493" t="s">
        <v>15</v>
      </c>
      <c r="J493" t="s">
        <v>16</v>
      </c>
      <c r="L493">
        <v>1.5</v>
      </c>
      <c r="M493">
        <v>5.2270000000000003</v>
      </c>
      <c r="N493" t="s">
        <v>2879</v>
      </c>
      <c r="O493" t="s">
        <v>2915</v>
      </c>
      <c r="P493" t="s">
        <v>2916</v>
      </c>
      <c r="Q493">
        <v>20</v>
      </c>
      <c r="R493">
        <v>57</v>
      </c>
      <c r="S493">
        <v>2.85</v>
      </c>
    </row>
    <row r="494" spans="1:19">
      <c r="A494" t="s">
        <v>8</v>
      </c>
      <c r="B494" t="s">
        <v>133</v>
      </c>
      <c r="C494" t="str">
        <f>Data_Master[[#This Row],[Uniq-ID]]&amp;"-"&amp;Data_Master[[#This Row],[Period]]</f>
        <v>DC-Document_Controller-036-M2</v>
      </c>
      <c r="D494" t="s">
        <v>134</v>
      </c>
      <c r="E494" t="s">
        <v>112</v>
      </c>
      <c r="G494" t="s">
        <v>18</v>
      </c>
      <c r="H494" t="s">
        <v>115</v>
      </c>
      <c r="I494" t="s">
        <v>15</v>
      </c>
      <c r="J494" t="s">
        <v>16</v>
      </c>
      <c r="L494">
        <v>1.5</v>
      </c>
      <c r="M494">
        <v>12.289</v>
      </c>
      <c r="N494" t="s">
        <v>2879</v>
      </c>
      <c r="O494" t="s">
        <v>2915</v>
      </c>
      <c r="P494" t="s">
        <v>2916</v>
      </c>
      <c r="Q494">
        <v>20</v>
      </c>
      <c r="R494">
        <v>134</v>
      </c>
      <c r="S494">
        <v>6.7</v>
      </c>
    </row>
    <row r="495" spans="1:19">
      <c r="A495" t="s">
        <v>8</v>
      </c>
      <c r="B495" t="s">
        <v>133</v>
      </c>
      <c r="C495" t="str">
        <f>Data_Master[[#This Row],[Uniq-ID]]&amp;"-"&amp;Data_Master[[#This Row],[Period]]</f>
        <v>DC-Document_Controller-036-M2</v>
      </c>
      <c r="D495" t="s">
        <v>134</v>
      </c>
      <c r="E495" t="s">
        <v>112</v>
      </c>
      <c r="G495" t="s">
        <v>18</v>
      </c>
      <c r="H495" t="s">
        <v>115</v>
      </c>
      <c r="I495" t="s">
        <v>15</v>
      </c>
      <c r="J495" t="s">
        <v>16</v>
      </c>
      <c r="L495">
        <v>1.5</v>
      </c>
      <c r="M495">
        <v>12.289</v>
      </c>
      <c r="N495" t="s">
        <v>2879</v>
      </c>
      <c r="O495" t="s">
        <v>2915</v>
      </c>
      <c r="P495" t="s">
        <v>2916</v>
      </c>
      <c r="Q495">
        <v>26</v>
      </c>
      <c r="R495">
        <v>134</v>
      </c>
      <c r="S495">
        <v>5.1538000000000004</v>
      </c>
    </row>
    <row r="496" spans="1:19">
      <c r="A496" t="s">
        <v>8</v>
      </c>
      <c r="B496" t="s">
        <v>133</v>
      </c>
      <c r="C496" t="str">
        <f>Data_Master[[#This Row],[Uniq-ID]]&amp;"-"&amp;Data_Master[[#This Row],[Period]]</f>
        <v>DC-Document_Controller-036-M2</v>
      </c>
      <c r="D496" t="s">
        <v>134</v>
      </c>
      <c r="E496" t="s">
        <v>112</v>
      </c>
      <c r="G496" t="s">
        <v>18</v>
      </c>
      <c r="H496" t="s">
        <v>115</v>
      </c>
      <c r="I496" t="s">
        <v>15</v>
      </c>
      <c r="J496" t="s">
        <v>16</v>
      </c>
      <c r="L496">
        <v>1.5</v>
      </c>
      <c r="M496">
        <v>12.289</v>
      </c>
      <c r="N496" t="s">
        <v>2879</v>
      </c>
      <c r="O496" t="s">
        <v>2915</v>
      </c>
      <c r="P496" t="s">
        <v>2916</v>
      </c>
      <c r="Q496">
        <v>308</v>
      </c>
      <c r="R496">
        <v>134</v>
      </c>
      <c r="S496">
        <v>0.43509999999999999</v>
      </c>
    </row>
    <row r="497" spans="1:19">
      <c r="A497" t="s">
        <v>8</v>
      </c>
      <c r="B497" t="s">
        <v>133</v>
      </c>
      <c r="C497" t="str">
        <f>Data_Master[[#This Row],[Uniq-ID]]&amp;"-"&amp;Data_Master[[#This Row],[Period]]</f>
        <v>DC-Document_Controller-036-M3</v>
      </c>
      <c r="D497" t="s">
        <v>134</v>
      </c>
      <c r="E497" t="s">
        <v>112</v>
      </c>
      <c r="G497" t="s">
        <v>22</v>
      </c>
      <c r="H497" t="s">
        <v>117</v>
      </c>
      <c r="I497" t="s">
        <v>15</v>
      </c>
      <c r="J497" t="s">
        <v>16</v>
      </c>
      <c r="L497">
        <v>1.5</v>
      </c>
      <c r="M497">
        <v>5.5940000000000003</v>
      </c>
      <c r="N497" t="s">
        <v>2879</v>
      </c>
      <c r="O497" t="s">
        <v>2915</v>
      </c>
      <c r="P497" t="s">
        <v>2916</v>
      </c>
      <c r="Q497">
        <v>20</v>
      </c>
      <c r="R497">
        <v>61</v>
      </c>
      <c r="S497">
        <v>3.05</v>
      </c>
    </row>
    <row r="498" spans="1:19">
      <c r="A498" t="s">
        <v>8</v>
      </c>
      <c r="B498" t="s">
        <v>133</v>
      </c>
      <c r="C498" t="str">
        <f>Data_Master[[#This Row],[Uniq-ID]]&amp;"-"&amp;Data_Master[[#This Row],[Period]]</f>
        <v>DC-Document_Controller-036-M3</v>
      </c>
      <c r="D498" t="s">
        <v>134</v>
      </c>
      <c r="E498" t="s">
        <v>112</v>
      </c>
      <c r="G498" t="s">
        <v>22</v>
      </c>
      <c r="H498" t="s">
        <v>117</v>
      </c>
      <c r="I498" t="s">
        <v>15</v>
      </c>
      <c r="J498" t="s">
        <v>16</v>
      </c>
      <c r="L498">
        <v>1.5</v>
      </c>
      <c r="M498">
        <v>5.5940000000000003</v>
      </c>
      <c r="N498" t="s">
        <v>2879</v>
      </c>
      <c r="O498" t="s">
        <v>2915</v>
      </c>
      <c r="P498" t="s">
        <v>2916</v>
      </c>
      <c r="Q498">
        <v>26</v>
      </c>
      <c r="R498">
        <v>61</v>
      </c>
      <c r="S498">
        <v>2.3462000000000001</v>
      </c>
    </row>
    <row r="499" spans="1:19">
      <c r="A499" t="s">
        <v>8</v>
      </c>
      <c r="B499" t="s">
        <v>133</v>
      </c>
      <c r="C499" t="str">
        <f>Data_Master[[#This Row],[Uniq-ID]]&amp;"-"&amp;Data_Master[[#This Row],[Period]]</f>
        <v>DC-Document_Controller-036-M3</v>
      </c>
      <c r="D499" t="s">
        <v>134</v>
      </c>
      <c r="E499" t="s">
        <v>112</v>
      </c>
      <c r="G499" t="s">
        <v>22</v>
      </c>
      <c r="H499" t="s">
        <v>117</v>
      </c>
      <c r="I499" t="s">
        <v>15</v>
      </c>
      <c r="J499" t="s">
        <v>16</v>
      </c>
      <c r="L499">
        <v>1.5</v>
      </c>
      <c r="M499">
        <v>5.5940000000000003</v>
      </c>
      <c r="N499" t="s">
        <v>2879</v>
      </c>
      <c r="O499" t="s">
        <v>2915</v>
      </c>
      <c r="P499" t="s">
        <v>2916</v>
      </c>
      <c r="Q499">
        <v>308</v>
      </c>
      <c r="R499">
        <v>61</v>
      </c>
      <c r="S499">
        <v>0.1981</v>
      </c>
    </row>
    <row r="500" spans="1:19">
      <c r="A500" t="s">
        <v>8</v>
      </c>
      <c r="B500" t="s">
        <v>133</v>
      </c>
      <c r="C500" t="str">
        <f>Data_Master[[#This Row],[Uniq-ID]]&amp;"-"&amp;Data_Master[[#This Row],[Period]]</f>
        <v>DC-Document_Controller-036-M4</v>
      </c>
      <c r="D500" t="s">
        <v>134</v>
      </c>
      <c r="E500" t="s">
        <v>112</v>
      </c>
      <c r="G500" t="s">
        <v>25</v>
      </c>
      <c r="H500" t="s">
        <v>119</v>
      </c>
      <c r="I500" t="s">
        <v>33</v>
      </c>
      <c r="J500" t="s">
        <v>44</v>
      </c>
      <c r="M500">
        <v>0</v>
      </c>
    </row>
    <row r="501" spans="1:19">
      <c r="A501" t="s">
        <v>8</v>
      </c>
      <c r="B501" t="s">
        <v>110</v>
      </c>
      <c r="C501" t="str">
        <f>Data_Master[[#This Row],[Uniq-ID]]&amp;"-"&amp;Data_Master[[#This Row],[Period]]</f>
        <v>DC-Document_Controller-037-M1</v>
      </c>
      <c r="D501" t="s">
        <v>111</v>
      </c>
      <c r="E501" t="s">
        <v>112</v>
      </c>
      <c r="G501" t="s">
        <v>13</v>
      </c>
      <c r="H501" t="s">
        <v>113</v>
      </c>
      <c r="I501" t="s">
        <v>15</v>
      </c>
      <c r="J501" t="s">
        <v>16</v>
      </c>
      <c r="L501">
        <v>1.5</v>
      </c>
      <c r="M501">
        <v>7.0620000000000003</v>
      </c>
      <c r="N501" t="s">
        <v>2879</v>
      </c>
      <c r="O501" t="s">
        <v>2915</v>
      </c>
      <c r="P501" t="s">
        <v>2916</v>
      </c>
      <c r="Q501">
        <v>308</v>
      </c>
      <c r="R501">
        <v>77</v>
      </c>
      <c r="S501">
        <v>0.25</v>
      </c>
    </row>
    <row r="502" spans="1:19">
      <c r="A502" t="s">
        <v>8</v>
      </c>
      <c r="B502" t="s">
        <v>110</v>
      </c>
      <c r="C502" t="str">
        <f>Data_Master[[#This Row],[Uniq-ID]]&amp;"-"&amp;Data_Master[[#This Row],[Period]]</f>
        <v>DC-Document_Controller-037-M1</v>
      </c>
      <c r="D502" t="s">
        <v>111</v>
      </c>
      <c r="E502" t="s">
        <v>112</v>
      </c>
      <c r="G502" t="s">
        <v>13</v>
      </c>
      <c r="H502" t="s">
        <v>113</v>
      </c>
      <c r="I502" t="s">
        <v>15</v>
      </c>
      <c r="J502" t="s">
        <v>16</v>
      </c>
      <c r="L502">
        <v>1.5</v>
      </c>
      <c r="M502">
        <v>7.0620000000000003</v>
      </c>
      <c r="N502" t="s">
        <v>2879</v>
      </c>
      <c r="O502" t="s">
        <v>2915</v>
      </c>
      <c r="P502" t="s">
        <v>2916</v>
      </c>
      <c r="Q502">
        <v>26</v>
      </c>
      <c r="R502">
        <v>77</v>
      </c>
      <c r="S502">
        <v>2.9615</v>
      </c>
    </row>
    <row r="503" spans="1:19">
      <c r="A503" t="s">
        <v>8</v>
      </c>
      <c r="B503" t="s">
        <v>110</v>
      </c>
      <c r="C503" t="str">
        <f>Data_Master[[#This Row],[Uniq-ID]]&amp;"-"&amp;Data_Master[[#This Row],[Period]]</f>
        <v>DC-Document_Controller-037-M1</v>
      </c>
      <c r="D503" t="s">
        <v>111</v>
      </c>
      <c r="E503" t="s">
        <v>112</v>
      </c>
      <c r="G503" t="s">
        <v>13</v>
      </c>
      <c r="H503" t="s">
        <v>113</v>
      </c>
      <c r="I503" t="s">
        <v>15</v>
      </c>
      <c r="J503" t="s">
        <v>16</v>
      </c>
      <c r="L503">
        <v>1.5</v>
      </c>
      <c r="M503">
        <v>7.0620000000000003</v>
      </c>
      <c r="N503" t="s">
        <v>2879</v>
      </c>
      <c r="O503" t="s">
        <v>2915</v>
      </c>
      <c r="P503" t="s">
        <v>2916</v>
      </c>
      <c r="Q503">
        <v>20</v>
      </c>
      <c r="R503">
        <v>77</v>
      </c>
      <c r="S503">
        <v>3.85</v>
      </c>
    </row>
    <row r="504" spans="1:19">
      <c r="A504" t="s">
        <v>8</v>
      </c>
      <c r="B504" t="s">
        <v>110</v>
      </c>
      <c r="C504" t="str">
        <f>Data_Master[[#This Row],[Uniq-ID]]&amp;"-"&amp;Data_Master[[#This Row],[Period]]</f>
        <v>DC-Document_Controller-037-M2</v>
      </c>
      <c r="D504" t="s">
        <v>111</v>
      </c>
      <c r="E504" t="s">
        <v>112</v>
      </c>
      <c r="G504" t="s">
        <v>18</v>
      </c>
      <c r="H504" t="s">
        <v>115</v>
      </c>
      <c r="I504" t="s">
        <v>15</v>
      </c>
      <c r="J504" t="s">
        <v>16</v>
      </c>
      <c r="L504">
        <v>1.5</v>
      </c>
      <c r="M504">
        <v>10.363</v>
      </c>
      <c r="N504" t="s">
        <v>2879</v>
      </c>
      <c r="O504" t="s">
        <v>2915</v>
      </c>
      <c r="P504" t="s">
        <v>2916</v>
      </c>
      <c r="Q504">
        <v>20</v>
      </c>
      <c r="R504">
        <v>113</v>
      </c>
      <c r="S504">
        <v>5.65</v>
      </c>
    </row>
    <row r="505" spans="1:19">
      <c r="A505" t="s">
        <v>8</v>
      </c>
      <c r="B505" t="s">
        <v>110</v>
      </c>
      <c r="C505" t="str">
        <f>Data_Master[[#This Row],[Uniq-ID]]&amp;"-"&amp;Data_Master[[#This Row],[Period]]</f>
        <v>DC-Document_Controller-037-M2</v>
      </c>
      <c r="D505" t="s">
        <v>111</v>
      </c>
      <c r="E505" t="s">
        <v>112</v>
      </c>
      <c r="G505" t="s">
        <v>18</v>
      </c>
      <c r="H505" t="s">
        <v>115</v>
      </c>
      <c r="I505" t="s">
        <v>15</v>
      </c>
      <c r="J505" t="s">
        <v>16</v>
      </c>
      <c r="L505">
        <v>1.5</v>
      </c>
      <c r="M505">
        <v>10.363</v>
      </c>
      <c r="N505" t="s">
        <v>2879</v>
      </c>
      <c r="O505" t="s">
        <v>2915</v>
      </c>
      <c r="P505" t="s">
        <v>2916</v>
      </c>
      <c r="Q505">
        <v>26</v>
      </c>
      <c r="R505">
        <v>113</v>
      </c>
      <c r="S505">
        <v>4.3461999999999996</v>
      </c>
    </row>
    <row r="506" spans="1:19">
      <c r="A506" t="s">
        <v>8</v>
      </c>
      <c r="B506" t="s">
        <v>110</v>
      </c>
      <c r="C506" t="str">
        <f>Data_Master[[#This Row],[Uniq-ID]]&amp;"-"&amp;Data_Master[[#This Row],[Period]]</f>
        <v>DC-Document_Controller-037-M2</v>
      </c>
      <c r="D506" t="s">
        <v>111</v>
      </c>
      <c r="E506" t="s">
        <v>112</v>
      </c>
      <c r="G506" t="s">
        <v>18</v>
      </c>
      <c r="H506" t="s">
        <v>115</v>
      </c>
      <c r="I506" t="s">
        <v>15</v>
      </c>
      <c r="J506" t="s">
        <v>16</v>
      </c>
      <c r="L506">
        <v>1.5</v>
      </c>
      <c r="M506">
        <v>10.363</v>
      </c>
      <c r="N506" t="s">
        <v>2879</v>
      </c>
      <c r="O506" t="s">
        <v>2915</v>
      </c>
      <c r="P506" t="s">
        <v>2916</v>
      </c>
      <c r="Q506">
        <v>308</v>
      </c>
      <c r="R506">
        <v>113</v>
      </c>
      <c r="S506">
        <v>0.3669</v>
      </c>
    </row>
    <row r="507" spans="1:19">
      <c r="A507" t="s">
        <v>8</v>
      </c>
      <c r="B507" t="s">
        <v>110</v>
      </c>
      <c r="C507" t="str">
        <f>Data_Master[[#This Row],[Uniq-ID]]&amp;"-"&amp;Data_Master[[#This Row],[Period]]</f>
        <v>DC-Document_Controller-037-M3</v>
      </c>
      <c r="D507" t="s">
        <v>111</v>
      </c>
      <c r="E507" t="s">
        <v>112</v>
      </c>
      <c r="G507" t="s">
        <v>22</v>
      </c>
      <c r="H507" t="s">
        <v>117</v>
      </c>
      <c r="I507" t="s">
        <v>15</v>
      </c>
      <c r="J507" t="s">
        <v>16</v>
      </c>
      <c r="L507">
        <v>1.1499999999999999</v>
      </c>
      <c r="M507">
        <v>2.2930000000000001</v>
      </c>
      <c r="N507" t="s">
        <v>2879</v>
      </c>
      <c r="O507" t="s">
        <v>2915</v>
      </c>
      <c r="P507" t="s">
        <v>2916</v>
      </c>
      <c r="Q507">
        <v>20</v>
      </c>
      <c r="R507">
        <v>25</v>
      </c>
      <c r="S507">
        <v>1.25</v>
      </c>
    </row>
    <row r="508" spans="1:19">
      <c r="A508" t="s">
        <v>8</v>
      </c>
      <c r="B508" t="s">
        <v>110</v>
      </c>
      <c r="C508" t="str">
        <f>Data_Master[[#This Row],[Uniq-ID]]&amp;"-"&amp;Data_Master[[#This Row],[Period]]</f>
        <v>DC-Document_Controller-037-M3</v>
      </c>
      <c r="D508" t="s">
        <v>111</v>
      </c>
      <c r="E508" t="s">
        <v>112</v>
      </c>
      <c r="G508" t="s">
        <v>22</v>
      </c>
      <c r="H508" t="s">
        <v>117</v>
      </c>
      <c r="I508" t="s">
        <v>15</v>
      </c>
      <c r="J508" t="s">
        <v>16</v>
      </c>
      <c r="L508">
        <v>1.1499999999999999</v>
      </c>
      <c r="M508">
        <v>2.2930000000000001</v>
      </c>
      <c r="N508" t="s">
        <v>2879</v>
      </c>
      <c r="O508" t="s">
        <v>2915</v>
      </c>
      <c r="P508" t="s">
        <v>2916</v>
      </c>
      <c r="Q508">
        <v>26</v>
      </c>
      <c r="R508">
        <v>25</v>
      </c>
      <c r="S508">
        <v>0.96150000000000002</v>
      </c>
    </row>
    <row r="509" spans="1:19">
      <c r="A509" t="s">
        <v>8</v>
      </c>
      <c r="B509" t="s">
        <v>110</v>
      </c>
      <c r="C509" t="str">
        <f>Data_Master[[#This Row],[Uniq-ID]]&amp;"-"&amp;Data_Master[[#This Row],[Period]]</f>
        <v>DC-Document_Controller-037-M3</v>
      </c>
      <c r="D509" t="s">
        <v>111</v>
      </c>
      <c r="E509" t="s">
        <v>112</v>
      </c>
      <c r="G509" t="s">
        <v>22</v>
      </c>
      <c r="H509" t="s">
        <v>117</v>
      </c>
      <c r="I509" t="s">
        <v>15</v>
      </c>
      <c r="J509" t="s">
        <v>16</v>
      </c>
      <c r="L509">
        <v>1.1499999999999999</v>
      </c>
      <c r="M509">
        <v>2.2930000000000001</v>
      </c>
      <c r="N509" t="s">
        <v>2879</v>
      </c>
      <c r="O509" t="s">
        <v>2915</v>
      </c>
      <c r="P509" t="s">
        <v>2916</v>
      </c>
      <c r="Q509">
        <v>308</v>
      </c>
      <c r="R509">
        <v>25</v>
      </c>
      <c r="S509">
        <v>8.1199999999999994E-2</v>
      </c>
    </row>
    <row r="510" spans="1:19">
      <c r="A510" t="s">
        <v>8</v>
      </c>
      <c r="B510" t="s">
        <v>110</v>
      </c>
      <c r="C510" t="str">
        <f>Data_Master[[#This Row],[Uniq-ID]]&amp;"-"&amp;Data_Master[[#This Row],[Period]]</f>
        <v>DC-Document_Controller-037-M4</v>
      </c>
      <c r="D510" t="s">
        <v>111</v>
      </c>
      <c r="E510" t="s">
        <v>112</v>
      </c>
      <c r="G510" t="s">
        <v>25</v>
      </c>
      <c r="H510" t="s">
        <v>119</v>
      </c>
      <c r="I510" t="s">
        <v>33</v>
      </c>
      <c r="J510" t="s">
        <v>44</v>
      </c>
      <c r="M510">
        <v>0</v>
      </c>
    </row>
    <row r="511" spans="1:19">
      <c r="A511" t="s">
        <v>8</v>
      </c>
      <c r="B511" t="s">
        <v>351</v>
      </c>
      <c r="C511" t="str">
        <f>Data_Master[[#This Row],[Uniq-ID]]&amp;"-"&amp;Data_Master[[#This Row],[Period]]</f>
        <v>DC-Document_Controller-039-M1</v>
      </c>
      <c r="D511" t="s">
        <v>352</v>
      </c>
      <c r="E511" t="s">
        <v>48</v>
      </c>
      <c r="G511" t="s">
        <v>13</v>
      </c>
      <c r="H511" t="s">
        <v>23</v>
      </c>
      <c r="I511" t="s">
        <v>15</v>
      </c>
      <c r="J511" t="s">
        <v>44</v>
      </c>
      <c r="M511">
        <v>0</v>
      </c>
    </row>
    <row r="512" spans="1:19">
      <c r="A512" t="s">
        <v>8</v>
      </c>
      <c r="B512" t="s">
        <v>351</v>
      </c>
      <c r="C512" t="str">
        <f>Data_Master[[#This Row],[Uniq-ID]]&amp;"-"&amp;Data_Master[[#This Row],[Period]]</f>
        <v>DC-Document_Controller-039-M2</v>
      </c>
      <c r="D512" t="s">
        <v>352</v>
      </c>
      <c r="E512" t="s">
        <v>48</v>
      </c>
      <c r="G512" t="s">
        <v>18</v>
      </c>
      <c r="H512" t="s">
        <v>26</v>
      </c>
      <c r="I512" t="s">
        <v>15</v>
      </c>
      <c r="J512" t="s">
        <v>44</v>
      </c>
      <c r="M512">
        <v>0</v>
      </c>
    </row>
    <row r="513" spans="1:19">
      <c r="A513" t="s">
        <v>8</v>
      </c>
      <c r="B513" t="s">
        <v>351</v>
      </c>
      <c r="C513" t="str">
        <f>Data_Master[[#This Row],[Uniq-ID]]&amp;"-"&amp;Data_Master[[#This Row],[Period]]</f>
        <v>DC-Document_Controller-039-M3</v>
      </c>
      <c r="D513" t="s">
        <v>352</v>
      </c>
      <c r="E513" t="s">
        <v>48</v>
      </c>
      <c r="G513" t="s">
        <v>22</v>
      </c>
      <c r="H513" t="s">
        <v>29</v>
      </c>
      <c r="I513" t="s">
        <v>15</v>
      </c>
      <c r="J513" t="s">
        <v>44</v>
      </c>
      <c r="M513">
        <v>0</v>
      </c>
    </row>
    <row r="514" spans="1:19">
      <c r="A514" t="s">
        <v>8</v>
      </c>
      <c r="B514" t="s">
        <v>351</v>
      </c>
      <c r="C514" t="str">
        <f>Data_Master[[#This Row],[Uniq-ID]]&amp;"-"&amp;Data_Master[[#This Row],[Period]]</f>
        <v>DC-Document_Controller-039-M4</v>
      </c>
      <c r="D514" t="s">
        <v>352</v>
      </c>
      <c r="E514" t="s">
        <v>48</v>
      </c>
      <c r="G514" t="s">
        <v>25</v>
      </c>
      <c r="H514" t="s">
        <v>32</v>
      </c>
      <c r="I514" t="s">
        <v>33</v>
      </c>
      <c r="J514" t="s">
        <v>44</v>
      </c>
      <c r="M514">
        <v>0</v>
      </c>
    </row>
    <row r="515" spans="1:19">
      <c r="A515" t="s">
        <v>8</v>
      </c>
      <c r="B515" t="s">
        <v>349</v>
      </c>
      <c r="C515" t="str">
        <f>Data_Master[[#This Row],[Uniq-ID]]&amp;"-"&amp;Data_Master[[#This Row],[Period]]</f>
        <v>DC-Document_Controller-041-M1</v>
      </c>
      <c r="D515" t="s">
        <v>350</v>
      </c>
      <c r="E515" t="s">
        <v>76</v>
      </c>
      <c r="G515" t="s">
        <v>13</v>
      </c>
      <c r="H515" t="s">
        <v>37</v>
      </c>
      <c r="I515" t="s">
        <v>15</v>
      </c>
      <c r="J515" t="s">
        <v>44</v>
      </c>
      <c r="M515">
        <v>0</v>
      </c>
    </row>
    <row r="516" spans="1:19">
      <c r="A516" t="s">
        <v>8</v>
      </c>
      <c r="B516" t="s">
        <v>349</v>
      </c>
      <c r="C516" t="str">
        <f>Data_Master[[#This Row],[Uniq-ID]]&amp;"-"&amp;Data_Master[[#This Row],[Period]]</f>
        <v>DC-Document_Controller-041-M2</v>
      </c>
      <c r="D516" t="s">
        <v>350</v>
      </c>
      <c r="E516" t="s">
        <v>76</v>
      </c>
      <c r="G516" t="s">
        <v>18</v>
      </c>
      <c r="H516" t="s">
        <v>39</v>
      </c>
      <c r="I516" t="s">
        <v>15</v>
      </c>
      <c r="J516" t="s">
        <v>44</v>
      </c>
      <c r="M516">
        <v>0</v>
      </c>
    </row>
    <row r="517" spans="1:19">
      <c r="A517" t="s">
        <v>8</v>
      </c>
      <c r="B517" t="s">
        <v>349</v>
      </c>
      <c r="C517" t="str">
        <f>Data_Master[[#This Row],[Uniq-ID]]&amp;"-"&amp;Data_Master[[#This Row],[Period]]</f>
        <v>DC-Document_Controller-041-M3</v>
      </c>
      <c r="D517" t="s">
        <v>350</v>
      </c>
      <c r="E517" t="s">
        <v>76</v>
      </c>
      <c r="G517" t="s">
        <v>22</v>
      </c>
      <c r="H517" t="s">
        <v>41</v>
      </c>
      <c r="I517" t="s">
        <v>15</v>
      </c>
      <c r="J517" t="s">
        <v>44</v>
      </c>
      <c r="M517">
        <v>0</v>
      </c>
    </row>
    <row r="518" spans="1:19">
      <c r="A518" t="s">
        <v>8</v>
      </c>
      <c r="B518" t="s">
        <v>349</v>
      </c>
      <c r="C518" t="str">
        <f>Data_Master[[#This Row],[Uniq-ID]]&amp;"-"&amp;Data_Master[[#This Row],[Period]]</f>
        <v>DC-Document_Controller-041-M4</v>
      </c>
      <c r="D518" t="s">
        <v>350</v>
      </c>
      <c r="E518" t="s">
        <v>76</v>
      </c>
      <c r="G518" t="s">
        <v>25</v>
      </c>
      <c r="H518" t="s">
        <v>43</v>
      </c>
      <c r="I518" t="s">
        <v>33</v>
      </c>
      <c r="J518" t="s">
        <v>44</v>
      </c>
      <c r="M518">
        <v>0</v>
      </c>
    </row>
    <row r="519" spans="1:19">
      <c r="A519" t="s">
        <v>8</v>
      </c>
      <c r="B519" t="s">
        <v>340</v>
      </c>
      <c r="C519" t="str">
        <f>Data_Master[[#This Row],[Uniq-ID]]&amp;"-"&amp;Data_Master[[#This Row],[Period]]</f>
        <v>DC-Document_Controller-044-M1</v>
      </c>
      <c r="D519" t="s">
        <v>341</v>
      </c>
      <c r="E519" t="s">
        <v>76</v>
      </c>
      <c r="G519" t="s">
        <v>13</v>
      </c>
      <c r="H519" t="s">
        <v>336</v>
      </c>
      <c r="I519" t="s">
        <v>15</v>
      </c>
      <c r="J519" t="s">
        <v>44</v>
      </c>
      <c r="L519">
        <v>0.87</v>
      </c>
      <c r="M519">
        <v>0.872</v>
      </c>
      <c r="N519" t="s">
        <v>2947</v>
      </c>
      <c r="O519" t="s">
        <v>2948</v>
      </c>
      <c r="P519" t="s">
        <v>2873</v>
      </c>
      <c r="Q519">
        <v>110</v>
      </c>
      <c r="R519">
        <v>8</v>
      </c>
      <c r="S519">
        <v>7.2700000000000001E-2</v>
      </c>
    </row>
    <row r="520" spans="1:19">
      <c r="A520" t="s">
        <v>8</v>
      </c>
      <c r="B520" t="s">
        <v>340</v>
      </c>
      <c r="C520" t="str">
        <f>Data_Master[[#This Row],[Uniq-ID]]&amp;"-"&amp;Data_Master[[#This Row],[Period]]</f>
        <v>DC-Document_Controller-044-M1</v>
      </c>
      <c r="D520" t="s">
        <v>341</v>
      </c>
      <c r="E520" t="s">
        <v>76</v>
      </c>
      <c r="G520" t="s">
        <v>13</v>
      </c>
      <c r="H520" t="s">
        <v>336</v>
      </c>
      <c r="I520" t="s">
        <v>15</v>
      </c>
      <c r="J520" t="s">
        <v>44</v>
      </c>
      <c r="L520">
        <v>0.87</v>
      </c>
      <c r="M520">
        <v>0.872</v>
      </c>
      <c r="N520" t="s">
        <v>2871</v>
      </c>
      <c r="O520" t="s">
        <v>2950</v>
      </c>
      <c r="P520" t="s">
        <v>2873</v>
      </c>
      <c r="Q520">
        <v>88</v>
      </c>
      <c r="R520">
        <v>39</v>
      </c>
      <c r="S520">
        <v>0.44319999999999998</v>
      </c>
    </row>
    <row r="521" spans="1:19">
      <c r="A521" t="s">
        <v>8</v>
      </c>
      <c r="B521" t="s">
        <v>340</v>
      </c>
      <c r="C521" t="str">
        <f>Data_Master[[#This Row],[Uniq-ID]]&amp;"-"&amp;Data_Master[[#This Row],[Period]]</f>
        <v>DC-Document_Controller-044-M1</v>
      </c>
      <c r="D521" t="s">
        <v>341</v>
      </c>
      <c r="E521" t="s">
        <v>76</v>
      </c>
      <c r="G521" t="s">
        <v>13</v>
      </c>
      <c r="H521" t="s">
        <v>336</v>
      </c>
      <c r="I521" t="s">
        <v>15</v>
      </c>
      <c r="J521" t="s">
        <v>44</v>
      </c>
      <c r="L521">
        <v>0.87</v>
      </c>
      <c r="M521">
        <v>0.872</v>
      </c>
      <c r="N521" t="s">
        <v>2871</v>
      </c>
      <c r="O521" t="s">
        <v>2952</v>
      </c>
      <c r="P521" t="s">
        <v>2873</v>
      </c>
      <c r="Q521">
        <v>257</v>
      </c>
      <c r="R521">
        <v>40</v>
      </c>
      <c r="S521">
        <v>0.15559999999999999</v>
      </c>
    </row>
    <row r="522" spans="1:19">
      <c r="A522" t="s">
        <v>8</v>
      </c>
      <c r="B522" t="s">
        <v>340</v>
      </c>
      <c r="C522" t="str">
        <f>Data_Master[[#This Row],[Uniq-ID]]&amp;"-"&amp;Data_Master[[#This Row],[Period]]</f>
        <v>DC-Document_Controller-044-M1</v>
      </c>
      <c r="D522" t="s">
        <v>341</v>
      </c>
      <c r="E522" t="s">
        <v>76</v>
      </c>
      <c r="G522" t="s">
        <v>13</v>
      </c>
      <c r="H522" t="s">
        <v>336</v>
      </c>
      <c r="I522" t="s">
        <v>15</v>
      </c>
      <c r="J522" t="s">
        <v>44</v>
      </c>
      <c r="L522">
        <v>0.87</v>
      </c>
      <c r="M522">
        <v>0.872</v>
      </c>
      <c r="N522" t="s">
        <v>2871</v>
      </c>
      <c r="O522" t="s">
        <v>2954</v>
      </c>
      <c r="P522" t="s">
        <v>2873</v>
      </c>
      <c r="Q522">
        <v>220</v>
      </c>
      <c r="R522">
        <v>44</v>
      </c>
      <c r="S522">
        <v>0.2</v>
      </c>
    </row>
    <row r="523" spans="1:19">
      <c r="A523" t="s">
        <v>8</v>
      </c>
      <c r="B523" t="s">
        <v>340</v>
      </c>
      <c r="C523" t="str">
        <f>Data_Master[[#This Row],[Uniq-ID]]&amp;"-"&amp;Data_Master[[#This Row],[Period]]</f>
        <v>DC-Document_Controller-044-M2</v>
      </c>
      <c r="D523" t="s">
        <v>341</v>
      </c>
      <c r="E523" t="s">
        <v>76</v>
      </c>
      <c r="G523" t="s">
        <v>18</v>
      </c>
      <c r="H523" t="s">
        <v>337</v>
      </c>
      <c r="I523" t="s">
        <v>15</v>
      </c>
      <c r="J523" t="s">
        <v>44</v>
      </c>
      <c r="L523">
        <v>0.78</v>
      </c>
      <c r="M523">
        <v>0.77700000000000002</v>
      </c>
      <c r="N523" t="s">
        <v>2947</v>
      </c>
      <c r="O523" t="s">
        <v>2948</v>
      </c>
      <c r="P523" t="s">
        <v>2873</v>
      </c>
      <c r="Q523">
        <v>110</v>
      </c>
      <c r="R523">
        <v>1</v>
      </c>
      <c r="S523">
        <v>9.1000000000000004E-3</v>
      </c>
    </row>
    <row r="524" spans="1:19">
      <c r="A524" t="s">
        <v>8</v>
      </c>
      <c r="B524" t="s">
        <v>340</v>
      </c>
      <c r="C524" t="str">
        <f>Data_Master[[#This Row],[Uniq-ID]]&amp;"-"&amp;Data_Master[[#This Row],[Period]]</f>
        <v>DC-Document_Controller-044-M2</v>
      </c>
      <c r="D524" t="s">
        <v>341</v>
      </c>
      <c r="E524" t="s">
        <v>76</v>
      </c>
      <c r="G524" t="s">
        <v>18</v>
      </c>
      <c r="H524" t="s">
        <v>337</v>
      </c>
      <c r="I524" t="s">
        <v>15</v>
      </c>
      <c r="J524" t="s">
        <v>44</v>
      </c>
      <c r="L524">
        <v>0.78</v>
      </c>
      <c r="M524">
        <v>0.77700000000000002</v>
      </c>
      <c r="N524" t="s">
        <v>2871</v>
      </c>
      <c r="O524" t="s">
        <v>2950</v>
      </c>
      <c r="P524" t="s">
        <v>2873</v>
      </c>
      <c r="Q524">
        <v>88</v>
      </c>
      <c r="R524">
        <v>41</v>
      </c>
      <c r="S524">
        <v>0.46589999999999998</v>
      </c>
    </row>
    <row r="525" spans="1:19">
      <c r="A525" t="s">
        <v>8</v>
      </c>
      <c r="B525" t="s">
        <v>340</v>
      </c>
      <c r="C525" t="str">
        <f>Data_Master[[#This Row],[Uniq-ID]]&amp;"-"&amp;Data_Master[[#This Row],[Period]]</f>
        <v>DC-Document_Controller-044-M2</v>
      </c>
      <c r="D525" t="s">
        <v>341</v>
      </c>
      <c r="E525" t="s">
        <v>76</v>
      </c>
      <c r="G525" t="s">
        <v>18</v>
      </c>
      <c r="H525" t="s">
        <v>337</v>
      </c>
      <c r="I525" t="s">
        <v>15</v>
      </c>
      <c r="J525" t="s">
        <v>44</v>
      </c>
      <c r="L525">
        <v>0.78</v>
      </c>
      <c r="M525">
        <v>0.77700000000000002</v>
      </c>
      <c r="N525" t="s">
        <v>2871</v>
      </c>
      <c r="O525" t="s">
        <v>2952</v>
      </c>
      <c r="P525" t="s">
        <v>2873</v>
      </c>
      <c r="Q525">
        <v>257</v>
      </c>
      <c r="R525">
        <v>46</v>
      </c>
      <c r="S525">
        <v>0.17899999999999999</v>
      </c>
    </row>
    <row r="526" spans="1:19">
      <c r="A526" t="s">
        <v>8</v>
      </c>
      <c r="B526" t="s">
        <v>340</v>
      </c>
      <c r="C526" t="str">
        <f>Data_Master[[#This Row],[Uniq-ID]]&amp;"-"&amp;Data_Master[[#This Row],[Period]]</f>
        <v>DC-Document_Controller-044-M2</v>
      </c>
      <c r="D526" t="s">
        <v>341</v>
      </c>
      <c r="E526" t="s">
        <v>76</v>
      </c>
      <c r="G526" t="s">
        <v>18</v>
      </c>
      <c r="H526" t="s">
        <v>337</v>
      </c>
      <c r="I526" t="s">
        <v>15</v>
      </c>
      <c r="J526" t="s">
        <v>44</v>
      </c>
      <c r="L526">
        <v>0.78</v>
      </c>
      <c r="M526">
        <v>0.77700000000000002</v>
      </c>
      <c r="N526" t="s">
        <v>2871</v>
      </c>
      <c r="O526" t="s">
        <v>2954</v>
      </c>
      <c r="P526" t="s">
        <v>2873</v>
      </c>
      <c r="Q526">
        <v>220</v>
      </c>
      <c r="R526">
        <v>27</v>
      </c>
      <c r="S526">
        <v>0.1227</v>
      </c>
    </row>
    <row r="527" spans="1:19">
      <c r="A527" t="s">
        <v>8</v>
      </c>
      <c r="B527" t="s">
        <v>340</v>
      </c>
      <c r="C527" t="str">
        <f>Data_Master[[#This Row],[Uniq-ID]]&amp;"-"&amp;Data_Master[[#This Row],[Period]]</f>
        <v>DC-Document_Controller-044-M3</v>
      </c>
      <c r="D527" t="s">
        <v>341</v>
      </c>
      <c r="E527" t="s">
        <v>76</v>
      </c>
      <c r="G527" t="s">
        <v>22</v>
      </c>
      <c r="H527" t="s">
        <v>338</v>
      </c>
      <c r="I527" t="s">
        <v>15</v>
      </c>
      <c r="J527" t="s">
        <v>44</v>
      </c>
      <c r="L527">
        <v>0.5</v>
      </c>
      <c r="M527">
        <v>0.35599999999999998</v>
      </c>
      <c r="N527" t="s">
        <v>2871</v>
      </c>
      <c r="O527" t="s">
        <v>2950</v>
      </c>
      <c r="P527" t="s">
        <v>2873</v>
      </c>
      <c r="Q527">
        <v>88</v>
      </c>
      <c r="R527">
        <v>14</v>
      </c>
      <c r="S527">
        <v>0.15909999999999999</v>
      </c>
    </row>
    <row r="528" spans="1:19">
      <c r="A528" t="s">
        <v>8</v>
      </c>
      <c r="B528" t="s">
        <v>340</v>
      </c>
      <c r="C528" t="str">
        <f>Data_Master[[#This Row],[Uniq-ID]]&amp;"-"&amp;Data_Master[[#This Row],[Period]]</f>
        <v>DC-Document_Controller-044-M3</v>
      </c>
      <c r="D528" t="s">
        <v>341</v>
      </c>
      <c r="E528" t="s">
        <v>76</v>
      </c>
      <c r="G528" t="s">
        <v>22</v>
      </c>
      <c r="H528" t="s">
        <v>338</v>
      </c>
      <c r="I528" t="s">
        <v>15</v>
      </c>
      <c r="J528" t="s">
        <v>44</v>
      </c>
      <c r="L528">
        <v>0.5</v>
      </c>
      <c r="M528">
        <v>0.35599999999999998</v>
      </c>
      <c r="N528" t="s">
        <v>2871</v>
      </c>
      <c r="O528" t="s">
        <v>2952</v>
      </c>
      <c r="P528" t="s">
        <v>2873</v>
      </c>
      <c r="Q528">
        <v>257</v>
      </c>
      <c r="R528">
        <v>1</v>
      </c>
      <c r="S528">
        <v>3.8999999999999998E-3</v>
      </c>
    </row>
    <row r="529" spans="1:19">
      <c r="A529" t="s">
        <v>8</v>
      </c>
      <c r="B529" t="s">
        <v>340</v>
      </c>
      <c r="C529" t="str">
        <f>Data_Master[[#This Row],[Uniq-ID]]&amp;"-"&amp;Data_Master[[#This Row],[Period]]</f>
        <v>DC-Document_Controller-044-M3</v>
      </c>
      <c r="D529" t="s">
        <v>341</v>
      </c>
      <c r="E529" t="s">
        <v>76</v>
      </c>
      <c r="G529" t="s">
        <v>22</v>
      </c>
      <c r="H529" t="s">
        <v>338</v>
      </c>
      <c r="I529" t="s">
        <v>15</v>
      </c>
      <c r="J529" t="s">
        <v>44</v>
      </c>
      <c r="L529">
        <v>0.5</v>
      </c>
      <c r="M529">
        <v>0.35599999999999998</v>
      </c>
      <c r="N529" t="s">
        <v>2871</v>
      </c>
      <c r="O529" t="s">
        <v>2954</v>
      </c>
      <c r="P529" t="s">
        <v>2873</v>
      </c>
      <c r="Q529">
        <v>220</v>
      </c>
      <c r="R529">
        <v>31</v>
      </c>
      <c r="S529">
        <v>0.1409</v>
      </c>
    </row>
    <row r="530" spans="1:19">
      <c r="A530" t="s">
        <v>8</v>
      </c>
      <c r="B530" t="s">
        <v>340</v>
      </c>
      <c r="C530" t="str">
        <f>Data_Master[[#This Row],[Uniq-ID]]&amp;"-"&amp;Data_Master[[#This Row],[Period]]</f>
        <v>DC-Document_Controller-044-M3</v>
      </c>
      <c r="D530" t="s">
        <v>341</v>
      </c>
      <c r="E530" t="s">
        <v>76</v>
      </c>
      <c r="G530" t="s">
        <v>22</v>
      </c>
      <c r="H530" t="s">
        <v>338</v>
      </c>
      <c r="I530" t="s">
        <v>15</v>
      </c>
      <c r="J530" t="s">
        <v>44</v>
      </c>
      <c r="L530">
        <v>0.5</v>
      </c>
      <c r="M530">
        <v>0.35599999999999998</v>
      </c>
      <c r="N530" t="s">
        <v>2871</v>
      </c>
      <c r="O530" t="s">
        <v>2958</v>
      </c>
      <c r="P530" t="s">
        <v>2873</v>
      </c>
      <c r="Q530">
        <v>154</v>
      </c>
      <c r="R530">
        <v>8</v>
      </c>
      <c r="S530">
        <v>5.1900000000000002E-2</v>
      </c>
    </row>
    <row r="531" spans="1:19">
      <c r="A531" t="s">
        <v>8</v>
      </c>
      <c r="B531" t="s">
        <v>340</v>
      </c>
      <c r="C531" t="str">
        <f>Data_Master[[#This Row],[Uniq-ID]]&amp;"-"&amp;Data_Master[[#This Row],[Period]]</f>
        <v>DC-Document_Controller-044-M4</v>
      </c>
      <c r="D531" t="s">
        <v>341</v>
      </c>
      <c r="E531" t="s">
        <v>76</v>
      </c>
      <c r="G531" t="s">
        <v>25</v>
      </c>
      <c r="H531" t="s">
        <v>339</v>
      </c>
      <c r="I531" t="s">
        <v>33</v>
      </c>
      <c r="J531" t="s">
        <v>44</v>
      </c>
      <c r="L531">
        <v>0.5</v>
      </c>
      <c r="M531">
        <v>0.40799999999999997</v>
      </c>
      <c r="N531" t="s">
        <v>2871</v>
      </c>
      <c r="O531" t="s">
        <v>2958</v>
      </c>
      <c r="P531" t="s">
        <v>2873</v>
      </c>
      <c r="Q531">
        <v>154</v>
      </c>
      <c r="R531">
        <v>22</v>
      </c>
      <c r="S531">
        <v>0.1429</v>
      </c>
    </row>
    <row r="532" spans="1:19">
      <c r="A532" t="s">
        <v>8</v>
      </c>
      <c r="B532" t="s">
        <v>340</v>
      </c>
      <c r="C532" t="str">
        <f>Data_Master[[#This Row],[Uniq-ID]]&amp;"-"&amp;Data_Master[[#This Row],[Period]]</f>
        <v>DC-Document_Controller-044-M4</v>
      </c>
      <c r="D532" t="s">
        <v>341</v>
      </c>
      <c r="E532" t="s">
        <v>76</v>
      </c>
      <c r="G532" t="s">
        <v>25</v>
      </c>
      <c r="H532" t="s">
        <v>339</v>
      </c>
      <c r="I532" t="s">
        <v>33</v>
      </c>
      <c r="J532" t="s">
        <v>44</v>
      </c>
      <c r="L532">
        <v>0.5</v>
      </c>
      <c r="M532">
        <v>0.40799999999999997</v>
      </c>
      <c r="N532" t="s">
        <v>2871</v>
      </c>
      <c r="O532" t="s">
        <v>2956</v>
      </c>
      <c r="P532" t="s">
        <v>2873</v>
      </c>
      <c r="Q532">
        <v>298</v>
      </c>
      <c r="R532">
        <v>2</v>
      </c>
      <c r="S532">
        <v>6.7000000000000002E-3</v>
      </c>
    </row>
    <row r="533" spans="1:19">
      <c r="A533" t="s">
        <v>8</v>
      </c>
      <c r="B533" t="s">
        <v>340</v>
      </c>
      <c r="C533" t="str">
        <f>Data_Master[[#This Row],[Uniq-ID]]&amp;"-"&amp;Data_Master[[#This Row],[Period]]</f>
        <v>DC-Document_Controller-044-M4</v>
      </c>
      <c r="D533" t="s">
        <v>341</v>
      </c>
      <c r="E533" t="s">
        <v>76</v>
      </c>
      <c r="G533" t="s">
        <v>25</v>
      </c>
      <c r="H533" t="s">
        <v>339</v>
      </c>
      <c r="I533" t="s">
        <v>33</v>
      </c>
      <c r="J533" t="s">
        <v>44</v>
      </c>
      <c r="L533">
        <v>0.5</v>
      </c>
      <c r="M533">
        <v>0.40799999999999997</v>
      </c>
      <c r="N533" t="s">
        <v>2871</v>
      </c>
      <c r="O533" t="s">
        <v>2954</v>
      </c>
      <c r="P533" t="s">
        <v>2873</v>
      </c>
      <c r="Q533">
        <v>220</v>
      </c>
      <c r="R533">
        <v>19</v>
      </c>
      <c r="S533">
        <v>8.6400000000000005E-2</v>
      </c>
    </row>
    <row r="534" spans="1:19">
      <c r="A534" t="s">
        <v>8</v>
      </c>
      <c r="B534" t="s">
        <v>340</v>
      </c>
      <c r="C534" t="str">
        <f>Data_Master[[#This Row],[Uniq-ID]]&amp;"-"&amp;Data_Master[[#This Row],[Period]]</f>
        <v>DC-Document_Controller-044-M4</v>
      </c>
      <c r="D534" t="s">
        <v>341</v>
      </c>
      <c r="E534" t="s">
        <v>76</v>
      </c>
      <c r="G534" t="s">
        <v>25</v>
      </c>
      <c r="H534" t="s">
        <v>339</v>
      </c>
      <c r="I534" t="s">
        <v>33</v>
      </c>
      <c r="J534" t="s">
        <v>44</v>
      </c>
      <c r="L534">
        <v>0.5</v>
      </c>
      <c r="M534">
        <v>0.40799999999999997</v>
      </c>
      <c r="N534" t="s">
        <v>2871</v>
      </c>
      <c r="O534" t="s">
        <v>2952</v>
      </c>
      <c r="P534" t="s">
        <v>2873</v>
      </c>
      <c r="Q534">
        <v>257</v>
      </c>
      <c r="R534">
        <v>18</v>
      </c>
      <c r="S534">
        <v>7.0000000000000007E-2</v>
      </c>
    </row>
    <row r="535" spans="1:19">
      <c r="A535" t="s">
        <v>8</v>
      </c>
      <c r="B535" t="s">
        <v>340</v>
      </c>
      <c r="C535" t="str">
        <f>Data_Master[[#This Row],[Uniq-ID]]&amp;"-"&amp;Data_Master[[#This Row],[Period]]</f>
        <v>DC-Document_Controller-044-M4</v>
      </c>
      <c r="D535" t="s">
        <v>341</v>
      </c>
      <c r="E535" t="s">
        <v>76</v>
      </c>
      <c r="G535" t="s">
        <v>25</v>
      </c>
      <c r="H535" t="s">
        <v>339</v>
      </c>
      <c r="I535" t="s">
        <v>33</v>
      </c>
      <c r="J535" t="s">
        <v>44</v>
      </c>
      <c r="L535">
        <v>0.5</v>
      </c>
      <c r="M535">
        <v>0.40799999999999997</v>
      </c>
      <c r="N535" t="s">
        <v>2871</v>
      </c>
      <c r="O535" t="s">
        <v>2950</v>
      </c>
      <c r="P535" t="s">
        <v>2873</v>
      </c>
      <c r="Q535">
        <v>88</v>
      </c>
      <c r="R535">
        <v>9</v>
      </c>
      <c r="S535">
        <v>0.1023</v>
      </c>
    </row>
    <row r="536" spans="1:19">
      <c r="A536" t="s">
        <v>8</v>
      </c>
      <c r="B536" t="s">
        <v>93</v>
      </c>
      <c r="C536" t="str">
        <f>Data_Master[[#This Row],[Uniq-ID]]&amp;"-"&amp;Data_Master[[#This Row],[Period]]</f>
        <v>DC-Document_Controller-045-M1</v>
      </c>
      <c r="D536" t="s">
        <v>94</v>
      </c>
      <c r="E536" t="s">
        <v>76</v>
      </c>
      <c r="G536" t="s">
        <v>13</v>
      </c>
      <c r="H536" t="s">
        <v>37</v>
      </c>
      <c r="I536" t="s">
        <v>15</v>
      </c>
      <c r="J536" t="s">
        <v>16</v>
      </c>
      <c r="L536">
        <v>1.42</v>
      </c>
      <c r="M536">
        <v>2.8340000000000001</v>
      </c>
      <c r="N536" t="s">
        <v>2947</v>
      </c>
      <c r="O536" t="s">
        <v>2948</v>
      </c>
      <c r="P536" t="s">
        <v>2873</v>
      </c>
      <c r="Q536">
        <v>110</v>
      </c>
      <c r="R536">
        <v>4</v>
      </c>
      <c r="S536">
        <v>3.6400000000000002E-2</v>
      </c>
    </row>
    <row r="537" spans="1:19">
      <c r="A537" t="s">
        <v>8</v>
      </c>
      <c r="B537" t="s">
        <v>93</v>
      </c>
      <c r="C537" t="str">
        <f>Data_Master[[#This Row],[Uniq-ID]]&amp;"-"&amp;Data_Master[[#This Row],[Period]]</f>
        <v>DC-Document_Controller-045-M1</v>
      </c>
      <c r="D537" t="s">
        <v>94</v>
      </c>
      <c r="E537" t="s">
        <v>76</v>
      </c>
      <c r="G537" t="s">
        <v>13</v>
      </c>
      <c r="H537" t="s">
        <v>37</v>
      </c>
      <c r="I537" t="s">
        <v>15</v>
      </c>
      <c r="J537" t="s">
        <v>16</v>
      </c>
      <c r="L537">
        <v>1.42</v>
      </c>
      <c r="M537">
        <v>2.8340000000000001</v>
      </c>
      <c r="N537" t="s">
        <v>2871</v>
      </c>
      <c r="O537" t="s">
        <v>2950</v>
      </c>
      <c r="P537" t="s">
        <v>2873</v>
      </c>
      <c r="Q537">
        <v>88</v>
      </c>
      <c r="R537">
        <v>36</v>
      </c>
      <c r="S537">
        <v>0.40910000000000002</v>
      </c>
    </row>
    <row r="538" spans="1:19">
      <c r="A538" t="s">
        <v>8</v>
      </c>
      <c r="B538" t="s">
        <v>93</v>
      </c>
      <c r="C538" t="str">
        <f>Data_Master[[#This Row],[Uniq-ID]]&amp;"-"&amp;Data_Master[[#This Row],[Period]]</f>
        <v>DC-Document_Controller-045-M1</v>
      </c>
      <c r="D538" t="s">
        <v>94</v>
      </c>
      <c r="E538" t="s">
        <v>76</v>
      </c>
      <c r="G538" t="s">
        <v>13</v>
      </c>
      <c r="H538" t="s">
        <v>37</v>
      </c>
      <c r="I538" t="s">
        <v>15</v>
      </c>
      <c r="J538" t="s">
        <v>16</v>
      </c>
      <c r="L538">
        <v>1.42</v>
      </c>
      <c r="M538">
        <v>2.8340000000000001</v>
      </c>
      <c r="N538" t="s">
        <v>2871</v>
      </c>
      <c r="O538" t="s">
        <v>2952</v>
      </c>
      <c r="P538" t="s">
        <v>2873</v>
      </c>
      <c r="Q538">
        <v>257</v>
      </c>
      <c r="R538">
        <v>241</v>
      </c>
      <c r="S538">
        <v>0.93769999999999998</v>
      </c>
    </row>
    <row r="539" spans="1:19">
      <c r="A539" t="s">
        <v>8</v>
      </c>
      <c r="B539" t="s">
        <v>93</v>
      </c>
      <c r="C539" t="str">
        <f>Data_Master[[#This Row],[Uniq-ID]]&amp;"-"&amp;Data_Master[[#This Row],[Period]]</f>
        <v>DC-Document_Controller-045-M1</v>
      </c>
      <c r="D539" t="s">
        <v>94</v>
      </c>
      <c r="E539" t="s">
        <v>76</v>
      </c>
      <c r="G539" t="s">
        <v>13</v>
      </c>
      <c r="H539" t="s">
        <v>37</v>
      </c>
      <c r="I539" t="s">
        <v>15</v>
      </c>
      <c r="J539" t="s">
        <v>16</v>
      </c>
      <c r="L539">
        <v>1.42</v>
      </c>
      <c r="M539">
        <v>2.8340000000000001</v>
      </c>
      <c r="N539" t="s">
        <v>2871</v>
      </c>
      <c r="O539" t="s">
        <v>2954</v>
      </c>
      <c r="P539" t="s">
        <v>2873</v>
      </c>
      <c r="Q539">
        <v>220</v>
      </c>
      <c r="R539">
        <v>81</v>
      </c>
      <c r="S539">
        <v>0.36820000000000003</v>
      </c>
    </row>
    <row r="540" spans="1:19">
      <c r="A540" t="s">
        <v>8</v>
      </c>
      <c r="B540" t="s">
        <v>93</v>
      </c>
      <c r="C540" t="str">
        <f>Data_Master[[#This Row],[Uniq-ID]]&amp;"-"&amp;Data_Master[[#This Row],[Period]]</f>
        <v>DC-Document_Controller-045-M1</v>
      </c>
      <c r="D540" t="s">
        <v>94</v>
      </c>
      <c r="E540" t="s">
        <v>76</v>
      </c>
      <c r="G540" t="s">
        <v>13</v>
      </c>
      <c r="H540" t="s">
        <v>37</v>
      </c>
      <c r="I540" t="s">
        <v>15</v>
      </c>
      <c r="J540" t="s">
        <v>16</v>
      </c>
      <c r="L540">
        <v>1.42</v>
      </c>
      <c r="M540">
        <v>2.8340000000000001</v>
      </c>
      <c r="N540" t="s">
        <v>2871</v>
      </c>
      <c r="O540" t="s">
        <v>2956</v>
      </c>
      <c r="P540" t="s">
        <v>2873</v>
      </c>
      <c r="Q540">
        <v>298</v>
      </c>
      <c r="R540">
        <v>75</v>
      </c>
      <c r="S540">
        <v>0.25169999999999998</v>
      </c>
    </row>
    <row r="541" spans="1:19">
      <c r="A541" t="s">
        <v>8</v>
      </c>
      <c r="B541" t="s">
        <v>93</v>
      </c>
      <c r="C541" t="str">
        <f>Data_Master[[#This Row],[Uniq-ID]]&amp;"-"&amp;Data_Master[[#This Row],[Period]]</f>
        <v>DC-Document_Controller-045-M1</v>
      </c>
      <c r="D541" t="s">
        <v>94</v>
      </c>
      <c r="E541" t="s">
        <v>76</v>
      </c>
      <c r="G541" t="s">
        <v>13</v>
      </c>
      <c r="H541" t="s">
        <v>37</v>
      </c>
      <c r="I541" t="s">
        <v>15</v>
      </c>
      <c r="J541" t="s">
        <v>16</v>
      </c>
      <c r="L541">
        <v>1.42</v>
      </c>
      <c r="M541">
        <v>2.8340000000000001</v>
      </c>
      <c r="N541" t="s">
        <v>2871</v>
      </c>
      <c r="O541" t="s">
        <v>2958</v>
      </c>
      <c r="P541" t="s">
        <v>2873</v>
      </c>
      <c r="Q541">
        <v>154</v>
      </c>
      <c r="R541">
        <v>128</v>
      </c>
      <c r="S541">
        <v>0.83120000000000005</v>
      </c>
    </row>
    <row r="542" spans="1:19">
      <c r="A542" t="s">
        <v>8</v>
      </c>
      <c r="B542" t="s">
        <v>93</v>
      </c>
      <c r="C542" t="str">
        <f>Data_Master[[#This Row],[Uniq-ID]]&amp;"-"&amp;Data_Master[[#This Row],[Period]]</f>
        <v>DC-Document_Controller-045-M2</v>
      </c>
      <c r="D542" t="s">
        <v>94</v>
      </c>
      <c r="E542" t="s">
        <v>76</v>
      </c>
      <c r="G542" t="s">
        <v>18</v>
      </c>
      <c r="H542" t="s">
        <v>39</v>
      </c>
      <c r="I542" t="s">
        <v>15</v>
      </c>
      <c r="J542" t="s">
        <v>16</v>
      </c>
      <c r="L542">
        <v>1.5</v>
      </c>
      <c r="M542">
        <v>3.4289999999999998</v>
      </c>
      <c r="N542" t="s">
        <v>2871</v>
      </c>
      <c r="O542" t="s">
        <v>2950</v>
      </c>
      <c r="P542" t="s">
        <v>2873</v>
      </c>
      <c r="Q542">
        <v>88</v>
      </c>
      <c r="R542">
        <v>24</v>
      </c>
      <c r="S542">
        <v>0.2727</v>
      </c>
    </row>
    <row r="543" spans="1:19">
      <c r="A543" t="s">
        <v>8</v>
      </c>
      <c r="B543" t="s">
        <v>93</v>
      </c>
      <c r="C543" t="str">
        <f>Data_Master[[#This Row],[Uniq-ID]]&amp;"-"&amp;Data_Master[[#This Row],[Period]]</f>
        <v>DC-Document_Controller-045-M2</v>
      </c>
      <c r="D543" t="s">
        <v>94</v>
      </c>
      <c r="E543" t="s">
        <v>76</v>
      </c>
      <c r="G543" t="s">
        <v>18</v>
      </c>
      <c r="H543" t="s">
        <v>39</v>
      </c>
      <c r="I543" t="s">
        <v>15</v>
      </c>
      <c r="J543" t="s">
        <v>16</v>
      </c>
      <c r="L543">
        <v>1.5</v>
      </c>
      <c r="M543">
        <v>3.4289999999999998</v>
      </c>
      <c r="N543" t="s">
        <v>2871</v>
      </c>
      <c r="O543" t="s">
        <v>2958</v>
      </c>
      <c r="P543" t="s">
        <v>2873</v>
      </c>
      <c r="Q543">
        <v>154</v>
      </c>
      <c r="R543">
        <v>273</v>
      </c>
      <c r="S543">
        <v>1.7726999999999999</v>
      </c>
    </row>
    <row r="544" spans="1:19">
      <c r="A544" t="s">
        <v>8</v>
      </c>
      <c r="B544" t="s">
        <v>93</v>
      </c>
      <c r="C544" t="str">
        <f>Data_Master[[#This Row],[Uniq-ID]]&amp;"-"&amp;Data_Master[[#This Row],[Period]]</f>
        <v>DC-Document_Controller-045-M2</v>
      </c>
      <c r="D544" t="s">
        <v>94</v>
      </c>
      <c r="E544" t="s">
        <v>76</v>
      </c>
      <c r="G544" t="s">
        <v>18</v>
      </c>
      <c r="H544" t="s">
        <v>39</v>
      </c>
      <c r="I544" t="s">
        <v>15</v>
      </c>
      <c r="J544" t="s">
        <v>16</v>
      </c>
      <c r="L544">
        <v>1.5</v>
      </c>
      <c r="M544">
        <v>3.4289999999999998</v>
      </c>
      <c r="N544" t="s">
        <v>2871</v>
      </c>
      <c r="O544" t="s">
        <v>2956</v>
      </c>
      <c r="P544" t="s">
        <v>2873</v>
      </c>
      <c r="Q544">
        <v>298</v>
      </c>
      <c r="R544">
        <v>212</v>
      </c>
      <c r="S544">
        <v>0.71140000000000003</v>
      </c>
    </row>
    <row r="545" spans="1:19">
      <c r="A545" t="s">
        <v>8</v>
      </c>
      <c r="B545" t="s">
        <v>93</v>
      </c>
      <c r="C545" t="str">
        <f>Data_Master[[#This Row],[Uniq-ID]]&amp;"-"&amp;Data_Master[[#This Row],[Period]]</f>
        <v>DC-Document_Controller-045-M2</v>
      </c>
      <c r="D545" t="s">
        <v>94</v>
      </c>
      <c r="E545" t="s">
        <v>76</v>
      </c>
      <c r="G545" t="s">
        <v>18</v>
      </c>
      <c r="H545" t="s">
        <v>39</v>
      </c>
      <c r="I545" t="s">
        <v>15</v>
      </c>
      <c r="J545" t="s">
        <v>16</v>
      </c>
      <c r="L545">
        <v>1.5</v>
      </c>
      <c r="M545">
        <v>3.4289999999999998</v>
      </c>
      <c r="N545" t="s">
        <v>2871</v>
      </c>
      <c r="O545" t="s">
        <v>2954</v>
      </c>
      <c r="P545" t="s">
        <v>2873</v>
      </c>
      <c r="Q545">
        <v>220</v>
      </c>
      <c r="R545">
        <v>28</v>
      </c>
      <c r="S545">
        <v>0.1273</v>
      </c>
    </row>
    <row r="546" spans="1:19">
      <c r="A546" t="s">
        <v>8</v>
      </c>
      <c r="B546" t="s">
        <v>93</v>
      </c>
      <c r="C546" t="str">
        <f>Data_Master[[#This Row],[Uniq-ID]]&amp;"-"&amp;Data_Master[[#This Row],[Period]]</f>
        <v>DC-Document_Controller-045-M2</v>
      </c>
      <c r="D546" t="s">
        <v>94</v>
      </c>
      <c r="E546" t="s">
        <v>76</v>
      </c>
      <c r="G546" t="s">
        <v>18</v>
      </c>
      <c r="H546" t="s">
        <v>39</v>
      </c>
      <c r="I546" t="s">
        <v>15</v>
      </c>
      <c r="J546" t="s">
        <v>16</v>
      </c>
      <c r="L546">
        <v>1.5</v>
      </c>
      <c r="M546">
        <v>3.4289999999999998</v>
      </c>
      <c r="N546" t="s">
        <v>2871</v>
      </c>
      <c r="O546" t="s">
        <v>2952</v>
      </c>
      <c r="P546" t="s">
        <v>2873</v>
      </c>
      <c r="Q546">
        <v>257</v>
      </c>
      <c r="R546">
        <v>126</v>
      </c>
      <c r="S546">
        <v>0.49030000000000001</v>
      </c>
    </row>
    <row r="547" spans="1:19">
      <c r="A547" t="s">
        <v>8</v>
      </c>
      <c r="B547" t="s">
        <v>93</v>
      </c>
      <c r="C547" t="str">
        <f>Data_Master[[#This Row],[Uniq-ID]]&amp;"-"&amp;Data_Master[[#This Row],[Period]]</f>
        <v>DC-Document_Controller-045-M2</v>
      </c>
      <c r="D547" t="s">
        <v>94</v>
      </c>
      <c r="E547" t="s">
        <v>76</v>
      </c>
      <c r="G547" t="s">
        <v>18</v>
      </c>
      <c r="H547" t="s">
        <v>39</v>
      </c>
      <c r="I547" t="s">
        <v>15</v>
      </c>
      <c r="J547" t="s">
        <v>16</v>
      </c>
      <c r="L547">
        <v>1.5</v>
      </c>
      <c r="M547">
        <v>3.4289999999999998</v>
      </c>
      <c r="N547" t="s">
        <v>2947</v>
      </c>
      <c r="O547" t="s">
        <v>2948</v>
      </c>
      <c r="P547" t="s">
        <v>2873</v>
      </c>
      <c r="Q547">
        <v>110</v>
      </c>
      <c r="R547">
        <v>6</v>
      </c>
      <c r="S547">
        <v>5.45E-2</v>
      </c>
    </row>
    <row r="548" spans="1:19">
      <c r="A548" t="s">
        <v>8</v>
      </c>
      <c r="B548" t="s">
        <v>93</v>
      </c>
      <c r="C548" t="str">
        <f>Data_Master[[#This Row],[Uniq-ID]]&amp;"-"&amp;Data_Master[[#This Row],[Period]]</f>
        <v>DC-Document_Controller-045-M3</v>
      </c>
      <c r="D548" t="s">
        <v>94</v>
      </c>
      <c r="E548" t="s">
        <v>76</v>
      </c>
      <c r="G548" t="s">
        <v>22</v>
      </c>
      <c r="H548" t="s">
        <v>41</v>
      </c>
      <c r="I548" t="s">
        <v>15</v>
      </c>
      <c r="J548" t="s">
        <v>20</v>
      </c>
      <c r="L548">
        <v>1</v>
      </c>
      <c r="M548">
        <v>1.5509999999999999</v>
      </c>
      <c r="N548" t="s">
        <v>2871</v>
      </c>
      <c r="O548" t="s">
        <v>2956</v>
      </c>
      <c r="P548" t="s">
        <v>2873</v>
      </c>
      <c r="Q548">
        <v>298</v>
      </c>
      <c r="R548">
        <v>206</v>
      </c>
      <c r="S548">
        <v>0.69130000000000003</v>
      </c>
    </row>
    <row r="549" spans="1:19">
      <c r="A549" t="s">
        <v>8</v>
      </c>
      <c r="B549" t="s">
        <v>93</v>
      </c>
      <c r="C549" t="str">
        <f>Data_Master[[#This Row],[Uniq-ID]]&amp;"-"&amp;Data_Master[[#This Row],[Period]]</f>
        <v>DC-Document_Controller-045-M3</v>
      </c>
      <c r="D549" t="s">
        <v>94</v>
      </c>
      <c r="E549" t="s">
        <v>76</v>
      </c>
      <c r="G549" t="s">
        <v>22</v>
      </c>
      <c r="H549" t="s">
        <v>41</v>
      </c>
      <c r="I549" t="s">
        <v>15</v>
      </c>
      <c r="J549" t="s">
        <v>20</v>
      </c>
      <c r="L549">
        <v>1</v>
      </c>
      <c r="M549">
        <v>1.5509999999999999</v>
      </c>
      <c r="N549" t="s">
        <v>2871</v>
      </c>
      <c r="O549" t="s">
        <v>2954</v>
      </c>
      <c r="P549" t="s">
        <v>2873</v>
      </c>
      <c r="Q549">
        <v>220</v>
      </c>
      <c r="R549">
        <v>9</v>
      </c>
      <c r="S549">
        <v>4.0899999999999999E-2</v>
      </c>
    </row>
    <row r="550" spans="1:19">
      <c r="A550" t="s">
        <v>8</v>
      </c>
      <c r="B550" t="s">
        <v>93</v>
      </c>
      <c r="C550" t="str">
        <f>Data_Master[[#This Row],[Uniq-ID]]&amp;"-"&amp;Data_Master[[#This Row],[Period]]</f>
        <v>DC-Document_Controller-045-M3</v>
      </c>
      <c r="D550" t="s">
        <v>94</v>
      </c>
      <c r="E550" t="s">
        <v>76</v>
      </c>
      <c r="G550" t="s">
        <v>22</v>
      </c>
      <c r="H550" t="s">
        <v>41</v>
      </c>
      <c r="I550" t="s">
        <v>15</v>
      </c>
      <c r="J550" t="s">
        <v>20</v>
      </c>
      <c r="L550">
        <v>1</v>
      </c>
      <c r="M550">
        <v>1.5509999999999999</v>
      </c>
      <c r="N550" t="s">
        <v>2871</v>
      </c>
      <c r="O550" t="s">
        <v>2952</v>
      </c>
      <c r="P550" t="s">
        <v>2873</v>
      </c>
      <c r="Q550">
        <v>257</v>
      </c>
      <c r="R550">
        <v>24</v>
      </c>
      <c r="S550">
        <v>9.3399999999999997E-2</v>
      </c>
    </row>
    <row r="551" spans="1:19">
      <c r="A551" t="s">
        <v>8</v>
      </c>
      <c r="B551" t="s">
        <v>93</v>
      </c>
      <c r="C551" t="str">
        <f>Data_Master[[#This Row],[Uniq-ID]]&amp;"-"&amp;Data_Master[[#This Row],[Period]]</f>
        <v>DC-Document_Controller-045-M3</v>
      </c>
      <c r="D551" t="s">
        <v>94</v>
      </c>
      <c r="E551" t="s">
        <v>76</v>
      </c>
      <c r="G551" t="s">
        <v>22</v>
      </c>
      <c r="H551" t="s">
        <v>41</v>
      </c>
      <c r="I551" t="s">
        <v>15</v>
      </c>
      <c r="J551" t="s">
        <v>20</v>
      </c>
      <c r="L551">
        <v>1</v>
      </c>
      <c r="M551">
        <v>1.5509999999999999</v>
      </c>
      <c r="N551" t="s">
        <v>2871</v>
      </c>
      <c r="O551" t="s">
        <v>2950</v>
      </c>
      <c r="P551" t="s">
        <v>2873</v>
      </c>
      <c r="Q551">
        <v>88</v>
      </c>
      <c r="R551">
        <v>5</v>
      </c>
      <c r="S551">
        <v>5.6800000000000003E-2</v>
      </c>
    </row>
    <row r="552" spans="1:19">
      <c r="A552" t="s">
        <v>8</v>
      </c>
      <c r="B552" t="s">
        <v>93</v>
      </c>
      <c r="C552" t="str">
        <f>Data_Master[[#This Row],[Uniq-ID]]&amp;"-"&amp;Data_Master[[#This Row],[Period]]</f>
        <v>DC-Document_Controller-045-M3</v>
      </c>
      <c r="D552" t="s">
        <v>94</v>
      </c>
      <c r="E552" t="s">
        <v>76</v>
      </c>
      <c r="G552" t="s">
        <v>22</v>
      </c>
      <c r="H552" t="s">
        <v>41</v>
      </c>
      <c r="I552" t="s">
        <v>15</v>
      </c>
      <c r="J552" t="s">
        <v>20</v>
      </c>
      <c r="L552">
        <v>1</v>
      </c>
      <c r="M552">
        <v>1.5509999999999999</v>
      </c>
      <c r="N552" t="s">
        <v>2871</v>
      </c>
      <c r="O552" t="s">
        <v>2958</v>
      </c>
      <c r="P552" t="s">
        <v>2873</v>
      </c>
      <c r="Q552">
        <v>154</v>
      </c>
      <c r="R552">
        <v>103</v>
      </c>
      <c r="S552">
        <v>0.66879999999999995</v>
      </c>
    </row>
    <row r="553" spans="1:19">
      <c r="A553" t="s">
        <v>8</v>
      </c>
      <c r="B553" t="s">
        <v>93</v>
      </c>
      <c r="C553" t="str">
        <f>Data_Master[[#This Row],[Uniq-ID]]&amp;"-"&amp;Data_Master[[#This Row],[Period]]</f>
        <v>DC-Document_Controller-045-M4</v>
      </c>
      <c r="D553" t="s">
        <v>94</v>
      </c>
      <c r="E553" t="s">
        <v>76</v>
      </c>
      <c r="G553" t="s">
        <v>25</v>
      </c>
      <c r="H553" t="s">
        <v>43</v>
      </c>
      <c r="I553" t="s">
        <v>33</v>
      </c>
      <c r="J553" t="s">
        <v>44</v>
      </c>
      <c r="L553">
        <v>0.64</v>
      </c>
      <c r="M553">
        <v>0.64100000000000001</v>
      </c>
      <c r="N553" t="s">
        <v>2871</v>
      </c>
      <c r="O553" t="s">
        <v>2952</v>
      </c>
      <c r="P553" t="s">
        <v>2873</v>
      </c>
      <c r="Q553">
        <v>257</v>
      </c>
      <c r="R553">
        <v>23</v>
      </c>
      <c r="S553">
        <v>8.9499999999999996E-2</v>
      </c>
    </row>
    <row r="554" spans="1:19">
      <c r="A554" t="s">
        <v>8</v>
      </c>
      <c r="B554" t="s">
        <v>93</v>
      </c>
      <c r="C554" t="str">
        <f>Data_Master[[#This Row],[Uniq-ID]]&amp;"-"&amp;Data_Master[[#This Row],[Period]]</f>
        <v>DC-Document_Controller-045-M4</v>
      </c>
      <c r="D554" t="s">
        <v>94</v>
      </c>
      <c r="E554" t="s">
        <v>76</v>
      </c>
      <c r="G554" t="s">
        <v>25</v>
      </c>
      <c r="H554" t="s">
        <v>43</v>
      </c>
      <c r="I554" t="s">
        <v>33</v>
      </c>
      <c r="J554" t="s">
        <v>44</v>
      </c>
      <c r="L554">
        <v>0.64</v>
      </c>
      <c r="M554">
        <v>0.64100000000000001</v>
      </c>
      <c r="N554" t="s">
        <v>2871</v>
      </c>
      <c r="O554" t="s">
        <v>2956</v>
      </c>
      <c r="P554" t="s">
        <v>2873</v>
      </c>
      <c r="Q554">
        <v>298</v>
      </c>
      <c r="R554">
        <v>85</v>
      </c>
      <c r="S554">
        <v>0.28520000000000001</v>
      </c>
    </row>
    <row r="555" spans="1:19">
      <c r="A555" t="s">
        <v>8</v>
      </c>
      <c r="B555" t="s">
        <v>93</v>
      </c>
      <c r="C555" t="str">
        <f>Data_Master[[#This Row],[Uniq-ID]]&amp;"-"&amp;Data_Master[[#This Row],[Period]]</f>
        <v>DC-Document_Controller-045-M4</v>
      </c>
      <c r="D555" t="s">
        <v>94</v>
      </c>
      <c r="E555" t="s">
        <v>76</v>
      </c>
      <c r="G555" t="s">
        <v>25</v>
      </c>
      <c r="H555" t="s">
        <v>43</v>
      </c>
      <c r="I555" t="s">
        <v>33</v>
      </c>
      <c r="J555" t="s">
        <v>44</v>
      </c>
      <c r="L555">
        <v>0.64</v>
      </c>
      <c r="M555">
        <v>0.64100000000000001</v>
      </c>
      <c r="N555" t="s">
        <v>2871</v>
      </c>
      <c r="O555" t="s">
        <v>2958</v>
      </c>
      <c r="P555" t="s">
        <v>2873</v>
      </c>
      <c r="Q555">
        <v>154</v>
      </c>
      <c r="R555">
        <v>41</v>
      </c>
      <c r="S555">
        <v>0.26619999999999999</v>
      </c>
    </row>
    <row r="556" spans="1:19">
      <c r="A556" t="s">
        <v>8</v>
      </c>
      <c r="B556" t="s">
        <v>87</v>
      </c>
      <c r="C556" t="str">
        <f>Data_Master[[#This Row],[Uniq-ID]]&amp;"-"&amp;Data_Master[[#This Row],[Period]]</f>
        <v>DC-Document_Controller-046-M1</v>
      </c>
      <c r="D556" t="s">
        <v>88</v>
      </c>
      <c r="E556" t="s">
        <v>76</v>
      </c>
      <c r="G556" t="s">
        <v>13</v>
      </c>
      <c r="H556" t="s">
        <v>37</v>
      </c>
      <c r="I556" t="s">
        <v>15</v>
      </c>
      <c r="J556" t="s">
        <v>16</v>
      </c>
      <c r="L556">
        <v>1.02</v>
      </c>
      <c r="M556">
        <v>2.0430000000000001</v>
      </c>
      <c r="N556" t="s">
        <v>2947</v>
      </c>
      <c r="O556" t="s">
        <v>2948</v>
      </c>
      <c r="P556" t="s">
        <v>2873</v>
      </c>
      <c r="Q556">
        <v>110</v>
      </c>
      <c r="R556">
        <v>1</v>
      </c>
      <c r="S556">
        <v>9.1000000000000004E-3</v>
      </c>
    </row>
    <row r="557" spans="1:19">
      <c r="A557" t="s">
        <v>8</v>
      </c>
      <c r="B557" t="s">
        <v>87</v>
      </c>
      <c r="C557" t="str">
        <f>Data_Master[[#This Row],[Uniq-ID]]&amp;"-"&amp;Data_Master[[#This Row],[Period]]</f>
        <v>DC-Document_Controller-046-M1</v>
      </c>
      <c r="D557" t="s">
        <v>88</v>
      </c>
      <c r="E557" t="s">
        <v>76</v>
      </c>
      <c r="G557" t="s">
        <v>13</v>
      </c>
      <c r="H557" t="s">
        <v>37</v>
      </c>
      <c r="I557" t="s">
        <v>15</v>
      </c>
      <c r="J557" t="s">
        <v>16</v>
      </c>
      <c r="L557">
        <v>1.02</v>
      </c>
      <c r="M557">
        <v>2.0430000000000001</v>
      </c>
      <c r="N557" t="s">
        <v>2947</v>
      </c>
      <c r="O557" t="s">
        <v>2988</v>
      </c>
      <c r="P557" t="s">
        <v>2873</v>
      </c>
      <c r="Q557">
        <v>103</v>
      </c>
      <c r="R557">
        <v>13</v>
      </c>
      <c r="S557">
        <v>0.12620000000000001</v>
      </c>
    </row>
    <row r="558" spans="1:19">
      <c r="A558" t="s">
        <v>8</v>
      </c>
      <c r="B558" t="s">
        <v>87</v>
      </c>
      <c r="C558" t="str">
        <f>Data_Master[[#This Row],[Uniq-ID]]&amp;"-"&amp;Data_Master[[#This Row],[Period]]</f>
        <v>DC-Document_Controller-046-M1</v>
      </c>
      <c r="D558" t="s">
        <v>88</v>
      </c>
      <c r="E558" t="s">
        <v>76</v>
      </c>
      <c r="G558" t="s">
        <v>13</v>
      </c>
      <c r="H558" t="s">
        <v>37</v>
      </c>
      <c r="I558" t="s">
        <v>15</v>
      </c>
      <c r="J558" t="s">
        <v>16</v>
      </c>
      <c r="L558">
        <v>1.02</v>
      </c>
      <c r="M558">
        <v>2.0430000000000001</v>
      </c>
      <c r="N558" t="s">
        <v>2871</v>
      </c>
      <c r="O558" t="s">
        <v>2954</v>
      </c>
      <c r="P558" t="s">
        <v>2873</v>
      </c>
      <c r="Q558">
        <v>220</v>
      </c>
      <c r="R558">
        <v>343</v>
      </c>
      <c r="S558">
        <v>1.5590999999999999</v>
      </c>
    </row>
    <row r="559" spans="1:19">
      <c r="A559" t="s">
        <v>8</v>
      </c>
      <c r="B559" t="s">
        <v>87</v>
      </c>
      <c r="C559" t="str">
        <f>Data_Master[[#This Row],[Uniq-ID]]&amp;"-"&amp;Data_Master[[#This Row],[Period]]</f>
        <v>DC-Document_Controller-046-M1</v>
      </c>
      <c r="D559" t="s">
        <v>88</v>
      </c>
      <c r="E559" t="s">
        <v>76</v>
      </c>
      <c r="G559" t="s">
        <v>13</v>
      </c>
      <c r="H559" t="s">
        <v>37</v>
      </c>
      <c r="I559" t="s">
        <v>15</v>
      </c>
      <c r="J559" t="s">
        <v>16</v>
      </c>
      <c r="L559">
        <v>1.02</v>
      </c>
      <c r="M559">
        <v>2.0430000000000001</v>
      </c>
      <c r="N559" t="s">
        <v>2871</v>
      </c>
      <c r="O559" t="s">
        <v>2956</v>
      </c>
      <c r="P559" t="s">
        <v>2873</v>
      </c>
      <c r="Q559">
        <v>298</v>
      </c>
      <c r="R559">
        <v>93</v>
      </c>
      <c r="S559">
        <v>0.31209999999999999</v>
      </c>
    </row>
    <row r="560" spans="1:19">
      <c r="A560" t="s">
        <v>8</v>
      </c>
      <c r="B560" t="s">
        <v>87</v>
      </c>
      <c r="C560" t="str">
        <f>Data_Master[[#This Row],[Uniq-ID]]&amp;"-"&amp;Data_Master[[#This Row],[Period]]</f>
        <v>DC-Document_Controller-046-M1</v>
      </c>
      <c r="D560" t="s">
        <v>88</v>
      </c>
      <c r="E560" t="s">
        <v>76</v>
      </c>
      <c r="G560" t="s">
        <v>13</v>
      </c>
      <c r="H560" t="s">
        <v>37</v>
      </c>
      <c r="I560" t="s">
        <v>15</v>
      </c>
      <c r="J560" t="s">
        <v>16</v>
      </c>
      <c r="L560">
        <v>1.02</v>
      </c>
      <c r="M560">
        <v>2.0430000000000001</v>
      </c>
      <c r="N560" t="s">
        <v>2887</v>
      </c>
      <c r="O560" t="s">
        <v>2992</v>
      </c>
      <c r="P560" t="s">
        <v>2873</v>
      </c>
      <c r="Q560">
        <v>220</v>
      </c>
      <c r="R560">
        <v>8</v>
      </c>
      <c r="S560">
        <v>3.6400000000000002E-2</v>
      </c>
    </row>
    <row r="561" spans="1:19">
      <c r="A561" t="s">
        <v>8</v>
      </c>
      <c r="B561" t="s">
        <v>87</v>
      </c>
      <c r="C561" t="str">
        <f>Data_Master[[#This Row],[Uniq-ID]]&amp;"-"&amp;Data_Master[[#This Row],[Period]]</f>
        <v>DC-Document_Controller-046-M2</v>
      </c>
      <c r="D561" t="s">
        <v>88</v>
      </c>
      <c r="E561" t="s">
        <v>76</v>
      </c>
      <c r="G561" t="s">
        <v>18</v>
      </c>
      <c r="H561" t="s">
        <v>39</v>
      </c>
      <c r="I561" t="s">
        <v>15</v>
      </c>
      <c r="J561" t="s">
        <v>44</v>
      </c>
      <c r="L561">
        <v>0.5</v>
      </c>
      <c r="M561">
        <v>0.495</v>
      </c>
      <c r="N561" t="s">
        <v>2871</v>
      </c>
      <c r="O561" t="s">
        <v>2954</v>
      </c>
      <c r="P561" t="s">
        <v>2873</v>
      </c>
      <c r="Q561">
        <v>220</v>
      </c>
      <c r="R561">
        <v>8</v>
      </c>
      <c r="S561">
        <v>3.6400000000000002E-2</v>
      </c>
    </row>
    <row r="562" spans="1:19">
      <c r="A562" t="s">
        <v>8</v>
      </c>
      <c r="B562" t="s">
        <v>87</v>
      </c>
      <c r="C562" t="str">
        <f>Data_Master[[#This Row],[Uniq-ID]]&amp;"-"&amp;Data_Master[[#This Row],[Period]]</f>
        <v>DC-Document_Controller-046-M2</v>
      </c>
      <c r="D562" t="s">
        <v>88</v>
      </c>
      <c r="E562" t="s">
        <v>76</v>
      </c>
      <c r="G562" t="s">
        <v>18</v>
      </c>
      <c r="H562" t="s">
        <v>39</v>
      </c>
      <c r="I562" t="s">
        <v>15</v>
      </c>
      <c r="J562" t="s">
        <v>44</v>
      </c>
      <c r="L562">
        <v>0.5</v>
      </c>
      <c r="M562">
        <v>0.495</v>
      </c>
      <c r="N562" t="s">
        <v>2871</v>
      </c>
      <c r="O562" t="s">
        <v>2956</v>
      </c>
      <c r="P562" t="s">
        <v>2873</v>
      </c>
      <c r="Q562">
        <v>298</v>
      </c>
      <c r="R562">
        <v>44</v>
      </c>
      <c r="S562">
        <v>0.1477</v>
      </c>
    </row>
    <row r="563" spans="1:19">
      <c r="A563" t="s">
        <v>8</v>
      </c>
      <c r="B563" t="s">
        <v>87</v>
      </c>
      <c r="C563" t="str">
        <f>Data_Master[[#This Row],[Uniq-ID]]&amp;"-"&amp;Data_Master[[#This Row],[Period]]</f>
        <v>DC-Document_Controller-046-M2</v>
      </c>
      <c r="D563" t="s">
        <v>88</v>
      </c>
      <c r="E563" t="s">
        <v>76</v>
      </c>
      <c r="G563" t="s">
        <v>18</v>
      </c>
      <c r="H563" t="s">
        <v>39</v>
      </c>
      <c r="I563" t="s">
        <v>15</v>
      </c>
      <c r="J563" t="s">
        <v>44</v>
      </c>
      <c r="L563">
        <v>0.5</v>
      </c>
      <c r="M563">
        <v>0.495</v>
      </c>
      <c r="N563" t="s">
        <v>2947</v>
      </c>
      <c r="O563" t="s">
        <v>2988</v>
      </c>
      <c r="P563" t="s">
        <v>2873</v>
      </c>
      <c r="Q563">
        <v>103</v>
      </c>
      <c r="R563">
        <v>32</v>
      </c>
      <c r="S563">
        <v>0.31069999999999998</v>
      </c>
    </row>
    <row r="564" spans="1:19">
      <c r="A564" t="s">
        <v>8</v>
      </c>
      <c r="B564" t="s">
        <v>87</v>
      </c>
      <c r="C564" t="str">
        <f>Data_Master[[#This Row],[Uniq-ID]]&amp;"-"&amp;Data_Master[[#This Row],[Period]]</f>
        <v>DC-Document_Controller-046-M3</v>
      </c>
      <c r="D564" t="s">
        <v>88</v>
      </c>
      <c r="E564" t="s">
        <v>76</v>
      </c>
      <c r="G564" t="s">
        <v>22</v>
      </c>
      <c r="H564" t="s">
        <v>41</v>
      </c>
      <c r="I564" t="s">
        <v>15</v>
      </c>
      <c r="J564" t="s">
        <v>20</v>
      </c>
      <c r="L564">
        <v>1</v>
      </c>
      <c r="M564">
        <v>1.218</v>
      </c>
      <c r="N564" t="s">
        <v>2887</v>
      </c>
      <c r="O564" t="s">
        <v>2992</v>
      </c>
      <c r="P564" t="s">
        <v>2873</v>
      </c>
      <c r="Q564">
        <v>220</v>
      </c>
      <c r="R564">
        <v>2</v>
      </c>
      <c r="S564">
        <v>9.1000000000000004E-3</v>
      </c>
    </row>
    <row r="565" spans="1:19">
      <c r="A565" t="s">
        <v>8</v>
      </c>
      <c r="B565" t="s">
        <v>87</v>
      </c>
      <c r="C565" t="str">
        <f>Data_Master[[#This Row],[Uniq-ID]]&amp;"-"&amp;Data_Master[[#This Row],[Period]]</f>
        <v>DC-Document_Controller-046-M3</v>
      </c>
      <c r="D565" t="s">
        <v>88</v>
      </c>
      <c r="E565" t="s">
        <v>76</v>
      </c>
      <c r="G565" t="s">
        <v>22</v>
      </c>
      <c r="H565" t="s">
        <v>41</v>
      </c>
      <c r="I565" t="s">
        <v>15</v>
      </c>
      <c r="J565" t="s">
        <v>20</v>
      </c>
      <c r="L565">
        <v>1</v>
      </c>
      <c r="M565">
        <v>1.218</v>
      </c>
      <c r="N565" t="s">
        <v>2871</v>
      </c>
      <c r="O565" t="s">
        <v>2956</v>
      </c>
      <c r="P565" t="s">
        <v>2873</v>
      </c>
      <c r="Q565">
        <v>298</v>
      </c>
      <c r="R565">
        <v>39</v>
      </c>
      <c r="S565">
        <v>0.13089999999999999</v>
      </c>
    </row>
    <row r="566" spans="1:19">
      <c r="A566" t="s">
        <v>8</v>
      </c>
      <c r="B566" t="s">
        <v>87</v>
      </c>
      <c r="C566" t="str">
        <f>Data_Master[[#This Row],[Uniq-ID]]&amp;"-"&amp;Data_Master[[#This Row],[Period]]</f>
        <v>DC-Document_Controller-046-M3</v>
      </c>
      <c r="D566" t="s">
        <v>88</v>
      </c>
      <c r="E566" t="s">
        <v>76</v>
      </c>
      <c r="G566" t="s">
        <v>22</v>
      </c>
      <c r="H566" t="s">
        <v>41</v>
      </c>
      <c r="I566" t="s">
        <v>15</v>
      </c>
      <c r="J566" t="s">
        <v>20</v>
      </c>
      <c r="L566">
        <v>1</v>
      </c>
      <c r="M566">
        <v>1.218</v>
      </c>
      <c r="N566" t="s">
        <v>2871</v>
      </c>
      <c r="O566" t="s">
        <v>2954</v>
      </c>
      <c r="P566" t="s">
        <v>2873</v>
      </c>
      <c r="Q566">
        <v>220</v>
      </c>
      <c r="R566">
        <v>15</v>
      </c>
      <c r="S566">
        <v>6.8199999999999997E-2</v>
      </c>
    </row>
    <row r="567" spans="1:19">
      <c r="A567" t="s">
        <v>8</v>
      </c>
      <c r="B567" t="s">
        <v>87</v>
      </c>
      <c r="C567" t="str">
        <f>Data_Master[[#This Row],[Uniq-ID]]&amp;"-"&amp;Data_Master[[#This Row],[Period]]</f>
        <v>DC-Document_Controller-046-M3</v>
      </c>
      <c r="D567" t="s">
        <v>88</v>
      </c>
      <c r="E567" t="s">
        <v>76</v>
      </c>
      <c r="G567" t="s">
        <v>22</v>
      </c>
      <c r="H567" t="s">
        <v>41</v>
      </c>
      <c r="I567" t="s">
        <v>15</v>
      </c>
      <c r="J567" t="s">
        <v>20</v>
      </c>
      <c r="L567">
        <v>1</v>
      </c>
      <c r="M567">
        <v>1.218</v>
      </c>
      <c r="N567" t="s">
        <v>2947</v>
      </c>
      <c r="O567" t="s">
        <v>2988</v>
      </c>
      <c r="P567" t="s">
        <v>2873</v>
      </c>
      <c r="Q567">
        <v>103</v>
      </c>
      <c r="R567">
        <v>104</v>
      </c>
      <c r="S567">
        <v>1.0097</v>
      </c>
    </row>
    <row r="568" spans="1:19">
      <c r="A568" t="s">
        <v>8</v>
      </c>
      <c r="B568" t="s">
        <v>87</v>
      </c>
      <c r="C568" t="str">
        <f>Data_Master[[#This Row],[Uniq-ID]]&amp;"-"&amp;Data_Master[[#This Row],[Period]]</f>
        <v>DC-Document_Controller-046-M4</v>
      </c>
      <c r="D568" t="s">
        <v>88</v>
      </c>
      <c r="E568" t="s">
        <v>76</v>
      </c>
      <c r="G568" t="s">
        <v>25</v>
      </c>
      <c r="H568" t="s">
        <v>43</v>
      </c>
      <c r="I568" t="s">
        <v>33</v>
      </c>
      <c r="J568" t="s">
        <v>44</v>
      </c>
      <c r="L568">
        <v>0.5</v>
      </c>
      <c r="M568">
        <v>3.5000000000000003E-2</v>
      </c>
      <c r="N568" t="s">
        <v>2947</v>
      </c>
      <c r="O568" t="s">
        <v>2948</v>
      </c>
      <c r="P568" t="s">
        <v>2873</v>
      </c>
      <c r="Q568">
        <v>110</v>
      </c>
      <c r="R568">
        <v>1</v>
      </c>
      <c r="S568">
        <v>9.1000000000000004E-3</v>
      </c>
    </row>
    <row r="569" spans="1:19">
      <c r="A569" t="s">
        <v>8</v>
      </c>
      <c r="B569" t="s">
        <v>87</v>
      </c>
      <c r="C569" t="str">
        <f>Data_Master[[#This Row],[Uniq-ID]]&amp;"-"&amp;Data_Master[[#This Row],[Period]]</f>
        <v>DC-Document_Controller-046-M4</v>
      </c>
      <c r="D569" t="s">
        <v>88</v>
      </c>
      <c r="E569" t="s">
        <v>76</v>
      </c>
      <c r="G569" t="s">
        <v>25</v>
      </c>
      <c r="H569" t="s">
        <v>43</v>
      </c>
      <c r="I569" t="s">
        <v>33</v>
      </c>
      <c r="J569" t="s">
        <v>44</v>
      </c>
      <c r="L569">
        <v>0.5</v>
      </c>
      <c r="M569">
        <v>3.5000000000000003E-2</v>
      </c>
      <c r="N569" t="s">
        <v>2871</v>
      </c>
      <c r="O569" t="s">
        <v>2954</v>
      </c>
      <c r="P569" t="s">
        <v>2873</v>
      </c>
      <c r="Q569">
        <v>220</v>
      </c>
      <c r="R569">
        <v>2</v>
      </c>
      <c r="S569">
        <v>9.1000000000000004E-3</v>
      </c>
    </row>
    <row r="570" spans="1:19">
      <c r="A570" t="s">
        <v>8</v>
      </c>
      <c r="B570" t="s">
        <v>87</v>
      </c>
      <c r="C570" t="str">
        <f>Data_Master[[#This Row],[Uniq-ID]]&amp;"-"&amp;Data_Master[[#This Row],[Period]]</f>
        <v>DC-Document_Controller-046-M4</v>
      </c>
      <c r="D570" t="s">
        <v>88</v>
      </c>
      <c r="E570" t="s">
        <v>76</v>
      </c>
      <c r="G570" t="s">
        <v>25</v>
      </c>
      <c r="H570" t="s">
        <v>43</v>
      </c>
      <c r="I570" t="s">
        <v>33</v>
      </c>
      <c r="J570" t="s">
        <v>44</v>
      </c>
      <c r="L570">
        <v>0.5</v>
      </c>
      <c r="M570">
        <v>3.5000000000000003E-2</v>
      </c>
      <c r="N570" t="s">
        <v>2871</v>
      </c>
      <c r="O570" t="s">
        <v>2956</v>
      </c>
      <c r="P570" t="s">
        <v>2873</v>
      </c>
      <c r="Q570">
        <v>298</v>
      </c>
      <c r="R570">
        <v>5</v>
      </c>
      <c r="S570">
        <v>1.6799999999999999E-2</v>
      </c>
    </row>
    <row r="571" spans="1:19">
      <c r="A571" t="s">
        <v>8</v>
      </c>
      <c r="B571" t="s">
        <v>381</v>
      </c>
      <c r="C571" t="str">
        <f>Data_Master[[#This Row],[Uniq-ID]]&amp;"-"&amp;Data_Master[[#This Row],[Period]]</f>
        <v>DC-Document_Controller-047-M1</v>
      </c>
      <c r="D571" t="s">
        <v>382</v>
      </c>
      <c r="E571" t="s">
        <v>76</v>
      </c>
      <c r="G571" t="s">
        <v>13</v>
      </c>
      <c r="H571" t="s">
        <v>37</v>
      </c>
      <c r="I571" t="s">
        <v>15</v>
      </c>
      <c r="J571" t="s">
        <v>44</v>
      </c>
      <c r="L571">
        <v>0.5</v>
      </c>
      <c r="M571">
        <v>0.307</v>
      </c>
      <c r="N571" t="s">
        <v>2947</v>
      </c>
      <c r="O571" t="s">
        <v>3264</v>
      </c>
      <c r="P571" t="s">
        <v>2916</v>
      </c>
      <c r="Q571">
        <v>1027</v>
      </c>
      <c r="R571">
        <v>315</v>
      </c>
      <c r="S571">
        <v>0.30669999999999997</v>
      </c>
    </row>
    <row r="572" spans="1:19">
      <c r="A572" t="s">
        <v>8</v>
      </c>
      <c r="B572" t="s">
        <v>381</v>
      </c>
      <c r="C572" t="str">
        <f>Data_Master[[#This Row],[Uniq-ID]]&amp;"-"&amp;Data_Master[[#This Row],[Period]]</f>
        <v>DC-Document_Controller-047-M2</v>
      </c>
      <c r="D572" t="s">
        <v>382</v>
      </c>
      <c r="E572" t="s">
        <v>76</v>
      </c>
      <c r="G572" t="s">
        <v>18</v>
      </c>
      <c r="H572" t="s">
        <v>39</v>
      </c>
      <c r="I572" t="s">
        <v>15</v>
      </c>
      <c r="J572" t="s">
        <v>44</v>
      </c>
      <c r="M572">
        <v>0</v>
      </c>
    </row>
    <row r="573" spans="1:19">
      <c r="A573" t="s">
        <v>8</v>
      </c>
      <c r="B573" t="s">
        <v>381</v>
      </c>
      <c r="C573" t="str">
        <f>Data_Master[[#This Row],[Uniq-ID]]&amp;"-"&amp;Data_Master[[#This Row],[Period]]</f>
        <v>DC-Document_Controller-047-M3</v>
      </c>
      <c r="D573" t="s">
        <v>382</v>
      </c>
      <c r="E573" t="s">
        <v>76</v>
      </c>
      <c r="G573" t="s">
        <v>22</v>
      </c>
      <c r="H573" t="s">
        <v>41</v>
      </c>
      <c r="I573" t="s">
        <v>15</v>
      </c>
      <c r="J573" t="s">
        <v>44</v>
      </c>
      <c r="M573">
        <v>0</v>
      </c>
    </row>
    <row r="574" spans="1:19">
      <c r="A574" t="s">
        <v>8</v>
      </c>
      <c r="B574" t="s">
        <v>381</v>
      </c>
      <c r="C574" t="str">
        <f>Data_Master[[#This Row],[Uniq-ID]]&amp;"-"&amp;Data_Master[[#This Row],[Period]]</f>
        <v>DC-Document_Controller-047-M4</v>
      </c>
      <c r="D574" t="s">
        <v>382</v>
      </c>
      <c r="E574" t="s">
        <v>76</v>
      </c>
      <c r="G574" t="s">
        <v>25</v>
      </c>
      <c r="H574" t="s">
        <v>43</v>
      </c>
      <c r="I574" t="s">
        <v>33</v>
      </c>
      <c r="J574" t="s">
        <v>44</v>
      </c>
      <c r="M574">
        <v>0</v>
      </c>
    </row>
    <row r="575" spans="1:19">
      <c r="A575" t="s">
        <v>8</v>
      </c>
      <c r="B575" t="s">
        <v>81</v>
      </c>
      <c r="C575" t="str">
        <f>Data_Master[[#This Row],[Uniq-ID]]&amp;"-"&amp;Data_Master[[#This Row],[Period]]</f>
        <v>DC-Document_Controller-048-M1</v>
      </c>
      <c r="D575" t="s">
        <v>82</v>
      </c>
      <c r="E575" t="s">
        <v>11</v>
      </c>
      <c r="G575" t="s">
        <v>13</v>
      </c>
      <c r="H575" t="s">
        <v>37</v>
      </c>
      <c r="I575" t="s">
        <v>15</v>
      </c>
      <c r="J575" t="s">
        <v>16</v>
      </c>
      <c r="L575">
        <v>1.1399999999999999</v>
      </c>
      <c r="M575">
        <v>2.278</v>
      </c>
      <c r="N575" t="s">
        <v>2879</v>
      </c>
      <c r="O575" t="s">
        <v>2894</v>
      </c>
      <c r="P575" t="s">
        <v>2873</v>
      </c>
      <c r="Q575">
        <v>26</v>
      </c>
      <c r="R575">
        <v>39</v>
      </c>
      <c r="S575">
        <v>1.5</v>
      </c>
    </row>
    <row r="576" spans="1:19">
      <c r="A576" t="s">
        <v>8</v>
      </c>
      <c r="B576" t="s">
        <v>81</v>
      </c>
      <c r="C576" t="str">
        <f>Data_Master[[#This Row],[Uniq-ID]]&amp;"-"&amp;Data_Master[[#This Row],[Period]]</f>
        <v>DC-Document_Controller-048-M1</v>
      </c>
      <c r="D576" t="s">
        <v>82</v>
      </c>
      <c r="E576" t="s">
        <v>11</v>
      </c>
      <c r="G576" t="s">
        <v>13</v>
      </c>
      <c r="H576" t="s">
        <v>37</v>
      </c>
      <c r="I576" t="s">
        <v>15</v>
      </c>
      <c r="J576" t="s">
        <v>16</v>
      </c>
      <c r="L576">
        <v>1.1399999999999999</v>
      </c>
      <c r="M576">
        <v>2.278</v>
      </c>
      <c r="N576" t="s">
        <v>2871</v>
      </c>
      <c r="O576" t="s">
        <v>2875</v>
      </c>
      <c r="P576" t="s">
        <v>2873</v>
      </c>
      <c r="Q576">
        <v>36</v>
      </c>
      <c r="R576">
        <v>28</v>
      </c>
      <c r="S576">
        <v>0.77780000000000005</v>
      </c>
    </row>
    <row r="577" spans="1:19">
      <c r="A577" t="s">
        <v>8</v>
      </c>
      <c r="B577" t="s">
        <v>81</v>
      </c>
      <c r="C577" t="str">
        <f>Data_Master[[#This Row],[Uniq-ID]]&amp;"-"&amp;Data_Master[[#This Row],[Period]]</f>
        <v>DC-Document_Controller-048-M2</v>
      </c>
      <c r="D577" t="s">
        <v>82</v>
      </c>
      <c r="E577" t="s">
        <v>11</v>
      </c>
      <c r="G577" t="s">
        <v>18</v>
      </c>
      <c r="H577" t="s">
        <v>39</v>
      </c>
      <c r="I577" t="s">
        <v>15</v>
      </c>
      <c r="J577" t="s">
        <v>16</v>
      </c>
      <c r="L577">
        <v>1.5</v>
      </c>
      <c r="M577">
        <v>3.2669999999999999</v>
      </c>
      <c r="N577" t="s">
        <v>2887</v>
      </c>
      <c r="O577" t="s">
        <v>2888</v>
      </c>
      <c r="P577" t="s">
        <v>2873</v>
      </c>
      <c r="Q577">
        <v>205</v>
      </c>
      <c r="R577">
        <v>133</v>
      </c>
      <c r="S577">
        <v>0.64880000000000004</v>
      </c>
    </row>
    <row r="578" spans="1:19">
      <c r="A578" t="s">
        <v>8</v>
      </c>
      <c r="B578" t="s">
        <v>81</v>
      </c>
      <c r="C578" t="str">
        <f>Data_Master[[#This Row],[Uniq-ID]]&amp;"-"&amp;Data_Master[[#This Row],[Period]]</f>
        <v>DC-Document_Controller-048-M2</v>
      </c>
      <c r="D578" t="s">
        <v>82</v>
      </c>
      <c r="E578" t="s">
        <v>11</v>
      </c>
      <c r="G578" t="s">
        <v>18</v>
      </c>
      <c r="H578" t="s">
        <v>39</v>
      </c>
      <c r="I578" t="s">
        <v>15</v>
      </c>
      <c r="J578" t="s">
        <v>16</v>
      </c>
      <c r="L578">
        <v>1.5</v>
      </c>
      <c r="M578">
        <v>3.2669999999999999</v>
      </c>
      <c r="N578" t="s">
        <v>2887</v>
      </c>
      <c r="O578" t="s">
        <v>2977</v>
      </c>
      <c r="P578" t="s">
        <v>2873</v>
      </c>
      <c r="Q578">
        <v>205</v>
      </c>
      <c r="R578">
        <v>104</v>
      </c>
      <c r="S578">
        <v>0.50729999999999997</v>
      </c>
    </row>
    <row r="579" spans="1:19">
      <c r="A579" t="s">
        <v>8</v>
      </c>
      <c r="B579" t="s">
        <v>81</v>
      </c>
      <c r="C579" t="str">
        <f>Data_Master[[#This Row],[Uniq-ID]]&amp;"-"&amp;Data_Master[[#This Row],[Period]]</f>
        <v>DC-Document_Controller-048-M2</v>
      </c>
      <c r="D579" t="s">
        <v>82</v>
      </c>
      <c r="E579" t="s">
        <v>11</v>
      </c>
      <c r="G579" t="s">
        <v>18</v>
      </c>
      <c r="H579" t="s">
        <v>39</v>
      </c>
      <c r="I579" t="s">
        <v>15</v>
      </c>
      <c r="J579" t="s">
        <v>16</v>
      </c>
      <c r="L579">
        <v>1.5</v>
      </c>
      <c r="M579">
        <v>3.2669999999999999</v>
      </c>
      <c r="N579" t="s">
        <v>2887</v>
      </c>
      <c r="O579" t="s">
        <v>2890</v>
      </c>
      <c r="P579" t="s">
        <v>2873</v>
      </c>
      <c r="Q579">
        <v>205</v>
      </c>
      <c r="R579">
        <v>133</v>
      </c>
      <c r="S579">
        <v>0.64880000000000004</v>
      </c>
    </row>
    <row r="580" spans="1:19">
      <c r="A580" t="s">
        <v>8</v>
      </c>
      <c r="B580" t="s">
        <v>81</v>
      </c>
      <c r="C580" t="str">
        <f>Data_Master[[#This Row],[Uniq-ID]]&amp;"-"&amp;Data_Master[[#This Row],[Period]]</f>
        <v>DC-Document_Controller-048-M2</v>
      </c>
      <c r="D580" t="s">
        <v>82</v>
      </c>
      <c r="E580" t="s">
        <v>11</v>
      </c>
      <c r="G580" t="s">
        <v>18</v>
      </c>
      <c r="H580" t="s">
        <v>39</v>
      </c>
      <c r="I580" t="s">
        <v>15</v>
      </c>
      <c r="J580" t="s">
        <v>16</v>
      </c>
      <c r="L580">
        <v>1.5</v>
      </c>
      <c r="M580">
        <v>3.2669999999999999</v>
      </c>
      <c r="N580" t="s">
        <v>2887</v>
      </c>
      <c r="O580" t="s">
        <v>2979</v>
      </c>
      <c r="P580" t="s">
        <v>2873</v>
      </c>
      <c r="Q580">
        <v>205</v>
      </c>
      <c r="R580">
        <v>104</v>
      </c>
      <c r="S580">
        <v>0.50729999999999997</v>
      </c>
    </row>
    <row r="581" spans="1:19">
      <c r="A581" t="s">
        <v>8</v>
      </c>
      <c r="B581" t="s">
        <v>81</v>
      </c>
      <c r="C581" t="str">
        <f>Data_Master[[#This Row],[Uniq-ID]]&amp;"-"&amp;Data_Master[[#This Row],[Period]]</f>
        <v>DC-Document_Controller-048-M2</v>
      </c>
      <c r="D581" t="s">
        <v>82</v>
      </c>
      <c r="E581" t="s">
        <v>11</v>
      </c>
      <c r="G581" t="s">
        <v>18</v>
      </c>
      <c r="H581" t="s">
        <v>39</v>
      </c>
      <c r="I581" t="s">
        <v>15</v>
      </c>
      <c r="J581" t="s">
        <v>16</v>
      </c>
      <c r="L581">
        <v>1.5</v>
      </c>
      <c r="M581">
        <v>3.2669999999999999</v>
      </c>
      <c r="N581" t="s">
        <v>2871</v>
      </c>
      <c r="O581" t="s">
        <v>2875</v>
      </c>
      <c r="P581" t="s">
        <v>2873</v>
      </c>
      <c r="Q581">
        <v>36</v>
      </c>
      <c r="R581">
        <v>24</v>
      </c>
      <c r="S581">
        <v>0.66669999999999996</v>
      </c>
    </row>
    <row r="582" spans="1:19">
      <c r="A582" t="s">
        <v>8</v>
      </c>
      <c r="B582" t="s">
        <v>81</v>
      </c>
      <c r="C582" t="str">
        <f>Data_Master[[#This Row],[Uniq-ID]]&amp;"-"&amp;Data_Master[[#This Row],[Period]]</f>
        <v>DC-Document_Controller-048-M2</v>
      </c>
      <c r="D582" t="s">
        <v>82</v>
      </c>
      <c r="E582" t="s">
        <v>11</v>
      </c>
      <c r="G582" t="s">
        <v>18</v>
      </c>
      <c r="H582" t="s">
        <v>39</v>
      </c>
      <c r="I582" t="s">
        <v>15</v>
      </c>
      <c r="J582" t="s">
        <v>16</v>
      </c>
      <c r="L582">
        <v>1.5</v>
      </c>
      <c r="M582">
        <v>3.2669999999999999</v>
      </c>
      <c r="N582" t="s">
        <v>2871</v>
      </c>
      <c r="O582" t="s">
        <v>2872</v>
      </c>
      <c r="P582" t="s">
        <v>2873</v>
      </c>
      <c r="Q582">
        <v>35</v>
      </c>
      <c r="R582">
        <v>2</v>
      </c>
      <c r="S582">
        <v>5.7099999999999998E-2</v>
      </c>
    </row>
    <row r="583" spans="1:19">
      <c r="A583" t="s">
        <v>8</v>
      </c>
      <c r="B583" t="s">
        <v>81</v>
      </c>
      <c r="C583" t="str">
        <f>Data_Master[[#This Row],[Uniq-ID]]&amp;"-"&amp;Data_Master[[#This Row],[Period]]</f>
        <v>DC-Document_Controller-048-M2</v>
      </c>
      <c r="D583" t="s">
        <v>82</v>
      </c>
      <c r="E583" t="s">
        <v>11</v>
      </c>
      <c r="G583" t="s">
        <v>18</v>
      </c>
      <c r="H583" t="s">
        <v>39</v>
      </c>
      <c r="I583" t="s">
        <v>15</v>
      </c>
      <c r="J583" t="s">
        <v>16</v>
      </c>
      <c r="L583">
        <v>1.5</v>
      </c>
      <c r="M583">
        <v>3.2669999999999999</v>
      </c>
      <c r="N583" t="s">
        <v>2879</v>
      </c>
      <c r="O583" t="s">
        <v>2894</v>
      </c>
      <c r="P583" t="s">
        <v>2873</v>
      </c>
      <c r="Q583">
        <v>26</v>
      </c>
      <c r="R583">
        <v>6</v>
      </c>
      <c r="S583">
        <v>0.23080000000000001</v>
      </c>
    </row>
    <row r="584" spans="1:19">
      <c r="A584" t="s">
        <v>8</v>
      </c>
      <c r="B584" t="s">
        <v>81</v>
      </c>
      <c r="C584" t="str">
        <f>Data_Master[[#This Row],[Uniq-ID]]&amp;"-"&amp;Data_Master[[#This Row],[Period]]</f>
        <v>DC-Document_Controller-048-M3</v>
      </c>
      <c r="D584" t="s">
        <v>82</v>
      </c>
      <c r="E584" t="s">
        <v>11</v>
      </c>
      <c r="G584" t="s">
        <v>22</v>
      </c>
      <c r="H584" t="s">
        <v>41</v>
      </c>
      <c r="I584" t="s">
        <v>15</v>
      </c>
      <c r="J584" t="s">
        <v>16</v>
      </c>
      <c r="L584">
        <v>1.5</v>
      </c>
      <c r="M584">
        <v>4.2880000000000003</v>
      </c>
      <c r="N584" t="s">
        <v>2871</v>
      </c>
      <c r="O584" t="s">
        <v>2872</v>
      </c>
      <c r="P584" t="s">
        <v>2873</v>
      </c>
      <c r="Q584">
        <v>35</v>
      </c>
      <c r="R584">
        <v>54</v>
      </c>
      <c r="S584">
        <v>1.5428999999999999</v>
      </c>
    </row>
    <row r="585" spans="1:19">
      <c r="A585" t="s">
        <v>8</v>
      </c>
      <c r="B585" t="s">
        <v>81</v>
      </c>
      <c r="C585" t="str">
        <f>Data_Master[[#This Row],[Uniq-ID]]&amp;"-"&amp;Data_Master[[#This Row],[Period]]</f>
        <v>DC-Document_Controller-048-M3</v>
      </c>
      <c r="D585" t="s">
        <v>82</v>
      </c>
      <c r="E585" t="s">
        <v>11</v>
      </c>
      <c r="G585" t="s">
        <v>22</v>
      </c>
      <c r="H585" t="s">
        <v>41</v>
      </c>
      <c r="I585" t="s">
        <v>15</v>
      </c>
      <c r="J585" t="s">
        <v>16</v>
      </c>
      <c r="L585">
        <v>1.5</v>
      </c>
      <c r="M585">
        <v>4.2880000000000003</v>
      </c>
      <c r="N585" t="s">
        <v>2871</v>
      </c>
      <c r="O585" t="s">
        <v>2875</v>
      </c>
      <c r="P585" t="s">
        <v>2873</v>
      </c>
      <c r="Q585">
        <v>36</v>
      </c>
      <c r="R585">
        <v>27</v>
      </c>
      <c r="S585">
        <v>0.75</v>
      </c>
    </row>
    <row r="586" spans="1:19">
      <c r="A586" t="s">
        <v>8</v>
      </c>
      <c r="B586" t="s">
        <v>81</v>
      </c>
      <c r="C586" t="str">
        <f>Data_Master[[#This Row],[Uniq-ID]]&amp;"-"&amp;Data_Master[[#This Row],[Period]]</f>
        <v>DC-Document_Controller-048-M3</v>
      </c>
      <c r="D586" t="s">
        <v>82</v>
      </c>
      <c r="E586" t="s">
        <v>11</v>
      </c>
      <c r="G586" t="s">
        <v>22</v>
      </c>
      <c r="H586" t="s">
        <v>41</v>
      </c>
      <c r="I586" t="s">
        <v>15</v>
      </c>
      <c r="J586" t="s">
        <v>16</v>
      </c>
      <c r="L586">
        <v>1.5</v>
      </c>
      <c r="M586">
        <v>4.2880000000000003</v>
      </c>
      <c r="N586" t="s">
        <v>2887</v>
      </c>
      <c r="O586" t="s">
        <v>2888</v>
      </c>
      <c r="P586" t="s">
        <v>2873</v>
      </c>
      <c r="Q586">
        <v>205</v>
      </c>
      <c r="R586">
        <v>99</v>
      </c>
      <c r="S586">
        <v>0.4829</v>
      </c>
    </row>
    <row r="587" spans="1:19">
      <c r="A587" t="s">
        <v>8</v>
      </c>
      <c r="B587" t="s">
        <v>81</v>
      </c>
      <c r="C587" t="str">
        <f>Data_Master[[#This Row],[Uniq-ID]]&amp;"-"&amp;Data_Master[[#This Row],[Period]]</f>
        <v>DC-Document_Controller-048-M3</v>
      </c>
      <c r="D587" t="s">
        <v>82</v>
      </c>
      <c r="E587" t="s">
        <v>11</v>
      </c>
      <c r="G587" t="s">
        <v>22</v>
      </c>
      <c r="H587" t="s">
        <v>41</v>
      </c>
      <c r="I587" t="s">
        <v>15</v>
      </c>
      <c r="J587" t="s">
        <v>16</v>
      </c>
      <c r="L587">
        <v>1.5</v>
      </c>
      <c r="M587">
        <v>4.2880000000000003</v>
      </c>
      <c r="N587" t="s">
        <v>2887</v>
      </c>
      <c r="O587" t="s">
        <v>2977</v>
      </c>
      <c r="P587" t="s">
        <v>2873</v>
      </c>
      <c r="Q587">
        <v>205</v>
      </c>
      <c r="R587">
        <v>105</v>
      </c>
      <c r="S587">
        <v>0.51219999999999999</v>
      </c>
    </row>
    <row r="588" spans="1:19">
      <c r="A588" t="s">
        <v>8</v>
      </c>
      <c r="B588" t="s">
        <v>81</v>
      </c>
      <c r="C588" t="str">
        <f>Data_Master[[#This Row],[Uniq-ID]]&amp;"-"&amp;Data_Master[[#This Row],[Period]]</f>
        <v>DC-Document_Controller-048-M3</v>
      </c>
      <c r="D588" t="s">
        <v>82</v>
      </c>
      <c r="E588" t="s">
        <v>11</v>
      </c>
      <c r="G588" t="s">
        <v>22</v>
      </c>
      <c r="H588" t="s">
        <v>41</v>
      </c>
      <c r="I588" t="s">
        <v>15</v>
      </c>
      <c r="J588" t="s">
        <v>16</v>
      </c>
      <c r="L588">
        <v>1.5</v>
      </c>
      <c r="M588">
        <v>4.2880000000000003</v>
      </c>
      <c r="N588" t="s">
        <v>2887</v>
      </c>
      <c r="O588" t="s">
        <v>2890</v>
      </c>
      <c r="P588" t="s">
        <v>2873</v>
      </c>
      <c r="Q588">
        <v>205</v>
      </c>
      <c r="R588">
        <v>99</v>
      </c>
      <c r="S588">
        <v>0.4829</v>
      </c>
    </row>
    <row r="589" spans="1:19">
      <c r="A589" t="s">
        <v>8</v>
      </c>
      <c r="B589" t="s">
        <v>81</v>
      </c>
      <c r="C589" t="str">
        <f>Data_Master[[#This Row],[Uniq-ID]]&amp;"-"&amp;Data_Master[[#This Row],[Period]]</f>
        <v>DC-Document_Controller-048-M3</v>
      </c>
      <c r="D589" t="s">
        <v>82</v>
      </c>
      <c r="E589" t="s">
        <v>11</v>
      </c>
      <c r="G589" t="s">
        <v>22</v>
      </c>
      <c r="H589" t="s">
        <v>41</v>
      </c>
      <c r="I589" t="s">
        <v>15</v>
      </c>
      <c r="J589" t="s">
        <v>16</v>
      </c>
      <c r="L589">
        <v>1.5</v>
      </c>
      <c r="M589">
        <v>4.2880000000000003</v>
      </c>
      <c r="N589" t="s">
        <v>2887</v>
      </c>
      <c r="O589" t="s">
        <v>2979</v>
      </c>
      <c r="P589" t="s">
        <v>2873</v>
      </c>
      <c r="Q589">
        <v>205</v>
      </c>
      <c r="R589">
        <v>106</v>
      </c>
      <c r="S589">
        <v>0.5171</v>
      </c>
    </row>
    <row r="590" spans="1:19">
      <c r="A590" t="s">
        <v>8</v>
      </c>
      <c r="B590" t="s">
        <v>81</v>
      </c>
      <c r="C590" t="str">
        <f>Data_Master[[#This Row],[Uniq-ID]]&amp;"-"&amp;Data_Master[[#This Row],[Period]]</f>
        <v>DC-Document_Controller-048-M4</v>
      </c>
      <c r="D590" t="s">
        <v>82</v>
      </c>
      <c r="E590" t="s">
        <v>11</v>
      </c>
      <c r="G590" t="s">
        <v>25</v>
      </c>
      <c r="H590" t="s">
        <v>43</v>
      </c>
      <c r="I590" t="s">
        <v>33</v>
      </c>
      <c r="J590" t="s">
        <v>44</v>
      </c>
      <c r="L590">
        <v>0.88</v>
      </c>
      <c r="M590">
        <v>0.878</v>
      </c>
      <c r="N590" t="s">
        <v>2871</v>
      </c>
      <c r="O590" t="s">
        <v>2872</v>
      </c>
      <c r="P590" t="s">
        <v>2873</v>
      </c>
      <c r="Q590">
        <v>35</v>
      </c>
      <c r="R590">
        <v>21</v>
      </c>
      <c r="S590">
        <v>0.6</v>
      </c>
    </row>
    <row r="591" spans="1:19">
      <c r="A591" t="s">
        <v>8</v>
      </c>
      <c r="B591" t="s">
        <v>81</v>
      </c>
      <c r="C591" t="str">
        <f>Data_Master[[#This Row],[Uniq-ID]]&amp;"-"&amp;Data_Master[[#This Row],[Period]]</f>
        <v>DC-Document_Controller-048-M4</v>
      </c>
      <c r="D591" t="s">
        <v>82</v>
      </c>
      <c r="E591" t="s">
        <v>11</v>
      </c>
      <c r="G591" t="s">
        <v>25</v>
      </c>
      <c r="H591" t="s">
        <v>43</v>
      </c>
      <c r="I591" t="s">
        <v>33</v>
      </c>
      <c r="J591" t="s">
        <v>44</v>
      </c>
      <c r="L591">
        <v>0.88</v>
      </c>
      <c r="M591">
        <v>0.878</v>
      </c>
      <c r="N591" t="s">
        <v>2871</v>
      </c>
      <c r="O591" t="s">
        <v>2875</v>
      </c>
      <c r="P591" t="s">
        <v>2873</v>
      </c>
      <c r="Q591">
        <v>36</v>
      </c>
      <c r="R591">
        <v>10</v>
      </c>
      <c r="S591">
        <v>0.27779999999999999</v>
      </c>
    </row>
    <row r="592" spans="1:19">
      <c r="A592" t="s">
        <v>8</v>
      </c>
      <c r="B592" t="s">
        <v>74</v>
      </c>
      <c r="C592" t="str">
        <f>Data_Master[[#This Row],[Uniq-ID]]&amp;"-"&amp;Data_Master[[#This Row],[Period]]</f>
        <v>DC-Document_Controller-049-M1</v>
      </c>
      <c r="D592" t="s">
        <v>75</v>
      </c>
      <c r="E592" t="s">
        <v>76</v>
      </c>
      <c r="G592" t="s">
        <v>13</v>
      </c>
      <c r="H592" t="s">
        <v>37</v>
      </c>
      <c r="I592" t="s">
        <v>15</v>
      </c>
      <c r="J592" t="s">
        <v>16</v>
      </c>
      <c r="L592">
        <v>1.5</v>
      </c>
      <c r="M592">
        <v>8.6199999999999992</v>
      </c>
      <c r="N592" t="s">
        <v>2947</v>
      </c>
      <c r="O592" t="s">
        <v>2948</v>
      </c>
      <c r="P592" t="s">
        <v>2873</v>
      </c>
      <c r="Q592">
        <v>110</v>
      </c>
      <c r="R592">
        <v>33</v>
      </c>
      <c r="S592">
        <v>0.3</v>
      </c>
    </row>
    <row r="593" spans="1:19">
      <c r="A593" t="s">
        <v>8</v>
      </c>
      <c r="B593" t="s">
        <v>74</v>
      </c>
      <c r="C593" t="str">
        <f>Data_Master[[#This Row],[Uniq-ID]]&amp;"-"&amp;Data_Master[[#This Row],[Period]]</f>
        <v>DC-Document_Controller-049-M1</v>
      </c>
      <c r="D593" t="s">
        <v>75</v>
      </c>
      <c r="E593" t="s">
        <v>76</v>
      </c>
      <c r="G593" t="s">
        <v>13</v>
      </c>
      <c r="H593" t="s">
        <v>37</v>
      </c>
      <c r="I593" t="s">
        <v>15</v>
      </c>
      <c r="J593" t="s">
        <v>16</v>
      </c>
      <c r="L593">
        <v>1.5</v>
      </c>
      <c r="M593">
        <v>8.6199999999999992</v>
      </c>
      <c r="N593" t="s">
        <v>2871</v>
      </c>
      <c r="O593" t="s">
        <v>2950</v>
      </c>
      <c r="P593" t="s">
        <v>2873</v>
      </c>
      <c r="Q593">
        <v>88</v>
      </c>
      <c r="R593">
        <v>163</v>
      </c>
      <c r="S593">
        <v>1.8523000000000001</v>
      </c>
    </row>
    <row r="594" spans="1:19">
      <c r="A594" t="s">
        <v>8</v>
      </c>
      <c r="B594" t="s">
        <v>74</v>
      </c>
      <c r="C594" t="str">
        <f>Data_Master[[#This Row],[Uniq-ID]]&amp;"-"&amp;Data_Master[[#This Row],[Period]]</f>
        <v>DC-Document_Controller-049-M1</v>
      </c>
      <c r="D594" t="s">
        <v>75</v>
      </c>
      <c r="E594" t="s">
        <v>76</v>
      </c>
      <c r="G594" t="s">
        <v>13</v>
      </c>
      <c r="H594" t="s">
        <v>37</v>
      </c>
      <c r="I594" t="s">
        <v>15</v>
      </c>
      <c r="J594" t="s">
        <v>16</v>
      </c>
      <c r="L594">
        <v>1.5</v>
      </c>
      <c r="M594">
        <v>8.6199999999999992</v>
      </c>
      <c r="N594" t="s">
        <v>2871</v>
      </c>
      <c r="O594" t="s">
        <v>2952</v>
      </c>
      <c r="P594" t="s">
        <v>2873</v>
      </c>
      <c r="Q594">
        <v>257</v>
      </c>
      <c r="R594">
        <v>219</v>
      </c>
      <c r="S594">
        <v>0.85209999999999997</v>
      </c>
    </row>
    <row r="595" spans="1:19">
      <c r="A595" t="s">
        <v>8</v>
      </c>
      <c r="B595" t="s">
        <v>74</v>
      </c>
      <c r="C595" t="str">
        <f>Data_Master[[#This Row],[Uniq-ID]]&amp;"-"&amp;Data_Master[[#This Row],[Period]]</f>
        <v>DC-Document_Controller-049-M1</v>
      </c>
      <c r="D595" t="s">
        <v>75</v>
      </c>
      <c r="E595" t="s">
        <v>76</v>
      </c>
      <c r="G595" t="s">
        <v>13</v>
      </c>
      <c r="H595" t="s">
        <v>37</v>
      </c>
      <c r="I595" t="s">
        <v>15</v>
      </c>
      <c r="J595" t="s">
        <v>16</v>
      </c>
      <c r="L595">
        <v>1.5</v>
      </c>
      <c r="M595">
        <v>8.6199999999999992</v>
      </c>
      <c r="N595" t="s">
        <v>2871</v>
      </c>
      <c r="O595" t="s">
        <v>2954</v>
      </c>
      <c r="P595" t="s">
        <v>2873</v>
      </c>
      <c r="Q595">
        <v>220</v>
      </c>
      <c r="R595">
        <v>222</v>
      </c>
      <c r="S595">
        <v>1.0091000000000001</v>
      </c>
    </row>
    <row r="596" spans="1:19">
      <c r="A596" t="s">
        <v>8</v>
      </c>
      <c r="B596" t="s">
        <v>74</v>
      </c>
      <c r="C596" t="str">
        <f>Data_Master[[#This Row],[Uniq-ID]]&amp;"-"&amp;Data_Master[[#This Row],[Period]]</f>
        <v>DC-Document_Controller-049-M1</v>
      </c>
      <c r="D596" t="s">
        <v>75</v>
      </c>
      <c r="E596" t="s">
        <v>76</v>
      </c>
      <c r="G596" t="s">
        <v>13</v>
      </c>
      <c r="H596" t="s">
        <v>37</v>
      </c>
      <c r="I596" t="s">
        <v>15</v>
      </c>
      <c r="J596" t="s">
        <v>16</v>
      </c>
      <c r="L596">
        <v>1.5</v>
      </c>
      <c r="M596">
        <v>8.6199999999999992</v>
      </c>
      <c r="N596" t="s">
        <v>2871</v>
      </c>
      <c r="O596" t="s">
        <v>2956</v>
      </c>
      <c r="P596" t="s">
        <v>2873</v>
      </c>
      <c r="Q596">
        <v>298</v>
      </c>
      <c r="R596">
        <v>409</v>
      </c>
      <c r="S596">
        <v>1.3725000000000001</v>
      </c>
    </row>
    <row r="597" spans="1:19">
      <c r="A597" t="s">
        <v>8</v>
      </c>
      <c r="B597" t="s">
        <v>74</v>
      </c>
      <c r="C597" t="str">
        <f>Data_Master[[#This Row],[Uniq-ID]]&amp;"-"&amp;Data_Master[[#This Row],[Period]]</f>
        <v>DC-Document_Controller-049-M1</v>
      </c>
      <c r="D597" t="s">
        <v>75</v>
      </c>
      <c r="E597" t="s">
        <v>76</v>
      </c>
      <c r="G597" t="s">
        <v>13</v>
      </c>
      <c r="H597" t="s">
        <v>37</v>
      </c>
      <c r="I597" t="s">
        <v>15</v>
      </c>
      <c r="J597" t="s">
        <v>16</v>
      </c>
      <c r="L597">
        <v>1.5</v>
      </c>
      <c r="M597">
        <v>8.6199999999999992</v>
      </c>
      <c r="N597" t="s">
        <v>2871</v>
      </c>
      <c r="O597" t="s">
        <v>2958</v>
      </c>
      <c r="P597" t="s">
        <v>2873</v>
      </c>
      <c r="Q597">
        <v>154</v>
      </c>
      <c r="R597">
        <v>498</v>
      </c>
      <c r="S597">
        <v>3.2338</v>
      </c>
    </row>
    <row r="598" spans="1:19">
      <c r="A598" t="s">
        <v>8</v>
      </c>
      <c r="B598" t="s">
        <v>74</v>
      </c>
      <c r="C598" t="str">
        <f>Data_Master[[#This Row],[Uniq-ID]]&amp;"-"&amp;Data_Master[[#This Row],[Period]]</f>
        <v>DC-Document_Controller-049-M2</v>
      </c>
      <c r="D598" t="s">
        <v>75</v>
      </c>
      <c r="E598" t="s">
        <v>76</v>
      </c>
      <c r="G598" t="s">
        <v>18</v>
      </c>
      <c r="H598" t="s">
        <v>39</v>
      </c>
      <c r="I598" t="s">
        <v>15</v>
      </c>
      <c r="J598" t="s">
        <v>16</v>
      </c>
      <c r="L598">
        <v>1.5</v>
      </c>
      <c r="M598">
        <v>6.9740000000000002</v>
      </c>
      <c r="N598" t="s">
        <v>2871</v>
      </c>
      <c r="O598" t="s">
        <v>2958</v>
      </c>
      <c r="P598" t="s">
        <v>2873</v>
      </c>
      <c r="Q598">
        <v>154</v>
      </c>
      <c r="R598">
        <v>489</v>
      </c>
      <c r="S598">
        <v>3.1753</v>
      </c>
    </row>
    <row r="599" spans="1:19">
      <c r="A599" t="s">
        <v>8</v>
      </c>
      <c r="B599" t="s">
        <v>74</v>
      </c>
      <c r="C599" t="str">
        <f>Data_Master[[#This Row],[Uniq-ID]]&amp;"-"&amp;Data_Master[[#This Row],[Period]]</f>
        <v>DC-Document_Controller-049-M2</v>
      </c>
      <c r="D599" t="s">
        <v>75</v>
      </c>
      <c r="E599" t="s">
        <v>76</v>
      </c>
      <c r="G599" t="s">
        <v>18</v>
      </c>
      <c r="H599" t="s">
        <v>39</v>
      </c>
      <c r="I599" t="s">
        <v>15</v>
      </c>
      <c r="J599" t="s">
        <v>16</v>
      </c>
      <c r="L599">
        <v>1.5</v>
      </c>
      <c r="M599">
        <v>6.9740000000000002</v>
      </c>
      <c r="N599" t="s">
        <v>2871</v>
      </c>
      <c r="O599" t="s">
        <v>2956</v>
      </c>
      <c r="P599" t="s">
        <v>2873</v>
      </c>
      <c r="Q599">
        <v>298</v>
      </c>
      <c r="R599">
        <v>465</v>
      </c>
      <c r="S599">
        <v>1.5604</v>
      </c>
    </row>
    <row r="600" spans="1:19">
      <c r="A600" t="s">
        <v>8</v>
      </c>
      <c r="B600" t="s">
        <v>74</v>
      </c>
      <c r="C600" t="str">
        <f>Data_Master[[#This Row],[Uniq-ID]]&amp;"-"&amp;Data_Master[[#This Row],[Period]]</f>
        <v>DC-Document_Controller-049-M2</v>
      </c>
      <c r="D600" t="s">
        <v>75</v>
      </c>
      <c r="E600" t="s">
        <v>76</v>
      </c>
      <c r="G600" t="s">
        <v>18</v>
      </c>
      <c r="H600" t="s">
        <v>39</v>
      </c>
      <c r="I600" t="s">
        <v>15</v>
      </c>
      <c r="J600" t="s">
        <v>16</v>
      </c>
      <c r="L600">
        <v>1.5</v>
      </c>
      <c r="M600">
        <v>6.9740000000000002</v>
      </c>
      <c r="N600" t="s">
        <v>2871</v>
      </c>
      <c r="O600" t="s">
        <v>2954</v>
      </c>
      <c r="P600" t="s">
        <v>2873</v>
      </c>
      <c r="Q600">
        <v>220</v>
      </c>
      <c r="R600">
        <v>150</v>
      </c>
      <c r="S600">
        <v>0.68179999999999996</v>
      </c>
    </row>
    <row r="601" spans="1:19">
      <c r="A601" t="s">
        <v>8</v>
      </c>
      <c r="B601" t="s">
        <v>74</v>
      </c>
      <c r="C601" t="str">
        <f>Data_Master[[#This Row],[Uniq-ID]]&amp;"-"&amp;Data_Master[[#This Row],[Period]]</f>
        <v>DC-Document_Controller-049-M2</v>
      </c>
      <c r="D601" t="s">
        <v>75</v>
      </c>
      <c r="E601" t="s">
        <v>76</v>
      </c>
      <c r="G601" t="s">
        <v>18</v>
      </c>
      <c r="H601" t="s">
        <v>39</v>
      </c>
      <c r="I601" t="s">
        <v>15</v>
      </c>
      <c r="J601" t="s">
        <v>16</v>
      </c>
      <c r="L601">
        <v>1.5</v>
      </c>
      <c r="M601">
        <v>6.9740000000000002</v>
      </c>
      <c r="N601" t="s">
        <v>2871</v>
      </c>
      <c r="O601" t="s">
        <v>2952</v>
      </c>
      <c r="P601" t="s">
        <v>2873</v>
      </c>
      <c r="Q601">
        <v>257</v>
      </c>
      <c r="R601">
        <v>122</v>
      </c>
      <c r="S601">
        <v>0.47470000000000001</v>
      </c>
    </row>
    <row r="602" spans="1:19">
      <c r="A602" t="s">
        <v>8</v>
      </c>
      <c r="B602" t="s">
        <v>74</v>
      </c>
      <c r="C602" t="str">
        <f>Data_Master[[#This Row],[Uniq-ID]]&amp;"-"&amp;Data_Master[[#This Row],[Period]]</f>
        <v>DC-Document_Controller-049-M2</v>
      </c>
      <c r="D602" t="s">
        <v>75</v>
      </c>
      <c r="E602" t="s">
        <v>76</v>
      </c>
      <c r="G602" t="s">
        <v>18</v>
      </c>
      <c r="H602" t="s">
        <v>39</v>
      </c>
      <c r="I602" t="s">
        <v>15</v>
      </c>
      <c r="J602" t="s">
        <v>16</v>
      </c>
      <c r="L602">
        <v>1.5</v>
      </c>
      <c r="M602">
        <v>6.9740000000000002</v>
      </c>
      <c r="N602" t="s">
        <v>2871</v>
      </c>
      <c r="O602" t="s">
        <v>2950</v>
      </c>
      <c r="P602" t="s">
        <v>2873</v>
      </c>
      <c r="Q602">
        <v>88</v>
      </c>
      <c r="R602">
        <v>92</v>
      </c>
      <c r="S602">
        <v>1.0455000000000001</v>
      </c>
    </row>
    <row r="603" spans="1:19">
      <c r="A603" t="s">
        <v>8</v>
      </c>
      <c r="B603" t="s">
        <v>74</v>
      </c>
      <c r="C603" t="str">
        <f>Data_Master[[#This Row],[Uniq-ID]]&amp;"-"&amp;Data_Master[[#This Row],[Period]]</f>
        <v>DC-Document_Controller-049-M2</v>
      </c>
      <c r="D603" t="s">
        <v>75</v>
      </c>
      <c r="E603" t="s">
        <v>76</v>
      </c>
      <c r="G603" t="s">
        <v>18</v>
      </c>
      <c r="H603" t="s">
        <v>39</v>
      </c>
      <c r="I603" t="s">
        <v>15</v>
      </c>
      <c r="J603" t="s">
        <v>16</v>
      </c>
      <c r="L603">
        <v>1.5</v>
      </c>
      <c r="M603">
        <v>6.9740000000000002</v>
      </c>
      <c r="N603" t="s">
        <v>2947</v>
      </c>
      <c r="O603" t="s">
        <v>2948</v>
      </c>
      <c r="P603" t="s">
        <v>2873</v>
      </c>
      <c r="Q603">
        <v>110</v>
      </c>
      <c r="R603">
        <v>4</v>
      </c>
      <c r="S603">
        <v>3.6400000000000002E-2</v>
      </c>
    </row>
    <row r="604" spans="1:19">
      <c r="A604" t="s">
        <v>8</v>
      </c>
      <c r="B604" t="s">
        <v>74</v>
      </c>
      <c r="C604" t="str">
        <f>Data_Master[[#This Row],[Uniq-ID]]&amp;"-"&amp;Data_Master[[#This Row],[Period]]</f>
        <v>DC-Document_Controller-049-M3</v>
      </c>
      <c r="D604" t="s">
        <v>75</v>
      </c>
      <c r="E604" t="s">
        <v>76</v>
      </c>
      <c r="G604" t="s">
        <v>22</v>
      </c>
      <c r="H604" t="s">
        <v>41</v>
      </c>
      <c r="I604" t="s">
        <v>15</v>
      </c>
      <c r="J604" t="s">
        <v>16</v>
      </c>
      <c r="L604">
        <v>1.5</v>
      </c>
      <c r="M604">
        <v>3.0920000000000001</v>
      </c>
      <c r="N604" t="s">
        <v>2871</v>
      </c>
      <c r="O604" t="s">
        <v>2958</v>
      </c>
      <c r="P604" t="s">
        <v>2873</v>
      </c>
      <c r="Q604">
        <v>154</v>
      </c>
      <c r="R604">
        <v>104</v>
      </c>
      <c r="S604">
        <v>0.67530000000000001</v>
      </c>
    </row>
    <row r="605" spans="1:19">
      <c r="A605" t="s">
        <v>8</v>
      </c>
      <c r="B605" t="s">
        <v>74</v>
      </c>
      <c r="C605" t="str">
        <f>Data_Master[[#This Row],[Uniq-ID]]&amp;"-"&amp;Data_Master[[#This Row],[Period]]</f>
        <v>DC-Document_Controller-049-M3</v>
      </c>
      <c r="D605" t="s">
        <v>75</v>
      </c>
      <c r="E605" t="s">
        <v>76</v>
      </c>
      <c r="G605" t="s">
        <v>22</v>
      </c>
      <c r="H605" t="s">
        <v>41</v>
      </c>
      <c r="I605" t="s">
        <v>15</v>
      </c>
      <c r="J605" t="s">
        <v>16</v>
      </c>
      <c r="L605">
        <v>1.5</v>
      </c>
      <c r="M605">
        <v>3.0920000000000001</v>
      </c>
      <c r="N605" t="s">
        <v>2871</v>
      </c>
      <c r="O605" t="s">
        <v>2956</v>
      </c>
      <c r="P605" t="s">
        <v>2873</v>
      </c>
      <c r="Q605">
        <v>298</v>
      </c>
      <c r="R605">
        <v>626</v>
      </c>
      <c r="S605">
        <v>2.1006999999999998</v>
      </c>
    </row>
    <row r="606" spans="1:19">
      <c r="A606" t="s">
        <v>8</v>
      </c>
      <c r="B606" t="s">
        <v>74</v>
      </c>
      <c r="C606" t="str">
        <f>Data_Master[[#This Row],[Uniq-ID]]&amp;"-"&amp;Data_Master[[#This Row],[Period]]</f>
        <v>DC-Document_Controller-049-M3</v>
      </c>
      <c r="D606" t="s">
        <v>75</v>
      </c>
      <c r="E606" t="s">
        <v>76</v>
      </c>
      <c r="G606" t="s">
        <v>22</v>
      </c>
      <c r="H606" t="s">
        <v>41</v>
      </c>
      <c r="I606" t="s">
        <v>15</v>
      </c>
      <c r="J606" t="s">
        <v>16</v>
      </c>
      <c r="L606">
        <v>1.5</v>
      </c>
      <c r="M606">
        <v>3.0920000000000001</v>
      </c>
      <c r="N606" t="s">
        <v>2871</v>
      </c>
      <c r="O606" t="s">
        <v>2954</v>
      </c>
      <c r="P606" t="s">
        <v>2873</v>
      </c>
      <c r="Q606">
        <v>220</v>
      </c>
      <c r="R606">
        <v>53</v>
      </c>
      <c r="S606">
        <v>0.2409</v>
      </c>
    </row>
    <row r="607" spans="1:19">
      <c r="A607" t="s">
        <v>8</v>
      </c>
      <c r="B607" t="s">
        <v>74</v>
      </c>
      <c r="C607" t="str">
        <f>Data_Master[[#This Row],[Uniq-ID]]&amp;"-"&amp;Data_Master[[#This Row],[Period]]</f>
        <v>DC-Document_Controller-049-M3</v>
      </c>
      <c r="D607" t="s">
        <v>75</v>
      </c>
      <c r="E607" t="s">
        <v>76</v>
      </c>
      <c r="G607" t="s">
        <v>22</v>
      </c>
      <c r="H607" t="s">
        <v>41</v>
      </c>
      <c r="I607" t="s">
        <v>15</v>
      </c>
      <c r="J607" t="s">
        <v>16</v>
      </c>
      <c r="L607">
        <v>1.5</v>
      </c>
      <c r="M607">
        <v>3.0920000000000001</v>
      </c>
      <c r="N607" t="s">
        <v>2871</v>
      </c>
      <c r="O607" t="s">
        <v>2952</v>
      </c>
      <c r="P607" t="s">
        <v>2873</v>
      </c>
      <c r="Q607">
        <v>257</v>
      </c>
      <c r="R607">
        <v>7</v>
      </c>
      <c r="S607">
        <v>2.7199999999999998E-2</v>
      </c>
    </row>
    <row r="608" spans="1:19">
      <c r="A608" t="s">
        <v>8</v>
      </c>
      <c r="B608" t="s">
        <v>74</v>
      </c>
      <c r="C608" t="str">
        <f>Data_Master[[#This Row],[Uniq-ID]]&amp;"-"&amp;Data_Master[[#This Row],[Period]]</f>
        <v>DC-Document_Controller-049-M3</v>
      </c>
      <c r="D608" t="s">
        <v>75</v>
      </c>
      <c r="E608" t="s">
        <v>76</v>
      </c>
      <c r="G608" t="s">
        <v>22</v>
      </c>
      <c r="H608" t="s">
        <v>41</v>
      </c>
      <c r="I608" t="s">
        <v>15</v>
      </c>
      <c r="J608" t="s">
        <v>16</v>
      </c>
      <c r="L608">
        <v>1.5</v>
      </c>
      <c r="M608">
        <v>3.0920000000000001</v>
      </c>
      <c r="N608" t="s">
        <v>2871</v>
      </c>
      <c r="O608" t="s">
        <v>2950</v>
      </c>
      <c r="P608" t="s">
        <v>2873</v>
      </c>
      <c r="Q608">
        <v>88</v>
      </c>
      <c r="R608">
        <v>1</v>
      </c>
      <c r="S608">
        <v>1.14E-2</v>
      </c>
    </row>
    <row r="609" spans="1:19">
      <c r="A609" t="s">
        <v>8</v>
      </c>
      <c r="B609" t="s">
        <v>74</v>
      </c>
      <c r="C609" t="str">
        <f>Data_Master[[#This Row],[Uniq-ID]]&amp;"-"&amp;Data_Master[[#This Row],[Period]]</f>
        <v>DC-Document_Controller-049-M3</v>
      </c>
      <c r="D609" t="s">
        <v>75</v>
      </c>
      <c r="E609" t="s">
        <v>76</v>
      </c>
      <c r="G609" t="s">
        <v>22</v>
      </c>
      <c r="H609" t="s">
        <v>41</v>
      </c>
      <c r="I609" t="s">
        <v>15</v>
      </c>
      <c r="J609" t="s">
        <v>16</v>
      </c>
      <c r="L609">
        <v>1.5</v>
      </c>
      <c r="M609">
        <v>3.0920000000000001</v>
      </c>
      <c r="N609" t="s">
        <v>2947</v>
      </c>
      <c r="O609" t="s">
        <v>2948</v>
      </c>
      <c r="P609" t="s">
        <v>2873</v>
      </c>
      <c r="Q609">
        <v>110</v>
      </c>
      <c r="R609">
        <v>4</v>
      </c>
      <c r="S609">
        <v>3.6400000000000002E-2</v>
      </c>
    </row>
    <row r="610" spans="1:19">
      <c r="A610" t="s">
        <v>8</v>
      </c>
      <c r="B610" t="s">
        <v>74</v>
      </c>
      <c r="C610" t="str">
        <f>Data_Master[[#This Row],[Uniq-ID]]&amp;"-"&amp;Data_Master[[#This Row],[Period]]</f>
        <v>DC-Document_Controller-049-M4</v>
      </c>
      <c r="D610" t="s">
        <v>75</v>
      </c>
      <c r="E610" t="s">
        <v>76</v>
      </c>
      <c r="G610" t="s">
        <v>25</v>
      </c>
      <c r="H610" t="s">
        <v>43</v>
      </c>
      <c r="I610" t="s">
        <v>33</v>
      </c>
      <c r="J610" t="s">
        <v>44</v>
      </c>
      <c r="L610">
        <v>0.62</v>
      </c>
      <c r="M610">
        <v>0.625</v>
      </c>
      <c r="N610" t="s">
        <v>2871</v>
      </c>
      <c r="O610" t="s">
        <v>2956</v>
      </c>
      <c r="P610" t="s">
        <v>2873</v>
      </c>
      <c r="Q610">
        <v>298</v>
      </c>
      <c r="R610">
        <v>166</v>
      </c>
      <c r="S610">
        <v>0.55700000000000005</v>
      </c>
    </row>
    <row r="611" spans="1:19">
      <c r="A611" t="s">
        <v>8</v>
      </c>
      <c r="B611" t="s">
        <v>74</v>
      </c>
      <c r="C611" t="str">
        <f>Data_Master[[#This Row],[Uniq-ID]]&amp;"-"&amp;Data_Master[[#This Row],[Period]]</f>
        <v>DC-Document_Controller-049-M4</v>
      </c>
      <c r="D611" t="s">
        <v>75</v>
      </c>
      <c r="E611" t="s">
        <v>76</v>
      </c>
      <c r="G611" t="s">
        <v>25</v>
      </c>
      <c r="H611" t="s">
        <v>43</v>
      </c>
      <c r="I611" t="s">
        <v>33</v>
      </c>
      <c r="J611" t="s">
        <v>44</v>
      </c>
      <c r="L611">
        <v>0.62</v>
      </c>
      <c r="M611">
        <v>0.625</v>
      </c>
      <c r="N611" t="s">
        <v>2871</v>
      </c>
      <c r="O611" t="s">
        <v>2954</v>
      </c>
      <c r="P611" t="s">
        <v>2873</v>
      </c>
      <c r="Q611">
        <v>220</v>
      </c>
      <c r="R611">
        <v>14</v>
      </c>
      <c r="S611">
        <v>6.3600000000000004E-2</v>
      </c>
    </row>
    <row r="612" spans="1:19">
      <c r="A612" t="s">
        <v>8</v>
      </c>
      <c r="B612" t="s">
        <v>74</v>
      </c>
      <c r="C612" t="str">
        <f>Data_Master[[#This Row],[Uniq-ID]]&amp;"-"&amp;Data_Master[[#This Row],[Period]]</f>
        <v>DC-Document_Controller-049-M4</v>
      </c>
      <c r="D612" t="s">
        <v>75</v>
      </c>
      <c r="E612" t="s">
        <v>76</v>
      </c>
      <c r="G612" t="s">
        <v>25</v>
      </c>
      <c r="H612" t="s">
        <v>43</v>
      </c>
      <c r="I612" t="s">
        <v>33</v>
      </c>
      <c r="J612" t="s">
        <v>44</v>
      </c>
      <c r="L612">
        <v>0.62</v>
      </c>
      <c r="M612">
        <v>0.625</v>
      </c>
      <c r="N612" t="s">
        <v>2871</v>
      </c>
      <c r="O612" t="s">
        <v>2952</v>
      </c>
      <c r="P612" t="s">
        <v>2873</v>
      </c>
      <c r="Q612">
        <v>257</v>
      </c>
      <c r="R612">
        <v>1</v>
      </c>
      <c r="S612">
        <v>3.8999999999999998E-3</v>
      </c>
    </row>
    <row r="613" spans="1:19">
      <c r="A613" t="s">
        <v>8</v>
      </c>
      <c r="B613" t="s">
        <v>368</v>
      </c>
      <c r="C613" t="str">
        <f>Data_Master[[#This Row],[Uniq-ID]]&amp;"-"&amp;Data_Master[[#This Row],[Period]]</f>
        <v>DC-Document_Controller-050-M1</v>
      </c>
      <c r="D613" t="s">
        <v>369</v>
      </c>
      <c r="E613" t="s">
        <v>76</v>
      </c>
      <c r="G613" t="s">
        <v>13</v>
      </c>
      <c r="H613" t="s">
        <v>37</v>
      </c>
      <c r="I613" t="s">
        <v>15</v>
      </c>
      <c r="J613" t="s">
        <v>44</v>
      </c>
      <c r="L613">
        <v>0.5</v>
      </c>
      <c r="M613">
        <v>4.0000000000000001E-3</v>
      </c>
      <c r="N613" t="s">
        <v>2887</v>
      </c>
      <c r="O613" t="s">
        <v>3294</v>
      </c>
      <c r="P613" t="s">
        <v>2916</v>
      </c>
      <c r="Q613">
        <v>250</v>
      </c>
      <c r="R613">
        <v>1</v>
      </c>
      <c r="S613">
        <v>4.0000000000000001E-3</v>
      </c>
    </row>
    <row r="614" spans="1:19">
      <c r="A614" t="s">
        <v>8</v>
      </c>
      <c r="B614" t="s">
        <v>368</v>
      </c>
      <c r="C614" t="str">
        <f>Data_Master[[#This Row],[Uniq-ID]]&amp;"-"&amp;Data_Master[[#This Row],[Period]]</f>
        <v>DC-Document_Controller-050-M2</v>
      </c>
      <c r="D614" t="s">
        <v>369</v>
      </c>
      <c r="E614" t="s">
        <v>76</v>
      </c>
      <c r="G614" t="s">
        <v>18</v>
      </c>
      <c r="H614" t="s">
        <v>39</v>
      </c>
      <c r="I614" t="s">
        <v>15</v>
      </c>
      <c r="J614" t="s">
        <v>44</v>
      </c>
      <c r="M614">
        <v>0</v>
      </c>
    </row>
    <row r="615" spans="1:19">
      <c r="A615" t="s">
        <v>8</v>
      </c>
      <c r="B615" t="s">
        <v>368</v>
      </c>
      <c r="C615" t="str">
        <f>Data_Master[[#This Row],[Uniq-ID]]&amp;"-"&amp;Data_Master[[#This Row],[Period]]</f>
        <v>DC-Document_Controller-050-M3</v>
      </c>
      <c r="D615" t="s">
        <v>369</v>
      </c>
      <c r="E615" t="s">
        <v>76</v>
      </c>
      <c r="G615" t="s">
        <v>22</v>
      </c>
      <c r="H615" t="s">
        <v>41</v>
      </c>
      <c r="I615" t="s">
        <v>15</v>
      </c>
      <c r="J615" t="s">
        <v>20</v>
      </c>
      <c r="L615">
        <v>1</v>
      </c>
      <c r="M615">
        <v>1.3320000000000001</v>
      </c>
      <c r="N615" t="s">
        <v>2887</v>
      </c>
      <c r="O615" t="s">
        <v>3294</v>
      </c>
      <c r="P615" t="s">
        <v>2916</v>
      </c>
      <c r="Q615">
        <v>250</v>
      </c>
      <c r="R615">
        <v>333</v>
      </c>
      <c r="S615">
        <v>1.3320000000000001</v>
      </c>
    </row>
    <row r="616" spans="1:19">
      <c r="A616" t="s">
        <v>8</v>
      </c>
      <c r="B616" t="s">
        <v>368</v>
      </c>
      <c r="C616" t="str">
        <f>Data_Master[[#This Row],[Uniq-ID]]&amp;"-"&amp;Data_Master[[#This Row],[Period]]</f>
        <v>DC-Document_Controller-050-M4</v>
      </c>
      <c r="D616" t="s">
        <v>369</v>
      </c>
      <c r="E616" t="s">
        <v>76</v>
      </c>
      <c r="G616" t="s">
        <v>25</v>
      </c>
      <c r="H616" t="s">
        <v>43</v>
      </c>
      <c r="I616" t="s">
        <v>33</v>
      </c>
      <c r="J616" t="s">
        <v>44</v>
      </c>
      <c r="M616">
        <v>0</v>
      </c>
    </row>
    <row r="617" spans="1:19">
      <c r="A617" t="s">
        <v>8</v>
      </c>
      <c r="B617" t="s">
        <v>358</v>
      </c>
      <c r="C617" t="str">
        <f>Data_Master[[#This Row],[Uniq-ID]]&amp;"-"&amp;Data_Master[[#This Row],[Period]]</f>
        <v>DC-Document_Controller-051-M1</v>
      </c>
      <c r="D617" t="s">
        <v>359</v>
      </c>
      <c r="E617" t="s">
        <v>76</v>
      </c>
      <c r="G617" t="s">
        <v>13</v>
      </c>
      <c r="H617" t="s">
        <v>37</v>
      </c>
      <c r="I617" t="s">
        <v>15</v>
      </c>
      <c r="J617" t="s">
        <v>44</v>
      </c>
      <c r="L617">
        <v>0.5</v>
      </c>
      <c r="M617">
        <v>6.0999999999999999E-2</v>
      </c>
      <c r="N617" t="s">
        <v>2871</v>
      </c>
      <c r="O617" t="s">
        <v>3061</v>
      </c>
      <c r="P617" t="s">
        <v>2873</v>
      </c>
      <c r="Q617">
        <v>66</v>
      </c>
      <c r="R617">
        <v>4</v>
      </c>
      <c r="S617">
        <v>6.0600000000000001E-2</v>
      </c>
    </row>
    <row r="618" spans="1:19">
      <c r="A618" t="s">
        <v>8</v>
      </c>
      <c r="B618" t="s">
        <v>358</v>
      </c>
      <c r="C618" t="str">
        <f>Data_Master[[#This Row],[Uniq-ID]]&amp;"-"&amp;Data_Master[[#This Row],[Period]]</f>
        <v>DC-Document_Controller-051-M2</v>
      </c>
      <c r="D618" t="s">
        <v>359</v>
      </c>
      <c r="E618" t="s">
        <v>76</v>
      </c>
      <c r="G618" t="s">
        <v>18</v>
      </c>
      <c r="H618" t="s">
        <v>39</v>
      </c>
      <c r="I618" t="s">
        <v>15</v>
      </c>
      <c r="J618" t="s">
        <v>44</v>
      </c>
      <c r="L618">
        <v>0.5</v>
      </c>
      <c r="M618">
        <v>4.8000000000000001E-2</v>
      </c>
      <c r="N618" t="s">
        <v>2887</v>
      </c>
      <c r="O618" t="s">
        <v>2992</v>
      </c>
      <c r="P618" t="s">
        <v>2873</v>
      </c>
      <c r="Q618">
        <v>220</v>
      </c>
      <c r="R618">
        <v>4</v>
      </c>
      <c r="S618">
        <v>1.8200000000000001E-2</v>
      </c>
    </row>
    <row r="619" spans="1:19">
      <c r="A619" t="s">
        <v>8</v>
      </c>
      <c r="B619" t="s">
        <v>358</v>
      </c>
      <c r="C619" t="str">
        <f>Data_Master[[#This Row],[Uniq-ID]]&amp;"-"&amp;Data_Master[[#This Row],[Period]]</f>
        <v>DC-Document_Controller-051-M2</v>
      </c>
      <c r="D619" t="s">
        <v>359</v>
      </c>
      <c r="E619" t="s">
        <v>76</v>
      </c>
      <c r="G619" t="s">
        <v>18</v>
      </c>
      <c r="H619" t="s">
        <v>39</v>
      </c>
      <c r="I619" t="s">
        <v>15</v>
      </c>
      <c r="J619" t="s">
        <v>44</v>
      </c>
      <c r="L619">
        <v>0.5</v>
      </c>
      <c r="M619">
        <v>4.8000000000000001E-2</v>
      </c>
      <c r="N619" t="s">
        <v>2871</v>
      </c>
      <c r="O619" t="s">
        <v>3061</v>
      </c>
      <c r="P619" t="s">
        <v>2873</v>
      </c>
      <c r="Q619">
        <v>66</v>
      </c>
      <c r="R619">
        <v>2</v>
      </c>
      <c r="S619">
        <v>3.0300000000000001E-2</v>
      </c>
    </row>
    <row r="620" spans="1:19">
      <c r="A620" t="s">
        <v>8</v>
      </c>
      <c r="B620" t="s">
        <v>358</v>
      </c>
      <c r="C620" t="str">
        <f>Data_Master[[#This Row],[Uniq-ID]]&amp;"-"&amp;Data_Master[[#This Row],[Period]]</f>
        <v>DC-Document_Controller-051-M3</v>
      </c>
      <c r="D620" t="s">
        <v>359</v>
      </c>
      <c r="E620" t="s">
        <v>76</v>
      </c>
      <c r="G620" t="s">
        <v>22</v>
      </c>
      <c r="H620" t="s">
        <v>41</v>
      </c>
      <c r="I620" t="s">
        <v>15</v>
      </c>
      <c r="J620" t="s">
        <v>44</v>
      </c>
      <c r="L620">
        <v>0.5</v>
      </c>
      <c r="M620">
        <v>8.9999999999999993E-3</v>
      </c>
      <c r="N620" t="s">
        <v>2887</v>
      </c>
      <c r="O620" t="s">
        <v>2992</v>
      </c>
      <c r="P620" t="s">
        <v>2873</v>
      </c>
      <c r="Q620">
        <v>220</v>
      </c>
      <c r="R620">
        <v>2</v>
      </c>
      <c r="S620">
        <v>9.1000000000000004E-3</v>
      </c>
    </row>
    <row r="621" spans="1:19">
      <c r="A621" t="s">
        <v>8</v>
      </c>
      <c r="B621" t="s">
        <v>358</v>
      </c>
      <c r="C621" t="str">
        <f>Data_Master[[#This Row],[Uniq-ID]]&amp;"-"&amp;Data_Master[[#This Row],[Period]]</f>
        <v>DC-Document_Controller-051-M4</v>
      </c>
      <c r="D621" t="s">
        <v>359</v>
      </c>
      <c r="E621" t="s">
        <v>76</v>
      </c>
      <c r="G621" t="s">
        <v>25</v>
      </c>
      <c r="H621" t="s">
        <v>43</v>
      </c>
      <c r="I621" t="s">
        <v>33</v>
      </c>
      <c r="J621" t="s">
        <v>44</v>
      </c>
      <c r="M621">
        <v>0</v>
      </c>
    </row>
    <row r="622" spans="1:19">
      <c r="A622" t="s">
        <v>8</v>
      </c>
      <c r="B622" t="s">
        <v>355</v>
      </c>
      <c r="C622" t="str">
        <f>Data_Master[[#This Row],[Uniq-ID]]&amp;"-"&amp;Data_Master[[#This Row],[Period]]</f>
        <v>DC-Document_Controller-052-M1</v>
      </c>
      <c r="D622" t="s">
        <v>356</v>
      </c>
      <c r="E622" t="s">
        <v>76</v>
      </c>
      <c r="G622" t="s">
        <v>13</v>
      </c>
      <c r="H622" t="s">
        <v>357</v>
      </c>
      <c r="I622" t="s">
        <v>15</v>
      </c>
      <c r="J622" t="s">
        <v>44</v>
      </c>
      <c r="M622">
        <v>0</v>
      </c>
    </row>
    <row r="623" spans="1:19">
      <c r="A623" t="s">
        <v>8</v>
      </c>
      <c r="B623" t="s">
        <v>355</v>
      </c>
      <c r="C623" t="str">
        <f>Data_Master[[#This Row],[Uniq-ID]]&amp;"-"&amp;Data_Master[[#This Row],[Period]]</f>
        <v>DC-Document_Controller-052-M2</v>
      </c>
      <c r="D623" t="s">
        <v>356</v>
      </c>
      <c r="E623" t="s">
        <v>76</v>
      </c>
      <c r="G623" t="s">
        <v>18</v>
      </c>
      <c r="H623" t="s">
        <v>220</v>
      </c>
      <c r="I623" t="s">
        <v>15</v>
      </c>
      <c r="J623" t="s">
        <v>44</v>
      </c>
      <c r="M623">
        <v>0</v>
      </c>
    </row>
    <row r="624" spans="1:19">
      <c r="A624" t="s">
        <v>8</v>
      </c>
      <c r="B624" t="s">
        <v>355</v>
      </c>
      <c r="C624" t="str">
        <f>Data_Master[[#This Row],[Uniq-ID]]&amp;"-"&amp;Data_Master[[#This Row],[Period]]</f>
        <v>DC-Document_Controller-052-M3</v>
      </c>
      <c r="D624" t="s">
        <v>356</v>
      </c>
      <c r="E624" t="s">
        <v>76</v>
      </c>
      <c r="G624" t="s">
        <v>22</v>
      </c>
      <c r="H624" t="s">
        <v>222</v>
      </c>
      <c r="I624" t="s">
        <v>15</v>
      </c>
      <c r="J624" t="s">
        <v>44</v>
      </c>
      <c r="M624">
        <v>0</v>
      </c>
    </row>
    <row r="625" spans="1:19">
      <c r="A625" t="s">
        <v>8</v>
      </c>
      <c r="B625" t="s">
        <v>355</v>
      </c>
      <c r="C625" t="str">
        <f>Data_Master[[#This Row],[Uniq-ID]]&amp;"-"&amp;Data_Master[[#This Row],[Period]]</f>
        <v>DC-Document_Controller-052-M4</v>
      </c>
      <c r="D625" t="s">
        <v>356</v>
      </c>
      <c r="E625" t="s">
        <v>76</v>
      </c>
      <c r="G625" t="s">
        <v>25</v>
      </c>
      <c r="H625" t="s">
        <v>224</v>
      </c>
      <c r="I625" t="s">
        <v>33</v>
      </c>
      <c r="J625" t="s">
        <v>44</v>
      </c>
      <c r="M625">
        <v>0</v>
      </c>
    </row>
    <row r="626" spans="1:19">
      <c r="A626" t="s">
        <v>8</v>
      </c>
      <c r="B626" t="s">
        <v>353</v>
      </c>
      <c r="C626" t="str">
        <f>Data_Master[[#This Row],[Uniq-ID]]&amp;"-"&amp;Data_Master[[#This Row],[Period]]</f>
        <v>DC-Document_Controller-053-M1</v>
      </c>
      <c r="D626" t="s">
        <v>354</v>
      </c>
      <c r="E626" t="s">
        <v>76</v>
      </c>
      <c r="G626" t="s">
        <v>13</v>
      </c>
      <c r="H626" t="s">
        <v>37</v>
      </c>
      <c r="I626" t="s">
        <v>15</v>
      </c>
      <c r="J626" t="s">
        <v>44</v>
      </c>
      <c r="M626">
        <v>0</v>
      </c>
    </row>
    <row r="627" spans="1:19">
      <c r="A627" t="s">
        <v>8</v>
      </c>
      <c r="B627" t="s">
        <v>353</v>
      </c>
      <c r="C627" t="str">
        <f>Data_Master[[#This Row],[Uniq-ID]]&amp;"-"&amp;Data_Master[[#This Row],[Period]]</f>
        <v>DC-Document_Controller-053-M2</v>
      </c>
      <c r="D627" t="s">
        <v>354</v>
      </c>
      <c r="E627" t="s">
        <v>76</v>
      </c>
      <c r="G627" t="s">
        <v>18</v>
      </c>
      <c r="H627" t="s">
        <v>39</v>
      </c>
      <c r="I627" t="s">
        <v>15</v>
      </c>
      <c r="J627" t="s">
        <v>44</v>
      </c>
      <c r="M627">
        <v>0</v>
      </c>
    </row>
    <row r="628" spans="1:19">
      <c r="A628" t="s">
        <v>8</v>
      </c>
      <c r="B628" t="s">
        <v>353</v>
      </c>
      <c r="C628" t="str">
        <f>Data_Master[[#This Row],[Uniq-ID]]&amp;"-"&amp;Data_Master[[#This Row],[Period]]</f>
        <v>DC-Document_Controller-053-M3</v>
      </c>
      <c r="D628" t="s">
        <v>354</v>
      </c>
      <c r="E628" t="s">
        <v>76</v>
      </c>
      <c r="G628" t="s">
        <v>22</v>
      </c>
      <c r="H628" t="s">
        <v>41</v>
      </c>
      <c r="I628" t="s">
        <v>15</v>
      </c>
      <c r="J628" t="s">
        <v>44</v>
      </c>
      <c r="M628">
        <v>0</v>
      </c>
    </row>
    <row r="629" spans="1:19">
      <c r="A629" t="s">
        <v>8</v>
      </c>
      <c r="B629" t="s">
        <v>353</v>
      </c>
      <c r="C629" t="str">
        <f>Data_Master[[#This Row],[Uniq-ID]]&amp;"-"&amp;Data_Master[[#This Row],[Period]]</f>
        <v>DC-Document_Controller-053-M4</v>
      </c>
      <c r="D629" t="s">
        <v>354</v>
      </c>
      <c r="E629" t="s">
        <v>76</v>
      </c>
      <c r="G629" t="s">
        <v>25</v>
      </c>
      <c r="H629" t="s">
        <v>43</v>
      </c>
      <c r="I629" t="s">
        <v>33</v>
      </c>
      <c r="J629" t="s">
        <v>44</v>
      </c>
      <c r="M629">
        <v>0</v>
      </c>
    </row>
    <row r="630" spans="1:19">
      <c r="A630" t="s">
        <v>8</v>
      </c>
      <c r="B630" t="s">
        <v>65</v>
      </c>
      <c r="C630" t="str">
        <f>Data_Master[[#This Row],[Uniq-ID]]&amp;"-"&amp;Data_Master[[#This Row],[Period]]</f>
        <v>DC-Document_Controller-054-M1</v>
      </c>
      <c r="D630" t="s">
        <v>66</v>
      </c>
      <c r="E630" t="s">
        <v>48</v>
      </c>
      <c r="G630" t="s">
        <v>13</v>
      </c>
      <c r="H630" t="s">
        <v>67</v>
      </c>
      <c r="I630" t="s">
        <v>15</v>
      </c>
      <c r="J630" t="s">
        <v>16</v>
      </c>
      <c r="L630">
        <v>1.5</v>
      </c>
      <c r="M630">
        <v>10.087999999999999</v>
      </c>
      <c r="N630" t="s">
        <v>2879</v>
      </c>
      <c r="O630" t="s">
        <v>2915</v>
      </c>
      <c r="P630" t="s">
        <v>2916</v>
      </c>
      <c r="R630">
        <v>110</v>
      </c>
    </row>
    <row r="631" spans="1:19">
      <c r="A631" t="s">
        <v>8</v>
      </c>
      <c r="B631" t="s">
        <v>65</v>
      </c>
      <c r="C631" t="str">
        <f>Data_Master[[#This Row],[Uniq-ID]]&amp;"-"&amp;Data_Master[[#This Row],[Period]]</f>
        <v>DC-Document_Controller-054-M1</v>
      </c>
      <c r="D631" t="s">
        <v>66</v>
      </c>
      <c r="E631" t="s">
        <v>48</v>
      </c>
      <c r="G631" t="s">
        <v>13</v>
      </c>
      <c r="H631" t="s">
        <v>67</v>
      </c>
      <c r="I631" t="s">
        <v>15</v>
      </c>
      <c r="J631" t="s">
        <v>16</v>
      </c>
      <c r="L631">
        <v>1.5</v>
      </c>
      <c r="M631">
        <v>10.087999999999999</v>
      </c>
      <c r="N631" t="s">
        <v>2879</v>
      </c>
      <c r="O631" t="s">
        <v>2915</v>
      </c>
      <c r="P631" t="s">
        <v>2916</v>
      </c>
      <c r="Q631">
        <v>308</v>
      </c>
      <c r="R631">
        <v>110</v>
      </c>
      <c r="S631">
        <v>0.35709999999999997</v>
      </c>
    </row>
    <row r="632" spans="1:19">
      <c r="A632" t="s">
        <v>8</v>
      </c>
      <c r="B632" t="s">
        <v>65</v>
      </c>
      <c r="C632" t="str">
        <f>Data_Master[[#This Row],[Uniq-ID]]&amp;"-"&amp;Data_Master[[#This Row],[Period]]</f>
        <v>DC-Document_Controller-054-M1</v>
      </c>
      <c r="D632" t="s">
        <v>66</v>
      </c>
      <c r="E632" t="s">
        <v>48</v>
      </c>
      <c r="G632" t="s">
        <v>13</v>
      </c>
      <c r="H632" t="s">
        <v>67</v>
      </c>
      <c r="I632" t="s">
        <v>15</v>
      </c>
      <c r="J632" t="s">
        <v>16</v>
      </c>
      <c r="L632">
        <v>1.5</v>
      </c>
      <c r="M632">
        <v>10.087999999999999</v>
      </c>
      <c r="N632" t="s">
        <v>2879</v>
      </c>
      <c r="O632" t="s">
        <v>2915</v>
      </c>
      <c r="P632" t="s">
        <v>2916</v>
      </c>
      <c r="Q632">
        <v>26</v>
      </c>
      <c r="R632">
        <v>110</v>
      </c>
      <c r="S632">
        <v>4.2308000000000003</v>
      </c>
    </row>
    <row r="633" spans="1:19">
      <c r="A633" t="s">
        <v>8</v>
      </c>
      <c r="B633" t="s">
        <v>65</v>
      </c>
      <c r="C633" t="str">
        <f>Data_Master[[#This Row],[Uniq-ID]]&amp;"-"&amp;Data_Master[[#This Row],[Period]]</f>
        <v>DC-Document_Controller-054-M1</v>
      </c>
      <c r="D633" t="s">
        <v>66</v>
      </c>
      <c r="E633" t="s">
        <v>48</v>
      </c>
      <c r="G633" t="s">
        <v>13</v>
      </c>
      <c r="H633" t="s">
        <v>67</v>
      </c>
      <c r="I633" t="s">
        <v>15</v>
      </c>
      <c r="J633" t="s">
        <v>16</v>
      </c>
      <c r="L633">
        <v>1.5</v>
      </c>
      <c r="M633">
        <v>10.087999999999999</v>
      </c>
      <c r="N633" t="s">
        <v>2879</v>
      </c>
      <c r="O633" t="s">
        <v>2915</v>
      </c>
      <c r="P633" t="s">
        <v>2916</v>
      </c>
      <c r="Q633">
        <v>20</v>
      </c>
      <c r="R633">
        <v>110</v>
      </c>
      <c r="S633">
        <v>5.5</v>
      </c>
    </row>
    <row r="634" spans="1:19">
      <c r="A634" t="s">
        <v>8</v>
      </c>
      <c r="B634" t="s">
        <v>65</v>
      </c>
      <c r="C634" t="str">
        <f>Data_Master[[#This Row],[Uniq-ID]]&amp;"-"&amp;Data_Master[[#This Row],[Period]]</f>
        <v>DC-Document_Controller-054-M2</v>
      </c>
      <c r="D634" t="s">
        <v>66</v>
      </c>
      <c r="E634" t="s">
        <v>48</v>
      </c>
      <c r="G634" t="s">
        <v>18</v>
      </c>
      <c r="H634" t="s">
        <v>69</v>
      </c>
      <c r="I634" t="s">
        <v>15</v>
      </c>
      <c r="J634" t="s">
        <v>16</v>
      </c>
      <c r="L634">
        <v>1.5</v>
      </c>
      <c r="M634">
        <v>13.756</v>
      </c>
      <c r="N634" t="s">
        <v>2879</v>
      </c>
      <c r="O634" t="s">
        <v>2915</v>
      </c>
      <c r="P634" t="s">
        <v>2916</v>
      </c>
      <c r="Q634">
        <v>20</v>
      </c>
      <c r="R634">
        <v>150</v>
      </c>
      <c r="S634">
        <v>7.5</v>
      </c>
    </row>
    <row r="635" spans="1:19">
      <c r="A635" t="s">
        <v>8</v>
      </c>
      <c r="B635" t="s">
        <v>65</v>
      </c>
      <c r="C635" t="str">
        <f>Data_Master[[#This Row],[Uniq-ID]]&amp;"-"&amp;Data_Master[[#This Row],[Period]]</f>
        <v>DC-Document_Controller-054-M2</v>
      </c>
      <c r="D635" t="s">
        <v>66</v>
      </c>
      <c r="E635" t="s">
        <v>48</v>
      </c>
      <c r="G635" t="s">
        <v>18</v>
      </c>
      <c r="H635" t="s">
        <v>69</v>
      </c>
      <c r="I635" t="s">
        <v>15</v>
      </c>
      <c r="J635" t="s">
        <v>16</v>
      </c>
      <c r="L635">
        <v>1.5</v>
      </c>
      <c r="M635">
        <v>13.756</v>
      </c>
      <c r="N635" t="s">
        <v>2879</v>
      </c>
      <c r="O635" t="s">
        <v>2915</v>
      </c>
      <c r="P635" t="s">
        <v>2916</v>
      </c>
      <c r="Q635">
        <v>26</v>
      </c>
      <c r="R635">
        <v>150</v>
      </c>
      <c r="S635">
        <v>5.7691999999999997</v>
      </c>
    </row>
    <row r="636" spans="1:19">
      <c r="A636" t="s">
        <v>8</v>
      </c>
      <c r="B636" t="s">
        <v>65</v>
      </c>
      <c r="C636" t="str">
        <f>Data_Master[[#This Row],[Uniq-ID]]&amp;"-"&amp;Data_Master[[#This Row],[Period]]</f>
        <v>DC-Document_Controller-054-M2</v>
      </c>
      <c r="D636" t="s">
        <v>66</v>
      </c>
      <c r="E636" t="s">
        <v>48</v>
      </c>
      <c r="G636" t="s">
        <v>18</v>
      </c>
      <c r="H636" t="s">
        <v>69</v>
      </c>
      <c r="I636" t="s">
        <v>15</v>
      </c>
      <c r="J636" t="s">
        <v>16</v>
      </c>
      <c r="L636">
        <v>1.5</v>
      </c>
      <c r="M636">
        <v>13.756</v>
      </c>
      <c r="N636" t="s">
        <v>2879</v>
      </c>
      <c r="O636" t="s">
        <v>2915</v>
      </c>
      <c r="P636" t="s">
        <v>2916</v>
      </c>
      <c r="Q636">
        <v>308</v>
      </c>
      <c r="R636">
        <v>150</v>
      </c>
      <c r="S636">
        <v>0.48699999999999999</v>
      </c>
    </row>
    <row r="637" spans="1:19">
      <c r="A637" t="s">
        <v>8</v>
      </c>
      <c r="B637" t="s">
        <v>65</v>
      </c>
      <c r="C637" t="str">
        <f>Data_Master[[#This Row],[Uniq-ID]]&amp;"-"&amp;Data_Master[[#This Row],[Period]]</f>
        <v>DC-Document_Controller-054-M3</v>
      </c>
      <c r="D637" t="s">
        <v>66</v>
      </c>
      <c r="E637" t="s">
        <v>48</v>
      </c>
      <c r="G637" t="s">
        <v>22</v>
      </c>
      <c r="H637" t="s">
        <v>71</v>
      </c>
      <c r="I637" t="s">
        <v>15</v>
      </c>
      <c r="J637" t="s">
        <v>16</v>
      </c>
      <c r="L637">
        <v>1.5</v>
      </c>
      <c r="M637">
        <v>4.585</v>
      </c>
      <c r="N637" t="s">
        <v>2879</v>
      </c>
      <c r="O637" t="s">
        <v>2915</v>
      </c>
      <c r="P637" t="s">
        <v>2916</v>
      </c>
      <c r="Q637">
        <v>308</v>
      </c>
      <c r="R637">
        <v>50</v>
      </c>
      <c r="S637">
        <v>0.1623</v>
      </c>
    </row>
    <row r="638" spans="1:19">
      <c r="A638" t="s">
        <v>8</v>
      </c>
      <c r="B638" t="s">
        <v>65</v>
      </c>
      <c r="C638" t="str">
        <f>Data_Master[[#This Row],[Uniq-ID]]&amp;"-"&amp;Data_Master[[#This Row],[Period]]</f>
        <v>DC-Document_Controller-054-M3</v>
      </c>
      <c r="D638" t="s">
        <v>66</v>
      </c>
      <c r="E638" t="s">
        <v>48</v>
      </c>
      <c r="G638" t="s">
        <v>22</v>
      </c>
      <c r="H638" t="s">
        <v>71</v>
      </c>
      <c r="I638" t="s">
        <v>15</v>
      </c>
      <c r="J638" t="s">
        <v>16</v>
      </c>
      <c r="L638">
        <v>1.5</v>
      </c>
      <c r="M638">
        <v>4.585</v>
      </c>
      <c r="N638" t="s">
        <v>2879</v>
      </c>
      <c r="O638" t="s">
        <v>2915</v>
      </c>
      <c r="P638" t="s">
        <v>2916</v>
      </c>
      <c r="Q638">
        <v>26</v>
      </c>
      <c r="R638">
        <v>50</v>
      </c>
      <c r="S638">
        <v>1.9231</v>
      </c>
    </row>
    <row r="639" spans="1:19">
      <c r="A639" t="s">
        <v>8</v>
      </c>
      <c r="B639" t="s">
        <v>65</v>
      </c>
      <c r="C639" t="str">
        <f>Data_Master[[#This Row],[Uniq-ID]]&amp;"-"&amp;Data_Master[[#This Row],[Period]]</f>
        <v>DC-Document_Controller-054-M3</v>
      </c>
      <c r="D639" t="s">
        <v>66</v>
      </c>
      <c r="E639" t="s">
        <v>48</v>
      </c>
      <c r="G639" t="s">
        <v>22</v>
      </c>
      <c r="H639" t="s">
        <v>71</v>
      </c>
      <c r="I639" t="s">
        <v>15</v>
      </c>
      <c r="J639" t="s">
        <v>16</v>
      </c>
      <c r="L639">
        <v>1.5</v>
      </c>
      <c r="M639">
        <v>4.585</v>
      </c>
      <c r="N639" t="s">
        <v>2879</v>
      </c>
      <c r="O639" t="s">
        <v>2915</v>
      </c>
      <c r="P639" t="s">
        <v>2916</v>
      </c>
      <c r="Q639">
        <v>20</v>
      </c>
      <c r="R639">
        <v>50</v>
      </c>
      <c r="S639">
        <v>2.5</v>
      </c>
    </row>
    <row r="640" spans="1:19">
      <c r="A640" t="s">
        <v>8</v>
      </c>
      <c r="B640" t="s">
        <v>65</v>
      </c>
      <c r="C640" t="str">
        <f>Data_Master[[#This Row],[Uniq-ID]]&amp;"-"&amp;Data_Master[[#This Row],[Period]]</f>
        <v>DC-Document_Controller-054-M4</v>
      </c>
      <c r="D640" t="s">
        <v>66</v>
      </c>
      <c r="E640" t="s">
        <v>48</v>
      </c>
      <c r="G640" t="s">
        <v>25</v>
      </c>
      <c r="H640" t="s">
        <v>73</v>
      </c>
      <c r="I640" t="s">
        <v>33</v>
      </c>
      <c r="J640" t="s">
        <v>44</v>
      </c>
      <c r="M640">
        <v>0</v>
      </c>
    </row>
    <row r="641" spans="1:19">
      <c r="A641" t="s">
        <v>8</v>
      </c>
      <c r="B641" t="s">
        <v>266</v>
      </c>
      <c r="C641" t="str">
        <f>Data_Master[[#This Row],[Uniq-ID]]&amp;"-"&amp;Data_Master[[#This Row],[Period]]</f>
        <v>DC-Document_Controller-055-M1</v>
      </c>
      <c r="D641" t="s">
        <v>267</v>
      </c>
      <c r="E641" t="s">
        <v>250</v>
      </c>
      <c r="G641" t="s">
        <v>13</v>
      </c>
      <c r="H641" t="s">
        <v>268</v>
      </c>
      <c r="I641" t="s">
        <v>15</v>
      </c>
      <c r="J641" t="s">
        <v>20</v>
      </c>
      <c r="L641">
        <v>1</v>
      </c>
      <c r="M641">
        <v>1.02</v>
      </c>
      <c r="N641" t="s">
        <v>2887</v>
      </c>
      <c r="O641" t="s">
        <v>3244</v>
      </c>
      <c r="P641" t="s">
        <v>2873</v>
      </c>
      <c r="Q641">
        <v>50</v>
      </c>
      <c r="R641">
        <v>51</v>
      </c>
      <c r="S641">
        <v>1.02</v>
      </c>
    </row>
    <row r="642" spans="1:19">
      <c r="A642" t="s">
        <v>8</v>
      </c>
      <c r="B642" t="s">
        <v>266</v>
      </c>
      <c r="C642" t="str">
        <f>Data_Master[[#This Row],[Uniq-ID]]&amp;"-"&amp;Data_Master[[#This Row],[Period]]</f>
        <v>DC-Document_Controller-055-M2</v>
      </c>
      <c r="D642" t="s">
        <v>267</v>
      </c>
      <c r="E642" t="s">
        <v>250</v>
      </c>
      <c r="G642" t="s">
        <v>18</v>
      </c>
      <c r="H642" t="s">
        <v>270</v>
      </c>
      <c r="I642" t="s">
        <v>15</v>
      </c>
      <c r="J642" t="s">
        <v>20</v>
      </c>
      <c r="L642">
        <v>1</v>
      </c>
      <c r="M642">
        <v>1.3</v>
      </c>
      <c r="N642" t="s">
        <v>2887</v>
      </c>
      <c r="O642" t="s">
        <v>3244</v>
      </c>
      <c r="P642" t="s">
        <v>2873</v>
      </c>
      <c r="Q642">
        <v>50</v>
      </c>
      <c r="R642">
        <v>65</v>
      </c>
      <c r="S642">
        <v>1.3</v>
      </c>
    </row>
    <row r="643" spans="1:19">
      <c r="A643" t="s">
        <v>8</v>
      </c>
      <c r="B643" t="s">
        <v>266</v>
      </c>
      <c r="C643" t="str">
        <f>Data_Master[[#This Row],[Uniq-ID]]&amp;"-"&amp;Data_Master[[#This Row],[Period]]</f>
        <v>DC-Document_Controller-055-M3</v>
      </c>
      <c r="D643" t="s">
        <v>267</v>
      </c>
      <c r="E643" t="s">
        <v>250</v>
      </c>
      <c r="G643" t="s">
        <v>22</v>
      </c>
      <c r="H643" t="s">
        <v>272</v>
      </c>
      <c r="I643" t="s">
        <v>15</v>
      </c>
      <c r="J643" t="s">
        <v>20</v>
      </c>
      <c r="L643">
        <v>1</v>
      </c>
      <c r="M643">
        <v>1.1200000000000001</v>
      </c>
      <c r="N643" t="s">
        <v>2887</v>
      </c>
      <c r="O643" t="s">
        <v>3244</v>
      </c>
      <c r="P643" t="s">
        <v>2873</v>
      </c>
      <c r="Q643">
        <v>50</v>
      </c>
      <c r="R643">
        <v>56</v>
      </c>
      <c r="S643">
        <v>1.1200000000000001</v>
      </c>
    </row>
    <row r="644" spans="1:19">
      <c r="A644" t="s">
        <v>8</v>
      </c>
      <c r="B644" t="s">
        <v>266</v>
      </c>
      <c r="C644" t="str">
        <f>Data_Master[[#This Row],[Uniq-ID]]&amp;"-"&amp;Data_Master[[#This Row],[Period]]</f>
        <v>DC-Document_Controller-055-M4</v>
      </c>
      <c r="D644" t="s">
        <v>267</v>
      </c>
      <c r="E644" t="s">
        <v>250</v>
      </c>
      <c r="G644" t="s">
        <v>25</v>
      </c>
      <c r="H644" t="s">
        <v>274</v>
      </c>
      <c r="I644" t="s">
        <v>33</v>
      </c>
      <c r="J644" t="s">
        <v>44</v>
      </c>
      <c r="M644">
        <v>0</v>
      </c>
    </row>
    <row r="645" spans="1:19">
      <c r="A645" t="s">
        <v>8</v>
      </c>
      <c r="B645" t="s">
        <v>248</v>
      </c>
      <c r="C645" t="str">
        <f>Data_Master[[#This Row],[Uniq-ID]]&amp;"-"&amp;Data_Master[[#This Row],[Period]]</f>
        <v>DC-Document_Controller-056-M1</v>
      </c>
      <c r="D645" t="s">
        <v>249</v>
      </c>
      <c r="E645" t="s">
        <v>250</v>
      </c>
      <c r="G645" t="s">
        <v>13</v>
      </c>
      <c r="H645" t="s">
        <v>251</v>
      </c>
      <c r="I645" t="s">
        <v>15</v>
      </c>
      <c r="J645" t="s">
        <v>20</v>
      </c>
      <c r="L645">
        <v>1</v>
      </c>
      <c r="M645">
        <v>1</v>
      </c>
      <c r="N645" t="s">
        <v>2887</v>
      </c>
      <c r="O645" t="s">
        <v>3244</v>
      </c>
      <c r="P645" t="s">
        <v>2873</v>
      </c>
      <c r="Q645">
        <v>50</v>
      </c>
      <c r="R645">
        <v>50</v>
      </c>
      <c r="S645">
        <v>1</v>
      </c>
    </row>
    <row r="646" spans="1:19">
      <c r="A646" t="s">
        <v>8</v>
      </c>
      <c r="B646" t="s">
        <v>248</v>
      </c>
      <c r="C646" t="str">
        <f>Data_Master[[#This Row],[Uniq-ID]]&amp;"-"&amp;Data_Master[[#This Row],[Period]]</f>
        <v>DC-Document_Controller-056-M2</v>
      </c>
      <c r="D646" t="s">
        <v>249</v>
      </c>
      <c r="E646" t="s">
        <v>250</v>
      </c>
      <c r="G646" t="s">
        <v>18</v>
      </c>
      <c r="H646" t="s">
        <v>253</v>
      </c>
      <c r="I646" t="s">
        <v>15</v>
      </c>
      <c r="J646" t="s">
        <v>20</v>
      </c>
      <c r="L646">
        <v>1</v>
      </c>
      <c r="M646">
        <v>1.28</v>
      </c>
      <c r="N646" t="s">
        <v>2887</v>
      </c>
      <c r="O646" t="s">
        <v>3244</v>
      </c>
      <c r="P646" t="s">
        <v>2873</v>
      </c>
      <c r="Q646">
        <v>50</v>
      </c>
      <c r="R646">
        <v>64</v>
      </c>
      <c r="S646">
        <v>1.28</v>
      </c>
    </row>
    <row r="647" spans="1:19">
      <c r="A647" t="s">
        <v>8</v>
      </c>
      <c r="B647" t="s">
        <v>248</v>
      </c>
      <c r="C647" t="str">
        <f>Data_Master[[#This Row],[Uniq-ID]]&amp;"-"&amp;Data_Master[[#This Row],[Period]]</f>
        <v>DC-Document_Controller-056-M3</v>
      </c>
      <c r="D647" t="s">
        <v>249</v>
      </c>
      <c r="E647" t="s">
        <v>250</v>
      </c>
      <c r="G647" t="s">
        <v>22</v>
      </c>
      <c r="H647" t="s">
        <v>255</v>
      </c>
      <c r="I647" t="s">
        <v>15</v>
      </c>
      <c r="J647" t="s">
        <v>20</v>
      </c>
      <c r="L647">
        <v>1</v>
      </c>
      <c r="M647">
        <v>1.04</v>
      </c>
      <c r="N647" t="s">
        <v>2887</v>
      </c>
      <c r="O647" t="s">
        <v>3244</v>
      </c>
      <c r="P647" t="s">
        <v>2873</v>
      </c>
      <c r="Q647">
        <v>50</v>
      </c>
      <c r="R647">
        <v>52</v>
      </c>
      <c r="S647">
        <v>1.04</v>
      </c>
    </row>
    <row r="648" spans="1:19">
      <c r="A648" t="s">
        <v>8</v>
      </c>
      <c r="B648" t="s">
        <v>248</v>
      </c>
      <c r="C648" t="str">
        <f>Data_Master[[#This Row],[Uniq-ID]]&amp;"-"&amp;Data_Master[[#This Row],[Period]]</f>
        <v>DC-Document_Controller-056-M4</v>
      </c>
      <c r="D648" t="s">
        <v>249</v>
      </c>
      <c r="E648" t="s">
        <v>250</v>
      </c>
      <c r="G648" t="s">
        <v>25</v>
      </c>
      <c r="H648" t="s">
        <v>257</v>
      </c>
      <c r="I648" t="s">
        <v>33</v>
      </c>
      <c r="J648" t="s">
        <v>44</v>
      </c>
      <c r="M648">
        <v>0</v>
      </c>
    </row>
    <row r="649" spans="1:19">
      <c r="A649" t="s">
        <v>8</v>
      </c>
      <c r="B649" t="s">
        <v>35</v>
      </c>
      <c r="C649" t="str">
        <f>Data_Master[[#This Row],[Uniq-ID]]&amp;"-"&amp;Data_Master[[#This Row],[Period]]</f>
        <v>DC-Document_Controller-058-M1</v>
      </c>
      <c r="D649" t="s">
        <v>36</v>
      </c>
      <c r="E649" t="s">
        <v>11</v>
      </c>
      <c r="G649" t="s">
        <v>13</v>
      </c>
      <c r="H649" t="s">
        <v>37</v>
      </c>
      <c r="I649" t="s">
        <v>15</v>
      </c>
      <c r="J649" t="s">
        <v>16</v>
      </c>
      <c r="L649">
        <v>1.5</v>
      </c>
      <c r="M649">
        <v>3.6480000000000001</v>
      </c>
      <c r="N649" t="s">
        <v>2879</v>
      </c>
      <c r="O649" t="s">
        <v>2894</v>
      </c>
      <c r="P649" t="s">
        <v>2873</v>
      </c>
      <c r="Q649">
        <v>26</v>
      </c>
      <c r="R649">
        <v>2</v>
      </c>
      <c r="S649">
        <v>7.6899999999999996E-2</v>
      </c>
    </row>
    <row r="650" spans="1:19">
      <c r="A650" t="s">
        <v>8</v>
      </c>
      <c r="B650" t="s">
        <v>35</v>
      </c>
      <c r="C650" t="str">
        <f>Data_Master[[#This Row],[Uniq-ID]]&amp;"-"&amp;Data_Master[[#This Row],[Period]]</f>
        <v>DC-Document_Controller-058-M1</v>
      </c>
      <c r="D650" t="s">
        <v>36</v>
      </c>
      <c r="E650" t="s">
        <v>11</v>
      </c>
      <c r="G650" t="s">
        <v>13</v>
      </c>
      <c r="H650" t="s">
        <v>37</v>
      </c>
      <c r="I650" t="s">
        <v>15</v>
      </c>
      <c r="J650" t="s">
        <v>16</v>
      </c>
      <c r="L650">
        <v>1.5</v>
      </c>
      <c r="M650">
        <v>3.6480000000000001</v>
      </c>
      <c r="N650" t="s">
        <v>2871</v>
      </c>
      <c r="O650" t="s">
        <v>2872</v>
      </c>
      <c r="P650" t="s">
        <v>2873</v>
      </c>
      <c r="Q650">
        <v>35</v>
      </c>
      <c r="R650">
        <v>20</v>
      </c>
      <c r="S650">
        <v>0.57140000000000002</v>
      </c>
    </row>
    <row r="651" spans="1:19">
      <c r="A651" t="s">
        <v>8</v>
      </c>
      <c r="B651" t="s">
        <v>35</v>
      </c>
      <c r="C651" t="str">
        <f>Data_Master[[#This Row],[Uniq-ID]]&amp;"-"&amp;Data_Master[[#This Row],[Period]]</f>
        <v>DC-Document_Controller-058-M1</v>
      </c>
      <c r="D651" t="s">
        <v>36</v>
      </c>
      <c r="E651" t="s">
        <v>11</v>
      </c>
      <c r="G651" t="s">
        <v>13</v>
      </c>
      <c r="H651" t="s">
        <v>37</v>
      </c>
      <c r="I651" t="s">
        <v>15</v>
      </c>
      <c r="J651" t="s">
        <v>16</v>
      </c>
      <c r="L651">
        <v>1.5</v>
      </c>
      <c r="M651">
        <v>3.6480000000000001</v>
      </c>
      <c r="N651" t="s">
        <v>2871</v>
      </c>
      <c r="O651" t="s">
        <v>2875</v>
      </c>
      <c r="P651" t="s">
        <v>2873</v>
      </c>
      <c r="Q651">
        <v>36</v>
      </c>
      <c r="R651">
        <v>108</v>
      </c>
      <c r="S651">
        <v>3</v>
      </c>
    </row>
    <row r="652" spans="1:19">
      <c r="A652" t="s">
        <v>8</v>
      </c>
      <c r="B652" t="s">
        <v>35</v>
      </c>
      <c r="C652" t="str">
        <f>Data_Master[[#This Row],[Uniq-ID]]&amp;"-"&amp;Data_Master[[#This Row],[Period]]</f>
        <v>DC-Document_Controller-058-M2</v>
      </c>
      <c r="D652" t="s">
        <v>36</v>
      </c>
      <c r="E652" t="s">
        <v>11</v>
      </c>
      <c r="G652" t="s">
        <v>18</v>
      </c>
      <c r="H652" t="s">
        <v>39</v>
      </c>
      <c r="I652" t="s">
        <v>15</v>
      </c>
      <c r="J652" t="s">
        <v>16</v>
      </c>
      <c r="L652">
        <v>1.5</v>
      </c>
      <c r="M652">
        <v>3.5750000000000002</v>
      </c>
      <c r="N652" t="s">
        <v>2871</v>
      </c>
      <c r="O652" t="s">
        <v>2875</v>
      </c>
      <c r="P652" t="s">
        <v>2873</v>
      </c>
      <c r="Q652">
        <v>36</v>
      </c>
      <c r="R652">
        <v>104</v>
      </c>
      <c r="S652">
        <v>2.8889</v>
      </c>
    </row>
    <row r="653" spans="1:19">
      <c r="A653" t="s">
        <v>8</v>
      </c>
      <c r="B653" t="s">
        <v>35</v>
      </c>
      <c r="C653" t="str">
        <f>Data_Master[[#This Row],[Uniq-ID]]&amp;"-"&amp;Data_Master[[#This Row],[Period]]</f>
        <v>DC-Document_Controller-058-M2</v>
      </c>
      <c r="D653" t="s">
        <v>36</v>
      </c>
      <c r="E653" t="s">
        <v>11</v>
      </c>
      <c r="G653" t="s">
        <v>18</v>
      </c>
      <c r="H653" t="s">
        <v>39</v>
      </c>
      <c r="I653" t="s">
        <v>15</v>
      </c>
      <c r="J653" t="s">
        <v>16</v>
      </c>
      <c r="L653">
        <v>1.5</v>
      </c>
      <c r="M653">
        <v>3.5750000000000002</v>
      </c>
      <c r="N653" t="s">
        <v>2871</v>
      </c>
      <c r="O653" t="s">
        <v>2872</v>
      </c>
      <c r="P653" t="s">
        <v>2873</v>
      </c>
      <c r="Q653">
        <v>35</v>
      </c>
      <c r="R653">
        <v>24</v>
      </c>
      <c r="S653">
        <v>0.68569999999999998</v>
      </c>
    </row>
    <row r="654" spans="1:19">
      <c r="A654" t="s">
        <v>8</v>
      </c>
      <c r="B654" t="s">
        <v>35</v>
      </c>
      <c r="C654" t="str">
        <f>Data_Master[[#This Row],[Uniq-ID]]&amp;"-"&amp;Data_Master[[#This Row],[Period]]</f>
        <v>DC-Document_Controller-058-M3</v>
      </c>
      <c r="D654" t="s">
        <v>36</v>
      </c>
      <c r="E654" t="s">
        <v>11</v>
      </c>
      <c r="G654" t="s">
        <v>22</v>
      </c>
      <c r="H654" t="s">
        <v>41</v>
      </c>
      <c r="I654" t="s">
        <v>15</v>
      </c>
      <c r="J654" t="s">
        <v>20</v>
      </c>
      <c r="L654">
        <v>1</v>
      </c>
      <c r="M654">
        <v>1.948</v>
      </c>
      <c r="N654" t="s">
        <v>2871</v>
      </c>
      <c r="O654" t="s">
        <v>2875</v>
      </c>
      <c r="P654" t="s">
        <v>2873</v>
      </c>
      <c r="Q654">
        <v>36</v>
      </c>
      <c r="R654">
        <v>66</v>
      </c>
      <c r="S654">
        <v>1.8332999999999999</v>
      </c>
    </row>
    <row r="655" spans="1:19">
      <c r="A655" t="s">
        <v>8</v>
      </c>
      <c r="B655" t="s">
        <v>35</v>
      </c>
      <c r="C655" t="str">
        <f>Data_Master[[#This Row],[Uniq-ID]]&amp;"-"&amp;Data_Master[[#This Row],[Period]]</f>
        <v>DC-Document_Controller-058-M3</v>
      </c>
      <c r="D655" t="s">
        <v>36</v>
      </c>
      <c r="E655" t="s">
        <v>11</v>
      </c>
      <c r="G655" t="s">
        <v>22</v>
      </c>
      <c r="H655" t="s">
        <v>41</v>
      </c>
      <c r="I655" t="s">
        <v>15</v>
      </c>
      <c r="J655" t="s">
        <v>20</v>
      </c>
      <c r="L655">
        <v>1</v>
      </c>
      <c r="M655">
        <v>1.948</v>
      </c>
      <c r="N655" t="s">
        <v>2871</v>
      </c>
      <c r="O655" t="s">
        <v>2872</v>
      </c>
      <c r="P655" t="s">
        <v>2873</v>
      </c>
      <c r="Q655">
        <v>35</v>
      </c>
      <c r="R655">
        <v>4</v>
      </c>
      <c r="S655">
        <v>0.1143</v>
      </c>
    </row>
    <row r="656" spans="1:19">
      <c r="A656" t="s">
        <v>8</v>
      </c>
      <c r="B656" t="s">
        <v>35</v>
      </c>
      <c r="C656" t="str">
        <f>Data_Master[[#This Row],[Uniq-ID]]&amp;"-"&amp;Data_Master[[#This Row],[Period]]</f>
        <v>DC-Document_Controller-058-M4</v>
      </c>
      <c r="D656" t="s">
        <v>36</v>
      </c>
      <c r="E656" t="s">
        <v>11</v>
      </c>
      <c r="G656" t="s">
        <v>25</v>
      </c>
      <c r="H656" t="s">
        <v>43</v>
      </c>
      <c r="I656" t="s">
        <v>33</v>
      </c>
      <c r="J656" t="s">
        <v>44</v>
      </c>
      <c r="L656">
        <v>0.5</v>
      </c>
      <c r="M656">
        <v>0.251</v>
      </c>
      <c r="N656" t="s">
        <v>2871</v>
      </c>
      <c r="O656" t="s">
        <v>2875</v>
      </c>
      <c r="P656" t="s">
        <v>2873</v>
      </c>
      <c r="Q656">
        <v>36</v>
      </c>
      <c r="R656">
        <v>8</v>
      </c>
      <c r="S656">
        <v>0.22220000000000001</v>
      </c>
    </row>
    <row r="657" spans="1:19">
      <c r="A657" t="s">
        <v>8</v>
      </c>
      <c r="B657" t="s">
        <v>35</v>
      </c>
      <c r="C657" t="str">
        <f>Data_Master[[#This Row],[Uniq-ID]]&amp;"-"&amp;Data_Master[[#This Row],[Period]]</f>
        <v>DC-Document_Controller-058-M4</v>
      </c>
      <c r="D657" t="s">
        <v>36</v>
      </c>
      <c r="E657" t="s">
        <v>11</v>
      </c>
      <c r="G657" t="s">
        <v>25</v>
      </c>
      <c r="H657" t="s">
        <v>43</v>
      </c>
      <c r="I657" t="s">
        <v>33</v>
      </c>
      <c r="J657" t="s">
        <v>44</v>
      </c>
      <c r="L657">
        <v>0.5</v>
      </c>
      <c r="M657">
        <v>0.251</v>
      </c>
      <c r="N657" t="s">
        <v>2871</v>
      </c>
      <c r="O657" t="s">
        <v>2872</v>
      </c>
      <c r="P657" t="s">
        <v>2873</v>
      </c>
      <c r="Q657">
        <v>35</v>
      </c>
      <c r="R657">
        <v>1</v>
      </c>
      <c r="S657">
        <v>2.86E-2</v>
      </c>
    </row>
    <row r="658" spans="1:19">
      <c r="A658" t="s">
        <v>8</v>
      </c>
      <c r="B658" t="s">
        <v>328</v>
      </c>
      <c r="C658" t="str">
        <f>Data_Master[[#This Row],[Uniq-ID]]&amp;"-"&amp;Data_Master[[#This Row],[Period]]</f>
        <v>DC-Document_Controller-059-M1</v>
      </c>
      <c r="D658" t="s">
        <v>329</v>
      </c>
      <c r="E658" t="s">
        <v>76</v>
      </c>
      <c r="G658" t="s">
        <v>13</v>
      </c>
      <c r="H658" t="s">
        <v>26</v>
      </c>
      <c r="I658" t="s">
        <v>15</v>
      </c>
      <c r="J658" t="s">
        <v>44</v>
      </c>
      <c r="M658">
        <v>0</v>
      </c>
    </row>
    <row r="659" spans="1:19">
      <c r="A659" t="s">
        <v>8</v>
      </c>
      <c r="B659" t="s">
        <v>328</v>
      </c>
      <c r="C659" t="str">
        <f>Data_Master[[#This Row],[Uniq-ID]]&amp;"-"&amp;Data_Master[[#This Row],[Period]]</f>
        <v>DC-Document_Controller-059-M2</v>
      </c>
      <c r="D659" t="s">
        <v>329</v>
      </c>
      <c r="E659" t="s">
        <v>76</v>
      </c>
      <c r="G659" t="s">
        <v>18</v>
      </c>
      <c r="H659" t="s">
        <v>29</v>
      </c>
      <c r="I659" t="s">
        <v>15</v>
      </c>
      <c r="J659" t="s">
        <v>44</v>
      </c>
      <c r="M659">
        <v>0</v>
      </c>
    </row>
    <row r="660" spans="1:19">
      <c r="A660" t="s">
        <v>8</v>
      </c>
      <c r="B660" t="s">
        <v>328</v>
      </c>
      <c r="C660" t="str">
        <f>Data_Master[[#This Row],[Uniq-ID]]&amp;"-"&amp;Data_Master[[#This Row],[Period]]</f>
        <v>DC-Document_Controller-059-M3</v>
      </c>
      <c r="D660" t="s">
        <v>329</v>
      </c>
      <c r="E660" t="s">
        <v>76</v>
      </c>
      <c r="G660" t="s">
        <v>22</v>
      </c>
      <c r="H660" t="s">
        <v>32</v>
      </c>
      <c r="I660" t="s">
        <v>33</v>
      </c>
      <c r="J660" t="s">
        <v>44</v>
      </c>
      <c r="M660">
        <v>0</v>
      </c>
    </row>
    <row r="661" spans="1:19">
      <c r="A661" t="s">
        <v>8</v>
      </c>
      <c r="B661" t="s">
        <v>326</v>
      </c>
      <c r="C661" t="str">
        <f>Data_Master[[#This Row],[Uniq-ID]]&amp;"-"&amp;Data_Master[[#This Row],[Period]]</f>
        <v>DC-Document_Controller-060-M1</v>
      </c>
      <c r="D661" t="s">
        <v>327</v>
      </c>
      <c r="E661" t="s">
        <v>76</v>
      </c>
      <c r="G661" t="s">
        <v>13</v>
      </c>
      <c r="H661" t="s">
        <v>26</v>
      </c>
      <c r="I661" t="s">
        <v>15</v>
      </c>
      <c r="J661" t="s">
        <v>44</v>
      </c>
      <c r="M661">
        <v>0</v>
      </c>
    </row>
    <row r="662" spans="1:19">
      <c r="A662" t="s">
        <v>8</v>
      </c>
      <c r="B662" t="s">
        <v>326</v>
      </c>
      <c r="C662" t="str">
        <f>Data_Master[[#This Row],[Uniq-ID]]&amp;"-"&amp;Data_Master[[#This Row],[Period]]</f>
        <v>DC-Document_Controller-060-M2</v>
      </c>
      <c r="D662" t="s">
        <v>327</v>
      </c>
      <c r="E662" t="s">
        <v>76</v>
      </c>
      <c r="G662" t="s">
        <v>18</v>
      </c>
      <c r="H662" t="s">
        <v>29</v>
      </c>
      <c r="I662" t="s">
        <v>15</v>
      </c>
      <c r="J662" t="s">
        <v>44</v>
      </c>
      <c r="M662">
        <v>0</v>
      </c>
    </row>
    <row r="663" spans="1:19">
      <c r="A663" t="s">
        <v>8</v>
      </c>
      <c r="B663" t="s">
        <v>326</v>
      </c>
      <c r="C663" t="str">
        <f>Data_Master[[#This Row],[Uniq-ID]]&amp;"-"&amp;Data_Master[[#This Row],[Period]]</f>
        <v>DC-Document_Controller-060-M3</v>
      </c>
      <c r="D663" t="s">
        <v>327</v>
      </c>
      <c r="E663" t="s">
        <v>76</v>
      </c>
      <c r="G663" t="s">
        <v>22</v>
      </c>
      <c r="H663" t="s">
        <v>32</v>
      </c>
      <c r="I663" t="s">
        <v>33</v>
      </c>
      <c r="J663" t="s">
        <v>44</v>
      </c>
      <c r="M663">
        <v>0</v>
      </c>
    </row>
    <row r="664" spans="1:19">
      <c r="A664" t="s">
        <v>8</v>
      </c>
      <c r="B664" t="s">
        <v>320</v>
      </c>
      <c r="C664" t="str">
        <f>Data_Master[[#This Row],[Uniq-ID]]&amp;"-"&amp;Data_Master[[#This Row],[Period]]</f>
        <v>DC-Document_Controller-061-M1</v>
      </c>
      <c r="D664" t="s">
        <v>321</v>
      </c>
      <c r="E664" t="s">
        <v>76</v>
      </c>
      <c r="G664" t="s">
        <v>13</v>
      </c>
      <c r="H664" t="s">
        <v>322</v>
      </c>
      <c r="I664" t="s">
        <v>15</v>
      </c>
      <c r="J664" t="s">
        <v>44</v>
      </c>
      <c r="L664">
        <v>0.5</v>
      </c>
      <c r="M664">
        <v>0.127</v>
      </c>
      <c r="N664" t="s">
        <v>2887</v>
      </c>
      <c r="O664" t="s">
        <v>2992</v>
      </c>
      <c r="P664" t="s">
        <v>2873</v>
      </c>
      <c r="Q664">
        <v>220</v>
      </c>
      <c r="R664">
        <v>28</v>
      </c>
      <c r="S664">
        <v>0.1273</v>
      </c>
    </row>
    <row r="665" spans="1:19">
      <c r="A665" t="s">
        <v>8</v>
      </c>
      <c r="B665" t="s">
        <v>320</v>
      </c>
      <c r="C665" t="str">
        <f>Data_Master[[#This Row],[Uniq-ID]]&amp;"-"&amp;Data_Master[[#This Row],[Period]]</f>
        <v>DC-Document_Controller-061-M2</v>
      </c>
      <c r="D665" t="s">
        <v>321</v>
      </c>
      <c r="E665" t="s">
        <v>76</v>
      </c>
      <c r="G665" t="s">
        <v>18</v>
      </c>
      <c r="H665" t="s">
        <v>293</v>
      </c>
      <c r="I665" t="s">
        <v>15</v>
      </c>
      <c r="J665" t="s">
        <v>44</v>
      </c>
      <c r="L665">
        <v>0.5</v>
      </c>
      <c r="M665">
        <v>7.2999999999999995E-2</v>
      </c>
      <c r="N665" t="s">
        <v>2887</v>
      </c>
      <c r="O665" t="s">
        <v>2992</v>
      </c>
      <c r="P665" t="s">
        <v>2873</v>
      </c>
      <c r="Q665">
        <v>220</v>
      </c>
      <c r="R665">
        <v>15</v>
      </c>
      <c r="S665">
        <v>6.8199999999999997E-2</v>
      </c>
    </row>
    <row r="666" spans="1:19">
      <c r="A666" t="s">
        <v>8</v>
      </c>
      <c r="B666" t="s">
        <v>320</v>
      </c>
      <c r="C666" t="str">
        <f>Data_Master[[#This Row],[Uniq-ID]]&amp;"-"&amp;Data_Master[[#This Row],[Period]]</f>
        <v>DC-Document_Controller-061-M2</v>
      </c>
      <c r="D666" t="s">
        <v>321</v>
      </c>
      <c r="E666" t="s">
        <v>76</v>
      </c>
      <c r="G666" t="s">
        <v>18</v>
      </c>
      <c r="H666" t="s">
        <v>293</v>
      </c>
      <c r="I666" t="s">
        <v>15</v>
      </c>
      <c r="J666" t="s">
        <v>44</v>
      </c>
      <c r="L666">
        <v>0.5</v>
      </c>
      <c r="M666">
        <v>7.2999999999999995E-2</v>
      </c>
      <c r="N666" t="s">
        <v>2871</v>
      </c>
      <c r="O666" t="s">
        <v>2954</v>
      </c>
      <c r="P666" t="s">
        <v>2873</v>
      </c>
      <c r="Q666">
        <v>220</v>
      </c>
      <c r="R666">
        <v>1</v>
      </c>
      <c r="S666">
        <v>4.4999999999999997E-3</v>
      </c>
    </row>
    <row r="667" spans="1:19">
      <c r="A667" t="s">
        <v>8</v>
      </c>
      <c r="B667" t="s">
        <v>320</v>
      </c>
      <c r="C667" t="str">
        <f>Data_Master[[#This Row],[Uniq-ID]]&amp;"-"&amp;Data_Master[[#This Row],[Period]]</f>
        <v>DC-Document_Controller-061-M3</v>
      </c>
      <c r="D667" t="s">
        <v>321</v>
      </c>
      <c r="E667" t="s">
        <v>76</v>
      </c>
      <c r="G667" t="s">
        <v>22</v>
      </c>
      <c r="H667" t="s">
        <v>294</v>
      </c>
      <c r="I667" t="s">
        <v>33</v>
      </c>
      <c r="J667" t="s">
        <v>44</v>
      </c>
      <c r="L667">
        <v>0.5</v>
      </c>
      <c r="M667">
        <v>0.23200000000000001</v>
      </c>
      <c r="N667" t="s">
        <v>2871</v>
      </c>
      <c r="O667" t="s">
        <v>2954</v>
      </c>
      <c r="P667" t="s">
        <v>2873</v>
      </c>
      <c r="Q667">
        <v>220</v>
      </c>
      <c r="R667">
        <v>5</v>
      </c>
      <c r="S667">
        <v>2.2700000000000001E-2</v>
      </c>
    </row>
    <row r="668" spans="1:19">
      <c r="A668" t="s">
        <v>8</v>
      </c>
      <c r="B668" t="s">
        <v>320</v>
      </c>
      <c r="C668" t="str">
        <f>Data_Master[[#This Row],[Uniq-ID]]&amp;"-"&amp;Data_Master[[#This Row],[Period]]</f>
        <v>DC-Document_Controller-061-M3</v>
      </c>
      <c r="D668" t="s">
        <v>321</v>
      </c>
      <c r="E668" t="s">
        <v>76</v>
      </c>
      <c r="G668" t="s">
        <v>22</v>
      </c>
      <c r="H668" t="s">
        <v>294</v>
      </c>
      <c r="I668" t="s">
        <v>33</v>
      </c>
      <c r="J668" t="s">
        <v>44</v>
      </c>
      <c r="L668">
        <v>0.5</v>
      </c>
      <c r="M668">
        <v>0.23200000000000001</v>
      </c>
      <c r="N668" t="s">
        <v>2887</v>
      </c>
      <c r="O668" t="s">
        <v>2992</v>
      </c>
      <c r="P668" t="s">
        <v>2873</v>
      </c>
      <c r="Q668">
        <v>220</v>
      </c>
      <c r="R668">
        <v>46</v>
      </c>
      <c r="S668">
        <v>0.20910000000000001</v>
      </c>
    </row>
    <row r="669" spans="1:19">
      <c r="A669" t="s">
        <v>8</v>
      </c>
      <c r="B669" t="s">
        <v>318</v>
      </c>
      <c r="C669" t="str">
        <f>Data_Master[[#This Row],[Uniq-ID]]&amp;"-"&amp;Data_Master[[#This Row],[Period]]</f>
        <v>DC-Document_Controller-062-M1</v>
      </c>
      <c r="D669" t="s">
        <v>319</v>
      </c>
      <c r="E669" t="s">
        <v>48</v>
      </c>
      <c r="G669" t="s">
        <v>13</v>
      </c>
      <c r="H669" t="s">
        <v>128</v>
      </c>
      <c r="I669" t="s">
        <v>15</v>
      </c>
      <c r="J669" t="s">
        <v>44</v>
      </c>
      <c r="M669">
        <v>0</v>
      </c>
    </row>
    <row r="670" spans="1:19">
      <c r="A670" t="s">
        <v>8</v>
      </c>
      <c r="B670" t="s">
        <v>318</v>
      </c>
      <c r="C670" t="str">
        <f>Data_Master[[#This Row],[Uniq-ID]]&amp;"-"&amp;Data_Master[[#This Row],[Period]]</f>
        <v>DC-Document_Controller-062-M2</v>
      </c>
      <c r="D670" t="s">
        <v>319</v>
      </c>
      <c r="E670" t="s">
        <v>48</v>
      </c>
      <c r="G670" t="s">
        <v>18</v>
      </c>
      <c r="H670" t="s">
        <v>130</v>
      </c>
      <c r="I670" t="s">
        <v>15</v>
      </c>
      <c r="J670" t="s">
        <v>44</v>
      </c>
      <c r="M670">
        <v>0</v>
      </c>
    </row>
    <row r="671" spans="1:19">
      <c r="A671" t="s">
        <v>8</v>
      </c>
      <c r="B671" t="s">
        <v>318</v>
      </c>
      <c r="C671" t="str">
        <f>Data_Master[[#This Row],[Uniq-ID]]&amp;"-"&amp;Data_Master[[#This Row],[Period]]</f>
        <v>DC-Document_Controller-062-M3</v>
      </c>
      <c r="D671" t="s">
        <v>319</v>
      </c>
      <c r="E671" t="s">
        <v>48</v>
      </c>
      <c r="G671" t="s">
        <v>22</v>
      </c>
      <c r="H671" t="s">
        <v>132</v>
      </c>
      <c r="I671" t="s">
        <v>33</v>
      </c>
      <c r="J671" t="s">
        <v>44</v>
      </c>
      <c r="M671">
        <v>0</v>
      </c>
    </row>
    <row r="672" spans="1:19">
      <c r="A672" t="s">
        <v>8</v>
      </c>
      <c r="B672" t="s">
        <v>226</v>
      </c>
      <c r="C672" t="str">
        <f>Data_Master[[#This Row],[Uniq-ID]]&amp;"-"&amp;Data_Master[[#This Row],[Period]]</f>
        <v>DC-Document_Controller-064-M1</v>
      </c>
      <c r="D672" t="s">
        <v>227</v>
      </c>
      <c r="E672" t="s">
        <v>76</v>
      </c>
      <c r="G672" t="s">
        <v>13</v>
      </c>
      <c r="H672" t="s">
        <v>228</v>
      </c>
      <c r="I672" t="s">
        <v>15</v>
      </c>
      <c r="J672" t="s">
        <v>16</v>
      </c>
      <c r="L672">
        <v>1.5</v>
      </c>
      <c r="M672">
        <v>49.5</v>
      </c>
      <c r="N672" t="s">
        <v>2887</v>
      </c>
      <c r="O672" t="s">
        <v>3019</v>
      </c>
      <c r="P672" t="s">
        <v>2916</v>
      </c>
      <c r="Q672">
        <v>4</v>
      </c>
      <c r="R672">
        <v>198</v>
      </c>
      <c r="S672">
        <v>49.5</v>
      </c>
    </row>
    <row r="673" spans="1:19">
      <c r="A673" t="s">
        <v>8</v>
      </c>
      <c r="B673" t="s">
        <v>226</v>
      </c>
      <c r="C673" t="str">
        <f>Data_Master[[#This Row],[Uniq-ID]]&amp;"-"&amp;Data_Master[[#This Row],[Period]]</f>
        <v>DC-Document_Controller-064-M2</v>
      </c>
      <c r="D673" t="s">
        <v>227</v>
      </c>
      <c r="E673" t="s">
        <v>76</v>
      </c>
      <c r="G673" t="s">
        <v>18</v>
      </c>
      <c r="H673" t="s">
        <v>230</v>
      </c>
      <c r="I673" t="s">
        <v>15</v>
      </c>
      <c r="J673" t="s">
        <v>44</v>
      </c>
      <c r="M673">
        <v>0</v>
      </c>
    </row>
    <row r="674" spans="1:19">
      <c r="A674" t="s">
        <v>8</v>
      </c>
      <c r="B674" t="s">
        <v>226</v>
      </c>
      <c r="C674" t="str">
        <f>Data_Master[[#This Row],[Uniq-ID]]&amp;"-"&amp;Data_Master[[#This Row],[Period]]</f>
        <v>DC-Document_Controller-064-M3</v>
      </c>
      <c r="D674" t="s">
        <v>227</v>
      </c>
      <c r="E674" t="s">
        <v>76</v>
      </c>
      <c r="G674" t="s">
        <v>22</v>
      </c>
      <c r="H674" t="s">
        <v>231</v>
      </c>
      <c r="I674" t="s">
        <v>33</v>
      </c>
      <c r="J674" t="s">
        <v>44</v>
      </c>
      <c r="M674">
        <v>0</v>
      </c>
    </row>
    <row r="675" spans="1:19">
      <c r="A675" t="s">
        <v>8</v>
      </c>
      <c r="B675" t="s">
        <v>312</v>
      </c>
      <c r="C675" t="str">
        <f>Data_Master[[#This Row],[Uniq-ID]]&amp;"-"&amp;Data_Master[[#This Row],[Period]]</f>
        <v>DC-Document_Controller-065-M1</v>
      </c>
      <c r="D675" t="s">
        <v>313</v>
      </c>
      <c r="E675" t="s">
        <v>76</v>
      </c>
      <c r="G675" t="s">
        <v>13</v>
      </c>
      <c r="H675" t="s">
        <v>37</v>
      </c>
      <c r="I675" t="s">
        <v>15</v>
      </c>
      <c r="J675" t="s">
        <v>44</v>
      </c>
      <c r="L675">
        <v>0.56000000000000005</v>
      </c>
      <c r="M675">
        <v>0.55900000000000005</v>
      </c>
      <c r="N675" t="s">
        <v>2947</v>
      </c>
      <c r="O675" t="s">
        <v>2948</v>
      </c>
      <c r="P675" t="s">
        <v>2873</v>
      </c>
      <c r="Q675">
        <v>110</v>
      </c>
      <c r="R675">
        <v>38</v>
      </c>
      <c r="S675">
        <v>0.34549999999999997</v>
      </c>
    </row>
    <row r="676" spans="1:19">
      <c r="A676" t="s">
        <v>8</v>
      </c>
      <c r="B676" t="s">
        <v>312</v>
      </c>
      <c r="C676" t="str">
        <f>Data_Master[[#This Row],[Uniq-ID]]&amp;"-"&amp;Data_Master[[#This Row],[Period]]</f>
        <v>DC-Document_Controller-065-M1</v>
      </c>
      <c r="D676" t="s">
        <v>313</v>
      </c>
      <c r="E676" t="s">
        <v>76</v>
      </c>
      <c r="G676" t="s">
        <v>13</v>
      </c>
      <c r="H676" t="s">
        <v>37</v>
      </c>
      <c r="I676" t="s">
        <v>15</v>
      </c>
      <c r="J676" t="s">
        <v>44</v>
      </c>
      <c r="L676">
        <v>0.56000000000000005</v>
      </c>
      <c r="M676">
        <v>0.55900000000000005</v>
      </c>
      <c r="N676" t="s">
        <v>2871</v>
      </c>
      <c r="O676" t="s">
        <v>2950</v>
      </c>
      <c r="P676" t="s">
        <v>2873</v>
      </c>
      <c r="Q676">
        <v>88</v>
      </c>
      <c r="R676">
        <v>12</v>
      </c>
      <c r="S676">
        <v>0.13639999999999999</v>
      </c>
    </row>
    <row r="677" spans="1:19">
      <c r="A677" t="s">
        <v>8</v>
      </c>
      <c r="B677" t="s">
        <v>312</v>
      </c>
      <c r="C677" t="str">
        <f>Data_Master[[#This Row],[Uniq-ID]]&amp;"-"&amp;Data_Master[[#This Row],[Period]]</f>
        <v>DC-Document_Controller-065-M1</v>
      </c>
      <c r="D677" t="s">
        <v>313</v>
      </c>
      <c r="E677" t="s">
        <v>76</v>
      </c>
      <c r="G677" t="s">
        <v>13</v>
      </c>
      <c r="H677" t="s">
        <v>37</v>
      </c>
      <c r="I677" t="s">
        <v>15</v>
      </c>
      <c r="J677" t="s">
        <v>44</v>
      </c>
      <c r="L677">
        <v>0.56000000000000005</v>
      </c>
      <c r="M677">
        <v>0.55900000000000005</v>
      </c>
      <c r="N677" t="s">
        <v>2871</v>
      </c>
      <c r="O677" t="s">
        <v>2952</v>
      </c>
      <c r="P677" t="s">
        <v>2873</v>
      </c>
      <c r="Q677">
        <v>257</v>
      </c>
      <c r="R677">
        <v>7</v>
      </c>
      <c r="S677">
        <v>2.7199999999999998E-2</v>
      </c>
    </row>
    <row r="678" spans="1:19">
      <c r="A678" t="s">
        <v>8</v>
      </c>
      <c r="B678" t="s">
        <v>312</v>
      </c>
      <c r="C678" t="str">
        <f>Data_Master[[#This Row],[Uniq-ID]]&amp;"-"&amp;Data_Master[[#This Row],[Period]]</f>
        <v>DC-Document_Controller-065-M1</v>
      </c>
      <c r="D678" t="s">
        <v>313</v>
      </c>
      <c r="E678" t="s">
        <v>76</v>
      </c>
      <c r="G678" t="s">
        <v>13</v>
      </c>
      <c r="H678" t="s">
        <v>37</v>
      </c>
      <c r="I678" t="s">
        <v>15</v>
      </c>
      <c r="J678" t="s">
        <v>44</v>
      </c>
      <c r="L678">
        <v>0.56000000000000005</v>
      </c>
      <c r="M678">
        <v>0.55900000000000005</v>
      </c>
      <c r="N678" t="s">
        <v>2871</v>
      </c>
      <c r="O678" t="s">
        <v>2954</v>
      </c>
      <c r="P678" t="s">
        <v>2873</v>
      </c>
      <c r="Q678">
        <v>220</v>
      </c>
      <c r="R678">
        <v>11</v>
      </c>
      <c r="S678">
        <v>0.05</v>
      </c>
    </row>
    <row r="679" spans="1:19">
      <c r="A679" t="s">
        <v>8</v>
      </c>
      <c r="B679" t="s">
        <v>312</v>
      </c>
      <c r="C679" t="str">
        <f>Data_Master[[#This Row],[Uniq-ID]]&amp;"-"&amp;Data_Master[[#This Row],[Period]]</f>
        <v>DC-Document_Controller-065-M2</v>
      </c>
      <c r="D679" t="s">
        <v>313</v>
      </c>
      <c r="E679" t="s">
        <v>76</v>
      </c>
      <c r="G679" t="s">
        <v>18</v>
      </c>
      <c r="H679" t="s">
        <v>39</v>
      </c>
      <c r="I679" t="s">
        <v>15</v>
      </c>
      <c r="J679" t="s">
        <v>16</v>
      </c>
      <c r="L679">
        <v>1.01</v>
      </c>
      <c r="M679">
        <v>2.0209999999999999</v>
      </c>
      <c r="N679" t="s">
        <v>2871</v>
      </c>
      <c r="O679" t="s">
        <v>2958</v>
      </c>
      <c r="P679" t="s">
        <v>2873</v>
      </c>
      <c r="Q679">
        <v>154</v>
      </c>
      <c r="R679">
        <v>1</v>
      </c>
      <c r="S679">
        <v>6.4999999999999997E-3</v>
      </c>
    </row>
    <row r="680" spans="1:19">
      <c r="A680" t="s">
        <v>8</v>
      </c>
      <c r="B680" t="s">
        <v>312</v>
      </c>
      <c r="C680" t="str">
        <f>Data_Master[[#This Row],[Uniq-ID]]&amp;"-"&amp;Data_Master[[#This Row],[Period]]</f>
        <v>DC-Document_Controller-065-M2</v>
      </c>
      <c r="D680" t="s">
        <v>313</v>
      </c>
      <c r="E680" t="s">
        <v>76</v>
      </c>
      <c r="G680" t="s">
        <v>18</v>
      </c>
      <c r="H680" t="s">
        <v>39</v>
      </c>
      <c r="I680" t="s">
        <v>15</v>
      </c>
      <c r="J680" t="s">
        <v>16</v>
      </c>
      <c r="L680">
        <v>1.01</v>
      </c>
      <c r="M680">
        <v>2.0209999999999999</v>
      </c>
      <c r="N680" t="s">
        <v>2871</v>
      </c>
      <c r="O680" t="s">
        <v>2954</v>
      </c>
      <c r="P680" t="s">
        <v>2873</v>
      </c>
      <c r="Q680">
        <v>220</v>
      </c>
      <c r="R680">
        <v>63</v>
      </c>
      <c r="S680">
        <v>0.28639999999999999</v>
      </c>
    </row>
    <row r="681" spans="1:19">
      <c r="A681" t="s">
        <v>8</v>
      </c>
      <c r="B681" t="s">
        <v>312</v>
      </c>
      <c r="C681" t="str">
        <f>Data_Master[[#This Row],[Uniq-ID]]&amp;"-"&amp;Data_Master[[#This Row],[Period]]</f>
        <v>DC-Document_Controller-065-M2</v>
      </c>
      <c r="D681" t="s">
        <v>313</v>
      </c>
      <c r="E681" t="s">
        <v>76</v>
      </c>
      <c r="G681" t="s">
        <v>18</v>
      </c>
      <c r="H681" t="s">
        <v>39</v>
      </c>
      <c r="I681" t="s">
        <v>15</v>
      </c>
      <c r="J681" t="s">
        <v>16</v>
      </c>
      <c r="L681">
        <v>1.01</v>
      </c>
      <c r="M681">
        <v>2.0209999999999999</v>
      </c>
      <c r="N681" t="s">
        <v>2871</v>
      </c>
      <c r="O681" t="s">
        <v>2952</v>
      </c>
      <c r="P681" t="s">
        <v>2873</v>
      </c>
      <c r="Q681">
        <v>257</v>
      </c>
      <c r="R681">
        <v>110</v>
      </c>
      <c r="S681">
        <v>0.42799999999999999</v>
      </c>
    </row>
    <row r="682" spans="1:19">
      <c r="A682" t="s">
        <v>8</v>
      </c>
      <c r="B682" t="s">
        <v>312</v>
      </c>
      <c r="C682" t="str">
        <f>Data_Master[[#This Row],[Uniq-ID]]&amp;"-"&amp;Data_Master[[#This Row],[Period]]</f>
        <v>DC-Document_Controller-065-M2</v>
      </c>
      <c r="D682" t="s">
        <v>313</v>
      </c>
      <c r="E682" t="s">
        <v>76</v>
      </c>
      <c r="G682" t="s">
        <v>18</v>
      </c>
      <c r="H682" t="s">
        <v>39</v>
      </c>
      <c r="I682" t="s">
        <v>15</v>
      </c>
      <c r="J682" t="s">
        <v>16</v>
      </c>
      <c r="L682">
        <v>1.01</v>
      </c>
      <c r="M682">
        <v>2.0209999999999999</v>
      </c>
      <c r="N682" t="s">
        <v>2871</v>
      </c>
      <c r="O682" t="s">
        <v>2950</v>
      </c>
      <c r="P682" t="s">
        <v>2873</v>
      </c>
      <c r="Q682">
        <v>88</v>
      </c>
      <c r="R682">
        <v>112</v>
      </c>
      <c r="S682">
        <v>1.2726999999999999</v>
      </c>
    </row>
    <row r="683" spans="1:19">
      <c r="A683" t="s">
        <v>8</v>
      </c>
      <c r="B683" t="s">
        <v>312</v>
      </c>
      <c r="C683" t="str">
        <f>Data_Master[[#This Row],[Uniq-ID]]&amp;"-"&amp;Data_Master[[#This Row],[Period]]</f>
        <v>DC-Document_Controller-065-M2</v>
      </c>
      <c r="D683" t="s">
        <v>313</v>
      </c>
      <c r="E683" t="s">
        <v>76</v>
      </c>
      <c r="G683" t="s">
        <v>18</v>
      </c>
      <c r="H683" t="s">
        <v>39</v>
      </c>
      <c r="I683" t="s">
        <v>15</v>
      </c>
      <c r="J683" t="s">
        <v>16</v>
      </c>
      <c r="L683">
        <v>1.01</v>
      </c>
      <c r="M683">
        <v>2.0209999999999999</v>
      </c>
      <c r="N683" t="s">
        <v>2947</v>
      </c>
      <c r="O683" t="s">
        <v>2948</v>
      </c>
      <c r="P683" t="s">
        <v>2873</v>
      </c>
      <c r="Q683">
        <v>110</v>
      </c>
      <c r="R683">
        <v>3</v>
      </c>
      <c r="S683">
        <v>2.7300000000000001E-2</v>
      </c>
    </row>
    <row r="684" spans="1:19">
      <c r="A684" t="s">
        <v>8</v>
      </c>
      <c r="B684" t="s">
        <v>312</v>
      </c>
      <c r="C684" t="str">
        <f>Data_Master[[#This Row],[Uniq-ID]]&amp;"-"&amp;Data_Master[[#This Row],[Period]]</f>
        <v>DC-Document_Controller-065-M3</v>
      </c>
      <c r="D684" t="s">
        <v>313</v>
      </c>
      <c r="E684" t="s">
        <v>76</v>
      </c>
      <c r="G684" t="s">
        <v>22</v>
      </c>
      <c r="H684" t="s">
        <v>41</v>
      </c>
      <c r="I684" t="s">
        <v>15</v>
      </c>
      <c r="J684" t="s">
        <v>16</v>
      </c>
      <c r="L684">
        <v>1.5</v>
      </c>
      <c r="M684">
        <v>3.77</v>
      </c>
      <c r="N684" t="s">
        <v>2871</v>
      </c>
      <c r="O684" t="s">
        <v>2958</v>
      </c>
      <c r="P684" t="s">
        <v>2873</v>
      </c>
      <c r="Q684">
        <v>154</v>
      </c>
      <c r="R684">
        <v>89</v>
      </c>
      <c r="S684">
        <v>0.57789999999999997</v>
      </c>
    </row>
    <row r="685" spans="1:19">
      <c r="A685" t="s">
        <v>8</v>
      </c>
      <c r="B685" t="s">
        <v>312</v>
      </c>
      <c r="C685" t="str">
        <f>Data_Master[[#This Row],[Uniq-ID]]&amp;"-"&amp;Data_Master[[#This Row],[Period]]</f>
        <v>DC-Document_Controller-065-M3</v>
      </c>
      <c r="D685" t="s">
        <v>313</v>
      </c>
      <c r="E685" t="s">
        <v>76</v>
      </c>
      <c r="G685" t="s">
        <v>22</v>
      </c>
      <c r="H685" t="s">
        <v>41</v>
      </c>
      <c r="I685" t="s">
        <v>15</v>
      </c>
      <c r="J685" t="s">
        <v>16</v>
      </c>
      <c r="L685">
        <v>1.5</v>
      </c>
      <c r="M685">
        <v>3.77</v>
      </c>
      <c r="N685" t="s">
        <v>2871</v>
      </c>
      <c r="O685" t="s">
        <v>2956</v>
      </c>
      <c r="P685" t="s">
        <v>2873</v>
      </c>
      <c r="Q685">
        <v>298</v>
      </c>
      <c r="R685">
        <v>1</v>
      </c>
      <c r="S685">
        <v>3.3999999999999998E-3</v>
      </c>
    </row>
    <row r="686" spans="1:19">
      <c r="A686" t="s">
        <v>8</v>
      </c>
      <c r="B686" t="s">
        <v>312</v>
      </c>
      <c r="C686" t="str">
        <f>Data_Master[[#This Row],[Uniq-ID]]&amp;"-"&amp;Data_Master[[#This Row],[Period]]</f>
        <v>DC-Document_Controller-065-M3</v>
      </c>
      <c r="D686" t="s">
        <v>313</v>
      </c>
      <c r="E686" t="s">
        <v>76</v>
      </c>
      <c r="G686" t="s">
        <v>22</v>
      </c>
      <c r="H686" t="s">
        <v>41</v>
      </c>
      <c r="I686" t="s">
        <v>15</v>
      </c>
      <c r="J686" t="s">
        <v>16</v>
      </c>
      <c r="L686">
        <v>1.5</v>
      </c>
      <c r="M686">
        <v>3.77</v>
      </c>
      <c r="N686" t="s">
        <v>2871</v>
      </c>
      <c r="O686" t="s">
        <v>2954</v>
      </c>
      <c r="P686" t="s">
        <v>2873</v>
      </c>
      <c r="Q686">
        <v>220</v>
      </c>
      <c r="R686">
        <v>110</v>
      </c>
      <c r="S686">
        <v>0.5</v>
      </c>
    </row>
    <row r="687" spans="1:19">
      <c r="A687" t="s">
        <v>8</v>
      </c>
      <c r="B687" t="s">
        <v>312</v>
      </c>
      <c r="C687" t="str">
        <f>Data_Master[[#This Row],[Uniq-ID]]&amp;"-"&amp;Data_Master[[#This Row],[Period]]</f>
        <v>DC-Document_Controller-065-M3</v>
      </c>
      <c r="D687" t="s">
        <v>313</v>
      </c>
      <c r="E687" t="s">
        <v>76</v>
      </c>
      <c r="G687" t="s">
        <v>22</v>
      </c>
      <c r="H687" t="s">
        <v>41</v>
      </c>
      <c r="I687" t="s">
        <v>15</v>
      </c>
      <c r="J687" t="s">
        <v>16</v>
      </c>
      <c r="L687">
        <v>1.5</v>
      </c>
      <c r="M687">
        <v>3.77</v>
      </c>
      <c r="N687" t="s">
        <v>2871</v>
      </c>
      <c r="O687" t="s">
        <v>2952</v>
      </c>
      <c r="P687" t="s">
        <v>2873</v>
      </c>
      <c r="Q687">
        <v>257</v>
      </c>
      <c r="R687">
        <v>174</v>
      </c>
      <c r="S687">
        <v>0.67700000000000005</v>
      </c>
    </row>
    <row r="688" spans="1:19">
      <c r="A688" t="s">
        <v>8</v>
      </c>
      <c r="B688" t="s">
        <v>312</v>
      </c>
      <c r="C688" t="str">
        <f>Data_Master[[#This Row],[Uniq-ID]]&amp;"-"&amp;Data_Master[[#This Row],[Period]]</f>
        <v>DC-Document_Controller-065-M3</v>
      </c>
      <c r="D688" t="s">
        <v>313</v>
      </c>
      <c r="E688" t="s">
        <v>76</v>
      </c>
      <c r="G688" t="s">
        <v>22</v>
      </c>
      <c r="H688" t="s">
        <v>41</v>
      </c>
      <c r="I688" t="s">
        <v>15</v>
      </c>
      <c r="J688" t="s">
        <v>16</v>
      </c>
      <c r="L688">
        <v>1.5</v>
      </c>
      <c r="M688">
        <v>3.77</v>
      </c>
      <c r="N688" t="s">
        <v>2871</v>
      </c>
      <c r="O688" t="s">
        <v>2950</v>
      </c>
      <c r="P688" t="s">
        <v>2873</v>
      </c>
      <c r="Q688">
        <v>88</v>
      </c>
      <c r="R688">
        <v>177</v>
      </c>
      <c r="S688">
        <v>2.0114000000000001</v>
      </c>
    </row>
    <row r="689" spans="1:19">
      <c r="A689" t="s">
        <v>8</v>
      </c>
      <c r="B689" t="s">
        <v>312</v>
      </c>
      <c r="C689" t="str">
        <f>Data_Master[[#This Row],[Uniq-ID]]&amp;"-"&amp;Data_Master[[#This Row],[Period]]</f>
        <v>DC-Document_Controller-065-M4</v>
      </c>
      <c r="D689" t="s">
        <v>313</v>
      </c>
      <c r="E689" t="s">
        <v>76</v>
      </c>
      <c r="G689" t="s">
        <v>25</v>
      </c>
      <c r="H689" t="s">
        <v>43</v>
      </c>
      <c r="I689" t="s">
        <v>33</v>
      </c>
      <c r="J689" t="s">
        <v>20</v>
      </c>
      <c r="L689">
        <v>1</v>
      </c>
      <c r="M689">
        <v>1.0389999999999999</v>
      </c>
      <c r="N689" t="s">
        <v>2871</v>
      </c>
      <c r="O689" t="s">
        <v>2956</v>
      </c>
      <c r="P689" t="s">
        <v>2873</v>
      </c>
      <c r="Q689">
        <v>298</v>
      </c>
      <c r="R689">
        <v>1</v>
      </c>
      <c r="S689">
        <v>3.3999999999999998E-3</v>
      </c>
    </row>
    <row r="690" spans="1:19">
      <c r="A690" t="s">
        <v>8</v>
      </c>
      <c r="B690" t="s">
        <v>312</v>
      </c>
      <c r="C690" t="str">
        <f>Data_Master[[#This Row],[Uniq-ID]]&amp;"-"&amp;Data_Master[[#This Row],[Period]]</f>
        <v>DC-Document_Controller-065-M4</v>
      </c>
      <c r="D690" t="s">
        <v>313</v>
      </c>
      <c r="E690" t="s">
        <v>76</v>
      </c>
      <c r="G690" t="s">
        <v>25</v>
      </c>
      <c r="H690" t="s">
        <v>43</v>
      </c>
      <c r="I690" t="s">
        <v>33</v>
      </c>
      <c r="J690" t="s">
        <v>20</v>
      </c>
      <c r="L690">
        <v>1</v>
      </c>
      <c r="M690">
        <v>1.0389999999999999</v>
      </c>
      <c r="N690" t="s">
        <v>2871</v>
      </c>
      <c r="O690" t="s">
        <v>2958</v>
      </c>
      <c r="P690" t="s">
        <v>2873</v>
      </c>
      <c r="Q690">
        <v>154</v>
      </c>
      <c r="R690">
        <v>46</v>
      </c>
      <c r="S690">
        <v>0.29870000000000002</v>
      </c>
    </row>
    <row r="691" spans="1:19">
      <c r="A691" t="s">
        <v>8</v>
      </c>
      <c r="B691" t="s">
        <v>312</v>
      </c>
      <c r="C691" t="str">
        <f>Data_Master[[#This Row],[Uniq-ID]]&amp;"-"&amp;Data_Master[[#This Row],[Period]]</f>
        <v>DC-Document_Controller-065-M4</v>
      </c>
      <c r="D691" t="s">
        <v>313</v>
      </c>
      <c r="E691" t="s">
        <v>76</v>
      </c>
      <c r="G691" t="s">
        <v>25</v>
      </c>
      <c r="H691" t="s">
        <v>43</v>
      </c>
      <c r="I691" t="s">
        <v>33</v>
      </c>
      <c r="J691" t="s">
        <v>20</v>
      </c>
      <c r="L691">
        <v>1</v>
      </c>
      <c r="M691">
        <v>1.0389999999999999</v>
      </c>
      <c r="N691" t="s">
        <v>2871</v>
      </c>
      <c r="O691" t="s">
        <v>2952</v>
      </c>
      <c r="P691" t="s">
        <v>2873</v>
      </c>
      <c r="Q691">
        <v>257</v>
      </c>
      <c r="R691">
        <v>20</v>
      </c>
      <c r="S691">
        <v>7.7799999999999994E-2</v>
      </c>
    </row>
    <row r="692" spans="1:19">
      <c r="A692" t="s">
        <v>8</v>
      </c>
      <c r="B692" t="s">
        <v>312</v>
      </c>
      <c r="C692" t="str">
        <f>Data_Master[[#This Row],[Uniq-ID]]&amp;"-"&amp;Data_Master[[#This Row],[Period]]</f>
        <v>DC-Document_Controller-065-M4</v>
      </c>
      <c r="D692" t="s">
        <v>313</v>
      </c>
      <c r="E692" t="s">
        <v>76</v>
      </c>
      <c r="G692" t="s">
        <v>25</v>
      </c>
      <c r="H692" t="s">
        <v>43</v>
      </c>
      <c r="I692" t="s">
        <v>33</v>
      </c>
      <c r="J692" t="s">
        <v>20</v>
      </c>
      <c r="L692">
        <v>1</v>
      </c>
      <c r="M692">
        <v>1.0389999999999999</v>
      </c>
      <c r="N692" t="s">
        <v>2871</v>
      </c>
      <c r="O692" t="s">
        <v>2954</v>
      </c>
      <c r="P692" t="s">
        <v>2873</v>
      </c>
      <c r="Q692">
        <v>220</v>
      </c>
      <c r="R692">
        <v>100</v>
      </c>
      <c r="S692">
        <v>0.45450000000000002</v>
      </c>
    </row>
    <row r="693" spans="1:19">
      <c r="A693" t="s">
        <v>8</v>
      </c>
      <c r="B693" t="s">
        <v>312</v>
      </c>
      <c r="C693" t="str">
        <f>Data_Master[[#This Row],[Uniq-ID]]&amp;"-"&amp;Data_Master[[#This Row],[Period]]</f>
        <v>DC-Document_Controller-065-M4</v>
      </c>
      <c r="D693" t="s">
        <v>313</v>
      </c>
      <c r="E693" t="s">
        <v>76</v>
      </c>
      <c r="G693" t="s">
        <v>25</v>
      </c>
      <c r="H693" t="s">
        <v>43</v>
      </c>
      <c r="I693" t="s">
        <v>33</v>
      </c>
      <c r="J693" t="s">
        <v>20</v>
      </c>
      <c r="L693">
        <v>1</v>
      </c>
      <c r="M693">
        <v>1.0389999999999999</v>
      </c>
      <c r="N693" t="s">
        <v>2871</v>
      </c>
      <c r="O693" t="s">
        <v>2950</v>
      </c>
      <c r="P693" t="s">
        <v>2873</v>
      </c>
      <c r="Q693">
        <v>88</v>
      </c>
      <c r="R693">
        <v>18</v>
      </c>
      <c r="S693">
        <v>0.20449999999999999</v>
      </c>
    </row>
    <row r="694" spans="1:19">
      <c r="A694" t="s">
        <v>8</v>
      </c>
      <c r="B694" t="s">
        <v>218</v>
      </c>
      <c r="C694" t="str">
        <f>Data_Master[[#This Row],[Uniq-ID]]&amp;"-"&amp;Data_Master[[#This Row],[Period]]</f>
        <v>DC-Document_Controller-066-M1</v>
      </c>
      <c r="D694" t="s">
        <v>219</v>
      </c>
      <c r="E694" t="s">
        <v>76</v>
      </c>
      <c r="G694" t="s">
        <v>13</v>
      </c>
      <c r="H694" t="s">
        <v>220</v>
      </c>
      <c r="I694" t="s">
        <v>15</v>
      </c>
      <c r="J694" t="s">
        <v>16</v>
      </c>
      <c r="L694">
        <v>1.5</v>
      </c>
      <c r="M694">
        <v>39</v>
      </c>
      <c r="N694" t="s">
        <v>2887</v>
      </c>
      <c r="O694" t="s">
        <v>3019</v>
      </c>
      <c r="P694" t="s">
        <v>2916</v>
      </c>
      <c r="Q694">
        <v>4</v>
      </c>
      <c r="R694">
        <v>156</v>
      </c>
      <c r="S694">
        <v>39</v>
      </c>
    </row>
    <row r="695" spans="1:19">
      <c r="A695" t="s">
        <v>8</v>
      </c>
      <c r="B695" t="s">
        <v>218</v>
      </c>
      <c r="C695" t="str">
        <f>Data_Master[[#This Row],[Uniq-ID]]&amp;"-"&amp;Data_Master[[#This Row],[Period]]</f>
        <v>DC-Document_Controller-066-M2</v>
      </c>
      <c r="D695" t="s">
        <v>219</v>
      </c>
      <c r="E695" t="s">
        <v>76</v>
      </c>
      <c r="G695" t="s">
        <v>18</v>
      </c>
      <c r="H695" t="s">
        <v>222</v>
      </c>
      <c r="I695" t="s">
        <v>15</v>
      </c>
      <c r="J695" t="s">
        <v>16</v>
      </c>
      <c r="L695">
        <v>1.5</v>
      </c>
      <c r="M695">
        <v>64.5</v>
      </c>
      <c r="N695" t="s">
        <v>2887</v>
      </c>
      <c r="O695" t="s">
        <v>3019</v>
      </c>
      <c r="P695" t="s">
        <v>2916</v>
      </c>
      <c r="Q695">
        <v>4</v>
      </c>
      <c r="R695">
        <v>258</v>
      </c>
      <c r="S695">
        <v>64.5</v>
      </c>
    </row>
    <row r="696" spans="1:19">
      <c r="A696" t="s">
        <v>8</v>
      </c>
      <c r="B696" t="s">
        <v>218</v>
      </c>
      <c r="C696" t="str">
        <f>Data_Master[[#This Row],[Uniq-ID]]&amp;"-"&amp;Data_Master[[#This Row],[Period]]</f>
        <v>DC-Document_Controller-066-M3</v>
      </c>
      <c r="D696" t="s">
        <v>219</v>
      </c>
      <c r="E696" t="s">
        <v>76</v>
      </c>
      <c r="G696" t="s">
        <v>22</v>
      </c>
      <c r="H696" t="s">
        <v>224</v>
      </c>
      <c r="I696" t="s">
        <v>33</v>
      </c>
      <c r="J696" t="s">
        <v>44</v>
      </c>
      <c r="M696">
        <v>0</v>
      </c>
    </row>
    <row r="697" spans="1:19">
      <c r="A697" t="s">
        <v>8</v>
      </c>
      <c r="B697" t="s">
        <v>299</v>
      </c>
      <c r="C697" t="str">
        <f>Data_Master[[#This Row],[Uniq-ID]]&amp;"-"&amp;Data_Master[[#This Row],[Period]]</f>
        <v>DC-Document_Controller-067-M1</v>
      </c>
      <c r="D697" t="s">
        <v>300</v>
      </c>
      <c r="E697" t="s">
        <v>301</v>
      </c>
      <c r="G697" t="s">
        <v>13</v>
      </c>
      <c r="H697" t="s">
        <v>302</v>
      </c>
      <c r="I697" t="s">
        <v>15</v>
      </c>
      <c r="J697" t="s">
        <v>44</v>
      </c>
      <c r="M697">
        <v>0</v>
      </c>
    </row>
    <row r="698" spans="1:19">
      <c r="A698" t="s">
        <v>8</v>
      </c>
      <c r="B698" t="s">
        <v>299</v>
      </c>
      <c r="C698" t="str">
        <f>Data_Master[[#This Row],[Uniq-ID]]&amp;"-"&amp;Data_Master[[#This Row],[Period]]</f>
        <v>DC-Document_Controller-067-M2</v>
      </c>
      <c r="D698" t="s">
        <v>300</v>
      </c>
      <c r="E698" t="s">
        <v>301</v>
      </c>
      <c r="G698" t="s">
        <v>18</v>
      </c>
      <c r="H698" t="s">
        <v>303</v>
      </c>
      <c r="I698" t="s">
        <v>33</v>
      </c>
      <c r="J698" t="s">
        <v>44</v>
      </c>
      <c r="M698">
        <v>0</v>
      </c>
    </row>
    <row r="699" spans="1:19">
      <c r="A699" t="s">
        <v>8</v>
      </c>
      <c r="B699" t="s">
        <v>297</v>
      </c>
      <c r="C699" t="str">
        <f>Data_Master[[#This Row],[Uniq-ID]]&amp;"-"&amp;Data_Master[[#This Row],[Period]]</f>
        <v>DC-Document_Controller-069-M1</v>
      </c>
      <c r="D699" t="s">
        <v>298</v>
      </c>
      <c r="E699" t="s">
        <v>48</v>
      </c>
      <c r="G699" t="s">
        <v>13</v>
      </c>
      <c r="H699" t="s">
        <v>71</v>
      </c>
      <c r="I699" t="s">
        <v>15</v>
      </c>
      <c r="J699" t="s">
        <v>44</v>
      </c>
      <c r="M699">
        <v>0</v>
      </c>
    </row>
    <row r="700" spans="1:19">
      <c r="A700" t="s">
        <v>8</v>
      </c>
      <c r="B700" t="s">
        <v>297</v>
      </c>
      <c r="C700" t="str">
        <f>Data_Master[[#This Row],[Uniq-ID]]&amp;"-"&amp;Data_Master[[#This Row],[Period]]</f>
        <v>DC-Document_Controller-069-M2</v>
      </c>
      <c r="D700" t="s">
        <v>298</v>
      </c>
      <c r="E700" t="s">
        <v>48</v>
      </c>
      <c r="G700" t="s">
        <v>18</v>
      </c>
      <c r="H700" t="s">
        <v>73</v>
      </c>
      <c r="I700" t="s">
        <v>33</v>
      </c>
      <c r="J700" t="s">
        <v>44</v>
      </c>
      <c r="M700">
        <v>0</v>
      </c>
    </row>
    <row r="701" spans="1:19">
      <c r="A701" t="s">
        <v>8</v>
      </c>
      <c r="B701" t="s">
        <v>295</v>
      </c>
      <c r="C701" t="str">
        <f>Data_Master[[#This Row],[Uniq-ID]]&amp;"-"&amp;Data_Master[[#This Row],[Period]]</f>
        <v>DC-Document_Controller-070-M1</v>
      </c>
      <c r="D701" t="s">
        <v>296</v>
      </c>
      <c r="E701" t="s">
        <v>112</v>
      </c>
      <c r="G701" t="s">
        <v>13</v>
      </c>
      <c r="H701" t="s">
        <v>71</v>
      </c>
      <c r="I701" t="s">
        <v>15</v>
      </c>
      <c r="J701" t="s">
        <v>44</v>
      </c>
      <c r="M701">
        <v>0</v>
      </c>
    </row>
    <row r="702" spans="1:19">
      <c r="A702" t="s">
        <v>8</v>
      </c>
      <c r="B702" t="s">
        <v>295</v>
      </c>
      <c r="C702" t="str">
        <f>Data_Master[[#This Row],[Uniq-ID]]&amp;"-"&amp;Data_Master[[#This Row],[Period]]</f>
        <v>DC-Document_Controller-070-M2</v>
      </c>
      <c r="D702" t="s">
        <v>296</v>
      </c>
      <c r="E702" t="s">
        <v>112</v>
      </c>
      <c r="G702" t="s">
        <v>18</v>
      </c>
      <c r="H702" t="s">
        <v>73</v>
      </c>
      <c r="I702" t="s">
        <v>33</v>
      </c>
      <c r="J702" t="s">
        <v>44</v>
      </c>
      <c r="M702">
        <v>0</v>
      </c>
    </row>
    <row r="703" spans="1:19">
      <c r="A703" t="s">
        <v>8</v>
      </c>
      <c r="B703" t="s">
        <v>291</v>
      </c>
      <c r="C703" t="str">
        <f>Data_Master[[#This Row],[Uniq-ID]]&amp;"-"&amp;Data_Master[[#This Row],[Period]]</f>
        <v>DC-Document_Controller-071-M1</v>
      </c>
      <c r="D703" t="s">
        <v>292</v>
      </c>
      <c r="E703" t="s">
        <v>76</v>
      </c>
      <c r="G703" t="s">
        <v>13</v>
      </c>
      <c r="H703" t="s">
        <v>293</v>
      </c>
      <c r="I703" t="s">
        <v>15</v>
      </c>
      <c r="J703" t="s">
        <v>44</v>
      </c>
      <c r="M703">
        <v>0</v>
      </c>
    </row>
    <row r="704" spans="1:19">
      <c r="A704" t="s">
        <v>8</v>
      </c>
      <c r="B704" t="s">
        <v>291</v>
      </c>
      <c r="C704" t="str">
        <f>Data_Master[[#This Row],[Uniq-ID]]&amp;"-"&amp;Data_Master[[#This Row],[Period]]</f>
        <v>DC-Document_Controller-071-M2</v>
      </c>
      <c r="D704" t="s">
        <v>292</v>
      </c>
      <c r="E704" t="s">
        <v>76</v>
      </c>
      <c r="G704" t="s">
        <v>18</v>
      </c>
      <c r="H704" t="s">
        <v>294</v>
      </c>
      <c r="I704" t="s">
        <v>33</v>
      </c>
      <c r="J704" t="s">
        <v>44</v>
      </c>
      <c r="M704">
        <v>0</v>
      </c>
    </row>
    <row r="705" spans="1:13">
      <c r="A705" t="s">
        <v>8</v>
      </c>
      <c r="B705" t="s">
        <v>288</v>
      </c>
      <c r="C705" t="str">
        <f>Data_Master[[#This Row],[Uniq-ID]]&amp;"-"&amp;Data_Master[[#This Row],[Period]]</f>
        <v>DC-Document_Controller-072-M1</v>
      </c>
      <c r="D705" t="s">
        <v>289</v>
      </c>
      <c r="E705" t="s">
        <v>290</v>
      </c>
      <c r="G705" t="s">
        <v>13</v>
      </c>
      <c r="H705" t="s">
        <v>230</v>
      </c>
      <c r="I705" t="s">
        <v>15</v>
      </c>
      <c r="J705" t="s">
        <v>44</v>
      </c>
      <c r="M705">
        <v>0</v>
      </c>
    </row>
    <row r="706" spans="1:13">
      <c r="A706" t="s">
        <v>8</v>
      </c>
      <c r="B706" t="s">
        <v>288</v>
      </c>
      <c r="C706" t="str">
        <f>Data_Master[[#This Row],[Uniq-ID]]&amp;"-"&amp;Data_Master[[#This Row],[Period]]</f>
        <v>DC-Document_Controller-072-M2</v>
      </c>
      <c r="D706" t="s">
        <v>289</v>
      </c>
      <c r="E706" t="s">
        <v>290</v>
      </c>
      <c r="G706" t="s">
        <v>18</v>
      </c>
      <c r="H706" t="s">
        <v>231</v>
      </c>
      <c r="I706" t="s">
        <v>33</v>
      </c>
      <c r="J706" t="s">
        <v>44</v>
      </c>
      <c r="M706">
        <v>0</v>
      </c>
    </row>
    <row r="707" spans="1:13">
      <c r="A707" t="s">
        <v>8</v>
      </c>
      <c r="B707" t="s">
        <v>282</v>
      </c>
      <c r="C707" t="str">
        <f>Data_Master[[#This Row],[Uniq-ID]]&amp;"-"&amp;Data_Master[[#This Row],[Period]]</f>
        <v>DC-Document_Controller-073-M1</v>
      </c>
      <c r="D707" t="s">
        <v>283</v>
      </c>
      <c r="E707" t="s">
        <v>48</v>
      </c>
      <c r="G707" t="s">
        <v>13</v>
      </c>
      <c r="H707" t="s">
        <v>284</v>
      </c>
      <c r="I707" t="s">
        <v>15</v>
      </c>
      <c r="J707" t="s">
        <v>44</v>
      </c>
      <c r="M707">
        <v>0</v>
      </c>
    </row>
    <row r="708" spans="1:13">
      <c r="A708" t="s">
        <v>8</v>
      </c>
      <c r="B708" t="s">
        <v>282</v>
      </c>
      <c r="C708" t="str">
        <f>Data_Master[[#This Row],[Uniq-ID]]&amp;"-"&amp;Data_Master[[#This Row],[Period]]</f>
        <v>DC-Document_Controller-073-M2</v>
      </c>
      <c r="D708" t="s">
        <v>283</v>
      </c>
      <c r="E708" t="s">
        <v>48</v>
      </c>
      <c r="G708" t="s">
        <v>18</v>
      </c>
      <c r="H708" t="s">
        <v>285</v>
      </c>
      <c r="I708" t="s">
        <v>33</v>
      </c>
      <c r="J708" t="s">
        <v>44</v>
      </c>
      <c r="M708">
        <v>0</v>
      </c>
    </row>
    <row r="709" spans="1:13">
      <c r="A709" t="s">
        <v>8</v>
      </c>
      <c r="B709" t="s">
        <v>425</v>
      </c>
      <c r="C709" t="str">
        <f>Data_Master[[#This Row],[Uniq-ID]]&amp;"-"&amp;Data_Master[[#This Row],[Period]]</f>
        <v>DC-Document_Controller-074-M1</v>
      </c>
      <c r="D709" t="s">
        <v>426</v>
      </c>
      <c r="E709" t="s">
        <v>48</v>
      </c>
      <c r="G709" t="s">
        <v>13</v>
      </c>
      <c r="H709" t="s">
        <v>230</v>
      </c>
      <c r="I709" t="s">
        <v>15</v>
      </c>
      <c r="J709" t="s">
        <v>44</v>
      </c>
      <c r="M709">
        <v>0</v>
      </c>
    </row>
    <row r="710" spans="1:13">
      <c r="A710" t="s">
        <v>8</v>
      </c>
      <c r="B710" t="s">
        <v>425</v>
      </c>
      <c r="C710" t="str">
        <f>Data_Master[[#This Row],[Uniq-ID]]&amp;"-"&amp;Data_Master[[#This Row],[Period]]</f>
        <v>DC-Document_Controller-074-M2</v>
      </c>
      <c r="D710" t="s">
        <v>426</v>
      </c>
      <c r="E710" t="s">
        <v>48</v>
      </c>
      <c r="G710" t="s">
        <v>18</v>
      </c>
      <c r="H710" t="s">
        <v>231</v>
      </c>
      <c r="I710" t="s">
        <v>33</v>
      </c>
      <c r="J710" t="s">
        <v>44</v>
      </c>
      <c r="M710">
        <v>0</v>
      </c>
    </row>
    <row r="711" spans="1:13">
      <c r="A711" t="s">
        <v>8</v>
      </c>
      <c r="B711" t="s">
        <v>402</v>
      </c>
      <c r="C711" t="str">
        <f>Data_Master[[#This Row],[Uniq-ID]]&amp;"-"&amp;Data_Master[[#This Row],[Period]]</f>
        <v>DC-Document_Controller-075-M1</v>
      </c>
      <c r="D711" t="s">
        <v>403</v>
      </c>
      <c r="E711" t="s">
        <v>76</v>
      </c>
      <c r="G711" t="s">
        <v>13</v>
      </c>
      <c r="H711" t="s">
        <v>404</v>
      </c>
      <c r="I711" t="s">
        <v>15</v>
      </c>
      <c r="J711" t="s">
        <v>44</v>
      </c>
      <c r="M711">
        <v>0</v>
      </c>
    </row>
    <row r="712" spans="1:13">
      <c r="A712" t="s">
        <v>8</v>
      </c>
      <c r="B712" t="s">
        <v>402</v>
      </c>
      <c r="C712" t="str">
        <f>Data_Master[[#This Row],[Uniq-ID]]&amp;"-"&amp;Data_Master[[#This Row],[Period]]</f>
        <v>DC-Document_Controller-075-M2</v>
      </c>
      <c r="D712" t="s">
        <v>403</v>
      </c>
      <c r="E712" t="s">
        <v>76</v>
      </c>
      <c r="G712" t="s">
        <v>18</v>
      </c>
      <c r="H712" t="s">
        <v>3405</v>
      </c>
      <c r="I712" t="s">
        <v>33</v>
      </c>
      <c r="J712" t="s">
        <v>44</v>
      </c>
      <c r="M712">
        <v>0</v>
      </c>
    </row>
    <row r="713" spans="1:13">
      <c r="A713" t="s">
        <v>8</v>
      </c>
      <c r="B713" t="s">
        <v>398</v>
      </c>
      <c r="C713" t="str">
        <f>Data_Master[[#This Row],[Uniq-ID]]&amp;"-"&amp;Data_Master[[#This Row],[Period]]</f>
        <v>DC-Document_Controller-076-M1</v>
      </c>
      <c r="D713" t="s">
        <v>399</v>
      </c>
      <c r="E713" t="s">
        <v>76</v>
      </c>
      <c r="G713" t="s">
        <v>13</v>
      </c>
      <c r="H713" t="s">
        <v>376</v>
      </c>
      <c r="I713" t="s">
        <v>33</v>
      </c>
      <c r="J713" t="s">
        <v>44</v>
      </c>
      <c r="M713">
        <v>0</v>
      </c>
    </row>
    <row r="714" spans="1:13">
      <c r="A714" t="s">
        <v>8</v>
      </c>
      <c r="B714" t="s">
        <v>398</v>
      </c>
      <c r="C714" t="str">
        <f>Data_Master[[#This Row],[Uniq-ID]]&amp;"-"&amp;Data_Master[[#This Row],[Period]]</f>
        <v>DC-Document_Controller-076-M2</v>
      </c>
      <c r="D714" t="s">
        <v>399</v>
      </c>
      <c r="E714" t="s">
        <v>76</v>
      </c>
      <c r="G714" t="s">
        <v>18</v>
      </c>
      <c r="H714" t="s">
        <v>4151</v>
      </c>
      <c r="I714" t="s">
        <v>225</v>
      </c>
      <c r="J714" t="s">
        <v>44</v>
      </c>
      <c r="M714">
        <v>0</v>
      </c>
    </row>
    <row r="715" spans="1:13">
      <c r="A715" t="s">
        <v>8</v>
      </c>
      <c r="B715" t="s">
        <v>374</v>
      </c>
      <c r="C715" t="str">
        <f>Data_Master[[#This Row],[Uniq-ID]]&amp;"-"&amp;Data_Master[[#This Row],[Period]]</f>
        <v>DC-Document_Controller-077-M1</v>
      </c>
      <c r="D715" t="s">
        <v>375</v>
      </c>
      <c r="E715" t="s">
        <v>76</v>
      </c>
      <c r="G715" t="s">
        <v>13</v>
      </c>
      <c r="H715" t="s">
        <v>376</v>
      </c>
      <c r="I715" t="s">
        <v>33</v>
      </c>
      <c r="J715" t="s">
        <v>44</v>
      </c>
      <c r="M715">
        <v>0</v>
      </c>
    </row>
    <row r="716" spans="1:13">
      <c r="A716" t="s">
        <v>8</v>
      </c>
      <c r="B716" t="s">
        <v>374</v>
      </c>
      <c r="C716" t="str">
        <f>Data_Master[[#This Row],[Uniq-ID]]&amp;"-"&amp;Data_Master[[#This Row],[Period]]</f>
        <v>DC-Document_Controller-077-M2</v>
      </c>
      <c r="D716" t="s">
        <v>375</v>
      </c>
      <c r="E716" t="s">
        <v>76</v>
      </c>
      <c r="G716" t="s">
        <v>18</v>
      </c>
      <c r="H716" t="s">
        <v>4151</v>
      </c>
      <c r="I716" t="s">
        <v>225</v>
      </c>
      <c r="J716" t="s">
        <v>44</v>
      </c>
      <c r="M716">
        <v>0</v>
      </c>
    </row>
    <row r="717" spans="1:13">
      <c r="A717" t="s">
        <v>8</v>
      </c>
      <c r="B717" t="s">
        <v>371</v>
      </c>
      <c r="C717" t="str">
        <f>Data_Master[[#This Row],[Uniq-ID]]&amp;"-"&amp;Data_Master[[#This Row],[Period]]</f>
        <v>DC-Document_Controller-078-M1</v>
      </c>
      <c r="D717" t="s">
        <v>372</v>
      </c>
      <c r="E717" t="s">
        <v>76</v>
      </c>
      <c r="G717" t="s">
        <v>13</v>
      </c>
      <c r="H717" t="s">
        <v>373</v>
      </c>
      <c r="I717" t="s">
        <v>33</v>
      </c>
      <c r="J717" t="s">
        <v>44</v>
      </c>
      <c r="M717">
        <v>0</v>
      </c>
    </row>
    <row r="718" spans="1:13">
      <c r="A718" t="s">
        <v>8</v>
      </c>
      <c r="B718" t="s">
        <v>371</v>
      </c>
      <c r="C718" t="str">
        <f>Data_Master[[#This Row],[Uniq-ID]]&amp;"-"&amp;Data_Master[[#This Row],[Period]]</f>
        <v>DC-Document_Controller-078-M2</v>
      </c>
      <c r="D718" t="s">
        <v>372</v>
      </c>
      <c r="E718" t="s">
        <v>76</v>
      </c>
      <c r="G718" t="s">
        <v>18</v>
      </c>
      <c r="H718" t="s">
        <v>4152</v>
      </c>
      <c r="I718" t="s">
        <v>225</v>
      </c>
      <c r="J718" t="s">
        <v>44</v>
      </c>
      <c r="M718">
        <v>0</v>
      </c>
    </row>
    <row r="719" spans="1:13">
      <c r="A719" t="s">
        <v>8</v>
      </c>
      <c r="B719" t="s">
        <v>366</v>
      </c>
      <c r="C719" t="str">
        <f>Data_Master[[#This Row],[Uniq-ID]]&amp;"-"&amp;Data_Master[[#This Row],[Period]]</f>
        <v>DC-Document_Controller-079-M1</v>
      </c>
      <c r="D719" t="s">
        <v>367</v>
      </c>
      <c r="E719" t="s">
        <v>76</v>
      </c>
      <c r="G719" t="s">
        <v>13</v>
      </c>
      <c r="H719" t="s">
        <v>348</v>
      </c>
      <c r="I719" t="s">
        <v>33</v>
      </c>
      <c r="J719" t="s">
        <v>44</v>
      </c>
      <c r="M719">
        <v>0</v>
      </c>
    </row>
    <row r="720" spans="1:13">
      <c r="A720" t="s">
        <v>8</v>
      </c>
      <c r="B720" t="s">
        <v>366</v>
      </c>
      <c r="C720" t="str">
        <f>Data_Master[[#This Row],[Uniq-ID]]&amp;"-"&amp;Data_Master[[#This Row],[Period]]</f>
        <v>DC-Document_Controller-079-M2</v>
      </c>
      <c r="D720" t="s">
        <v>367</v>
      </c>
      <c r="E720" t="s">
        <v>76</v>
      </c>
      <c r="G720" t="s">
        <v>18</v>
      </c>
      <c r="H720" t="s">
        <v>4150</v>
      </c>
      <c r="I720" t="s">
        <v>225</v>
      </c>
      <c r="J720" t="s">
        <v>44</v>
      </c>
      <c r="M720">
        <v>0</v>
      </c>
    </row>
    <row r="721" spans="1:32">
      <c r="A721" t="s">
        <v>8</v>
      </c>
      <c r="B721" t="s">
        <v>364</v>
      </c>
      <c r="C721" t="str">
        <f>Data_Master[[#This Row],[Uniq-ID]]&amp;"-"&amp;Data_Master[[#This Row],[Period]]</f>
        <v>DC-Document_Controller-080-M1</v>
      </c>
      <c r="D721" t="s">
        <v>365</v>
      </c>
      <c r="E721" t="s">
        <v>48</v>
      </c>
      <c r="G721" t="s">
        <v>13</v>
      </c>
      <c r="H721" t="s">
        <v>348</v>
      </c>
      <c r="I721" t="s">
        <v>33</v>
      </c>
      <c r="J721" t="s">
        <v>44</v>
      </c>
      <c r="M721">
        <v>0</v>
      </c>
    </row>
    <row r="722" spans="1:32">
      <c r="A722" t="s">
        <v>8</v>
      </c>
      <c r="B722" t="s">
        <v>364</v>
      </c>
      <c r="C722" t="str">
        <f>Data_Master[[#This Row],[Uniq-ID]]&amp;"-"&amp;Data_Master[[#This Row],[Period]]</f>
        <v>DC-Document_Controller-080-M2</v>
      </c>
      <c r="D722" t="s">
        <v>365</v>
      </c>
      <c r="E722" t="s">
        <v>48</v>
      </c>
      <c r="G722" t="s">
        <v>18</v>
      </c>
      <c r="H722" t="s">
        <v>4150</v>
      </c>
      <c r="I722" t="s">
        <v>225</v>
      </c>
      <c r="J722" t="s">
        <v>44</v>
      </c>
      <c r="M722">
        <v>0</v>
      </c>
    </row>
    <row r="723" spans="1:32">
      <c r="A723" t="s">
        <v>8</v>
      </c>
      <c r="B723" t="s">
        <v>362</v>
      </c>
      <c r="C723" t="str">
        <f>Data_Master[[#This Row],[Uniq-ID]]&amp;"-"&amp;Data_Master[[#This Row],[Period]]</f>
        <v>DC-Document_Controller-081-M1</v>
      </c>
      <c r="D723" t="s">
        <v>363</v>
      </c>
      <c r="E723" t="s">
        <v>76</v>
      </c>
      <c r="G723" t="s">
        <v>13</v>
      </c>
      <c r="H723" t="s">
        <v>348</v>
      </c>
      <c r="I723" t="s">
        <v>33</v>
      </c>
      <c r="J723" t="s">
        <v>44</v>
      </c>
      <c r="M723">
        <v>0</v>
      </c>
    </row>
    <row r="724" spans="1:32">
      <c r="A724" t="s">
        <v>8</v>
      </c>
      <c r="B724" t="s">
        <v>362</v>
      </c>
      <c r="C724" t="str">
        <f>Data_Master[[#This Row],[Uniq-ID]]&amp;"-"&amp;Data_Master[[#This Row],[Period]]</f>
        <v>DC-Document_Controller-081-M2</v>
      </c>
      <c r="D724" t="s">
        <v>363</v>
      </c>
      <c r="E724" t="s">
        <v>76</v>
      </c>
      <c r="G724" t="s">
        <v>18</v>
      </c>
      <c r="H724" t="s">
        <v>4150</v>
      </c>
      <c r="I724" t="s">
        <v>225</v>
      </c>
      <c r="J724" t="s">
        <v>44</v>
      </c>
      <c r="M724">
        <v>0</v>
      </c>
    </row>
    <row r="725" spans="1:32">
      <c r="A725" t="s">
        <v>8</v>
      </c>
      <c r="B725" t="s">
        <v>346</v>
      </c>
      <c r="C725" t="str">
        <f>Data_Master[[#This Row],[Uniq-ID]]&amp;"-"&amp;Data_Master[[#This Row],[Period]]</f>
        <v>DC-Document_Controller-082-M1</v>
      </c>
      <c r="D725" t="s">
        <v>347</v>
      </c>
      <c r="E725" t="s">
        <v>76</v>
      </c>
      <c r="G725" t="s">
        <v>13</v>
      </c>
      <c r="H725" t="s">
        <v>348</v>
      </c>
      <c r="I725" t="s">
        <v>33</v>
      </c>
      <c r="J725" t="s">
        <v>44</v>
      </c>
      <c r="M725">
        <v>0</v>
      </c>
    </row>
    <row r="726" spans="1:32">
      <c r="A726" t="s">
        <v>8</v>
      </c>
      <c r="B726" t="s">
        <v>346</v>
      </c>
      <c r="C726" t="str">
        <f>Data_Master[[#This Row],[Uniq-ID]]&amp;"-"&amp;Data_Master[[#This Row],[Period]]</f>
        <v>DC-Document_Controller-082-M2</v>
      </c>
      <c r="D726" t="s">
        <v>347</v>
      </c>
      <c r="E726" t="s">
        <v>76</v>
      </c>
      <c r="G726" t="s">
        <v>18</v>
      </c>
      <c r="H726" t="s">
        <v>4150</v>
      </c>
      <c r="I726" t="s">
        <v>225</v>
      </c>
      <c r="J726" t="s">
        <v>44</v>
      </c>
      <c r="M726">
        <v>0</v>
      </c>
    </row>
    <row r="727" spans="1:32">
      <c r="A727" t="s">
        <v>716</v>
      </c>
      <c r="B727" t="s">
        <v>856</v>
      </c>
      <c r="C727" t="str">
        <f>Data_Master[[#This Row],[Uniq-ID]]&amp;"-"&amp;Data_Master[[#This Row],[Period]]</f>
        <v>PE-Project_Engineer-001-M1</v>
      </c>
      <c r="D727" t="s">
        <v>857</v>
      </c>
      <c r="E727" t="s">
        <v>76</v>
      </c>
      <c r="F727" t="s">
        <v>461</v>
      </c>
      <c r="G727" t="s">
        <v>13</v>
      </c>
      <c r="H727" t="s">
        <v>49</v>
      </c>
      <c r="I727" t="s">
        <v>15</v>
      </c>
      <c r="J727" t="s">
        <v>719</v>
      </c>
      <c r="L727">
        <v>1</v>
      </c>
      <c r="AA727">
        <v>1144</v>
      </c>
      <c r="AB727">
        <v>1482</v>
      </c>
      <c r="AC727">
        <v>408</v>
      </c>
      <c r="AE727">
        <v>74</v>
      </c>
      <c r="AF727">
        <v>3108</v>
      </c>
    </row>
    <row r="728" spans="1:32">
      <c r="A728" t="s">
        <v>716</v>
      </c>
      <c r="B728" t="s">
        <v>856</v>
      </c>
      <c r="C728" t="str">
        <f>Data_Master[[#This Row],[Uniq-ID]]&amp;"-"&amp;Data_Master[[#This Row],[Period]]</f>
        <v>PE-Project_Engineer-001-M2</v>
      </c>
      <c r="D728" t="s">
        <v>857</v>
      </c>
      <c r="E728" t="s">
        <v>76</v>
      </c>
      <c r="F728" t="s">
        <v>461</v>
      </c>
      <c r="G728" t="s">
        <v>18</v>
      </c>
      <c r="H728" t="s">
        <v>51</v>
      </c>
      <c r="I728" t="s">
        <v>15</v>
      </c>
      <c r="J728" t="s">
        <v>719</v>
      </c>
      <c r="L728">
        <v>1</v>
      </c>
      <c r="AA728">
        <v>1268</v>
      </c>
      <c r="AB728">
        <v>1524</v>
      </c>
      <c r="AC728">
        <v>916</v>
      </c>
      <c r="AE728">
        <v>504</v>
      </c>
      <c r="AF728">
        <v>4212</v>
      </c>
    </row>
    <row r="729" spans="1:32">
      <c r="A729" t="s">
        <v>716</v>
      </c>
      <c r="B729" t="s">
        <v>856</v>
      </c>
      <c r="C729" t="str">
        <f>Data_Master[[#This Row],[Uniq-ID]]&amp;"-"&amp;Data_Master[[#This Row],[Period]]</f>
        <v>PE-Project_Engineer-001-M3</v>
      </c>
      <c r="D729" t="s">
        <v>857</v>
      </c>
      <c r="E729" t="s">
        <v>76</v>
      </c>
      <c r="F729" t="s">
        <v>461</v>
      </c>
      <c r="G729" t="s">
        <v>22</v>
      </c>
      <c r="H729" t="s">
        <v>52</v>
      </c>
      <c r="I729" t="s">
        <v>15</v>
      </c>
      <c r="J729" t="s">
        <v>719</v>
      </c>
      <c r="L729">
        <v>1</v>
      </c>
      <c r="AA729">
        <v>1440</v>
      </c>
      <c r="AB729">
        <v>2034</v>
      </c>
      <c r="AC729">
        <v>1192</v>
      </c>
      <c r="AE729">
        <v>148</v>
      </c>
      <c r="AF729">
        <v>4814</v>
      </c>
    </row>
    <row r="730" spans="1:32">
      <c r="A730" t="s">
        <v>716</v>
      </c>
      <c r="B730" t="s">
        <v>856</v>
      </c>
      <c r="C730" t="str">
        <f>Data_Master[[#This Row],[Uniq-ID]]&amp;"-"&amp;Data_Master[[#This Row],[Period]]</f>
        <v>PE-Project_Engineer-001-M4</v>
      </c>
      <c r="D730" t="s">
        <v>857</v>
      </c>
      <c r="E730" t="s">
        <v>76</v>
      </c>
      <c r="F730" t="s">
        <v>461</v>
      </c>
      <c r="G730" t="s">
        <v>25</v>
      </c>
      <c r="H730" t="s">
        <v>54</v>
      </c>
      <c r="I730" t="s">
        <v>15</v>
      </c>
      <c r="J730" t="s">
        <v>719</v>
      </c>
      <c r="L730">
        <v>1</v>
      </c>
      <c r="AA730">
        <v>1228</v>
      </c>
      <c r="AB730">
        <v>1956</v>
      </c>
      <c r="AC730">
        <v>1636</v>
      </c>
      <c r="AE730">
        <v>876</v>
      </c>
      <c r="AF730">
        <v>5696</v>
      </c>
    </row>
    <row r="731" spans="1:32">
      <c r="A731" t="s">
        <v>716</v>
      </c>
      <c r="B731" t="s">
        <v>856</v>
      </c>
      <c r="C731" t="str">
        <f>Data_Master[[#This Row],[Uniq-ID]]&amp;"-"&amp;Data_Master[[#This Row],[Period]]</f>
        <v>PE-Project_Engineer-001-M5</v>
      </c>
      <c r="D731" t="s">
        <v>857</v>
      </c>
      <c r="E731" t="s">
        <v>76</v>
      </c>
      <c r="F731" t="s">
        <v>461</v>
      </c>
      <c r="G731" t="s">
        <v>28</v>
      </c>
      <c r="H731" t="s">
        <v>56</v>
      </c>
      <c r="I731" t="s">
        <v>15</v>
      </c>
      <c r="J731" t="s">
        <v>719</v>
      </c>
      <c r="L731">
        <v>1</v>
      </c>
      <c r="AA731">
        <v>1328</v>
      </c>
      <c r="AB731">
        <v>2154</v>
      </c>
      <c r="AC731">
        <v>1060</v>
      </c>
      <c r="AE731">
        <v>920</v>
      </c>
      <c r="AF731">
        <v>5462</v>
      </c>
    </row>
    <row r="732" spans="1:32">
      <c r="A732" t="s">
        <v>716</v>
      </c>
      <c r="B732" t="s">
        <v>856</v>
      </c>
      <c r="C732" t="str">
        <f>Data_Master[[#This Row],[Uniq-ID]]&amp;"-"&amp;Data_Master[[#This Row],[Period]]</f>
        <v>PE-Project_Engineer-001-M6</v>
      </c>
      <c r="D732" t="s">
        <v>857</v>
      </c>
      <c r="E732" t="s">
        <v>76</v>
      </c>
      <c r="F732" t="s">
        <v>461</v>
      </c>
      <c r="G732" t="s">
        <v>31</v>
      </c>
      <c r="H732" t="s">
        <v>57</v>
      </c>
      <c r="I732" t="s">
        <v>33</v>
      </c>
      <c r="J732" t="s">
        <v>44</v>
      </c>
    </row>
    <row r="733" spans="1:32">
      <c r="A733" t="s">
        <v>716</v>
      </c>
      <c r="B733" t="s">
        <v>717</v>
      </c>
      <c r="C733" t="str">
        <f>Data_Master[[#This Row],[Uniq-ID]]&amp;"-"&amp;Data_Master[[#This Row],[Period]]</f>
        <v>PE-Project_Engineer-002-M1</v>
      </c>
      <c r="D733" t="s">
        <v>718</v>
      </c>
      <c r="E733" t="s">
        <v>48</v>
      </c>
      <c r="F733" t="s">
        <v>493</v>
      </c>
      <c r="G733" t="s">
        <v>13</v>
      </c>
      <c r="H733" t="s">
        <v>49</v>
      </c>
      <c r="I733" t="s">
        <v>15</v>
      </c>
      <c r="J733" t="s">
        <v>16</v>
      </c>
      <c r="L733">
        <v>1.5</v>
      </c>
      <c r="AA733">
        <v>2464</v>
      </c>
      <c r="AB733">
        <v>3756</v>
      </c>
      <c r="AC733">
        <v>2932</v>
      </c>
      <c r="AE733">
        <v>2370</v>
      </c>
      <c r="AF733">
        <v>11522</v>
      </c>
    </row>
    <row r="734" spans="1:32">
      <c r="A734" t="s">
        <v>716</v>
      </c>
      <c r="B734" t="s">
        <v>717</v>
      </c>
      <c r="C734" t="str">
        <f>Data_Master[[#This Row],[Uniq-ID]]&amp;"-"&amp;Data_Master[[#This Row],[Period]]</f>
        <v>PE-Project_Engineer-002-M2</v>
      </c>
      <c r="D734" t="s">
        <v>718</v>
      </c>
      <c r="E734" t="s">
        <v>48</v>
      </c>
      <c r="F734" t="s">
        <v>493</v>
      </c>
      <c r="G734" t="s">
        <v>18</v>
      </c>
      <c r="H734" t="s">
        <v>51</v>
      </c>
      <c r="I734" t="s">
        <v>15</v>
      </c>
      <c r="J734" t="s">
        <v>16</v>
      </c>
      <c r="L734">
        <v>1.5</v>
      </c>
      <c r="AA734">
        <v>2400</v>
      </c>
      <c r="AB734">
        <v>3762</v>
      </c>
      <c r="AC734">
        <v>2472</v>
      </c>
      <c r="AE734">
        <v>1074</v>
      </c>
      <c r="AF734">
        <v>9708</v>
      </c>
    </row>
    <row r="735" spans="1:32">
      <c r="A735" t="s">
        <v>716</v>
      </c>
      <c r="B735" t="s">
        <v>717</v>
      </c>
      <c r="C735" t="str">
        <f>Data_Master[[#This Row],[Uniq-ID]]&amp;"-"&amp;Data_Master[[#This Row],[Period]]</f>
        <v>PE-Project_Engineer-002-M3</v>
      </c>
      <c r="D735" t="s">
        <v>718</v>
      </c>
      <c r="E735" t="s">
        <v>48</v>
      </c>
      <c r="F735" t="s">
        <v>493</v>
      </c>
      <c r="G735" t="s">
        <v>22</v>
      </c>
      <c r="H735" t="s">
        <v>52</v>
      </c>
      <c r="I735" t="s">
        <v>15</v>
      </c>
      <c r="J735" t="s">
        <v>16</v>
      </c>
      <c r="L735">
        <v>1.5</v>
      </c>
      <c r="AA735">
        <v>2864</v>
      </c>
      <c r="AB735">
        <v>4116</v>
      </c>
      <c r="AC735">
        <v>2860</v>
      </c>
      <c r="AE735">
        <v>1400</v>
      </c>
      <c r="AF735">
        <v>11240</v>
      </c>
    </row>
    <row r="736" spans="1:32">
      <c r="A736" t="s">
        <v>716</v>
      </c>
      <c r="B736" t="s">
        <v>717</v>
      </c>
      <c r="C736" t="str">
        <f>Data_Master[[#This Row],[Uniq-ID]]&amp;"-"&amp;Data_Master[[#This Row],[Period]]</f>
        <v>PE-Project_Engineer-002-M4</v>
      </c>
      <c r="D736" t="s">
        <v>718</v>
      </c>
      <c r="E736" t="s">
        <v>48</v>
      </c>
      <c r="F736" t="s">
        <v>493</v>
      </c>
      <c r="G736" t="s">
        <v>25</v>
      </c>
      <c r="H736" t="s">
        <v>54</v>
      </c>
      <c r="I736" t="s">
        <v>15</v>
      </c>
      <c r="J736" t="s">
        <v>16</v>
      </c>
      <c r="L736">
        <v>1.07</v>
      </c>
      <c r="AA736">
        <v>1260</v>
      </c>
      <c r="AB736">
        <v>2280</v>
      </c>
      <c r="AC736">
        <v>1628</v>
      </c>
      <c r="AE736">
        <v>1258</v>
      </c>
      <c r="AF736">
        <v>6426</v>
      </c>
    </row>
    <row r="737" spans="1:32">
      <c r="A737" t="s">
        <v>716</v>
      </c>
      <c r="B737" t="s">
        <v>717</v>
      </c>
      <c r="C737" t="str">
        <f>Data_Master[[#This Row],[Uniq-ID]]&amp;"-"&amp;Data_Master[[#This Row],[Period]]</f>
        <v>PE-Project_Engineer-002-M5</v>
      </c>
      <c r="D737" t="s">
        <v>718</v>
      </c>
      <c r="E737" t="s">
        <v>48</v>
      </c>
      <c r="F737" t="s">
        <v>493</v>
      </c>
      <c r="G737" t="s">
        <v>28</v>
      </c>
      <c r="H737" t="s">
        <v>56</v>
      </c>
      <c r="I737" t="s">
        <v>15</v>
      </c>
      <c r="J737" t="s">
        <v>719</v>
      </c>
      <c r="L737">
        <v>1</v>
      </c>
      <c r="AA737">
        <v>360</v>
      </c>
      <c r="AB737">
        <v>792</v>
      </c>
      <c r="AC737">
        <v>980</v>
      </c>
      <c r="AE737">
        <v>544</v>
      </c>
      <c r="AF737">
        <v>2676</v>
      </c>
    </row>
    <row r="738" spans="1:32">
      <c r="A738" t="s">
        <v>716</v>
      </c>
      <c r="B738" t="s">
        <v>717</v>
      </c>
      <c r="C738" t="str">
        <f>Data_Master[[#This Row],[Uniq-ID]]&amp;"-"&amp;Data_Master[[#This Row],[Period]]</f>
        <v>PE-Project_Engineer-002-M6</v>
      </c>
      <c r="D738" t="s">
        <v>718</v>
      </c>
      <c r="E738" t="s">
        <v>48</v>
      </c>
      <c r="F738" t="s">
        <v>493</v>
      </c>
      <c r="G738" t="s">
        <v>31</v>
      </c>
      <c r="H738" t="s">
        <v>57</v>
      </c>
      <c r="I738" t="s">
        <v>33</v>
      </c>
      <c r="J738" t="s">
        <v>44</v>
      </c>
    </row>
    <row r="739" spans="1:32">
      <c r="A739" t="s">
        <v>716</v>
      </c>
      <c r="B739" t="s">
        <v>777</v>
      </c>
      <c r="C739" t="str">
        <f>Data_Master[[#This Row],[Uniq-ID]]&amp;"-"&amp;Data_Master[[#This Row],[Period]]</f>
        <v>PE-Project_Engineer-003-M1</v>
      </c>
      <c r="D739" t="s">
        <v>778</v>
      </c>
      <c r="E739" t="s">
        <v>48</v>
      </c>
      <c r="F739" t="s">
        <v>475</v>
      </c>
      <c r="G739" t="s">
        <v>13</v>
      </c>
      <c r="H739" t="s">
        <v>49</v>
      </c>
      <c r="I739" t="s">
        <v>15</v>
      </c>
      <c r="J739" t="s">
        <v>719</v>
      </c>
      <c r="L739">
        <v>1</v>
      </c>
      <c r="AA739">
        <v>776</v>
      </c>
      <c r="AB739">
        <v>1140</v>
      </c>
      <c r="AC739">
        <v>1076</v>
      </c>
      <c r="AE739">
        <v>472</v>
      </c>
      <c r="AF739">
        <v>3464</v>
      </c>
    </row>
    <row r="740" spans="1:32">
      <c r="A740" t="s">
        <v>716</v>
      </c>
      <c r="B740" t="s">
        <v>777</v>
      </c>
      <c r="C740" t="str">
        <f>Data_Master[[#This Row],[Uniq-ID]]&amp;"-"&amp;Data_Master[[#This Row],[Period]]</f>
        <v>PE-Project_Engineer-003-M2</v>
      </c>
      <c r="D740" t="s">
        <v>778</v>
      </c>
      <c r="E740" t="s">
        <v>48</v>
      </c>
      <c r="F740" t="s">
        <v>475</v>
      </c>
      <c r="G740" t="s">
        <v>18</v>
      </c>
      <c r="H740" t="s">
        <v>51</v>
      </c>
      <c r="I740" t="s">
        <v>15</v>
      </c>
      <c r="J740" t="s">
        <v>44</v>
      </c>
      <c r="L740">
        <v>0.5</v>
      </c>
      <c r="AB740">
        <v>24</v>
      </c>
      <c r="AC740">
        <v>56</v>
      </c>
      <c r="AE740">
        <v>194</v>
      </c>
      <c r="AF740">
        <v>274</v>
      </c>
    </row>
    <row r="741" spans="1:32">
      <c r="A741" t="s">
        <v>716</v>
      </c>
      <c r="B741" t="s">
        <v>777</v>
      </c>
      <c r="C741" t="str">
        <f>Data_Master[[#This Row],[Uniq-ID]]&amp;"-"&amp;Data_Master[[#This Row],[Period]]</f>
        <v>PE-Project_Engineer-003-M3</v>
      </c>
      <c r="D741" t="s">
        <v>778</v>
      </c>
      <c r="E741" t="s">
        <v>48</v>
      </c>
      <c r="F741" t="s">
        <v>475</v>
      </c>
      <c r="G741" t="s">
        <v>22</v>
      </c>
      <c r="H741" t="s">
        <v>52</v>
      </c>
      <c r="I741" t="s">
        <v>15</v>
      </c>
      <c r="J741" t="s">
        <v>44</v>
      </c>
      <c r="L741">
        <v>0.5</v>
      </c>
      <c r="AE741">
        <v>90</v>
      </c>
      <c r="AF741">
        <v>90</v>
      </c>
    </row>
    <row r="742" spans="1:32">
      <c r="A742" t="s">
        <v>716</v>
      </c>
      <c r="B742" t="s">
        <v>777</v>
      </c>
      <c r="C742" t="str">
        <f>Data_Master[[#This Row],[Uniq-ID]]&amp;"-"&amp;Data_Master[[#This Row],[Period]]</f>
        <v>PE-Project_Engineer-003-M4</v>
      </c>
      <c r="D742" t="s">
        <v>778</v>
      </c>
      <c r="E742" t="s">
        <v>48</v>
      </c>
      <c r="F742" t="s">
        <v>475</v>
      </c>
      <c r="G742" t="s">
        <v>25</v>
      </c>
      <c r="H742" t="s">
        <v>54</v>
      </c>
      <c r="I742" t="s">
        <v>15</v>
      </c>
      <c r="J742" t="s">
        <v>44</v>
      </c>
    </row>
    <row r="743" spans="1:32">
      <c r="A743" t="s">
        <v>716</v>
      </c>
      <c r="B743" t="s">
        <v>777</v>
      </c>
      <c r="C743" t="str">
        <f>Data_Master[[#This Row],[Uniq-ID]]&amp;"-"&amp;Data_Master[[#This Row],[Period]]</f>
        <v>PE-Project_Engineer-003-M5</v>
      </c>
      <c r="D743" t="s">
        <v>778</v>
      </c>
      <c r="E743" t="s">
        <v>48</v>
      </c>
      <c r="F743" t="s">
        <v>475</v>
      </c>
      <c r="G743" t="s">
        <v>28</v>
      </c>
      <c r="H743" t="s">
        <v>56</v>
      </c>
      <c r="I743" t="s">
        <v>15</v>
      </c>
      <c r="J743" t="s">
        <v>44</v>
      </c>
    </row>
    <row r="744" spans="1:32">
      <c r="A744" t="s">
        <v>716</v>
      </c>
      <c r="B744" t="s">
        <v>777</v>
      </c>
      <c r="C744" t="str">
        <f>Data_Master[[#This Row],[Uniq-ID]]&amp;"-"&amp;Data_Master[[#This Row],[Period]]</f>
        <v>PE-Project_Engineer-003-M6</v>
      </c>
      <c r="D744" t="s">
        <v>778</v>
      </c>
      <c r="E744" t="s">
        <v>48</v>
      </c>
      <c r="F744" t="s">
        <v>475</v>
      </c>
      <c r="G744" t="s">
        <v>31</v>
      </c>
      <c r="H744" t="s">
        <v>57</v>
      </c>
      <c r="I744" t="s">
        <v>33</v>
      </c>
      <c r="J744" t="s">
        <v>44</v>
      </c>
    </row>
    <row r="745" spans="1:32">
      <c r="A745" t="s">
        <v>716</v>
      </c>
      <c r="B745" t="s">
        <v>734</v>
      </c>
      <c r="C745" t="str">
        <f>Data_Master[[#This Row],[Uniq-ID]]&amp;"-"&amp;Data_Master[[#This Row],[Period]]</f>
        <v>PE-Project_Engineer-004-M1</v>
      </c>
      <c r="D745" t="s">
        <v>735</v>
      </c>
      <c r="E745" t="s">
        <v>76</v>
      </c>
      <c r="F745" t="s">
        <v>441</v>
      </c>
      <c r="G745" t="s">
        <v>13</v>
      </c>
      <c r="H745" t="s">
        <v>49</v>
      </c>
      <c r="I745" t="s">
        <v>15</v>
      </c>
      <c r="J745" t="s">
        <v>16</v>
      </c>
      <c r="L745">
        <v>1.01</v>
      </c>
      <c r="AA745">
        <v>1980</v>
      </c>
      <c r="AB745">
        <v>3366</v>
      </c>
      <c r="AC745">
        <v>552</v>
      </c>
      <c r="AE745">
        <v>172</v>
      </c>
      <c r="AF745">
        <v>6070</v>
      </c>
    </row>
    <row r="746" spans="1:32">
      <c r="A746" t="s">
        <v>716</v>
      </c>
      <c r="B746" t="s">
        <v>734</v>
      </c>
      <c r="C746" t="str">
        <f>Data_Master[[#This Row],[Uniq-ID]]&amp;"-"&amp;Data_Master[[#This Row],[Period]]</f>
        <v>PE-Project_Engineer-004-M2</v>
      </c>
      <c r="D746" t="s">
        <v>735</v>
      </c>
      <c r="E746" t="s">
        <v>76</v>
      </c>
      <c r="F746" t="s">
        <v>441</v>
      </c>
      <c r="G746" t="s">
        <v>18</v>
      </c>
      <c r="H746" t="s">
        <v>51</v>
      </c>
      <c r="I746" t="s">
        <v>15</v>
      </c>
      <c r="J746" t="s">
        <v>44</v>
      </c>
      <c r="L746">
        <v>0.69</v>
      </c>
      <c r="AA746">
        <v>44</v>
      </c>
      <c r="AB746">
        <v>1020</v>
      </c>
      <c r="AC746">
        <v>244</v>
      </c>
      <c r="AE746">
        <v>64</v>
      </c>
      <c r="AF746">
        <v>1372</v>
      </c>
    </row>
    <row r="747" spans="1:32">
      <c r="A747" t="s">
        <v>716</v>
      </c>
      <c r="B747" t="s">
        <v>734</v>
      </c>
      <c r="C747" t="str">
        <f>Data_Master[[#This Row],[Uniq-ID]]&amp;"-"&amp;Data_Master[[#This Row],[Period]]</f>
        <v>PE-Project_Engineer-004-M3</v>
      </c>
      <c r="D747" t="s">
        <v>735</v>
      </c>
      <c r="E747" t="s">
        <v>76</v>
      </c>
      <c r="F747" t="s">
        <v>441</v>
      </c>
      <c r="G747" t="s">
        <v>22</v>
      </c>
      <c r="H747" t="s">
        <v>52</v>
      </c>
      <c r="I747" t="s">
        <v>15</v>
      </c>
      <c r="J747" t="s">
        <v>44</v>
      </c>
      <c r="L747">
        <v>0.5</v>
      </c>
      <c r="AB747">
        <v>180</v>
      </c>
      <c r="AC747">
        <v>248</v>
      </c>
      <c r="AE747">
        <v>114</v>
      </c>
      <c r="AF747">
        <v>542</v>
      </c>
    </row>
    <row r="748" spans="1:32">
      <c r="A748" t="s">
        <v>716</v>
      </c>
      <c r="B748" t="s">
        <v>734</v>
      </c>
      <c r="C748" t="str">
        <f>Data_Master[[#This Row],[Uniq-ID]]&amp;"-"&amp;Data_Master[[#This Row],[Period]]</f>
        <v>PE-Project_Engineer-004-M4</v>
      </c>
      <c r="D748" t="s">
        <v>735</v>
      </c>
      <c r="E748" t="s">
        <v>76</v>
      </c>
      <c r="F748" t="s">
        <v>441</v>
      </c>
      <c r="G748" t="s">
        <v>25</v>
      </c>
      <c r="H748" t="s">
        <v>54</v>
      </c>
      <c r="I748" t="s">
        <v>15</v>
      </c>
      <c r="J748" t="s">
        <v>44</v>
      </c>
      <c r="L748">
        <v>0.5</v>
      </c>
      <c r="AA748">
        <v>24</v>
      </c>
      <c r="AB748">
        <v>144</v>
      </c>
      <c r="AC748">
        <v>544</v>
      </c>
      <c r="AE748">
        <v>88</v>
      </c>
      <c r="AF748">
        <v>800</v>
      </c>
    </row>
    <row r="749" spans="1:32">
      <c r="A749" t="s">
        <v>716</v>
      </c>
      <c r="B749" t="s">
        <v>734</v>
      </c>
      <c r="C749" t="str">
        <f>Data_Master[[#This Row],[Uniq-ID]]&amp;"-"&amp;Data_Master[[#This Row],[Period]]</f>
        <v>PE-Project_Engineer-004-M5</v>
      </c>
      <c r="D749" t="s">
        <v>735</v>
      </c>
      <c r="E749" t="s">
        <v>76</v>
      </c>
      <c r="F749" t="s">
        <v>441</v>
      </c>
      <c r="G749" t="s">
        <v>28</v>
      </c>
      <c r="H749" t="s">
        <v>56</v>
      </c>
      <c r="I749" t="s">
        <v>15</v>
      </c>
      <c r="J749" t="s">
        <v>44</v>
      </c>
      <c r="L749">
        <v>0.5</v>
      </c>
      <c r="AB749">
        <v>24</v>
      </c>
      <c r="AC749">
        <v>48</v>
      </c>
      <c r="AE749">
        <v>124</v>
      </c>
      <c r="AF749">
        <v>196</v>
      </c>
    </row>
    <row r="750" spans="1:32">
      <c r="A750" t="s">
        <v>716</v>
      </c>
      <c r="B750" t="s">
        <v>734</v>
      </c>
      <c r="C750" t="str">
        <f>Data_Master[[#This Row],[Uniq-ID]]&amp;"-"&amp;Data_Master[[#This Row],[Period]]</f>
        <v>PE-Project_Engineer-004-M6</v>
      </c>
      <c r="D750" t="s">
        <v>735</v>
      </c>
      <c r="E750" t="s">
        <v>76</v>
      </c>
      <c r="F750" t="s">
        <v>441</v>
      </c>
      <c r="G750" t="s">
        <v>31</v>
      </c>
      <c r="H750" t="s">
        <v>57</v>
      </c>
      <c r="I750" t="s">
        <v>33</v>
      </c>
      <c r="J750" t="s">
        <v>44</v>
      </c>
    </row>
    <row r="751" spans="1:32">
      <c r="A751" t="s">
        <v>716</v>
      </c>
      <c r="B751" t="s">
        <v>833</v>
      </c>
      <c r="C751" t="str">
        <f>Data_Master[[#This Row],[Uniq-ID]]&amp;"-"&amp;Data_Master[[#This Row],[Period]]</f>
        <v>PE-Project_Engineer-005-M1</v>
      </c>
      <c r="D751" t="s">
        <v>834</v>
      </c>
      <c r="E751" t="s">
        <v>48</v>
      </c>
      <c r="F751" t="s">
        <v>446</v>
      </c>
      <c r="G751" t="s">
        <v>13</v>
      </c>
      <c r="H751" t="s">
        <v>835</v>
      </c>
      <c r="I751" t="s">
        <v>15</v>
      </c>
      <c r="J751" t="s">
        <v>44</v>
      </c>
    </row>
    <row r="752" spans="1:32">
      <c r="A752" t="s">
        <v>716</v>
      </c>
      <c r="B752" t="s">
        <v>833</v>
      </c>
      <c r="C752" t="str">
        <f>Data_Master[[#This Row],[Uniq-ID]]&amp;"-"&amp;Data_Master[[#This Row],[Period]]</f>
        <v>PE-Project_Engineer-005-M2</v>
      </c>
      <c r="D752" t="s">
        <v>834</v>
      </c>
      <c r="E752" t="s">
        <v>48</v>
      </c>
      <c r="F752" t="s">
        <v>446</v>
      </c>
      <c r="G752" t="s">
        <v>18</v>
      </c>
      <c r="H752" t="s">
        <v>836</v>
      </c>
      <c r="I752" t="s">
        <v>15</v>
      </c>
      <c r="J752" t="s">
        <v>44</v>
      </c>
    </row>
    <row r="753" spans="1:32">
      <c r="A753" t="s">
        <v>716</v>
      </c>
      <c r="B753" t="s">
        <v>833</v>
      </c>
      <c r="C753" t="str">
        <f>Data_Master[[#This Row],[Uniq-ID]]&amp;"-"&amp;Data_Master[[#This Row],[Period]]</f>
        <v>PE-Project_Engineer-005-M3</v>
      </c>
      <c r="D753" t="s">
        <v>834</v>
      </c>
      <c r="E753" t="s">
        <v>48</v>
      </c>
      <c r="F753" t="s">
        <v>446</v>
      </c>
      <c r="G753" t="s">
        <v>22</v>
      </c>
      <c r="H753" t="s">
        <v>113</v>
      </c>
      <c r="I753" t="s">
        <v>15</v>
      </c>
      <c r="J753" t="s">
        <v>44</v>
      </c>
    </row>
    <row r="754" spans="1:32">
      <c r="A754" t="s">
        <v>716</v>
      </c>
      <c r="B754" t="s">
        <v>833</v>
      </c>
      <c r="C754" t="str">
        <f>Data_Master[[#This Row],[Uniq-ID]]&amp;"-"&amp;Data_Master[[#This Row],[Period]]</f>
        <v>PE-Project_Engineer-005-M4</v>
      </c>
      <c r="D754" t="s">
        <v>834</v>
      </c>
      <c r="E754" t="s">
        <v>48</v>
      </c>
      <c r="F754" t="s">
        <v>446</v>
      </c>
      <c r="G754" t="s">
        <v>25</v>
      </c>
      <c r="H754" t="s">
        <v>115</v>
      </c>
      <c r="I754" t="s">
        <v>15</v>
      </c>
      <c r="J754" t="s">
        <v>44</v>
      </c>
    </row>
    <row r="755" spans="1:32">
      <c r="A755" t="s">
        <v>716</v>
      </c>
      <c r="B755" t="s">
        <v>833</v>
      </c>
      <c r="C755" t="str">
        <f>Data_Master[[#This Row],[Uniq-ID]]&amp;"-"&amp;Data_Master[[#This Row],[Period]]</f>
        <v>PE-Project_Engineer-005-M5</v>
      </c>
      <c r="D755" t="s">
        <v>834</v>
      </c>
      <c r="E755" t="s">
        <v>48</v>
      </c>
      <c r="F755" t="s">
        <v>446</v>
      </c>
      <c r="G755" t="s">
        <v>28</v>
      </c>
      <c r="H755" t="s">
        <v>117</v>
      </c>
      <c r="I755" t="s">
        <v>15</v>
      </c>
      <c r="J755" t="s">
        <v>44</v>
      </c>
    </row>
    <row r="756" spans="1:32">
      <c r="A756" t="s">
        <v>716</v>
      </c>
      <c r="B756" t="s">
        <v>833</v>
      </c>
      <c r="C756" t="str">
        <f>Data_Master[[#This Row],[Uniq-ID]]&amp;"-"&amp;Data_Master[[#This Row],[Period]]</f>
        <v>PE-Project_Engineer-005-M6</v>
      </c>
      <c r="D756" t="s">
        <v>834</v>
      </c>
      <c r="E756" t="s">
        <v>48</v>
      </c>
      <c r="F756" t="s">
        <v>446</v>
      </c>
      <c r="G756" t="s">
        <v>31</v>
      </c>
      <c r="H756" t="s">
        <v>119</v>
      </c>
      <c r="I756" t="s">
        <v>33</v>
      </c>
      <c r="J756" t="s">
        <v>44</v>
      </c>
    </row>
    <row r="757" spans="1:32">
      <c r="A757" t="s">
        <v>716</v>
      </c>
      <c r="B757" t="s">
        <v>845</v>
      </c>
      <c r="C757" t="str">
        <f>Data_Master[[#This Row],[Uniq-ID]]&amp;"-"&amp;Data_Master[[#This Row],[Period]]</f>
        <v>PE-Project_Engineer-006-M1</v>
      </c>
      <c r="D757" t="s">
        <v>846</v>
      </c>
      <c r="E757" t="s">
        <v>847</v>
      </c>
      <c r="F757" t="s">
        <v>446</v>
      </c>
      <c r="G757" t="s">
        <v>13</v>
      </c>
      <c r="H757" t="s">
        <v>332</v>
      </c>
      <c r="I757" t="s">
        <v>15</v>
      </c>
      <c r="J757" t="s">
        <v>44</v>
      </c>
    </row>
    <row r="758" spans="1:32">
      <c r="A758" t="s">
        <v>716</v>
      </c>
      <c r="B758" t="s">
        <v>845</v>
      </c>
      <c r="C758" t="str">
        <f>Data_Master[[#This Row],[Uniq-ID]]&amp;"-"&amp;Data_Master[[#This Row],[Period]]</f>
        <v>PE-Project_Engineer-006-M2</v>
      </c>
      <c r="D758" t="s">
        <v>846</v>
      </c>
      <c r="E758" t="s">
        <v>847</v>
      </c>
      <c r="F758" t="s">
        <v>446</v>
      </c>
      <c r="G758" t="s">
        <v>18</v>
      </c>
      <c r="H758" t="s">
        <v>334</v>
      </c>
      <c r="I758" t="s">
        <v>15</v>
      </c>
      <c r="J758" t="s">
        <v>44</v>
      </c>
    </row>
    <row r="759" spans="1:32">
      <c r="A759" t="s">
        <v>716</v>
      </c>
      <c r="B759" t="s">
        <v>845</v>
      </c>
      <c r="C759" t="str">
        <f>Data_Master[[#This Row],[Uniq-ID]]&amp;"-"&amp;Data_Master[[#This Row],[Period]]</f>
        <v>PE-Project_Engineer-006-M3</v>
      </c>
      <c r="D759" t="s">
        <v>846</v>
      </c>
      <c r="E759" t="s">
        <v>847</v>
      </c>
      <c r="F759" t="s">
        <v>446</v>
      </c>
      <c r="G759" t="s">
        <v>22</v>
      </c>
      <c r="H759" t="s">
        <v>336</v>
      </c>
      <c r="I759" t="s">
        <v>15</v>
      </c>
      <c r="J759" t="s">
        <v>44</v>
      </c>
    </row>
    <row r="760" spans="1:32">
      <c r="A760" t="s">
        <v>716</v>
      </c>
      <c r="B760" t="s">
        <v>845</v>
      </c>
      <c r="C760" t="str">
        <f>Data_Master[[#This Row],[Uniq-ID]]&amp;"-"&amp;Data_Master[[#This Row],[Period]]</f>
        <v>PE-Project_Engineer-006-M4</v>
      </c>
      <c r="D760" t="s">
        <v>846</v>
      </c>
      <c r="E760" t="s">
        <v>847</v>
      </c>
      <c r="F760" t="s">
        <v>446</v>
      </c>
      <c r="G760" t="s">
        <v>25</v>
      </c>
      <c r="H760" t="s">
        <v>337</v>
      </c>
      <c r="I760" t="s">
        <v>15</v>
      </c>
      <c r="J760" t="s">
        <v>44</v>
      </c>
    </row>
    <row r="761" spans="1:32">
      <c r="A761" t="s">
        <v>716</v>
      </c>
      <c r="B761" t="s">
        <v>845</v>
      </c>
      <c r="C761" t="str">
        <f>Data_Master[[#This Row],[Uniq-ID]]&amp;"-"&amp;Data_Master[[#This Row],[Period]]</f>
        <v>PE-Project_Engineer-006-M5</v>
      </c>
      <c r="D761" t="s">
        <v>846</v>
      </c>
      <c r="E761" t="s">
        <v>847</v>
      </c>
      <c r="F761" t="s">
        <v>446</v>
      </c>
      <c r="G761" t="s">
        <v>28</v>
      </c>
      <c r="H761" t="s">
        <v>338</v>
      </c>
      <c r="I761" t="s">
        <v>15</v>
      </c>
      <c r="J761" t="s">
        <v>44</v>
      </c>
    </row>
    <row r="762" spans="1:32">
      <c r="A762" t="s">
        <v>716</v>
      </c>
      <c r="B762" t="s">
        <v>845</v>
      </c>
      <c r="C762" t="str">
        <f>Data_Master[[#This Row],[Uniq-ID]]&amp;"-"&amp;Data_Master[[#This Row],[Period]]</f>
        <v>PE-Project_Engineer-006-M6</v>
      </c>
      <c r="D762" t="s">
        <v>846</v>
      </c>
      <c r="E762" t="s">
        <v>847</v>
      </c>
      <c r="F762" t="s">
        <v>446</v>
      </c>
      <c r="G762" t="s">
        <v>31</v>
      </c>
      <c r="H762" t="s">
        <v>339</v>
      </c>
      <c r="I762" t="s">
        <v>33</v>
      </c>
      <c r="J762" t="s">
        <v>44</v>
      </c>
    </row>
    <row r="763" spans="1:32">
      <c r="A763" t="s">
        <v>716</v>
      </c>
      <c r="B763" t="s">
        <v>756</v>
      </c>
      <c r="C763" t="str">
        <f>Data_Master[[#This Row],[Uniq-ID]]&amp;"-"&amp;Data_Master[[#This Row],[Period]]</f>
        <v>PE-Project_Engineer-007-M1</v>
      </c>
      <c r="D763" t="s">
        <v>757</v>
      </c>
      <c r="E763" t="s">
        <v>11</v>
      </c>
      <c r="F763" t="s">
        <v>461</v>
      </c>
      <c r="G763" t="s">
        <v>13</v>
      </c>
      <c r="H763" t="s">
        <v>758</v>
      </c>
      <c r="I763" t="s">
        <v>15</v>
      </c>
      <c r="J763" t="s">
        <v>719</v>
      </c>
      <c r="L763">
        <v>1</v>
      </c>
      <c r="AA763">
        <v>356</v>
      </c>
      <c r="AB763">
        <v>1086</v>
      </c>
      <c r="AC763">
        <v>380</v>
      </c>
      <c r="AE763">
        <v>710</v>
      </c>
      <c r="AF763">
        <v>2532</v>
      </c>
    </row>
    <row r="764" spans="1:32">
      <c r="A764" t="s">
        <v>716</v>
      </c>
      <c r="B764" t="s">
        <v>756</v>
      </c>
      <c r="C764" t="str">
        <f>Data_Master[[#This Row],[Uniq-ID]]&amp;"-"&amp;Data_Master[[#This Row],[Period]]</f>
        <v>PE-Project_Engineer-007-M2</v>
      </c>
      <c r="D764" t="s">
        <v>757</v>
      </c>
      <c r="E764" t="s">
        <v>11</v>
      </c>
      <c r="F764" t="s">
        <v>461</v>
      </c>
      <c r="G764" t="s">
        <v>18</v>
      </c>
      <c r="H764" t="s">
        <v>759</v>
      </c>
      <c r="I764" t="s">
        <v>15</v>
      </c>
      <c r="J764" t="s">
        <v>16</v>
      </c>
      <c r="L764">
        <v>1.5</v>
      </c>
      <c r="AA764">
        <v>4004</v>
      </c>
      <c r="AB764">
        <v>5802</v>
      </c>
      <c r="AC764">
        <v>760</v>
      </c>
      <c r="AE764">
        <v>518</v>
      </c>
      <c r="AF764">
        <v>11084</v>
      </c>
    </row>
    <row r="765" spans="1:32">
      <c r="A765" t="s">
        <v>716</v>
      </c>
      <c r="B765" t="s">
        <v>756</v>
      </c>
      <c r="C765" t="str">
        <f>Data_Master[[#This Row],[Uniq-ID]]&amp;"-"&amp;Data_Master[[#This Row],[Period]]</f>
        <v>PE-Project_Engineer-007-M3</v>
      </c>
      <c r="D765" t="s">
        <v>757</v>
      </c>
      <c r="E765" t="s">
        <v>11</v>
      </c>
      <c r="F765" t="s">
        <v>461</v>
      </c>
      <c r="G765" t="s">
        <v>22</v>
      </c>
      <c r="H765" t="s">
        <v>760</v>
      </c>
      <c r="I765" t="s">
        <v>15</v>
      </c>
      <c r="J765" t="s">
        <v>16</v>
      </c>
      <c r="L765">
        <v>1.41</v>
      </c>
      <c r="AA765">
        <v>1360</v>
      </c>
      <c r="AB765">
        <v>2298</v>
      </c>
      <c r="AC765">
        <v>3004</v>
      </c>
      <c r="AE765">
        <v>1798</v>
      </c>
      <c r="AF765">
        <v>8460</v>
      </c>
    </row>
    <row r="766" spans="1:32">
      <c r="A766" t="s">
        <v>716</v>
      </c>
      <c r="B766" t="s">
        <v>756</v>
      </c>
      <c r="C766" t="str">
        <f>Data_Master[[#This Row],[Uniq-ID]]&amp;"-"&amp;Data_Master[[#This Row],[Period]]</f>
        <v>PE-Project_Engineer-007-M4</v>
      </c>
      <c r="D766" t="s">
        <v>757</v>
      </c>
      <c r="E766" t="s">
        <v>11</v>
      </c>
      <c r="F766" t="s">
        <v>461</v>
      </c>
      <c r="G766" t="s">
        <v>25</v>
      </c>
      <c r="H766" t="s">
        <v>761</v>
      </c>
      <c r="I766" t="s">
        <v>15</v>
      </c>
      <c r="J766" t="s">
        <v>16</v>
      </c>
      <c r="L766">
        <v>1.5</v>
      </c>
      <c r="AA766">
        <v>2280</v>
      </c>
      <c r="AB766">
        <v>3690</v>
      </c>
      <c r="AC766">
        <v>2156</v>
      </c>
      <c r="AE766">
        <v>888</v>
      </c>
      <c r="AF766">
        <v>9014</v>
      </c>
    </row>
    <row r="767" spans="1:32">
      <c r="A767" t="s">
        <v>716</v>
      </c>
      <c r="B767" t="s">
        <v>756</v>
      </c>
      <c r="C767" t="str">
        <f>Data_Master[[#This Row],[Uniq-ID]]&amp;"-"&amp;Data_Master[[#This Row],[Period]]</f>
        <v>PE-Project_Engineer-007-M5</v>
      </c>
      <c r="D767" t="s">
        <v>757</v>
      </c>
      <c r="E767" t="s">
        <v>11</v>
      </c>
      <c r="F767" t="s">
        <v>461</v>
      </c>
      <c r="G767" t="s">
        <v>28</v>
      </c>
      <c r="H767" t="s">
        <v>762</v>
      </c>
      <c r="I767" t="s">
        <v>15</v>
      </c>
      <c r="J767" t="s">
        <v>16</v>
      </c>
      <c r="L767">
        <v>1.5</v>
      </c>
      <c r="AA767">
        <v>4196</v>
      </c>
      <c r="AB767">
        <v>5934</v>
      </c>
      <c r="AC767">
        <v>1140</v>
      </c>
      <c r="AE767">
        <v>1996</v>
      </c>
      <c r="AF767">
        <v>13266</v>
      </c>
    </row>
    <row r="768" spans="1:32">
      <c r="A768" t="s">
        <v>716</v>
      </c>
      <c r="B768" t="s">
        <v>756</v>
      </c>
      <c r="C768" t="str">
        <f>Data_Master[[#This Row],[Uniq-ID]]&amp;"-"&amp;Data_Master[[#This Row],[Period]]</f>
        <v>PE-Project_Engineer-007-M6</v>
      </c>
      <c r="D768" t="s">
        <v>757</v>
      </c>
      <c r="E768" t="s">
        <v>11</v>
      </c>
      <c r="F768" t="s">
        <v>461</v>
      </c>
      <c r="G768" t="s">
        <v>31</v>
      </c>
      <c r="H768" t="s">
        <v>763</v>
      </c>
      <c r="I768" t="s">
        <v>33</v>
      </c>
      <c r="J768" t="s">
        <v>44</v>
      </c>
    </row>
    <row r="769" spans="1:32">
      <c r="A769" t="s">
        <v>716</v>
      </c>
      <c r="B769" t="s">
        <v>854</v>
      </c>
      <c r="C769" t="str">
        <f>Data_Master[[#This Row],[Uniq-ID]]&amp;"-"&amp;Data_Master[[#This Row],[Period]]</f>
        <v>PE-Project_Engineer-008-M1</v>
      </c>
      <c r="D769" t="s">
        <v>855</v>
      </c>
      <c r="E769" t="s">
        <v>48</v>
      </c>
      <c r="F769" t="s">
        <v>446</v>
      </c>
      <c r="G769" t="s">
        <v>13</v>
      </c>
      <c r="H769" t="s">
        <v>758</v>
      </c>
      <c r="I769" t="s">
        <v>15</v>
      </c>
      <c r="J769" t="s">
        <v>44</v>
      </c>
    </row>
    <row r="770" spans="1:32">
      <c r="A770" t="s">
        <v>716</v>
      </c>
      <c r="B770" t="s">
        <v>854</v>
      </c>
      <c r="C770" t="str">
        <f>Data_Master[[#This Row],[Uniq-ID]]&amp;"-"&amp;Data_Master[[#This Row],[Period]]</f>
        <v>PE-Project_Engineer-008-M2</v>
      </c>
      <c r="D770" t="s">
        <v>855</v>
      </c>
      <c r="E770" t="s">
        <v>48</v>
      </c>
      <c r="F770" t="s">
        <v>446</v>
      </c>
      <c r="G770" t="s">
        <v>18</v>
      </c>
      <c r="H770" t="s">
        <v>759</v>
      </c>
      <c r="I770" t="s">
        <v>15</v>
      </c>
      <c r="J770" t="s">
        <v>719</v>
      </c>
      <c r="L770">
        <v>1</v>
      </c>
      <c r="AA770">
        <v>1000</v>
      </c>
      <c r="AB770">
        <v>1410</v>
      </c>
      <c r="AC770">
        <v>460</v>
      </c>
      <c r="AE770">
        <v>140</v>
      </c>
      <c r="AF770">
        <v>3010</v>
      </c>
    </row>
    <row r="771" spans="1:32">
      <c r="A771" t="s">
        <v>716</v>
      </c>
      <c r="B771" t="s">
        <v>854</v>
      </c>
      <c r="C771" t="str">
        <f>Data_Master[[#This Row],[Uniq-ID]]&amp;"-"&amp;Data_Master[[#This Row],[Period]]</f>
        <v>PE-Project_Engineer-008-M3</v>
      </c>
      <c r="D771" t="s">
        <v>855</v>
      </c>
      <c r="E771" t="s">
        <v>48</v>
      </c>
      <c r="F771" t="s">
        <v>446</v>
      </c>
      <c r="G771" t="s">
        <v>22</v>
      </c>
      <c r="H771" t="s">
        <v>760</v>
      </c>
      <c r="I771" t="s">
        <v>15</v>
      </c>
      <c r="J771" t="s">
        <v>719</v>
      </c>
      <c r="L771">
        <v>1</v>
      </c>
      <c r="AA771">
        <v>990</v>
      </c>
      <c r="AB771">
        <v>1485</v>
      </c>
      <c r="AC771">
        <v>1070</v>
      </c>
      <c r="AE771">
        <v>855</v>
      </c>
      <c r="AF771">
        <v>4400</v>
      </c>
    </row>
    <row r="772" spans="1:32">
      <c r="A772" t="s">
        <v>716</v>
      </c>
      <c r="B772" t="s">
        <v>854</v>
      </c>
      <c r="C772" t="str">
        <f>Data_Master[[#This Row],[Uniq-ID]]&amp;"-"&amp;Data_Master[[#This Row],[Period]]</f>
        <v>PE-Project_Engineer-008-M4</v>
      </c>
      <c r="D772" t="s">
        <v>855</v>
      </c>
      <c r="E772" t="s">
        <v>48</v>
      </c>
      <c r="F772" t="s">
        <v>446</v>
      </c>
      <c r="G772" t="s">
        <v>25</v>
      </c>
      <c r="H772" t="s">
        <v>761</v>
      </c>
      <c r="I772" t="s">
        <v>15</v>
      </c>
      <c r="J772" t="s">
        <v>719</v>
      </c>
      <c r="L772">
        <v>1</v>
      </c>
      <c r="AA772">
        <v>440</v>
      </c>
      <c r="AB772">
        <v>870</v>
      </c>
      <c r="AC772">
        <v>900</v>
      </c>
      <c r="AE772">
        <v>210</v>
      </c>
      <c r="AF772">
        <v>2420</v>
      </c>
    </row>
    <row r="773" spans="1:32">
      <c r="A773" t="s">
        <v>716</v>
      </c>
      <c r="B773" t="s">
        <v>854</v>
      </c>
      <c r="C773" t="str">
        <f>Data_Master[[#This Row],[Uniq-ID]]&amp;"-"&amp;Data_Master[[#This Row],[Period]]</f>
        <v>PE-Project_Engineer-008-M5</v>
      </c>
      <c r="D773" t="s">
        <v>855</v>
      </c>
      <c r="E773" t="s">
        <v>48</v>
      </c>
      <c r="F773" t="s">
        <v>446</v>
      </c>
      <c r="G773" t="s">
        <v>28</v>
      </c>
      <c r="H773" t="s">
        <v>762</v>
      </c>
      <c r="I773" t="s">
        <v>15</v>
      </c>
      <c r="J773" t="s">
        <v>719</v>
      </c>
      <c r="L773">
        <v>1</v>
      </c>
      <c r="AA773">
        <v>420</v>
      </c>
      <c r="AB773">
        <v>540</v>
      </c>
      <c r="AC773">
        <v>840</v>
      </c>
      <c r="AE773">
        <v>630</v>
      </c>
      <c r="AF773">
        <v>2430</v>
      </c>
    </row>
    <row r="774" spans="1:32">
      <c r="A774" t="s">
        <v>716</v>
      </c>
      <c r="B774" t="s">
        <v>854</v>
      </c>
      <c r="C774" t="str">
        <f>Data_Master[[#This Row],[Uniq-ID]]&amp;"-"&amp;Data_Master[[#This Row],[Period]]</f>
        <v>PE-Project_Engineer-008-M6</v>
      </c>
      <c r="D774" t="s">
        <v>855</v>
      </c>
      <c r="E774" t="s">
        <v>48</v>
      </c>
      <c r="F774" t="s">
        <v>446</v>
      </c>
      <c r="G774" t="s">
        <v>31</v>
      </c>
      <c r="H774" t="s">
        <v>763</v>
      </c>
      <c r="I774" t="s">
        <v>33</v>
      </c>
      <c r="J774" t="s">
        <v>44</v>
      </c>
    </row>
    <row r="775" spans="1:32">
      <c r="A775" t="s">
        <v>716</v>
      </c>
      <c r="B775" t="s">
        <v>862</v>
      </c>
      <c r="C775" t="str">
        <f>Data_Master[[#This Row],[Uniq-ID]]&amp;"-"&amp;Data_Master[[#This Row],[Period]]</f>
        <v>PE-Project_Engineer-009-M1</v>
      </c>
      <c r="D775" t="s">
        <v>863</v>
      </c>
      <c r="E775" t="s">
        <v>76</v>
      </c>
      <c r="F775" t="s">
        <v>461</v>
      </c>
      <c r="G775" t="s">
        <v>13</v>
      </c>
      <c r="H775" t="s">
        <v>122</v>
      </c>
      <c r="I775" t="s">
        <v>15</v>
      </c>
      <c r="J775" t="s">
        <v>16</v>
      </c>
      <c r="L775">
        <v>1.05</v>
      </c>
      <c r="AA775">
        <v>1144</v>
      </c>
      <c r="AB775">
        <v>1764</v>
      </c>
      <c r="AC775">
        <v>1920</v>
      </c>
      <c r="AE775">
        <v>1450</v>
      </c>
      <c r="AF775">
        <v>6278</v>
      </c>
    </row>
    <row r="776" spans="1:32">
      <c r="A776" t="s">
        <v>716</v>
      </c>
      <c r="B776" t="s">
        <v>862</v>
      </c>
      <c r="C776" t="str">
        <f>Data_Master[[#This Row],[Uniq-ID]]&amp;"-"&amp;Data_Master[[#This Row],[Period]]</f>
        <v>PE-Project_Engineer-009-M2</v>
      </c>
      <c r="D776" t="s">
        <v>863</v>
      </c>
      <c r="E776" t="s">
        <v>76</v>
      </c>
      <c r="F776" t="s">
        <v>461</v>
      </c>
      <c r="G776" t="s">
        <v>18</v>
      </c>
      <c r="H776" t="s">
        <v>124</v>
      </c>
      <c r="I776" t="s">
        <v>15</v>
      </c>
      <c r="J776" t="s">
        <v>719</v>
      </c>
      <c r="L776">
        <v>1</v>
      </c>
      <c r="AA776">
        <v>808</v>
      </c>
      <c r="AB776">
        <v>1236</v>
      </c>
      <c r="AC776">
        <v>1144</v>
      </c>
      <c r="AE776">
        <v>1034</v>
      </c>
      <c r="AF776">
        <v>4222</v>
      </c>
    </row>
    <row r="777" spans="1:32">
      <c r="A777" t="s">
        <v>716</v>
      </c>
      <c r="B777" t="s">
        <v>862</v>
      </c>
      <c r="C777" t="str">
        <f>Data_Master[[#This Row],[Uniq-ID]]&amp;"-"&amp;Data_Master[[#This Row],[Period]]</f>
        <v>PE-Project_Engineer-009-M3</v>
      </c>
      <c r="D777" t="s">
        <v>863</v>
      </c>
      <c r="E777" t="s">
        <v>76</v>
      </c>
      <c r="F777" t="s">
        <v>461</v>
      </c>
      <c r="G777" t="s">
        <v>22</v>
      </c>
      <c r="H777" t="s">
        <v>126</v>
      </c>
      <c r="I777" t="s">
        <v>15</v>
      </c>
      <c r="J777" t="s">
        <v>719</v>
      </c>
      <c r="L777">
        <v>1</v>
      </c>
      <c r="AA777">
        <v>800</v>
      </c>
      <c r="AB777">
        <v>1260</v>
      </c>
      <c r="AC777">
        <v>1264</v>
      </c>
      <c r="AE777">
        <v>544</v>
      </c>
      <c r="AF777">
        <v>3868</v>
      </c>
    </row>
    <row r="778" spans="1:32">
      <c r="A778" t="s">
        <v>716</v>
      </c>
      <c r="B778" t="s">
        <v>862</v>
      </c>
      <c r="C778" t="str">
        <f>Data_Master[[#This Row],[Uniq-ID]]&amp;"-"&amp;Data_Master[[#This Row],[Period]]</f>
        <v>PE-Project_Engineer-009-M4</v>
      </c>
      <c r="D778" t="s">
        <v>863</v>
      </c>
      <c r="E778" t="s">
        <v>76</v>
      </c>
      <c r="F778" t="s">
        <v>461</v>
      </c>
      <c r="G778" t="s">
        <v>25</v>
      </c>
      <c r="H778" t="s">
        <v>128</v>
      </c>
      <c r="I778" t="s">
        <v>15</v>
      </c>
      <c r="J778" t="s">
        <v>719</v>
      </c>
      <c r="L778">
        <v>1</v>
      </c>
      <c r="AA778">
        <v>736</v>
      </c>
      <c r="AB778">
        <v>1104</v>
      </c>
      <c r="AC778">
        <v>932</v>
      </c>
      <c r="AE778">
        <v>494</v>
      </c>
      <c r="AF778">
        <v>3266</v>
      </c>
    </row>
    <row r="779" spans="1:32">
      <c r="A779" t="s">
        <v>716</v>
      </c>
      <c r="B779" t="s">
        <v>862</v>
      </c>
      <c r="C779" t="str">
        <f>Data_Master[[#This Row],[Uniq-ID]]&amp;"-"&amp;Data_Master[[#This Row],[Period]]</f>
        <v>PE-Project_Engineer-009-M5</v>
      </c>
      <c r="D779" t="s">
        <v>863</v>
      </c>
      <c r="E779" t="s">
        <v>76</v>
      </c>
      <c r="F779" t="s">
        <v>461</v>
      </c>
      <c r="G779" t="s">
        <v>28</v>
      </c>
      <c r="H779" t="s">
        <v>130</v>
      </c>
      <c r="I779" t="s">
        <v>15</v>
      </c>
      <c r="J779" t="s">
        <v>719</v>
      </c>
      <c r="L779">
        <v>1</v>
      </c>
      <c r="AA779">
        <v>784</v>
      </c>
      <c r="AB779">
        <v>1176</v>
      </c>
      <c r="AC779">
        <v>888</v>
      </c>
      <c r="AE779">
        <v>460</v>
      </c>
      <c r="AF779">
        <v>3308</v>
      </c>
    </row>
    <row r="780" spans="1:32">
      <c r="A780" t="s">
        <v>716</v>
      </c>
      <c r="B780" t="s">
        <v>862</v>
      </c>
      <c r="C780" t="str">
        <f>Data_Master[[#This Row],[Uniq-ID]]&amp;"-"&amp;Data_Master[[#This Row],[Period]]</f>
        <v>PE-Project_Engineer-009-M6</v>
      </c>
      <c r="D780" t="s">
        <v>863</v>
      </c>
      <c r="E780" t="s">
        <v>76</v>
      </c>
      <c r="F780" t="s">
        <v>461</v>
      </c>
      <c r="G780" t="s">
        <v>31</v>
      </c>
      <c r="H780" t="s">
        <v>132</v>
      </c>
      <c r="I780" t="s">
        <v>33</v>
      </c>
      <c r="J780" t="s">
        <v>44</v>
      </c>
    </row>
    <row r="781" spans="1:32">
      <c r="A781" t="s">
        <v>716</v>
      </c>
      <c r="B781" t="s">
        <v>742</v>
      </c>
      <c r="C781" t="str">
        <f>Data_Master[[#This Row],[Uniq-ID]]&amp;"-"&amp;Data_Master[[#This Row],[Period]]</f>
        <v>PE-Project_Engineer-010-M1</v>
      </c>
      <c r="D781" t="s">
        <v>743</v>
      </c>
      <c r="E781" t="s">
        <v>76</v>
      </c>
      <c r="F781" t="s">
        <v>461</v>
      </c>
      <c r="G781" t="s">
        <v>13</v>
      </c>
      <c r="H781" t="s">
        <v>122</v>
      </c>
      <c r="I781" t="s">
        <v>15</v>
      </c>
      <c r="J781" t="s">
        <v>16</v>
      </c>
      <c r="L781">
        <v>1.5</v>
      </c>
      <c r="AA781">
        <v>3240</v>
      </c>
      <c r="AB781">
        <v>4530</v>
      </c>
      <c r="AC781">
        <v>2740</v>
      </c>
      <c r="AE781">
        <v>2756</v>
      </c>
      <c r="AF781">
        <v>13266</v>
      </c>
    </row>
    <row r="782" spans="1:32">
      <c r="A782" t="s">
        <v>716</v>
      </c>
      <c r="B782" t="s">
        <v>742</v>
      </c>
      <c r="C782" t="str">
        <f>Data_Master[[#This Row],[Uniq-ID]]&amp;"-"&amp;Data_Master[[#This Row],[Period]]</f>
        <v>PE-Project_Engineer-010-M2</v>
      </c>
      <c r="D782" t="s">
        <v>743</v>
      </c>
      <c r="E782" t="s">
        <v>76</v>
      </c>
      <c r="F782" t="s">
        <v>461</v>
      </c>
      <c r="G782" t="s">
        <v>18</v>
      </c>
      <c r="H782" t="s">
        <v>124</v>
      </c>
      <c r="I782" t="s">
        <v>15</v>
      </c>
      <c r="J782" t="s">
        <v>16</v>
      </c>
      <c r="L782">
        <v>1.5</v>
      </c>
      <c r="AA782">
        <v>2692</v>
      </c>
      <c r="AB782">
        <v>4440</v>
      </c>
      <c r="AC782">
        <v>2956</v>
      </c>
      <c r="AE782">
        <v>1678</v>
      </c>
      <c r="AF782">
        <v>11766</v>
      </c>
    </row>
    <row r="783" spans="1:32">
      <c r="A783" t="s">
        <v>716</v>
      </c>
      <c r="B783" t="s">
        <v>742</v>
      </c>
      <c r="C783" t="str">
        <f>Data_Master[[#This Row],[Uniq-ID]]&amp;"-"&amp;Data_Master[[#This Row],[Period]]</f>
        <v>PE-Project_Engineer-010-M3</v>
      </c>
      <c r="D783" t="s">
        <v>743</v>
      </c>
      <c r="E783" t="s">
        <v>76</v>
      </c>
      <c r="F783" t="s">
        <v>461</v>
      </c>
      <c r="G783" t="s">
        <v>22</v>
      </c>
      <c r="H783" t="s">
        <v>126</v>
      </c>
      <c r="I783" t="s">
        <v>15</v>
      </c>
      <c r="J783" t="s">
        <v>16</v>
      </c>
      <c r="L783">
        <v>1.5</v>
      </c>
      <c r="AA783">
        <v>2028</v>
      </c>
      <c r="AB783">
        <v>2850</v>
      </c>
      <c r="AC783">
        <v>3340</v>
      </c>
      <c r="AE783">
        <v>2130</v>
      </c>
      <c r="AF783">
        <v>10348</v>
      </c>
    </row>
    <row r="784" spans="1:32">
      <c r="A784" t="s">
        <v>716</v>
      </c>
      <c r="B784" t="s">
        <v>742</v>
      </c>
      <c r="C784" t="str">
        <f>Data_Master[[#This Row],[Uniq-ID]]&amp;"-"&amp;Data_Master[[#This Row],[Period]]</f>
        <v>PE-Project_Engineer-010-M4</v>
      </c>
      <c r="D784" t="s">
        <v>743</v>
      </c>
      <c r="E784" t="s">
        <v>76</v>
      </c>
      <c r="F784" t="s">
        <v>461</v>
      </c>
      <c r="G784" t="s">
        <v>25</v>
      </c>
      <c r="H784" t="s">
        <v>128</v>
      </c>
      <c r="I784" t="s">
        <v>15</v>
      </c>
      <c r="J784" t="s">
        <v>719</v>
      </c>
      <c r="L784">
        <v>1</v>
      </c>
      <c r="AA784">
        <v>860</v>
      </c>
      <c r="AB784">
        <v>1968</v>
      </c>
      <c r="AC784">
        <v>2100</v>
      </c>
      <c r="AE784">
        <v>930</v>
      </c>
      <c r="AF784">
        <v>5858</v>
      </c>
    </row>
    <row r="785" spans="1:32">
      <c r="A785" t="s">
        <v>716</v>
      </c>
      <c r="B785" t="s">
        <v>742</v>
      </c>
      <c r="C785" t="str">
        <f>Data_Master[[#This Row],[Uniq-ID]]&amp;"-"&amp;Data_Master[[#This Row],[Period]]</f>
        <v>PE-Project_Engineer-010-M5</v>
      </c>
      <c r="D785" t="s">
        <v>743</v>
      </c>
      <c r="E785" t="s">
        <v>76</v>
      </c>
      <c r="F785" t="s">
        <v>461</v>
      </c>
      <c r="G785" t="s">
        <v>28</v>
      </c>
      <c r="H785" t="s">
        <v>130</v>
      </c>
      <c r="I785" t="s">
        <v>15</v>
      </c>
      <c r="J785" t="s">
        <v>719</v>
      </c>
      <c r="L785">
        <v>1</v>
      </c>
      <c r="AA785">
        <v>232</v>
      </c>
      <c r="AB785">
        <v>852</v>
      </c>
      <c r="AC785">
        <v>944</v>
      </c>
      <c r="AE785">
        <v>410</v>
      </c>
      <c r="AF785">
        <v>2438</v>
      </c>
    </row>
    <row r="786" spans="1:32">
      <c r="A786" t="s">
        <v>716</v>
      </c>
      <c r="B786" t="s">
        <v>742</v>
      </c>
      <c r="C786" t="str">
        <f>Data_Master[[#This Row],[Uniq-ID]]&amp;"-"&amp;Data_Master[[#This Row],[Period]]</f>
        <v>PE-Project_Engineer-010-M6</v>
      </c>
      <c r="D786" t="s">
        <v>743</v>
      </c>
      <c r="E786" t="s">
        <v>76</v>
      </c>
      <c r="F786" t="s">
        <v>461</v>
      </c>
      <c r="G786" t="s">
        <v>31</v>
      </c>
      <c r="H786" t="s">
        <v>132</v>
      </c>
      <c r="I786" t="s">
        <v>33</v>
      </c>
      <c r="J786" t="s">
        <v>44</v>
      </c>
    </row>
    <row r="787" spans="1:32">
      <c r="A787" t="s">
        <v>716</v>
      </c>
      <c r="B787" t="s">
        <v>797</v>
      </c>
      <c r="C787" t="str">
        <f>Data_Master[[#This Row],[Uniq-ID]]&amp;"-"&amp;Data_Master[[#This Row],[Period]]</f>
        <v>PE-Project_Engineer-011-M1</v>
      </c>
      <c r="D787" t="s">
        <v>798</v>
      </c>
      <c r="E787" t="s">
        <v>290</v>
      </c>
      <c r="F787" t="s">
        <v>457</v>
      </c>
      <c r="G787" t="s">
        <v>13</v>
      </c>
      <c r="H787" t="s">
        <v>122</v>
      </c>
      <c r="I787" t="s">
        <v>15</v>
      </c>
      <c r="J787" t="s">
        <v>719</v>
      </c>
      <c r="L787">
        <v>1</v>
      </c>
      <c r="AA787">
        <v>1360</v>
      </c>
      <c r="AB787">
        <v>2706</v>
      </c>
      <c r="AC787">
        <v>1000</v>
      </c>
      <c r="AE787">
        <v>404</v>
      </c>
      <c r="AF787">
        <v>5470</v>
      </c>
    </row>
    <row r="788" spans="1:32">
      <c r="A788" t="s">
        <v>716</v>
      </c>
      <c r="B788" t="s">
        <v>797</v>
      </c>
      <c r="C788" t="str">
        <f>Data_Master[[#This Row],[Uniq-ID]]&amp;"-"&amp;Data_Master[[#This Row],[Period]]</f>
        <v>PE-Project_Engineer-011-M2</v>
      </c>
      <c r="D788" t="s">
        <v>798</v>
      </c>
      <c r="E788" t="s">
        <v>290</v>
      </c>
      <c r="F788" t="s">
        <v>457</v>
      </c>
      <c r="G788" t="s">
        <v>18</v>
      </c>
      <c r="H788" t="s">
        <v>124</v>
      </c>
      <c r="I788" t="s">
        <v>15</v>
      </c>
      <c r="J788" t="s">
        <v>44</v>
      </c>
      <c r="L788">
        <v>0.71</v>
      </c>
      <c r="AA788">
        <v>432</v>
      </c>
      <c r="AB788">
        <v>690</v>
      </c>
      <c r="AC788">
        <v>164</v>
      </c>
      <c r="AE788">
        <v>138</v>
      </c>
      <c r="AF788">
        <v>1424</v>
      </c>
    </row>
    <row r="789" spans="1:32">
      <c r="A789" t="s">
        <v>716</v>
      </c>
      <c r="B789" t="s">
        <v>797</v>
      </c>
      <c r="C789" t="str">
        <f>Data_Master[[#This Row],[Uniq-ID]]&amp;"-"&amp;Data_Master[[#This Row],[Period]]</f>
        <v>PE-Project_Engineer-011-M3</v>
      </c>
      <c r="D789" t="s">
        <v>798</v>
      </c>
      <c r="E789" t="s">
        <v>290</v>
      </c>
      <c r="F789" t="s">
        <v>457</v>
      </c>
      <c r="G789" t="s">
        <v>22</v>
      </c>
      <c r="H789" t="s">
        <v>126</v>
      </c>
      <c r="I789" t="s">
        <v>15</v>
      </c>
      <c r="J789" t="s">
        <v>719</v>
      </c>
      <c r="L789">
        <v>1</v>
      </c>
      <c r="AA789">
        <v>1240</v>
      </c>
      <c r="AB789">
        <v>744</v>
      </c>
      <c r="AC789">
        <v>1824</v>
      </c>
      <c r="AE789">
        <v>398</v>
      </c>
      <c r="AF789">
        <v>4206</v>
      </c>
    </row>
    <row r="790" spans="1:32">
      <c r="A790" t="s">
        <v>716</v>
      </c>
      <c r="B790" t="s">
        <v>797</v>
      </c>
      <c r="C790" t="str">
        <f>Data_Master[[#This Row],[Uniq-ID]]&amp;"-"&amp;Data_Master[[#This Row],[Period]]</f>
        <v>PE-Project_Engineer-011-M4</v>
      </c>
      <c r="D790" t="s">
        <v>798</v>
      </c>
      <c r="E790" t="s">
        <v>290</v>
      </c>
      <c r="F790" t="s">
        <v>457</v>
      </c>
      <c r="G790" t="s">
        <v>25</v>
      </c>
      <c r="H790" t="s">
        <v>128</v>
      </c>
      <c r="I790" t="s">
        <v>15</v>
      </c>
      <c r="J790" t="s">
        <v>16</v>
      </c>
      <c r="L790">
        <v>1.5</v>
      </c>
      <c r="AA790">
        <v>2668</v>
      </c>
      <c r="AB790">
        <v>5478</v>
      </c>
      <c r="AC790">
        <v>948</v>
      </c>
      <c r="AE790">
        <v>234</v>
      </c>
      <c r="AF790">
        <v>9328</v>
      </c>
    </row>
    <row r="791" spans="1:32">
      <c r="A791" t="s">
        <v>716</v>
      </c>
      <c r="B791" t="s">
        <v>797</v>
      </c>
      <c r="C791" t="str">
        <f>Data_Master[[#This Row],[Uniq-ID]]&amp;"-"&amp;Data_Master[[#This Row],[Period]]</f>
        <v>PE-Project_Engineer-011-M5</v>
      </c>
      <c r="D791" t="s">
        <v>798</v>
      </c>
      <c r="E791" t="s">
        <v>290</v>
      </c>
      <c r="F791" t="s">
        <v>457</v>
      </c>
      <c r="G791" t="s">
        <v>28</v>
      </c>
      <c r="H791" t="s">
        <v>130</v>
      </c>
      <c r="I791" t="s">
        <v>15</v>
      </c>
      <c r="J791" t="s">
        <v>16</v>
      </c>
      <c r="L791">
        <v>1.5</v>
      </c>
      <c r="AA791">
        <v>2056</v>
      </c>
      <c r="AB791">
        <v>2964</v>
      </c>
      <c r="AC791">
        <v>3752</v>
      </c>
      <c r="AE791">
        <v>1456</v>
      </c>
      <c r="AF791">
        <v>10228</v>
      </c>
    </row>
    <row r="792" spans="1:32">
      <c r="A792" t="s">
        <v>716</v>
      </c>
      <c r="B792" t="s">
        <v>797</v>
      </c>
      <c r="C792" t="str">
        <f>Data_Master[[#This Row],[Uniq-ID]]&amp;"-"&amp;Data_Master[[#This Row],[Period]]</f>
        <v>PE-Project_Engineer-011-M6</v>
      </c>
      <c r="D792" t="s">
        <v>798</v>
      </c>
      <c r="E792" t="s">
        <v>290</v>
      </c>
      <c r="F792" t="s">
        <v>457</v>
      </c>
      <c r="G792" t="s">
        <v>31</v>
      </c>
      <c r="H792" t="s">
        <v>132</v>
      </c>
      <c r="I792" t="s">
        <v>33</v>
      </c>
      <c r="J792" t="s">
        <v>44</v>
      </c>
    </row>
    <row r="793" spans="1:32">
      <c r="A793" t="s">
        <v>716</v>
      </c>
      <c r="B793" t="s">
        <v>752</v>
      </c>
      <c r="C793" t="str">
        <f>Data_Master[[#This Row],[Uniq-ID]]&amp;"-"&amp;Data_Master[[#This Row],[Period]]</f>
        <v>PE-Project_Engineer-012-M1</v>
      </c>
      <c r="D793" t="s">
        <v>753</v>
      </c>
      <c r="E793" t="s">
        <v>48</v>
      </c>
      <c r="F793" t="s">
        <v>446</v>
      </c>
      <c r="G793" t="s">
        <v>13</v>
      </c>
      <c r="H793" t="s">
        <v>122</v>
      </c>
      <c r="I793" t="s">
        <v>15</v>
      </c>
      <c r="J793" t="s">
        <v>44</v>
      </c>
      <c r="L793">
        <v>0.78</v>
      </c>
      <c r="AA793">
        <v>720</v>
      </c>
      <c r="AB793">
        <v>570</v>
      </c>
      <c r="AC793">
        <v>200</v>
      </c>
      <c r="AE793">
        <v>60</v>
      </c>
      <c r="AF793">
        <v>1550</v>
      </c>
    </row>
    <row r="794" spans="1:32">
      <c r="A794" t="s">
        <v>716</v>
      </c>
      <c r="B794" t="s">
        <v>752</v>
      </c>
      <c r="C794" t="str">
        <f>Data_Master[[#This Row],[Uniq-ID]]&amp;"-"&amp;Data_Master[[#This Row],[Period]]</f>
        <v>PE-Project_Engineer-012-M2</v>
      </c>
      <c r="D794" t="s">
        <v>753</v>
      </c>
      <c r="E794" t="s">
        <v>48</v>
      </c>
      <c r="F794" t="s">
        <v>446</v>
      </c>
      <c r="G794" t="s">
        <v>18</v>
      </c>
      <c r="H794" t="s">
        <v>124</v>
      </c>
      <c r="I794" t="s">
        <v>15</v>
      </c>
      <c r="J794" t="s">
        <v>719</v>
      </c>
      <c r="L794">
        <v>1</v>
      </c>
      <c r="AA794">
        <v>532</v>
      </c>
      <c r="AB794">
        <v>1398</v>
      </c>
      <c r="AC794">
        <v>800</v>
      </c>
      <c r="AE794">
        <v>350</v>
      </c>
      <c r="AF794">
        <v>3080</v>
      </c>
    </row>
    <row r="795" spans="1:32">
      <c r="A795" t="s">
        <v>716</v>
      </c>
      <c r="B795" t="s">
        <v>752</v>
      </c>
      <c r="C795" t="str">
        <f>Data_Master[[#This Row],[Uniq-ID]]&amp;"-"&amp;Data_Master[[#This Row],[Period]]</f>
        <v>PE-Project_Engineer-012-M3</v>
      </c>
      <c r="D795" t="s">
        <v>753</v>
      </c>
      <c r="E795" t="s">
        <v>48</v>
      </c>
      <c r="F795" t="s">
        <v>446</v>
      </c>
      <c r="G795" t="s">
        <v>22</v>
      </c>
      <c r="H795" t="s">
        <v>126</v>
      </c>
      <c r="I795" t="s">
        <v>15</v>
      </c>
      <c r="J795" t="s">
        <v>44</v>
      </c>
      <c r="L795">
        <v>0.66</v>
      </c>
      <c r="AA795">
        <v>308</v>
      </c>
      <c r="AB795">
        <v>414</v>
      </c>
      <c r="AC795">
        <v>252</v>
      </c>
      <c r="AE795">
        <v>352</v>
      </c>
      <c r="AF795">
        <v>1326</v>
      </c>
    </row>
    <row r="796" spans="1:32">
      <c r="A796" t="s">
        <v>716</v>
      </c>
      <c r="B796" t="s">
        <v>752</v>
      </c>
      <c r="C796" t="str">
        <f>Data_Master[[#This Row],[Uniq-ID]]&amp;"-"&amp;Data_Master[[#This Row],[Period]]</f>
        <v>PE-Project_Engineer-012-M4</v>
      </c>
      <c r="D796" t="s">
        <v>753</v>
      </c>
      <c r="E796" t="s">
        <v>48</v>
      </c>
      <c r="F796" t="s">
        <v>446</v>
      </c>
      <c r="G796" t="s">
        <v>25</v>
      </c>
      <c r="H796" t="s">
        <v>128</v>
      </c>
      <c r="I796" t="s">
        <v>15</v>
      </c>
      <c r="J796" t="s">
        <v>44</v>
      </c>
      <c r="L796">
        <v>0.53</v>
      </c>
      <c r="AA796">
        <v>344</v>
      </c>
      <c r="AB796">
        <v>498</v>
      </c>
      <c r="AC796">
        <v>128</v>
      </c>
      <c r="AE796">
        <v>80</v>
      </c>
      <c r="AF796">
        <v>1050</v>
      </c>
    </row>
    <row r="797" spans="1:32">
      <c r="A797" t="s">
        <v>716</v>
      </c>
      <c r="B797" t="s">
        <v>752</v>
      </c>
      <c r="C797" t="str">
        <f>Data_Master[[#This Row],[Uniq-ID]]&amp;"-"&amp;Data_Master[[#This Row],[Period]]</f>
        <v>PE-Project_Engineer-012-M5</v>
      </c>
      <c r="D797" t="s">
        <v>753</v>
      </c>
      <c r="E797" t="s">
        <v>48</v>
      </c>
      <c r="F797" t="s">
        <v>446</v>
      </c>
      <c r="G797" t="s">
        <v>28</v>
      </c>
      <c r="H797" t="s">
        <v>130</v>
      </c>
      <c r="I797" t="s">
        <v>15</v>
      </c>
      <c r="J797" t="s">
        <v>44</v>
      </c>
      <c r="L797">
        <v>0.89</v>
      </c>
      <c r="AA797">
        <v>576</v>
      </c>
      <c r="AB797">
        <v>750</v>
      </c>
      <c r="AC797">
        <v>352</v>
      </c>
      <c r="AE797">
        <v>110</v>
      </c>
      <c r="AF797">
        <v>1788</v>
      </c>
    </row>
    <row r="798" spans="1:32">
      <c r="A798" t="s">
        <v>716</v>
      </c>
      <c r="B798" t="s">
        <v>752</v>
      </c>
      <c r="C798" t="str">
        <f>Data_Master[[#This Row],[Uniq-ID]]&amp;"-"&amp;Data_Master[[#This Row],[Period]]</f>
        <v>PE-Project_Engineer-012-M6</v>
      </c>
      <c r="D798" t="s">
        <v>753</v>
      </c>
      <c r="E798" t="s">
        <v>48</v>
      </c>
      <c r="F798" t="s">
        <v>446</v>
      </c>
      <c r="G798" t="s">
        <v>31</v>
      </c>
      <c r="H798" t="s">
        <v>132</v>
      </c>
      <c r="I798" t="s">
        <v>33</v>
      </c>
      <c r="J798" t="s">
        <v>44</v>
      </c>
    </row>
    <row r="799" spans="1:32">
      <c r="A799" t="s">
        <v>716</v>
      </c>
      <c r="B799" t="s">
        <v>744</v>
      </c>
      <c r="C799" t="str">
        <f>Data_Master[[#This Row],[Uniq-ID]]&amp;"-"&amp;Data_Master[[#This Row],[Period]]</f>
        <v>PE-Project_Engineer-013-M1</v>
      </c>
      <c r="D799" t="s">
        <v>745</v>
      </c>
      <c r="E799" t="s">
        <v>11</v>
      </c>
      <c r="F799" t="s">
        <v>441</v>
      </c>
      <c r="G799" t="s">
        <v>13</v>
      </c>
      <c r="H799" t="s">
        <v>200</v>
      </c>
      <c r="I799" t="s">
        <v>15</v>
      </c>
      <c r="J799" t="s">
        <v>16</v>
      </c>
      <c r="L799">
        <v>1.04</v>
      </c>
      <c r="AA799">
        <v>1232</v>
      </c>
      <c r="AB799">
        <v>2334</v>
      </c>
      <c r="AC799">
        <v>2672</v>
      </c>
      <c r="AE799">
        <v>26</v>
      </c>
      <c r="AF799">
        <v>6264</v>
      </c>
    </row>
    <row r="800" spans="1:32">
      <c r="A800" t="s">
        <v>716</v>
      </c>
      <c r="B800" t="s">
        <v>744</v>
      </c>
      <c r="C800" t="str">
        <f>Data_Master[[#This Row],[Uniq-ID]]&amp;"-"&amp;Data_Master[[#This Row],[Period]]</f>
        <v>PE-Project_Engineer-013-M2</v>
      </c>
      <c r="D800" t="s">
        <v>745</v>
      </c>
      <c r="E800" t="s">
        <v>11</v>
      </c>
      <c r="F800" t="s">
        <v>441</v>
      </c>
      <c r="G800" t="s">
        <v>18</v>
      </c>
      <c r="H800" t="s">
        <v>202</v>
      </c>
      <c r="I800" t="s">
        <v>15</v>
      </c>
      <c r="J800" t="s">
        <v>719</v>
      </c>
      <c r="L800">
        <v>1</v>
      </c>
      <c r="AA800">
        <v>496</v>
      </c>
      <c r="AB800">
        <v>852</v>
      </c>
      <c r="AC800">
        <v>524</v>
      </c>
      <c r="AE800">
        <v>4094</v>
      </c>
      <c r="AF800">
        <v>5966</v>
      </c>
    </row>
    <row r="801" spans="1:32">
      <c r="A801" t="s">
        <v>716</v>
      </c>
      <c r="B801" t="s">
        <v>744</v>
      </c>
      <c r="C801" t="str">
        <f>Data_Master[[#This Row],[Uniq-ID]]&amp;"-"&amp;Data_Master[[#This Row],[Period]]</f>
        <v>PE-Project_Engineer-013-M3</v>
      </c>
      <c r="D801" t="s">
        <v>745</v>
      </c>
      <c r="E801" t="s">
        <v>11</v>
      </c>
      <c r="F801" t="s">
        <v>441</v>
      </c>
      <c r="G801" t="s">
        <v>22</v>
      </c>
      <c r="H801" t="s">
        <v>204</v>
      </c>
      <c r="I801" t="s">
        <v>15</v>
      </c>
      <c r="J801" t="s">
        <v>719</v>
      </c>
      <c r="L801">
        <v>1</v>
      </c>
      <c r="AA801">
        <v>160</v>
      </c>
      <c r="AB801">
        <v>390</v>
      </c>
      <c r="AC801">
        <v>2472</v>
      </c>
      <c r="AE801">
        <v>2498</v>
      </c>
      <c r="AF801">
        <v>5520</v>
      </c>
    </row>
    <row r="802" spans="1:32">
      <c r="A802" t="s">
        <v>716</v>
      </c>
      <c r="B802" t="s">
        <v>744</v>
      </c>
      <c r="C802" t="str">
        <f>Data_Master[[#This Row],[Uniq-ID]]&amp;"-"&amp;Data_Master[[#This Row],[Period]]</f>
        <v>PE-Project_Engineer-013-M4</v>
      </c>
      <c r="D802" t="s">
        <v>745</v>
      </c>
      <c r="E802" t="s">
        <v>11</v>
      </c>
      <c r="F802" t="s">
        <v>441</v>
      </c>
      <c r="G802" t="s">
        <v>25</v>
      </c>
      <c r="H802" t="s">
        <v>206</v>
      </c>
      <c r="I802" t="s">
        <v>15</v>
      </c>
      <c r="J802" t="s">
        <v>719</v>
      </c>
      <c r="L802">
        <v>1</v>
      </c>
      <c r="AA802">
        <v>824</v>
      </c>
      <c r="AB802">
        <v>1242</v>
      </c>
      <c r="AC802">
        <v>660</v>
      </c>
      <c r="AE802">
        <v>1162</v>
      </c>
      <c r="AF802">
        <v>3888</v>
      </c>
    </row>
    <row r="803" spans="1:32">
      <c r="A803" t="s">
        <v>716</v>
      </c>
      <c r="B803" t="s">
        <v>744</v>
      </c>
      <c r="C803" t="str">
        <f>Data_Master[[#This Row],[Uniq-ID]]&amp;"-"&amp;Data_Master[[#This Row],[Period]]</f>
        <v>PE-Project_Engineer-013-M5</v>
      </c>
      <c r="D803" t="s">
        <v>745</v>
      </c>
      <c r="E803" t="s">
        <v>11</v>
      </c>
      <c r="F803" t="s">
        <v>441</v>
      </c>
      <c r="G803" t="s">
        <v>28</v>
      </c>
      <c r="H803" t="s">
        <v>208</v>
      </c>
      <c r="I803" t="s">
        <v>15</v>
      </c>
      <c r="J803" t="s">
        <v>719</v>
      </c>
      <c r="L803">
        <v>1</v>
      </c>
      <c r="AA803">
        <v>80</v>
      </c>
      <c r="AB803">
        <v>168</v>
      </c>
      <c r="AC803">
        <v>420</v>
      </c>
      <c r="AE803">
        <v>2136</v>
      </c>
      <c r="AF803">
        <v>2804</v>
      </c>
    </row>
    <row r="804" spans="1:32">
      <c r="A804" t="s">
        <v>716</v>
      </c>
      <c r="B804" t="s">
        <v>744</v>
      </c>
      <c r="C804" t="str">
        <f>Data_Master[[#This Row],[Uniq-ID]]&amp;"-"&amp;Data_Master[[#This Row],[Period]]</f>
        <v>PE-Project_Engineer-013-M6</v>
      </c>
      <c r="D804" t="s">
        <v>745</v>
      </c>
      <c r="E804" t="s">
        <v>11</v>
      </c>
      <c r="F804" t="s">
        <v>441</v>
      </c>
      <c r="G804" t="s">
        <v>31</v>
      </c>
      <c r="H804" t="s">
        <v>210</v>
      </c>
      <c r="I804" t="s">
        <v>33</v>
      </c>
      <c r="J804" t="s">
        <v>44</v>
      </c>
    </row>
    <row r="805" spans="1:32">
      <c r="A805" t="s">
        <v>716</v>
      </c>
      <c r="B805" t="s">
        <v>884</v>
      </c>
      <c r="C805" t="str">
        <f>Data_Master[[#This Row],[Uniq-ID]]&amp;"-"&amp;Data_Master[[#This Row],[Period]]</f>
        <v>PE-Project_Engineer-014-M1</v>
      </c>
      <c r="D805" t="s">
        <v>885</v>
      </c>
      <c r="E805" t="s">
        <v>48</v>
      </c>
      <c r="F805" t="s">
        <v>500</v>
      </c>
      <c r="G805" t="s">
        <v>13</v>
      </c>
      <c r="H805" t="s">
        <v>14</v>
      </c>
      <c r="I805" t="s">
        <v>15</v>
      </c>
      <c r="J805" t="s">
        <v>44</v>
      </c>
      <c r="L805">
        <v>0.5</v>
      </c>
      <c r="AB805">
        <v>36</v>
      </c>
      <c r="AF805">
        <v>36</v>
      </c>
    </row>
    <row r="806" spans="1:32">
      <c r="A806" t="s">
        <v>716</v>
      </c>
      <c r="B806" t="s">
        <v>884</v>
      </c>
      <c r="C806" t="str">
        <f>Data_Master[[#This Row],[Uniq-ID]]&amp;"-"&amp;Data_Master[[#This Row],[Period]]</f>
        <v>PE-Project_Engineer-014-M2</v>
      </c>
      <c r="D806" t="s">
        <v>885</v>
      </c>
      <c r="E806" t="s">
        <v>48</v>
      </c>
      <c r="F806" t="s">
        <v>500</v>
      </c>
      <c r="G806" t="s">
        <v>18</v>
      </c>
      <c r="H806" t="s">
        <v>19</v>
      </c>
      <c r="I806" t="s">
        <v>15</v>
      </c>
      <c r="J806" t="s">
        <v>44</v>
      </c>
      <c r="L806">
        <v>0.5</v>
      </c>
      <c r="AA806">
        <v>32</v>
      </c>
      <c r="AB806">
        <v>48</v>
      </c>
      <c r="AC806">
        <v>32</v>
      </c>
      <c r="AE806">
        <v>8</v>
      </c>
      <c r="AF806">
        <v>120</v>
      </c>
    </row>
    <row r="807" spans="1:32">
      <c r="A807" t="s">
        <v>716</v>
      </c>
      <c r="B807" t="s">
        <v>884</v>
      </c>
      <c r="C807" t="str">
        <f>Data_Master[[#This Row],[Uniq-ID]]&amp;"-"&amp;Data_Master[[#This Row],[Period]]</f>
        <v>PE-Project_Engineer-014-M3</v>
      </c>
      <c r="D807" t="s">
        <v>885</v>
      </c>
      <c r="E807" t="s">
        <v>48</v>
      </c>
      <c r="F807" t="s">
        <v>500</v>
      </c>
      <c r="G807" t="s">
        <v>22</v>
      </c>
      <c r="H807" t="s">
        <v>23</v>
      </c>
      <c r="I807" t="s">
        <v>15</v>
      </c>
      <c r="J807" t="s">
        <v>44</v>
      </c>
      <c r="L807">
        <v>0.5</v>
      </c>
      <c r="AA807">
        <v>308</v>
      </c>
      <c r="AB807">
        <v>276</v>
      </c>
      <c r="AC807">
        <v>100</v>
      </c>
      <c r="AE807">
        <v>64</v>
      </c>
      <c r="AF807">
        <v>748</v>
      </c>
    </row>
    <row r="808" spans="1:32">
      <c r="A808" t="s">
        <v>716</v>
      </c>
      <c r="B808" t="s">
        <v>884</v>
      </c>
      <c r="C808" t="str">
        <f>Data_Master[[#This Row],[Uniq-ID]]&amp;"-"&amp;Data_Master[[#This Row],[Period]]</f>
        <v>PE-Project_Engineer-014-M4</v>
      </c>
      <c r="D808" t="s">
        <v>885</v>
      </c>
      <c r="E808" t="s">
        <v>48</v>
      </c>
      <c r="F808" t="s">
        <v>500</v>
      </c>
      <c r="G808" t="s">
        <v>25</v>
      </c>
      <c r="H808" t="s">
        <v>26</v>
      </c>
      <c r="I808" t="s">
        <v>15</v>
      </c>
      <c r="J808" t="s">
        <v>16</v>
      </c>
      <c r="L808">
        <v>1.35</v>
      </c>
      <c r="AA808">
        <v>2888</v>
      </c>
      <c r="AB808">
        <v>3696</v>
      </c>
      <c r="AC808">
        <v>580</v>
      </c>
      <c r="AE808">
        <v>944</v>
      </c>
      <c r="AF808">
        <v>8108</v>
      </c>
    </row>
    <row r="809" spans="1:32">
      <c r="A809" t="s">
        <v>716</v>
      </c>
      <c r="B809" t="s">
        <v>884</v>
      </c>
      <c r="C809" t="str">
        <f>Data_Master[[#This Row],[Uniq-ID]]&amp;"-"&amp;Data_Master[[#This Row],[Period]]</f>
        <v>PE-Project_Engineer-014-M5</v>
      </c>
      <c r="D809" t="s">
        <v>885</v>
      </c>
      <c r="E809" t="s">
        <v>48</v>
      </c>
      <c r="F809" t="s">
        <v>500</v>
      </c>
      <c r="G809" t="s">
        <v>28</v>
      </c>
      <c r="H809" t="s">
        <v>29</v>
      </c>
      <c r="I809" t="s">
        <v>15</v>
      </c>
      <c r="J809" t="s">
        <v>16</v>
      </c>
      <c r="L809">
        <v>1.5</v>
      </c>
      <c r="AA809">
        <v>2640</v>
      </c>
      <c r="AB809">
        <v>4362</v>
      </c>
      <c r="AC809">
        <v>1360</v>
      </c>
      <c r="AE809">
        <v>1372</v>
      </c>
      <c r="AF809">
        <v>9734</v>
      </c>
    </row>
    <row r="810" spans="1:32">
      <c r="A810" t="s">
        <v>716</v>
      </c>
      <c r="B810" t="s">
        <v>884</v>
      </c>
      <c r="C810" t="str">
        <f>Data_Master[[#This Row],[Uniq-ID]]&amp;"-"&amp;Data_Master[[#This Row],[Period]]</f>
        <v>PE-Project_Engineer-014-M6</v>
      </c>
      <c r="D810" t="s">
        <v>885</v>
      </c>
      <c r="E810" t="s">
        <v>48</v>
      </c>
      <c r="F810" t="s">
        <v>500</v>
      </c>
      <c r="G810" t="s">
        <v>31</v>
      </c>
      <c r="H810" t="s">
        <v>32</v>
      </c>
      <c r="I810" t="s">
        <v>33</v>
      </c>
      <c r="J810" t="s">
        <v>44</v>
      </c>
    </row>
    <row r="811" spans="1:32">
      <c r="A811" t="s">
        <v>716</v>
      </c>
      <c r="B811" t="s">
        <v>732</v>
      </c>
      <c r="C811" t="str">
        <f>Data_Master[[#This Row],[Uniq-ID]]&amp;"-"&amp;Data_Master[[#This Row],[Period]]</f>
        <v>PE-Project_Engineer-015-M1</v>
      </c>
      <c r="D811" t="s">
        <v>733</v>
      </c>
      <c r="E811" t="s">
        <v>76</v>
      </c>
      <c r="F811" t="s">
        <v>475</v>
      </c>
      <c r="G811" t="s">
        <v>13</v>
      </c>
      <c r="H811" t="s">
        <v>14</v>
      </c>
      <c r="I811" t="s">
        <v>15</v>
      </c>
      <c r="J811" t="s">
        <v>16</v>
      </c>
      <c r="L811">
        <v>1.5</v>
      </c>
      <c r="AA811">
        <v>6228</v>
      </c>
      <c r="AB811">
        <v>11814</v>
      </c>
      <c r="AC811">
        <v>6772</v>
      </c>
      <c r="AE811">
        <v>902</v>
      </c>
      <c r="AF811">
        <v>25716</v>
      </c>
    </row>
    <row r="812" spans="1:32">
      <c r="A812" t="s">
        <v>716</v>
      </c>
      <c r="B812" t="s">
        <v>732</v>
      </c>
      <c r="C812" t="str">
        <f>Data_Master[[#This Row],[Uniq-ID]]&amp;"-"&amp;Data_Master[[#This Row],[Period]]</f>
        <v>PE-Project_Engineer-015-M2</v>
      </c>
      <c r="D812" t="s">
        <v>733</v>
      </c>
      <c r="E812" t="s">
        <v>76</v>
      </c>
      <c r="F812" t="s">
        <v>475</v>
      </c>
      <c r="G812" t="s">
        <v>18</v>
      </c>
      <c r="H812" t="s">
        <v>19</v>
      </c>
      <c r="I812" t="s">
        <v>15</v>
      </c>
      <c r="J812" t="s">
        <v>16</v>
      </c>
      <c r="L812">
        <v>1.23</v>
      </c>
      <c r="AA812">
        <v>48</v>
      </c>
      <c r="AB812">
        <v>1410</v>
      </c>
      <c r="AC812">
        <v>2984</v>
      </c>
      <c r="AE812">
        <v>2942</v>
      </c>
      <c r="AF812">
        <v>7384</v>
      </c>
    </row>
    <row r="813" spans="1:32">
      <c r="A813" t="s">
        <v>716</v>
      </c>
      <c r="B813" t="s">
        <v>732</v>
      </c>
      <c r="C813" t="str">
        <f>Data_Master[[#This Row],[Uniq-ID]]&amp;"-"&amp;Data_Master[[#This Row],[Period]]</f>
        <v>PE-Project_Engineer-015-M3</v>
      </c>
      <c r="D813" t="s">
        <v>733</v>
      </c>
      <c r="E813" t="s">
        <v>76</v>
      </c>
      <c r="F813" t="s">
        <v>475</v>
      </c>
      <c r="G813" t="s">
        <v>22</v>
      </c>
      <c r="H813" t="s">
        <v>23</v>
      </c>
      <c r="I813" t="s">
        <v>15</v>
      </c>
      <c r="J813" t="s">
        <v>719</v>
      </c>
      <c r="L813">
        <v>1</v>
      </c>
      <c r="AB813">
        <v>300</v>
      </c>
      <c r="AC813">
        <v>1676</v>
      </c>
      <c r="AE813">
        <v>1378</v>
      </c>
      <c r="AF813">
        <v>3354</v>
      </c>
    </row>
    <row r="814" spans="1:32">
      <c r="A814" t="s">
        <v>716</v>
      </c>
      <c r="B814" t="s">
        <v>732</v>
      </c>
      <c r="C814" t="str">
        <f>Data_Master[[#This Row],[Uniq-ID]]&amp;"-"&amp;Data_Master[[#This Row],[Period]]</f>
        <v>PE-Project_Engineer-015-M4</v>
      </c>
      <c r="D814" t="s">
        <v>733</v>
      </c>
      <c r="E814" t="s">
        <v>76</v>
      </c>
      <c r="F814" t="s">
        <v>475</v>
      </c>
      <c r="G814" t="s">
        <v>25</v>
      </c>
      <c r="H814" t="s">
        <v>26</v>
      </c>
      <c r="I814" t="s">
        <v>15</v>
      </c>
      <c r="J814" t="s">
        <v>44</v>
      </c>
      <c r="L814">
        <v>0.77</v>
      </c>
      <c r="AB814">
        <v>120</v>
      </c>
      <c r="AC814">
        <v>576</v>
      </c>
      <c r="AE814">
        <v>838</v>
      </c>
      <c r="AF814">
        <v>1534</v>
      </c>
    </row>
    <row r="815" spans="1:32">
      <c r="A815" t="s">
        <v>716</v>
      </c>
      <c r="B815" t="s">
        <v>732</v>
      </c>
      <c r="C815" t="str">
        <f>Data_Master[[#This Row],[Uniq-ID]]&amp;"-"&amp;Data_Master[[#This Row],[Period]]</f>
        <v>PE-Project_Engineer-015-M5</v>
      </c>
      <c r="D815" t="s">
        <v>733</v>
      </c>
      <c r="E815" t="s">
        <v>76</v>
      </c>
      <c r="F815" t="s">
        <v>475</v>
      </c>
      <c r="G815" t="s">
        <v>28</v>
      </c>
      <c r="H815" t="s">
        <v>29</v>
      </c>
      <c r="I815" t="s">
        <v>15</v>
      </c>
      <c r="J815" t="s">
        <v>44</v>
      </c>
      <c r="L815">
        <v>0.5</v>
      </c>
      <c r="AA815">
        <v>24</v>
      </c>
      <c r="AB815">
        <v>96</v>
      </c>
      <c r="AC815">
        <v>312</v>
      </c>
      <c r="AE815">
        <v>294</v>
      </c>
      <c r="AF815">
        <v>726</v>
      </c>
    </row>
    <row r="816" spans="1:32">
      <c r="A816" t="s">
        <v>716</v>
      </c>
      <c r="B816" t="s">
        <v>732</v>
      </c>
      <c r="C816" t="str">
        <f>Data_Master[[#This Row],[Uniq-ID]]&amp;"-"&amp;Data_Master[[#This Row],[Period]]</f>
        <v>PE-Project_Engineer-015-M6</v>
      </c>
      <c r="D816" t="s">
        <v>733</v>
      </c>
      <c r="E816" t="s">
        <v>76</v>
      </c>
      <c r="F816" t="s">
        <v>475</v>
      </c>
      <c r="G816" t="s">
        <v>31</v>
      </c>
      <c r="H816" t="s">
        <v>32</v>
      </c>
      <c r="I816" t="s">
        <v>33</v>
      </c>
      <c r="J816" t="s">
        <v>44</v>
      </c>
    </row>
    <row r="817" spans="1:32">
      <c r="A817" t="s">
        <v>716</v>
      </c>
      <c r="B817" t="s">
        <v>738</v>
      </c>
      <c r="C817" t="str">
        <f>Data_Master[[#This Row],[Uniq-ID]]&amp;"-"&amp;Data_Master[[#This Row],[Period]]</f>
        <v>PE-Project_Engineer-016-M1</v>
      </c>
      <c r="D817" t="s">
        <v>739</v>
      </c>
      <c r="E817" t="s">
        <v>48</v>
      </c>
      <c r="F817" t="s">
        <v>441</v>
      </c>
      <c r="G817" t="s">
        <v>13</v>
      </c>
      <c r="H817" t="s">
        <v>14</v>
      </c>
      <c r="I817" t="s">
        <v>15</v>
      </c>
      <c r="J817" t="s">
        <v>16</v>
      </c>
      <c r="L817">
        <v>1.5</v>
      </c>
      <c r="AA817">
        <v>1912</v>
      </c>
      <c r="AB817">
        <v>3294</v>
      </c>
      <c r="AC817">
        <v>2520</v>
      </c>
      <c r="AE817">
        <v>1492</v>
      </c>
      <c r="AF817">
        <v>9218</v>
      </c>
    </row>
    <row r="818" spans="1:32">
      <c r="A818" t="s">
        <v>716</v>
      </c>
      <c r="B818" t="s">
        <v>738</v>
      </c>
      <c r="C818" t="str">
        <f>Data_Master[[#This Row],[Uniq-ID]]&amp;"-"&amp;Data_Master[[#This Row],[Period]]</f>
        <v>PE-Project_Engineer-016-M2</v>
      </c>
      <c r="D818" t="s">
        <v>739</v>
      </c>
      <c r="E818" t="s">
        <v>48</v>
      </c>
      <c r="F818" t="s">
        <v>441</v>
      </c>
      <c r="G818" t="s">
        <v>18</v>
      </c>
      <c r="H818" t="s">
        <v>19</v>
      </c>
      <c r="I818" t="s">
        <v>15</v>
      </c>
      <c r="J818" t="s">
        <v>44</v>
      </c>
      <c r="L818">
        <v>0.5</v>
      </c>
      <c r="AB818">
        <v>72</v>
      </c>
      <c r="AC818">
        <v>104</v>
      </c>
      <c r="AE818">
        <v>570</v>
      </c>
      <c r="AF818">
        <v>746</v>
      </c>
    </row>
    <row r="819" spans="1:32">
      <c r="A819" t="s">
        <v>716</v>
      </c>
      <c r="B819" t="s">
        <v>738</v>
      </c>
      <c r="C819" t="str">
        <f>Data_Master[[#This Row],[Uniq-ID]]&amp;"-"&amp;Data_Master[[#This Row],[Period]]</f>
        <v>PE-Project_Engineer-016-M3</v>
      </c>
      <c r="D819" t="s">
        <v>739</v>
      </c>
      <c r="E819" t="s">
        <v>48</v>
      </c>
      <c r="F819" t="s">
        <v>441</v>
      </c>
      <c r="G819" t="s">
        <v>22</v>
      </c>
      <c r="H819" t="s">
        <v>23</v>
      </c>
      <c r="I819" t="s">
        <v>15</v>
      </c>
      <c r="J819" t="s">
        <v>44</v>
      </c>
      <c r="L819">
        <v>0.5</v>
      </c>
      <c r="AE819">
        <v>34</v>
      </c>
      <c r="AF819">
        <v>34</v>
      </c>
    </row>
    <row r="820" spans="1:32">
      <c r="A820" t="s">
        <v>716</v>
      </c>
      <c r="B820" t="s">
        <v>738</v>
      </c>
      <c r="C820" t="str">
        <f>Data_Master[[#This Row],[Uniq-ID]]&amp;"-"&amp;Data_Master[[#This Row],[Period]]</f>
        <v>PE-Project_Engineer-016-M4</v>
      </c>
      <c r="D820" t="s">
        <v>739</v>
      </c>
      <c r="E820" t="s">
        <v>48</v>
      </c>
      <c r="F820" t="s">
        <v>441</v>
      </c>
      <c r="G820" t="s">
        <v>25</v>
      </c>
      <c r="H820" t="s">
        <v>26</v>
      </c>
      <c r="I820" t="s">
        <v>15</v>
      </c>
      <c r="J820" t="s">
        <v>44</v>
      </c>
      <c r="L820">
        <v>0.5</v>
      </c>
      <c r="AB820">
        <v>24</v>
      </c>
      <c r="AC820">
        <v>36</v>
      </c>
      <c r="AE820">
        <v>26</v>
      </c>
      <c r="AF820">
        <v>86</v>
      </c>
    </row>
    <row r="821" spans="1:32">
      <c r="A821" t="s">
        <v>716</v>
      </c>
      <c r="B821" t="s">
        <v>738</v>
      </c>
      <c r="C821" t="str">
        <f>Data_Master[[#This Row],[Uniq-ID]]&amp;"-"&amp;Data_Master[[#This Row],[Period]]</f>
        <v>PE-Project_Engineer-016-M5</v>
      </c>
      <c r="D821" t="s">
        <v>739</v>
      </c>
      <c r="E821" t="s">
        <v>48</v>
      </c>
      <c r="F821" t="s">
        <v>441</v>
      </c>
      <c r="G821" t="s">
        <v>28</v>
      </c>
      <c r="H821" t="s">
        <v>29</v>
      </c>
      <c r="I821" t="s">
        <v>15</v>
      </c>
      <c r="J821" t="s">
        <v>44</v>
      </c>
      <c r="L821">
        <v>0.5</v>
      </c>
      <c r="AA821">
        <v>16</v>
      </c>
      <c r="AC821">
        <v>20</v>
      </c>
      <c r="AE821">
        <v>10</v>
      </c>
      <c r="AF821">
        <v>46</v>
      </c>
    </row>
    <row r="822" spans="1:32">
      <c r="A822" t="s">
        <v>716</v>
      </c>
      <c r="B822" t="s">
        <v>738</v>
      </c>
      <c r="C822" t="str">
        <f>Data_Master[[#This Row],[Uniq-ID]]&amp;"-"&amp;Data_Master[[#This Row],[Period]]</f>
        <v>PE-Project_Engineer-016-M6</v>
      </c>
      <c r="D822" t="s">
        <v>739</v>
      </c>
      <c r="E822" t="s">
        <v>48</v>
      </c>
      <c r="F822" t="s">
        <v>441</v>
      </c>
      <c r="G822" t="s">
        <v>31</v>
      </c>
      <c r="H822" t="s">
        <v>32</v>
      </c>
      <c r="I822" t="s">
        <v>33</v>
      </c>
      <c r="J822" t="s">
        <v>44</v>
      </c>
    </row>
    <row r="823" spans="1:32">
      <c r="A823" t="s">
        <v>716</v>
      </c>
      <c r="B823" t="s">
        <v>736</v>
      </c>
      <c r="C823" t="str">
        <f>Data_Master[[#This Row],[Uniq-ID]]&amp;"-"&amp;Data_Master[[#This Row],[Period]]</f>
        <v>PE-Project_Engineer-017-M1</v>
      </c>
      <c r="D823" t="s">
        <v>737</v>
      </c>
      <c r="E823" t="s">
        <v>76</v>
      </c>
      <c r="F823" t="s">
        <v>441</v>
      </c>
      <c r="G823" t="s">
        <v>13</v>
      </c>
      <c r="H823" t="s">
        <v>14</v>
      </c>
      <c r="I823" t="s">
        <v>15</v>
      </c>
      <c r="J823" t="s">
        <v>16</v>
      </c>
      <c r="L823">
        <v>1.5</v>
      </c>
      <c r="AA823">
        <v>3840</v>
      </c>
      <c r="AB823">
        <v>5364</v>
      </c>
      <c r="AC823">
        <v>840</v>
      </c>
      <c r="AE823">
        <v>824</v>
      </c>
      <c r="AF823">
        <v>10868</v>
      </c>
    </row>
    <row r="824" spans="1:32">
      <c r="A824" t="s">
        <v>716</v>
      </c>
      <c r="B824" t="s">
        <v>736</v>
      </c>
      <c r="C824" t="str">
        <f>Data_Master[[#This Row],[Uniq-ID]]&amp;"-"&amp;Data_Master[[#This Row],[Period]]</f>
        <v>PE-Project_Engineer-017-M2</v>
      </c>
      <c r="D824" t="s">
        <v>737</v>
      </c>
      <c r="E824" t="s">
        <v>76</v>
      </c>
      <c r="F824" t="s">
        <v>441</v>
      </c>
      <c r="G824" t="s">
        <v>18</v>
      </c>
      <c r="H824" t="s">
        <v>19</v>
      </c>
      <c r="I824" t="s">
        <v>15</v>
      </c>
      <c r="J824" t="s">
        <v>719</v>
      </c>
      <c r="L824">
        <v>1</v>
      </c>
      <c r="AA824">
        <v>136</v>
      </c>
      <c r="AB824">
        <v>1284</v>
      </c>
      <c r="AC824">
        <v>720</v>
      </c>
      <c r="AE824">
        <v>204</v>
      </c>
      <c r="AF824">
        <v>2344</v>
      </c>
    </row>
    <row r="825" spans="1:32">
      <c r="A825" t="s">
        <v>716</v>
      </c>
      <c r="B825" t="s">
        <v>736</v>
      </c>
      <c r="C825" t="str">
        <f>Data_Master[[#This Row],[Uniq-ID]]&amp;"-"&amp;Data_Master[[#This Row],[Period]]</f>
        <v>PE-Project_Engineer-017-M3</v>
      </c>
      <c r="D825" t="s">
        <v>737</v>
      </c>
      <c r="E825" t="s">
        <v>76</v>
      </c>
      <c r="F825" t="s">
        <v>441</v>
      </c>
      <c r="G825" t="s">
        <v>22</v>
      </c>
      <c r="H825" t="s">
        <v>23</v>
      </c>
      <c r="I825" t="s">
        <v>15</v>
      </c>
      <c r="J825" t="s">
        <v>719</v>
      </c>
      <c r="L825">
        <v>1</v>
      </c>
      <c r="AA825">
        <v>128</v>
      </c>
      <c r="AB825">
        <v>696</v>
      </c>
      <c r="AC825">
        <v>1504</v>
      </c>
      <c r="AE825">
        <v>108</v>
      </c>
      <c r="AF825">
        <v>2436</v>
      </c>
    </row>
    <row r="826" spans="1:32">
      <c r="A826" t="s">
        <v>716</v>
      </c>
      <c r="B826" t="s">
        <v>736</v>
      </c>
      <c r="C826" t="str">
        <f>Data_Master[[#This Row],[Uniq-ID]]&amp;"-"&amp;Data_Master[[#This Row],[Period]]</f>
        <v>PE-Project_Engineer-017-M4</v>
      </c>
      <c r="D826" t="s">
        <v>737</v>
      </c>
      <c r="E826" t="s">
        <v>76</v>
      </c>
      <c r="F826" t="s">
        <v>441</v>
      </c>
      <c r="G826" t="s">
        <v>25</v>
      </c>
      <c r="H826" t="s">
        <v>26</v>
      </c>
      <c r="I826" t="s">
        <v>15</v>
      </c>
      <c r="J826" t="s">
        <v>719</v>
      </c>
      <c r="L826">
        <v>1</v>
      </c>
      <c r="AA826">
        <v>1088</v>
      </c>
      <c r="AB826">
        <v>1548</v>
      </c>
      <c r="AC826">
        <v>1016</v>
      </c>
      <c r="AE826">
        <v>552</v>
      </c>
      <c r="AF826">
        <v>4204</v>
      </c>
    </row>
    <row r="827" spans="1:32">
      <c r="A827" t="s">
        <v>716</v>
      </c>
      <c r="B827" t="s">
        <v>736</v>
      </c>
      <c r="C827" t="str">
        <f>Data_Master[[#This Row],[Uniq-ID]]&amp;"-"&amp;Data_Master[[#This Row],[Period]]</f>
        <v>PE-Project_Engineer-017-M5</v>
      </c>
      <c r="D827" t="s">
        <v>737</v>
      </c>
      <c r="E827" t="s">
        <v>76</v>
      </c>
      <c r="F827" t="s">
        <v>441</v>
      </c>
      <c r="G827" t="s">
        <v>28</v>
      </c>
      <c r="H827" t="s">
        <v>29</v>
      </c>
      <c r="I827" t="s">
        <v>15</v>
      </c>
      <c r="J827" t="s">
        <v>719</v>
      </c>
      <c r="L827">
        <v>1</v>
      </c>
      <c r="AA827">
        <v>176</v>
      </c>
      <c r="AB827">
        <v>1032</v>
      </c>
      <c r="AC827">
        <v>984</v>
      </c>
      <c r="AE827">
        <v>412</v>
      </c>
      <c r="AF827">
        <v>2604</v>
      </c>
    </row>
    <row r="828" spans="1:32">
      <c r="A828" t="s">
        <v>716</v>
      </c>
      <c r="B828" t="s">
        <v>736</v>
      </c>
      <c r="C828" t="str">
        <f>Data_Master[[#This Row],[Uniq-ID]]&amp;"-"&amp;Data_Master[[#This Row],[Period]]</f>
        <v>PE-Project_Engineer-017-M6</v>
      </c>
      <c r="D828" t="s">
        <v>737</v>
      </c>
      <c r="E828" t="s">
        <v>76</v>
      </c>
      <c r="F828" t="s">
        <v>441</v>
      </c>
      <c r="G828" t="s">
        <v>31</v>
      </c>
      <c r="H828" t="s">
        <v>32</v>
      </c>
      <c r="I828" t="s">
        <v>33</v>
      </c>
      <c r="J828" t="s">
        <v>44</v>
      </c>
    </row>
    <row r="829" spans="1:32">
      <c r="A829" t="s">
        <v>716</v>
      </c>
      <c r="B829" t="s">
        <v>728</v>
      </c>
      <c r="C829" t="str">
        <f>Data_Master[[#This Row],[Uniq-ID]]&amp;"-"&amp;Data_Master[[#This Row],[Period]]</f>
        <v>PE-Project_Engineer-018-M1</v>
      </c>
      <c r="D829" t="s">
        <v>729</v>
      </c>
      <c r="E829" t="s">
        <v>76</v>
      </c>
      <c r="F829" t="s">
        <v>441</v>
      </c>
      <c r="G829" t="s">
        <v>13</v>
      </c>
      <c r="H829" t="s">
        <v>14</v>
      </c>
      <c r="I829" t="s">
        <v>15</v>
      </c>
      <c r="J829" t="s">
        <v>16</v>
      </c>
      <c r="L829">
        <v>1.32</v>
      </c>
      <c r="AA829">
        <v>3480</v>
      </c>
      <c r="AB829">
        <v>4176</v>
      </c>
      <c r="AC829">
        <v>264</v>
      </c>
      <c r="AE829">
        <v>12</v>
      </c>
      <c r="AF829">
        <v>7932</v>
      </c>
    </row>
    <row r="830" spans="1:32">
      <c r="A830" t="s">
        <v>716</v>
      </c>
      <c r="B830" t="s">
        <v>728</v>
      </c>
      <c r="C830" t="str">
        <f>Data_Master[[#This Row],[Uniq-ID]]&amp;"-"&amp;Data_Master[[#This Row],[Period]]</f>
        <v>PE-Project_Engineer-018-M2</v>
      </c>
      <c r="D830" t="s">
        <v>729</v>
      </c>
      <c r="E830" t="s">
        <v>76</v>
      </c>
      <c r="F830" t="s">
        <v>441</v>
      </c>
      <c r="G830" t="s">
        <v>18</v>
      </c>
      <c r="H830" t="s">
        <v>19</v>
      </c>
      <c r="I830" t="s">
        <v>15</v>
      </c>
      <c r="J830" t="s">
        <v>44</v>
      </c>
      <c r="L830">
        <v>0.94</v>
      </c>
      <c r="AA830">
        <v>264</v>
      </c>
      <c r="AB830">
        <v>1440</v>
      </c>
      <c r="AC830">
        <v>96</v>
      </c>
      <c r="AE830">
        <v>84</v>
      </c>
      <c r="AF830">
        <v>1884</v>
      </c>
    </row>
    <row r="831" spans="1:32">
      <c r="A831" t="s">
        <v>716</v>
      </c>
      <c r="B831" t="s">
        <v>728</v>
      </c>
      <c r="C831" t="str">
        <f>Data_Master[[#This Row],[Uniq-ID]]&amp;"-"&amp;Data_Master[[#This Row],[Period]]</f>
        <v>PE-Project_Engineer-018-M3</v>
      </c>
      <c r="D831" t="s">
        <v>729</v>
      </c>
      <c r="E831" t="s">
        <v>76</v>
      </c>
      <c r="F831" t="s">
        <v>441</v>
      </c>
      <c r="G831" t="s">
        <v>22</v>
      </c>
      <c r="H831" t="s">
        <v>23</v>
      </c>
      <c r="I831" t="s">
        <v>15</v>
      </c>
      <c r="J831" t="s">
        <v>44</v>
      </c>
      <c r="L831">
        <v>0.69</v>
      </c>
      <c r="AB831">
        <v>360</v>
      </c>
      <c r="AC831">
        <v>888</v>
      </c>
      <c r="AE831">
        <v>132</v>
      </c>
      <c r="AF831">
        <v>1380</v>
      </c>
    </row>
    <row r="832" spans="1:32">
      <c r="A832" t="s">
        <v>716</v>
      </c>
      <c r="B832" t="s">
        <v>728</v>
      </c>
      <c r="C832" t="str">
        <f>Data_Master[[#This Row],[Uniq-ID]]&amp;"-"&amp;Data_Master[[#This Row],[Period]]</f>
        <v>PE-Project_Engineer-018-M4</v>
      </c>
      <c r="D832" t="s">
        <v>729</v>
      </c>
      <c r="E832" t="s">
        <v>76</v>
      </c>
      <c r="F832" t="s">
        <v>441</v>
      </c>
      <c r="G832" t="s">
        <v>25</v>
      </c>
      <c r="H832" t="s">
        <v>26</v>
      </c>
      <c r="I832" t="s">
        <v>15</v>
      </c>
      <c r="J832" t="s">
        <v>44</v>
      </c>
      <c r="L832">
        <v>0.5</v>
      </c>
      <c r="AA832">
        <v>48</v>
      </c>
      <c r="AB832">
        <v>144</v>
      </c>
      <c r="AC832">
        <v>144</v>
      </c>
      <c r="AE832">
        <v>72</v>
      </c>
      <c r="AF832">
        <v>408</v>
      </c>
    </row>
    <row r="833" spans="1:32">
      <c r="A833" t="s">
        <v>716</v>
      </c>
      <c r="B833" t="s">
        <v>728</v>
      </c>
      <c r="C833" t="str">
        <f>Data_Master[[#This Row],[Uniq-ID]]&amp;"-"&amp;Data_Master[[#This Row],[Period]]</f>
        <v>PE-Project_Engineer-018-M5</v>
      </c>
      <c r="D833" t="s">
        <v>729</v>
      </c>
      <c r="E833" t="s">
        <v>76</v>
      </c>
      <c r="F833" t="s">
        <v>441</v>
      </c>
      <c r="G833" t="s">
        <v>28</v>
      </c>
      <c r="H833" t="s">
        <v>29</v>
      </c>
      <c r="I833" t="s">
        <v>15</v>
      </c>
      <c r="J833" t="s">
        <v>44</v>
      </c>
      <c r="L833">
        <v>0.52</v>
      </c>
      <c r="AB833">
        <v>720</v>
      </c>
      <c r="AC833">
        <v>288</v>
      </c>
      <c r="AE833">
        <v>36</v>
      </c>
      <c r="AF833">
        <v>1044</v>
      </c>
    </row>
    <row r="834" spans="1:32">
      <c r="A834" t="s">
        <v>716</v>
      </c>
      <c r="B834" t="s">
        <v>728</v>
      </c>
      <c r="C834" t="str">
        <f>Data_Master[[#This Row],[Uniq-ID]]&amp;"-"&amp;Data_Master[[#This Row],[Period]]</f>
        <v>PE-Project_Engineer-018-M6</v>
      </c>
      <c r="D834" t="s">
        <v>729</v>
      </c>
      <c r="E834" t="s">
        <v>76</v>
      </c>
      <c r="F834" t="s">
        <v>441</v>
      </c>
      <c r="G834" t="s">
        <v>31</v>
      </c>
      <c r="H834" t="s">
        <v>32</v>
      </c>
      <c r="I834" t="s">
        <v>33</v>
      </c>
      <c r="J834" t="s">
        <v>44</v>
      </c>
    </row>
    <row r="835" spans="1:32">
      <c r="A835" t="s">
        <v>716</v>
      </c>
      <c r="B835" t="s">
        <v>750</v>
      </c>
      <c r="C835" t="str">
        <f>Data_Master[[#This Row],[Uniq-ID]]&amp;"-"&amp;Data_Master[[#This Row],[Period]]</f>
        <v>PE-Project_Engineer-019-M1</v>
      </c>
      <c r="D835" t="s">
        <v>751</v>
      </c>
      <c r="E835" t="s">
        <v>48</v>
      </c>
      <c r="F835" t="s">
        <v>468</v>
      </c>
      <c r="G835" t="s">
        <v>13</v>
      </c>
      <c r="H835" t="s">
        <v>14</v>
      </c>
      <c r="I835" t="s">
        <v>15</v>
      </c>
      <c r="J835" t="s">
        <v>719</v>
      </c>
      <c r="L835">
        <v>1</v>
      </c>
      <c r="AA835">
        <v>536</v>
      </c>
      <c r="AB835">
        <v>822</v>
      </c>
      <c r="AC835">
        <v>752</v>
      </c>
      <c r="AE835">
        <v>808</v>
      </c>
      <c r="AF835">
        <v>2918</v>
      </c>
    </row>
    <row r="836" spans="1:32">
      <c r="A836" t="s">
        <v>716</v>
      </c>
      <c r="B836" t="s">
        <v>750</v>
      </c>
      <c r="C836" t="str">
        <f>Data_Master[[#This Row],[Uniq-ID]]&amp;"-"&amp;Data_Master[[#This Row],[Period]]</f>
        <v>PE-Project_Engineer-019-M2</v>
      </c>
      <c r="D836" t="s">
        <v>751</v>
      </c>
      <c r="E836" t="s">
        <v>48</v>
      </c>
      <c r="F836" t="s">
        <v>468</v>
      </c>
      <c r="G836" t="s">
        <v>18</v>
      </c>
      <c r="H836" t="s">
        <v>19</v>
      </c>
      <c r="I836" t="s">
        <v>15</v>
      </c>
      <c r="J836" t="s">
        <v>16</v>
      </c>
      <c r="L836">
        <v>1.5</v>
      </c>
      <c r="AA836">
        <v>5020</v>
      </c>
      <c r="AB836">
        <v>6564</v>
      </c>
      <c r="AC836">
        <v>4064</v>
      </c>
      <c r="AE836">
        <v>1094</v>
      </c>
      <c r="AF836">
        <v>16742</v>
      </c>
    </row>
    <row r="837" spans="1:32">
      <c r="A837" t="s">
        <v>716</v>
      </c>
      <c r="B837" t="s">
        <v>750</v>
      </c>
      <c r="C837" t="str">
        <f>Data_Master[[#This Row],[Uniq-ID]]&amp;"-"&amp;Data_Master[[#This Row],[Period]]</f>
        <v>PE-Project_Engineer-019-M3</v>
      </c>
      <c r="D837" t="s">
        <v>751</v>
      </c>
      <c r="E837" t="s">
        <v>48</v>
      </c>
      <c r="F837" t="s">
        <v>468</v>
      </c>
      <c r="G837" t="s">
        <v>22</v>
      </c>
      <c r="H837" t="s">
        <v>23</v>
      </c>
      <c r="I837" t="s">
        <v>15</v>
      </c>
      <c r="J837" t="s">
        <v>16</v>
      </c>
      <c r="L837">
        <v>1.5</v>
      </c>
      <c r="AA837">
        <v>5800</v>
      </c>
      <c r="AB837">
        <v>8484</v>
      </c>
      <c r="AC837">
        <v>1408</v>
      </c>
      <c r="AE837">
        <v>2938</v>
      </c>
      <c r="AF837">
        <v>18630</v>
      </c>
    </row>
    <row r="838" spans="1:32">
      <c r="A838" t="s">
        <v>716</v>
      </c>
      <c r="B838" t="s">
        <v>750</v>
      </c>
      <c r="C838" t="str">
        <f>Data_Master[[#This Row],[Uniq-ID]]&amp;"-"&amp;Data_Master[[#This Row],[Period]]</f>
        <v>PE-Project_Engineer-019-M4</v>
      </c>
      <c r="D838" t="s">
        <v>751</v>
      </c>
      <c r="E838" t="s">
        <v>48</v>
      </c>
      <c r="F838" t="s">
        <v>468</v>
      </c>
      <c r="G838" t="s">
        <v>25</v>
      </c>
      <c r="H838" t="s">
        <v>26</v>
      </c>
      <c r="I838" t="s">
        <v>15</v>
      </c>
      <c r="J838" t="s">
        <v>16</v>
      </c>
      <c r="L838">
        <v>1.5</v>
      </c>
      <c r="AA838">
        <v>7884</v>
      </c>
      <c r="AB838">
        <v>11292</v>
      </c>
      <c r="AC838">
        <v>3488</v>
      </c>
      <c r="AE838">
        <v>3006</v>
      </c>
      <c r="AF838">
        <v>25670</v>
      </c>
    </row>
    <row r="839" spans="1:32">
      <c r="A839" t="s">
        <v>716</v>
      </c>
      <c r="B839" t="s">
        <v>750</v>
      </c>
      <c r="C839" t="str">
        <f>Data_Master[[#This Row],[Uniq-ID]]&amp;"-"&amp;Data_Master[[#This Row],[Period]]</f>
        <v>PE-Project_Engineer-019-M5</v>
      </c>
      <c r="D839" t="s">
        <v>751</v>
      </c>
      <c r="E839" t="s">
        <v>48</v>
      </c>
      <c r="F839" t="s">
        <v>468</v>
      </c>
      <c r="G839" t="s">
        <v>28</v>
      </c>
      <c r="H839" t="s">
        <v>29</v>
      </c>
      <c r="I839" t="s">
        <v>15</v>
      </c>
      <c r="J839" t="s">
        <v>16</v>
      </c>
      <c r="L839">
        <v>1.5</v>
      </c>
      <c r="AA839">
        <v>6668</v>
      </c>
      <c r="AB839">
        <v>10236</v>
      </c>
      <c r="AC839">
        <v>6592</v>
      </c>
      <c r="AE839">
        <v>4222</v>
      </c>
      <c r="AF839">
        <v>27718</v>
      </c>
    </row>
    <row r="840" spans="1:32">
      <c r="A840" t="s">
        <v>716</v>
      </c>
      <c r="B840" t="s">
        <v>750</v>
      </c>
      <c r="C840" t="str">
        <f>Data_Master[[#This Row],[Uniq-ID]]&amp;"-"&amp;Data_Master[[#This Row],[Period]]</f>
        <v>PE-Project_Engineer-019-M6</v>
      </c>
      <c r="D840" t="s">
        <v>751</v>
      </c>
      <c r="E840" t="s">
        <v>48</v>
      </c>
      <c r="F840" t="s">
        <v>468</v>
      </c>
      <c r="G840" t="s">
        <v>31</v>
      </c>
      <c r="H840" t="s">
        <v>32</v>
      </c>
      <c r="I840" t="s">
        <v>33</v>
      </c>
      <c r="J840" t="s">
        <v>44</v>
      </c>
    </row>
    <row r="841" spans="1:32">
      <c r="A841" t="s">
        <v>716</v>
      </c>
      <c r="B841" t="s">
        <v>878</v>
      </c>
      <c r="C841" t="str">
        <f>Data_Master[[#This Row],[Uniq-ID]]&amp;"-"&amp;Data_Master[[#This Row],[Period]]</f>
        <v>PE-Project_Engineer-020-M1</v>
      </c>
      <c r="D841" t="s">
        <v>879</v>
      </c>
      <c r="E841" t="s">
        <v>48</v>
      </c>
      <c r="F841" t="s">
        <v>446</v>
      </c>
      <c r="G841" t="s">
        <v>13</v>
      </c>
      <c r="H841" t="s">
        <v>14</v>
      </c>
      <c r="I841" t="s">
        <v>15</v>
      </c>
      <c r="J841" t="s">
        <v>44</v>
      </c>
    </row>
    <row r="842" spans="1:32">
      <c r="A842" t="s">
        <v>716</v>
      </c>
      <c r="B842" t="s">
        <v>878</v>
      </c>
      <c r="C842" t="str">
        <f>Data_Master[[#This Row],[Uniq-ID]]&amp;"-"&amp;Data_Master[[#This Row],[Period]]</f>
        <v>PE-Project_Engineer-020-M2</v>
      </c>
      <c r="D842" t="s">
        <v>879</v>
      </c>
      <c r="E842" t="s">
        <v>48</v>
      </c>
      <c r="F842" t="s">
        <v>446</v>
      </c>
      <c r="G842" t="s">
        <v>18</v>
      </c>
      <c r="H842" t="s">
        <v>19</v>
      </c>
      <c r="I842" t="s">
        <v>15</v>
      </c>
      <c r="J842" t="s">
        <v>44</v>
      </c>
    </row>
    <row r="843" spans="1:32">
      <c r="A843" t="s">
        <v>716</v>
      </c>
      <c r="B843" t="s">
        <v>878</v>
      </c>
      <c r="C843" t="str">
        <f>Data_Master[[#This Row],[Uniq-ID]]&amp;"-"&amp;Data_Master[[#This Row],[Period]]</f>
        <v>PE-Project_Engineer-020-M3</v>
      </c>
      <c r="D843" t="s">
        <v>879</v>
      </c>
      <c r="E843" t="s">
        <v>48</v>
      </c>
      <c r="F843" t="s">
        <v>446</v>
      </c>
      <c r="G843" t="s">
        <v>22</v>
      </c>
      <c r="H843" t="s">
        <v>23</v>
      </c>
      <c r="I843" t="s">
        <v>15</v>
      </c>
      <c r="J843" t="s">
        <v>44</v>
      </c>
    </row>
    <row r="844" spans="1:32">
      <c r="A844" t="s">
        <v>716</v>
      </c>
      <c r="B844" t="s">
        <v>878</v>
      </c>
      <c r="C844" t="str">
        <f>Data_Master[[#This Row],[Uniq-ID]]&amp;"-"&amp;Data_Master[[#This Row],[Period]]</f>
        <v>PE-Project_Engineer-020-M4</v>
      </c>
      <c r="D844" t="s">
        <v>879</v>
      </c>
      <c r="E844" t="s">
        <v>48</v>
      </c>
      <c r="F844" t="s">
        <v>446</v>
      </c>
      <c r="G844" t="s">
        <v>25</v>
      </c>
      <c r="H844" t="s">
        <v>26</v>
      </c>
      <c r="I844" t="s">
        <v>15</v>
      </c>
      <c r="J844" t="s">
        <v>44</v>
      </c>
    </row>
    <row r="845" spans="1:32">
      <c r="A845" t="s">
        <v>716</v>
      </c>
      <c r="B845" t="s">
        <v>878</v>
      </c>
      <c r="C845" t="str">
        <f>Data_Master[[#This Row],[Uniq-ID]]&amp;"-"&amp;Data_Master[[#This Row],[Period]]</f>
        <v>PE-Project_Engineer-020-M5</v>
      </c>
      <c r="D845" t="s">
        <v>879</v>
      </c>
      <c r="E845" t="s">
        <v>48</v>
      </c>
      <c r="F845" t="s">
        <v>446</v>
      </c>
      <c r="G845" t="s">
        <v>28</v>
      </c>
      <c r="H845" t="s">
        <v>29</v>
      </c>
      <c r="I845" t="s">
        <v>15</v>
      </c>
      <c r="J845" t="s">
        <v>44</v>
      </c>
    </row>
    <row r="846" spans="1:32">
      <c r="A846" t="s">
        <v>716</v>
      </c>
      <c r="B846" t="s">
        <v>878</v>
      </c>
      <c r="C846" t="str">
        <f>Data_Master[[#This Row],[Uniq-ID]]&amp;"-"&amp;Data_Master[[#This Row],[Period]]</f>
        <v>PE-Project_Engineer-020-M6</v>
      </c>
      <c r="D846" t="s">
        <v>879</v>
      </c>
      <c r="E846" t="s">
        <v>48</v>
      </c>
      <c r="F846" t="s">
        <v>446</v>
      </c>
      <c r="G846" t="s">
        <v>31</v>
      </c>
      <c r="H846" t="s">
        <v>32</v>
      </c>
      <c r="I846" t="s">
        <v>33</v>
      </c>
      <c r="J846" t="s">
        <v>44</v>
      </c>
    </row>
    <row r="847" spans="1:32">
      <c r="A847" t="s">
        <v>716</v>
      </c>
      <c r="B847" t="s">
        <v>792</v>
      </c>
      <c r="C847" t="str">
        <f>Data_Master[[#This Row],[Uniq-ID]]&amp;"-"&amp;Data_Master[[#This Row],[Period]]</f>
        <v>PE-Project_Engineer-021-M1</v>
      </c>
      <c r="D847" t="s">
        <v>793</v>
      </c>
      <c r="E847" t="s">
        <v>76</v>
      </c>
      <c r="F847" t="s">
        <v>446</v>
      </c>
      <c r="G847" t="s">
        <v>13</v>
      </c>
      <c r="H847" t="s">
        <v>14</v>
      </c>
      <c r="I847" t="s">
        <v>15</v>
      </c>
      <c r="J847" t="s">
        <v>719</v>
      </c>
      <c r="L847">
        <v>1</v>
      </c>
      <c r="AA847">
        <v>1260</v>
      </c>
      <c r="AB847">
        <v>1950</v>
      </c>
      <c r="AC847">
        <v>1140</v>
      </c>
      <c r="AE847">
        <v>390</v>
      </c>
      <c r="AF847">
        <v>4740</v>
      </c>
    </row>
    <row r="848" spans="1:32">
      <c r="A848" t="s">
        <v>716</v>
      </c>
      <c r="B848" t="s">
        <v>792</v>
      </c>
      <c r="C848" t="str">
        <f>Data_Master[[#This Row],[Uniq-ID]]&amp;"-"&amp;Data_Master[[#This Row],[Period]]</f>
        <v>PE-Project_Engineer-021-M2</v>
      </c>
      <c r="D848" t="s">
        <v>793</v>
      </c>
      <c r="E848" t="s">
        <v>76</v>
      </c>
      <c r="F848" t="s">
        <v>446</v>
      </c>
      <c r="G848" t="s">
        <v>18</v>
      </c>
      <c r="H848" t="s">
        <v>19</v>
      </c>
      <c r="I848" t="s">
        <v>15</v>
      </c>
      <c r="J848" t="s">
        <v>719</v>
      </c>
      <c r="L848">
        <v>1</v>
      </c>
      <c r="AA848">
        <v>1320</v>
      </c>
      <c r="AB848">
        <v>1860</v>
      </c>
      <c r="AC848">
        <v>1120</v>
      </c>
      <c r="AE848">
        <v>250</v>
      </c>
      <c r="AF848">
        <v>4550</v>
      </c>
    </row>
    <row r="849" spans="1:32">
      <c r="A849" t="s">
        <v>716</v>
      </c>
      <c r="B849" t="s">
        <v>792</v>
      </c>
      <c r="C849" t="str">
        <f>Data_Master[[#This Row],[Uniq-ID]]&amp;"-"&amp;Data_Master[[#This Row],[Period]]</f>
        <v>PE-Project_Engineer-021-M3</v>
      </c>
      <c r="D849" t="s">
        <v>793</v>
      </c>
      <c r="E849" t="s">
        <v>76</v>
      </c>
      <c r="F849" t="s">
        <v>446</v>
      </c>
      <c r="G849" t="s">
        <v>22</v>
      </c>
      <c r="H849" t="s">
        <v>23</v>
      </c>
      <c r="I849" t="s">
        <v>15</v>
      </c>
      <c r="J849" t="s">
        <v>719</v>
      </c>
      <c r="L849">
        <v>1</v>
      </c>
      <c r="AA849">
        <v>1340</v>
      </c>
      <c r="AB849">
        <v>1800</v>
      </c>
      <c r="AC849">
        <v>1060</v>
      </c>
      <c r="AE849">
        <v>790</v>
      </c>
      <c r="AF849">
        <v>4990</v>
      </c>
    </row>
    <row r="850" spans="1:32">
      <c r="A850" t="s">
        <v>716</v>
      </c>
      <c r="B850" t="s">
        <v>792</v>
      </c>
      <c r="C850" t="str">
        <f>Data_Master[[#This Row],[Uniq-ID]]&amp;"-"&amp;Data_Master[[#This Row],[Period]]</f>
        <v>PE-Project_Engineer-021-M4</v>
      </c>
      <c r="D850" t="s">
        <v>793</v>
      </c>
      <c r="E850" t="s">
        <v>76</v>
      </c>
      <c r="F850" t="s">
        <v>446</v>
      </c>
      <c r="G850" t="s">
        <v>25</v>
      </c>
      <c r="H850" t="s">
        <v>26</v>
      </c>
      <c r="I850" t="s">
        <v>15</v>
      </c>
      <c r="J850" t="s">
        <v>719</v>
      </c>
      <c r="L850">
        <v>1</v>
      </c>
      <c r="AA850">
        <v>620</v>
      </c>
      <c r="AB850">
        <v>1230</v>
      </c>
      <c r="AC850">
        <v>820</v>
      </c>
      <c r="AE850">
        <v>680</v>
      </c>
      <c r="AF850">
        <v>3350</v>
      </c>
    </row>
    <row r="851" spans="1:32">
      <c r="A851" t="s">
        <v>716</v>
      </c>
      <c r="B851" t="s">
        <v>792</v>
      </c>
      <c r="C851" t="str">
        <f>Data_Master[[#This Row],[Uniq-ID]]&amp;"-"&amp;Data_Master[[#This Row],[Period]]</f>
        <v>PE-Project_Engineer-021-M5</v>
      </c>
      <c r="D851" t="s">
        <v>793</v>
      </c>
      <c r="E851" t="s">
        <v>76</v>
      </c>
      <c r="F851" t="s">
        <v>446</v>
      </c>
      <c r="G851" t="s">
        <v>28</v>
      </c>
      <c r="H851" t="s">
        <v>29</v>
      </c>
      <c r="I851" t="s">
        <v>15</v>
      </c>
      <c r="J851" t="s">
        <v>719</v>
      </c>
      <c r="L851">
        <v>1</v>
      </c>
      <c r="AA851">
        <v>360</v>
      </c>
      <c r="AB851">
        <v>960</v>
      </c>
      <c r="AC851">
        <v>500</v>
      </c>
      <c r="AE851">
        <v>340</v>
      </c>
      <c r="AF851">
        <v>2160</v>
      </c>
    </row>
    <row r="852" spans="1:32">
      <c r="A852" t="s">
        <v>716</v>
      </c>
      <c r="B852" t="s">
        <v>792</v>
      </c>
      <c r="C852" t="str">
        <f>Data_Master[[#This Row],[Uniq-ID]]&amp;"-"&amp;Data_Master[[#This Row],[Period]]</f>
        <v>PE-Project_Engineer-021-M6</v>
      </c>
      <c r="D852" t="s">
        <v>793</v>
      </c>
      <c r="E852" t="s">
        <v>76</v>
      </c>
      <c r="F852" t="s">
        <v>446</v>
      </c>
      <c r="G852" t="s">
        <v>31</v>
      </c>
      <c r="H852" t="s">
        <v>32</v>
      </c>
      <c r="I852" t="s">
        <v>33</v>
      </c>
      <c r="J852" t="s">
        <v>44</v>
      </c>
    </row>
    <row r="853" spans="1:32">
      <c r="A853" t="s">
        <v>716</v>
      </c>
      <c r="B853" t="s">
        <v>746</v>
      </c>
      <c r="C853" t="str">
        <f>Data_Master[[#This Row],[Uniq-ID]]&amp;"-"&amp;Data_Master[[#This Row],[Period]]</f>
        <v>PE-Project_Engineer-022-M1</v>
      </c>
      <c r="D853" t="s">
        <v>747</v>
      </c>
      <c r="E853" t="s">
        <v>48</v>
      </c>
      <c r="F853" t="s">
        <v>446</v>
      </c>
      <c r="G853" t="s">
        <v>13</v>
      </c>
      <c r="H853" t="s">
        <v>14</v>
      </c>
      <c r="I853" t="s">
        <v>15</v>
      </c>
      <c r="J853" t="s">
        <v>44</v>
      </c>
      <c r="L853">
        <v>0.5</v>
      </c>
      <c r="AA853">
        <v>220</v>
      </c>
      <c r="AB853">
        <v>330</v>
      </c>
      <c r="AC853">
        <v>320</v>
      </c>
      <c r="AE853">
        <v>60</v>
      </c>
      <c r="AF853">
        <v>930</v>
      </c>
    </row>
    <row r="854" spans="1:32">
      <c r="A854" t="s">
        <v>716</v>
      </c>
      <c r="B854" t="s">
        <v>746</v>
      </c>
      <c r="C854" t="str">
        <f>Data_Master[[#This Row],[Uniq-ID]]&amp;"-"&amp;Data_Master[[#This Row],[Period]]</f>
        <v>PE-Project_Engineer-022-M2</v>
      </c>
      <c r="D854" t="s">
        <v>747</v>
      </c>
      <c r="E854" t="s">
        <v>48</v>
      </c>
      <c r="F854" t="s">
        <v>446</v>
      </c>
      <c r="G854" t="s">
        <v>18</v>
      </c>
      <c r="H854" t="s">
        <v>19</v>
      </c>
      <c r="I854" t="s">
        <v>15</v>
      </c>
      <c r="J854" t="s">
        <v>44</v>
      </c>
      <c r="L854">
        <v>0.52</v>
      </c>
      <c r="AA854">
        <v>380</v>
      </c>
      <c r="AB854">
        <v>570</v>
      </c>
      <c r="AE854">
        <v>80</v>
      </c>
      <c r="AF854">
        <v>1030</v>
      </c>
    </row>
    <row r="855" spans="1:32">
      <c r="A855" t="s">
        <v>716</v>
      </c>
      <c r="B855" t="s">
        <v>746</v>
      </c>
      <c r="C855" t="str">
        <f>Data_Master[[#This Row],[Uniq-ID]]&amp;"-"&amp;Data_Master[[#This Row],[Period]]</f>
        <v>PE-Project_Engineer-022-M3</v>
      </c>
      <c r="D855" t="s">
        <v>747</v>
      </c>
      <c r="E855" t="s">
        <v>48</v>
      </c>
      <c r="F855" t="s">
        <v>446</v>
      </c>
      <c r="G855" t="s">
        <v>22</v>
      </c>
      <c r="H855" t="s">
        <v>23</v>
      </c>
      <c r="I855" t="s">
        <v>15</v>
      </c>
      <c r="J855" t="s">
        <v>44</v>
      </c>
      <c r="L855">
        <v>0.74</v>
      </c>
      <c r="AA855">
        <v>300</v>
      </c>
      <c r="AB855">
        <v>450</v>
      </c>
      <c r="AC855">
        <v>400</v>
      </c>
      <c r="AE855">
        <v>330</v>
      </c>
      <c r="AF855">
        <v>1480</v>
      </c>
    </row>
    <row r="856" spans="1:32">
      <c r="A856" t="s">
        <v>716</v>
      </c>
      <c r="B856" t="s">
        <v>746</v>
      </c>
      <c r="C856" t="str">
        <f>Data_Master[[#This Row],[Uniq-ID]]&amp;"-"&amp;Data_Master[[#This Row],[Period]]</f>
        <v>PE-Project_Engineer-022-M4</v>
      </c>
      <c r="D856" t="s">
        <v>747</v>
      </c>
      <c r="E856" t="s">
        <v>48</v>
      </c>
      <c r="F856" t="s">
        <v>446</v>
      </c>
      <c r="G856" t="s">
        <v>25</v>
      </c>
      <c r="H856" t="s">
        <v>26</v>
      </c>
      <c r="I856" t="s">
        <v>15</v>
      </c>
      <c r="J856" t="s">
        <v>44</v>
      </c>
      <c r="L856">
        <v>0.5</v>
      </c>
      <c r="AA856">
        <v>60</v>
      </c>
      <c r="AB856">
        <v>90</v>
      </c>
      <c r="AC856">
        <v>100</v>
      </c>
      <c r="AE856">
        <v>420</v>
      </c>
      <c r="AF856">
        <v>670</v>
      </c>
    </row>
    <row r="857" spans="1:32">
      <c r="A857" t="s">
        <v>716</v>
      </c>
      <c r="B857" t="s">
        <v>746</v>
      </c>
      <c r="C857" t="str">
        <f>Data_Master[[#This Row],[Uniq-ID]]&amp;"-"&amp;Data_Master[[#This Row],[Period]]</f>
        <v>PE-Project_Engineer-022-M5</v>
      </c>
      <c r="D857" t="s">
        <v>747</v>
      </c>
      <c r="E857" t="s">
        <v>48</v>
      </c>
      <c r="F857" t="s">
        <v>446</v>
      </c>
      <c r="G857" t="s">
        <v>28</v>
      </c>
      <c r="H857" t="s">
        <v>29</v>
      </c>
      <c r="I857" t="s">
        <v>15</v>
      </c>
      <c r="J857" t="s">
        <v>44</v>
      </c>
      <c r="L857">
        <v>0.5</v>
      </c>
      <c r="AC857">
        <v>60</v>
      </c>
      <c r="AE857">
        <v>82</v>
      </c>
      <c r="AF857">
        <v>142</v>
      </c>
    </row>
    <row r="858" spans="1:32">
      <c r="A858" t="s">
        <v>716</v>
      </c>
      <c r="B858" t="s">
        <v>746</v>
      </c>
      <c r="C858" t="str">
        <f>Data_Master[[#This Row],[Uniq-ID]]&amp;"-"&amp;Data_Master[[#This Row],[Period]]</f>
        <v>PE-Project_Engineer-022-M6</v>
      </c>
      <c r="D858" t="s">
        <v>747</v>
      </c>
      <c r="E858" t="s">
        <v>48</v>
      </c>
      <c r="F858" t="s">
        <v>446</v>
      </c>
      <c r="G858" t="s">
        <v>31</v>
      </c>
      <c r="H858" t="s">
        <v>32</v>
      </c>
      <c r="I858" t="s">
        <v>33</v>
      </c>
      <c r="J858" t="s">
        <v>44</v>
      </c>
    </row>
    <row r="859" spans="1:32">
      <c r="A859" t="s">
        <v>716</v>
      </c>
      <c r="B859" t="s">
        <v>766</v>
      </c>
      <c r="C859" t="str">
        <f>Data_Master[[#This Row],[Uniq-ID]]&amp;"-"&amp;Data_Master[[#This Row],[Period]]</f>
        <v>PE-Project_Engineer-023-M1</v>
      </c>
      <c r="D859" t="s">
        <v>767</v>
      </c>
      <c r="E859" t="s">
        <v>11</v>
      </c>
      <c r="F859" t="s">
        <v>468</v>
      </c>
      <c r="G859" t="s">
        <v>13</v>
      </c>
      <c r="H859" t="s">
        <v>14</v>
      </c>
      <c r="I859" t="s">
        <v>15</v>
      </c>
      <c r="J859" t="s">
        <v>719</v>
      </c>
      <c r="L859">
        <v>1</v>
      </c>
      <c r="AA859">
        <v>744</v>
      </c>
      <c r="AB859">
        <v>876</v>
      </c>
      <c r="AC859">
        <v>104</v>
      </c>
      <c r="AE859">
        <v>408</v>
      </c>
      <c r="AF859">
        <v>2132</v>
      </c>
    </row>
    <row r="860" spans="1:32">
      <c r="A860" t="s">
        <v>716</v>
      </c>
      <c r="B860" t="s">
        <v>766</v>
      </c>
      <c r="C860" t="str">
        <f>Data_Master[[#This Row],[Uniq-ID]]&amp;"-"&amp;Data_Master[[#This Row],[Period]]</f>
        <v>PE-Project_Engineer-023-M2</v>
      </c>
      <c r="D860" t="s">
        <v>767</v>
      </c>
      <c r="E860" t="s">
        <v>11</v>
      </c>
      <c r="F860" t="s">
        <v>468</v>
      </c>
      <c r="G860" t="s">
        <v>18</v>
      </c>
      <c r="H860" t="s">
        <v>19</v>
      </c>
      <c r="I860" t="s">
        <v>15</v>
      </c>
      <c r="J860" t="s">
        <v>16</v>
      </c>
      <c r="L860">
        <v>1.5</v>
      </c>
      <c r="AA860">
        <v>5448</v>
      </c>
      <c r="AB860">
        <v>7584</v>
      </c>
      <c r="AC860">
        <v>20</v>
      </c>
      <c r="AE860">
        <v>222</v>
      </c>
      <c r="AF860">
        <v>13274</v>
      </c>
    </row>
    <row r="861" spans="1:32">
      <c r="A861" t="s">
        <v>716</v>
      </c>
      <c r="B861" t="s">
        <v>766</v>
      </c>
      <c r="C861" t="str">
        <f>Data_Master[[#This Row],[Uniq-ID]]&amp;"-"&amp;Data_Master[[#This Row],[Period]]</f>
        <v>PE-Project_Engineer-023-M3</v>
      </c>
      <c r="D861" t="s">
        <v>767</v>
      </c>
      <c r="E861" t="s">
        <v>11</v>
      </c>
      <c r="F861" t="s">
        <v>468</v>
      </c>
      <c r="G861" t="s">
        <v>22</v>
      </c>
      <c r="H861" t="s">
        <v>23</v>
      </c>
      <c r="I861" t="s">
        <v>15</v>
      </c>
      <c r="J861" t="s">
        <v>16</v>
      </c>
      <c r="L861">
        <v>1.5</v>
      </c>
      <c r="AA861">
        <v>1460</v>
      </c>
      <c r="AB861">
        <v>2730</v>
      </c>
      <c r="AC861">
        <v>3608</v>
      </c>
      <c r="AE861">
        <v>1198</v>
      </c>
      <c r="AF861">
        <v>8996</v>
      </c>
    </row>
    <row r="862" spans="1:32">
      <c r="A862" t="s">
        <v>716</v>
      </c>
      <c r="B862" t="s">
        <v>766</v>
      </c>
      <c r="C862" t="str">
        <f>Data_Master[[#This Row],[Uniq-ID]]&amp;"-"&amp;Data_Master[[#This Row],[Period]]</f>
        <v>PE-Project_Engineer-023-M4</v>
      </c>
      <c r="D862" t="s">
        <v>767</v>
      </c>
      <c r="E862" t="s">
        <v>11</v>
      </c>
      <c r="F862" t="s">
        <v>468</v>
      </c>
      <c r="G862" t="s">
        <v>25</v>
      </c>
      <c r="H862" t="s">
        <v>26</v>
      </c>
      <c r="I862" t="s">
        <v>15</v>
      </c>
      <c r="J862" t="s">
        <v>16</v>
      </c>
      <c r="L862">
        <v>1.49</v>
      </c>
      <c r="AA862">
        <v>2536</v>
      </c>
      <c r="AB862">
        <v>3054</v>
      </c>
      <c r="AC862">
        <v>2212</v>
      </c>
      <c r="AE862">
        <v>1120</v>
      </c>
      <c r="AF862">
        <v>8922</v>
      </c>
    </row>
    <row r="863" spans="1:32">
      <c r="A863" t="s">
        <v>716</v>
      </c>
      <c r="B863" t="s">
        <v>766</v>
      </c>
      <c r="C863" t="str">
        <f>Data_Master[[#This Row],[Uniq-ID]]&amp;"-"&amp;Data_Master[[#This Row],[Period]]</f>
        <v>PE-Project_Engineer-023-M5</v>
      </c>
      <c r="D863" t="s">
        <v>767</v>
      </c>
      <c r="E863" t="s">
        <v>11</v>
      </c>
      <c r="F863" t="s">
        <v>468</v>
      </c>
      <c r="G863" t="s">
        <v>28</v>
      </c>
      <c r="H863" t="s">
        <v>29</v>
      </c>
      <c r="I863" t="s">
        <v>15</v>
      </c>
      <c r="J863" t="s">
        <v>719</v>
      </c>
      <c r="L863">
        <v>1</v>
      </c>
      <c r="AA863">
        <v>1084</v>
      </c>
      <c r="AB863">
        <v>2712</v>
      </c>
      <c r="AC863">
        <v>1300</v>
      </c>
      <c r="AE863">
        <v>426</v>
      </c>
      <c r="AF863">
        <v>5522</v>
      </c>
    </row>
    <row r="864" spans="1:32">
      <c r="A864" t="s">
        <v>716</v>
      </c>
      <c r="B864" t="s">
        <v>766</v>
      </c>
      <c r="C864" t="str">
        <f>Data_Master[[#This Row],[Uniq-ID]]&amp;"-"&amp;Data_Master[[#This Row],[Period]]</f>
        <v>PE-Project_Engineer-023-M6</v>
      </c>
      <c r="D864" t="s">
        <v>767</v>
      </c>
      <c r="E864" t="s">
        <v>11</v>
      </c>
      <c r="F864" t="s">
        <v>468</v>
      </c>
      <c r="G864" t="s">
        <v>31</v>
      </c>
      <c r="H864" t="s">
        <v>32</v>
      </c>
      <c r="I864" t="s">
        <v>33</v>
      </c>
      <c r="J864" t="s">
        <v>44</v>
      </c>
    </row>
    <row r="865" spans="1:32">
      <c r="A865" t="s">
        <v>716</v>
      </c>
      <c r="B865" t="s">
        <v>724</v>
      </c>
      <c r="C865" t="str">
        <f>Data_Master[[#This Row],[Uniq-ID]]&amp;"-"&amp;Data_Master[[#This Row],[Period]]</f>
        <v>PE-Project_Engineer-024-M1</v>
      </c>
      <c r="D865" t="s">
        <v>725</v>
      </c>
      <c r="E865" t="s">
        <v>290</v>
      </c>
      <c r="F865" t="s">
        <v>520</v>
      </c>
      <c r="G865" t="s">
        <v>13</v>
      </c>
      <c r="H865" t="s">
        <v>122</v>
      </c>
      <c r="I865" t="s">
        <v>15</v>
      </c>
      <c r="J865" t="s">
        <v>16</v>
      </c>
      <c r="L865">
        <v>1.46</v>
      </c>
      <c r="AA865">
        <v>424</v>
      </c>
      <c r="AB865">
        <v>3366</v>
      </c>
      <c r="AC865">
        <v>3048</v>
      </c>
      <c r="AE865">
        <v>1904</v>
      </c>
      <c r="AF865">
        <v>8742</v>
      </c>
    </row>
    <row r="866" spans="1:32">
      <c r="A866" t="s">
        <v>716</v>
      </c>
      <c r="B866" t="s">
        <v>724</v>
      </c>
      <c r="C866" t="str">
        <f>Data_Master[[#This Row],[Uniq-ID]]&amp;"-"&amp;Data_Master[[#This Row],[Period]]</f>
        <v>PE-Project_Engineer-024-M2</v>
      </c>
      <c r="D866" t="s">
        <v>725</v>
      </c>
      <c r="E866" t="s">
        <v>290</v>
      </c>
      <c r="F866" t="s">
        <v>520</v>
      </c>
      <c r="G866" t="s">
        <v>18</v>
      </c>
      <c r="H866" t="s">
        <v>124</v>
      </c>
      <c r="I866" t="s">
        <v>15</v>
      </c>
      <c r="J866" t="s">
        <v>16</v>
      </c>
      <c r="L866">
        <v>1.5</v>
      </c>
      <c r="AA866">
        <v>3232</v>
      </c>
      <c r="AB866">
        <v>5652</v>
      </c>
      <c r="AC866">
        <v>6300</v>
      </c>
      <c r="AE866">
        <v>656</v>
      </c>
      <c r="AF866">
        <v>15840</v>
      </c>
    </row>
    <row r="867" spans="1:32">
      <c r="A867" t="s">
        <v>716</v>
      </c>
      <c r="B867" t="s">
        <v>724</v>
      </c>
      <c r="C867" t="str">
        <f>Data_Master[[#This Row],[Uniq-ID]]&amp;"-"&amp;Data_Master[[#This Row],[Period]]</f>
        <v>PE-Project_Engineer-024-M3</v>
      </c>
      <c r="D867" t="s">
        <v>725</v>
      </c>
      <c r="E867" t="s">
        <v>290</v>
      </c>
      <c r="F867" t="s">
        <v>520</v>
      </c>
      <c r="G867" t="s">
        <v>22</v>
      </c>
      <c r="H867" t="s">
        <v>126</v>
      </c>
      <c r="I867" t="s">
        <v>15</v>
      </c>
      <c r="J867" t="s">
        <v>16</v>
      </c>
      <c r="L867">
        <v>1.4</v>
      </c>
      <c r="AA867">
        <v>1992</v>
      </c>
      <c r="AB867">
        <v>1842</v>
      </c>
      <c r="AC867">
        <v>3024</v>
      </c>
      <c r="AE867">
        <v>1528</v>
      </c>
      <c r="AF867">
        <v>8386</v>
      </c>
    </row>
    <row r="868" spans="1:32">
      <c r="A868" t="s">
        <v>716</v>
      </c>
      <c r="B868" t="s">
        <v>724</v>
      </c>
      <c r="C868" t="str">
        <f>Data_Master[[#This Row],[Uniq-ID]]&amp;"-"&amp;Data_Master[[#This Row],[Period]]</f>
        <v>PE-Project_Engineer-024-M4</v>
      </c>
      <c r="D868" t="s">
        <v>725</v>
      </c>
      <c r="E868" t="s">
        <v>290</v>
      </c>
      <c r="F868" t="s">
        <v>520</v>
      </c>
      <c r="G868" t="s">
        <v>25</v>
      </c>
      <c r="H868" t="s">
        <v>128</v>
      </c>
      <c r="I868" t="s">
        <v>15</v>
      </c>
      <c r="J868" t="s">
        <v>16</v>
      </c>
      <c r="L868">
        <v>1.5</v>
      </c>
      <c r="AA868">
        <v>2692</v>
      </c>
      <c r="AB868">
        <v>5940</v>
      </c>
      <c r="AC868">
        <v>1172</v>
      </c>
      <c r="AE868">
        <v>2048</v>
      </c>
      <c r="AF868">
        <v>11852</v>
      </c>
    </row>
    <row r="869" spans="1:32">
      <c r="A869" t="s">
        <v>716</v>
      </c>
      <c r="B869" t="s">
        <v>724</v>
      </c>
      <c r="C869" t="str">
        <f>Data_Master[[#This Row],[Uniq-ID]]&amp;"-"&amp;Data_Master[[#This Row],[Period]]</f>
        <v>PE-Project_Engineer-024-M5</v>
      </c>
      <c r="D869" t="s">
        <v>725</v>
      </c>
      <c r="E869" t="s">
        <v>290</v>
      </c>
      <c r="F869" t="s">
        <v>520</v>
      </c>
      <c r="G869" t="s">
        <v>28</v>
      </c>
      <c r="H869" t="s">
        <v>130</v>
      </c>
      <c r="I869" t="s">
        <v>15</v>
      </c>
      <c r="J869" t="s">
        <v>16</v>
      </c>
      <c r="L869">
        <v>1.5</v>
      </c>
      <c r="AA869">
        <v>1376</v>
      </c>
      <c r="AB869">
        <v>1986</v>
      </c>
      <c r="AC869">
        <v>3912</v>
      </c>
      <c r="AE869">
        <v>3894</v>
      </c>
      <c r="AF869">
        <v>11168</v>
      </c>
    </row>
    <row r="870" spans="1:32">
      <c r="A870" t="s">
        <v>716</v>
      </c>
      <c r="B870" t="s">
        <v>724</v>
      </c>
      <c r="C870" t="str">
        <f>Data_Master[[#This Row],[Uniq-ID]]&amp;"-"&amp;Data_Master[[#This Row],[Period]]</f>
        <v>PE-Project_Engineer-024-M6</v>
      </c>
      <c r="D870" t="s">
        <v>725</v>
      </c>
      <c r="E870" t="s">
        <v>290</v>
      </c>
      <c r="F870" t="s">
        <v>520</v>
      </c>
      <c r="G870" t="s">
        <v>31</v>
      </c>
      <c r="H870" t="s">
        <v>132</v>
      </c>
      <c r="I870" t="s">
        <v>33</v>
      </c>
      <c r="J870" t="s">
        <v>44</v>
      </c>
    </row>
    <row r="871" spans="1:32">
      <c r="A871" t="s">
        <v>716</v>
      </c>
      <c r="B871" t="s">
        <v>829</v>
      </c>
      <c r="C871" t="str">
        <f>Data_Master[[#This Row],[Uniq-ID]]&amp;"-"&amp;Data_Master[[#This Row],[Period]]</f>
        <v>PE-Project_Engineer-025-M1</v>
      </c>
      <c r="D871" t="s">
        <v>830</v>
      </c>
      <c r="E871" t="s">
        <v>112</v>
      </c>
      <c r="F871" t="s">
        <v>446</v>
      </c>
      <c r="G871" t="s">
        <v>13</v>
      </c>
      <c r="H871" t="s">
        <v>759</v>
      </c>
      <c r="I871" t="s">
        <v>15</v>
      </c>
      <c r="J871" t="s">
        <v>44</v>
      </c>
      <c r="L871">
        <v>0.5</v>
      </c>
      <c r="AA871">
        <v>120</v>
      </c>
      <c r="AB871">
        <v>600</v>
      </c>
      <c r="AC871">
        <v>240</v>
      </c>
      <c r="AF871">
        <v>960</v>
      </c>
    </row>
    <row r="872" spans="1:32">
      <c r="A872" t="s">
        <v>716</v>
      </c>
      <c r="B872" t="s">
        <v>829</v>
      </c>
      <c r="C872" t="str">
        <f>Data_Master[[#This Row],[Uniq-ID]]&amp;"-"&amp;Data_Master[[#This Row],[Period]]</f>
        <v>PE-Project_Engineer-025-M2</v>
      </c>
      <c r="D872" t="s">
        <v>830</v>
      </c>
      <c r="E872" t="s">
        <v>112</v>
      </c>
      <c r="F872" t="s">
        <v>446</v>
      </c>
      <c r="G872" t="s">
        <v>18</v>
      </c>
      <c r="H872" t="s">
        <v>760</v>
      </c>
      <c r="I872" t="s">
        <v>15</v>
      </c>
      <c r="J872" t="s">
        <v>44</v>
      </c>
      <c r="L872">
        <v>0.74</v>
      </c>
      <c r="AA872">
        <v>680</v>
      </c>
      <c r="AB872">
        <v>750</v>
      </c>
      <c r="AC872">
        <v>40</v>
      </c>
      <c r="AF872">
        <v>1470</v>
      </c>
    </row>
    <row r="873" spans="1:32">
      <c r="A873" t="s">
        <v>716</v>
      </c>
      <c r="B873" t="s">
        <v>829</v>
      </c>
      <c r="C873" t="str">
        <f>Data_Master[[#This Row],[Uniq-ID]]&amp;"-"&amp;Data_Master[[#This Row],[Period]]</f>
        <v>PE-Project_Engineer-025-M3</v>
      </c>
      <c r="D873" t="s">
        <v>830</v>
      </c>
      <c r="E873" t="s">
        <v>112</v>
      </c>
      <c r="F873" t="s">
        <v>446</v>
      </c>
      <c r="G873" t="s">
        <v>22</v>
      </c>
      <c r="H873" t="s">
        <v>761</v>
      </c>
      <c r="I873" t="s">
        <v>15</v>
      </c>
      <c r="J873" t="s">
        <v>719</v>
      </c>
      <c r="L873">
        <v>1</v>
      </c>
      <c r="AA873">
        <v>1580</v>
      </c>
      <c r="AB873">
        <v>2190</v>
      </c>
      <c r="AC873">
        <v>300</v>
      </c>
      <c r="AF873">
        <v>4070</v>
      </c>
    </row>
    <row r="874" spans="1:32">
      <c r="A874" t="s">
        <v>716</v>
      </c>
      <c r="B874" t="s">
        <v>829</v>
      </c>
      <c r="C874" t="str">
        <f>Data_Master[[#This Row],[Uniq-ID]]&amp;"-"&amp;Data_Master[[#This Row],[Period]]</f>
        <v>PE-Project_Engineer-025-M4</v>
      </c>
      <c r="D874" t="s">
        <v>830</v>
      </c>
      <c r="E874" t="s">
        <v>112</v>
      </c>
      <c r="F874" t="s">
        <v>446</v>
      </c>
      <c r="G874" t="s">
        <v>25</v>
      </c>
      <c r="H874" t="s">
        <v>762</v>
      </c>
      <c r="I874" t="s">
        <v>15</v>
      </c>
      <c r="J874" t="s">
        <v>719</v>
      </c>
      <c r="L874">
        <v>1</v>
      </c>
      <c r="AA874">
        <v>1340</v>
      </c>
      <c r="AB874">
        <v>2490</v>
      </c>
      <c r="AC874">
        <v>440</v>
      </c>
      <c r="AF874">
        <v>4270</v>
      </c>
    </row>
    <row r="875" spans="1:32">
      <c r="A875" t="s">
        <v>716</v>
      </c>
      <c r="B875" t="s">
        <v>829</v>
      </c>
      <c r="C875" t="str">
        <f>Data_Master[[#This Row],[Uniq-ID]]&amp;"-"&amp;Data_Master[[#This Row],[Period]]</f>
        <v>PE-Project_Engineer-025-M5</v>
      </c>
      <c r="D875" t="s">
        <v>830</v>
      </c>
      <c r="E875" t="s">
        <v>112</v>
      </c>
      <c r="F875" t="s">
        <v>446</v>
      </c>
      <c r="G875" t="s">
        <v>28</v>
      </c>
      <c r="H875" t="s">
        <v>763</v>
      </c>
      <c r="I875" t="s">
        <v>33</v>
      </c>
      <c r="J875" t="s">
        <v>719</v>
      </c>
      <c r="L875">
        <v>1</v>
      </c>
      <c r="AA875">
        <v>1860</v>
      </c>
      <c r="AB875">
        <v>2220</v>
      </c>
      <c r="AF875">
        <v>4080</v>
      </c>
    </row>
    <row r="876" spans="1:32">
      <c r="A876" t="s">
        <v>716</v>
      </c>
      <c r="B876" t="s">
        <v>823</v>
      </c>
      <c r="C876" t="str">
        <f>Data_Master[[#This Row],[Uniq-ID]]&amp;"-"&amp;Data_Master[[#This Row],[Period]]</f>
        <v>PE-Project_Engineer-026-M1</v>
      </c>
      <c r="D876" t="s">
        <v>824</v>
      </c>
      <c r="E876" t="s">
        <v>76</v>
      </c>
      <c r="F876" t="s">
        <v>446</v>
      </c>
      <c r="G876" t="s">
        <v>13</v>
      </c>
      <c r="H876" t="s">
        <v>458</v>
      </c>
      <c r="I876" t="s">
        <v>15</v>
      </c>
      <c r="J876" t="s">
        <v>44</v>
      </c>
    </row>
    <row r="877" spans="1:32">
      <c r="A877" t="s">
        <v>716</v>
      </c>
      <c r="B877" t="s">
        <v>823</v>
      </c>
      <c r="C877" t="str">
        <f>Data_Master[[#This Row],[Uniq-ID]]&amp;"-"&amp;Data_Master[[#This Row],[Period]]</f>
        <v>PE-Project_Engineer-026-M2</v>
      </c>
      <c r="D877" t="s">
        <v>824</v>
      </c>
      <c r="E877" t="s">
        <v>76</v>
      </c>
      <c r="F877" t="s">
        <v>446</v>
      </c>
      <c r="G877" t="s">
        <v>18</v>
      </c>
      <c r="H877" t="s">
        <v>268</v>
      </c>
      <c r="I877" t="s">
        <v>15</v>
      </c>
      <c r="J877" t="s">
        <v>44</v>
      </c>
    </row>
    <row r="878" spans="1:32">
      <c r="A878" t="s">
        <v>716</v>
      </c>
      <c r="B878" t="s">
        <v>823</v>
      </c>
      <c r="C878" t="str">
        <f>Data_Master[[#This Row],[Uniq-ID]]&amp;"-"&amp;Data_Master[[#This Row],[Period]]</f>
        <v>PE-Project_Engineer-026-M3</v>
      </c>
      <c r="D878" t="s">
        <v>824</v>
      </c>
      <c r="E878" t="s">
        <v>76</v>
      </c>
      <c r="F878" t="s">
        <v>446</v>
      </c>
      <c r="G878" t="s">
        <v>22</v>
      </c>
      <c r="H878" t="s">
        <v>270</v>
      </c>
      <c r="I878" t="s">
        <v>15</v>
      </c>
      <c r="J878" t="s">
        <v>44</v>
      </c>
    </row>
    <row r="879" spans="1:32">
      <c r="A879" t="s">
        <v>716</v>
      </c>
      <c r="B879" t="s">
        <v>823</v>
      </c>
      <c r="C879" t="str">
        <f>Data_Master[[#This Row],[Uniq-ID]]&amp;"-"&amp;Data_Master[[#This Row],[Period]]</f>
        <v>PE-Project_Engineer-026-M4</v>
      </c>
      <c r="D879" t="s">
        <v>824</v>
      </c>
      <c r="E879" t="s">
        <v>76</v>
      </c>
      <c r="F879" t="s">
        <v>446</v>
      </c>
      <c r="G879" t="s">
        <v>25</v>
      </c>
      <c r="H879" t="s">
        <v>272</v>
      </c>
      <c r="I879" t="s">
        <v>15</v>
      </c>
      <c r="J879" t="s">
        <v>44</v>
      </c>
    </row>
    <row r="880" spans="1:32">
      <c r="A880" t="s">
        <v>716</v>
      </c>
      <c r="B880" t="s">
        <v>823</v>
      </c>
      <c r="C880" t="str">
        <f>Data_Master[[#This Row],[Uniq-ID]]&amp;"-"&amp;Data_Master[[#This Row],[Period]]</f>
        <v>PE-Project_Engineer-026-M5</v>
      </c>
      <c r="D880" t="s">
        <v>824</v>
      </c>
      <c r="E880" t="s">
        <v>76</v>
      </c>
      <c r="F880" t="s">
        <v>446</v>
      </c>
      <c r="G880" t="s">
        <v>28</v>
      </c>
      <c r="H880" t="s">
        <v>274</v>
      </c>
      <c r="I880" t="s">
        <v>33</v>
      </c>
      <c r="J880" t="s">
        <v>44</v>
      </c>
    </row>
    <row r="881" spans="1:32">
      <c r="A881" t="s">
        <v>716</v>
      </c>
      <c r="B881" t="s">
        <v>790</v>
      </c>
      <c r="C881" t="str">
        <f>Data_Master[[#This Row],[Uniq-ID]]&amp;"-"&amp;Data_Master[[#This Row],[Period]]</f>
        <v>PE-Project_Engineer-027-M1</v>
      </c>
      <c r="D881" t="s">
        <v>791</v>
      </c>
      <c r="E881" t="s">
        <v>76</v>
      </c>
      <c r="F881" t="s">
        <v>475</v>
      </c>
      <c r="G881" t="s">
        <v>13</v>
      </c>
      <c r="H881" t="s">
        <v>14</v>
      </c>
      <c r="I881" t="s">
        <v>15</v>
      </c>
      <c r="J881" t="s">
        <v>719</v>
      </c>
      <c r="L881">
        <v>1</v>
      </c>
      <c r="AA881">
        <v>608</v>
      </c>
      <c r="AB881">
        <v>960</v>
      </c>
      <c r="AC881">
        <v>528</v>
      </c>
      <c r="AE881">
        <v>40</v>
      </c>
      <c r="AF881">
        <v>2136</v>
      </c>
    </row>
    <row r="882" spans="1:32">
      <c r="A882" t="s">
        <v>716</v>
      </c>
      <c r="B882" t="s">
        <v>790</v>
      </c>
      <c r="C882" t="str">
        <f>Data_Master[[#This Row],[Uniq-ID]]&amp;"-"&amp;Data_Master[[#This Row],[Period]]</f>
        <v>PE-Project_Engineer-027-M2</v>
      </c>
      <c r="D882" t="s">
        <v>791</v>
      </c>
      <c r="E882" t="s">
        <v>76</v>
      </c>
      <c r="F882" t="s">
        <v>475</v>
      </c>
      <c r="G882" t="s">
        <v>18</v>
      </c>
      <c r="H882" t="s">
        <v>19</v>
      </c>
      <c r="I882" t="s">
        <v>15</v>
      </c>
      <c r="J882" t="s">
        <v>719</v>
      </c>
      <c r="L882">
        <v>1</v>
      </c>
      <c r="AA882">
        <v>864</v>
      </c>
      <c r="AB882">
        <v>1188</v>
      </c>
      <c r="AC882">
        <v>928</v>
      </c>
      <c r="AE882">
        <v>120</v>
      </c>
      <c r="AF882">
        <v>3100</v>
      </c>
    </row>
    <row r="883" spans="1:32">
      <c r="A883" t="s">
        <v>716</v>
      </c>
      <c r="B883" t="s">
        <v>790</v>
      </c>
      <c r="C883" t="str">
        <f>Data_Master[[#This Row],[Uniq-ID]]&amp;"-"&amp;Data_Master[[#This Row],[Period]]</f>
        <v>PE-Project_Engineer-027-M3</v>
      </c>
      <c r="D883" t="s">
        <v>791</v>
      </c>
      <c r="E883" t="s">
        <v>76</v>
      </c>
      <c r="F883" t="s">
        <v>475</v>
      </c>
      <c r="G883" t="s">
        <v>22</v>
      </c>
      <c r="H883" t="s">
        <v>23</v>
      </c>
      <c r="I883" t="s">
        <v>15</v>
      </c>
      <c r="J883" t="s">
        <v>719</v>
      </c>
      <c r="L883">
        <v>1</v>
      </c>
      <c r="AA883">
        <v>640</v>
      </c>
      <c r="AB883">
        <v>1104</v>
      </c>
      <c r="AC883">
        <v>1496</v>
      </c>
      <c r="AE883">
        <v>176</v>
      </c>
      <c r="AF883">
        <v>3416</v>
      </c>
    </row>
    <row r="884" spans="1:32">
      <c r="A884" t="s">
        <v>716</v>
      </c>
      <c r="B884" t="s">
        <v>790</v>
      </c>
      <c r="C884" t="str">
        <f>Data_Master[[#This Row],[Uniq-ID]]&amp;"-"&amp;Data_Master[[#This Row],[Period]]</f>
        <v>PE-Project_Engineer-027-M4</v>
      </c>
      <c r="D884" t="s">
        <v>791</v>
      </c>
      <c r="E884" t="s">
        <v>76</v>
      </c>
      <c r="F884" t="s">
        <v>475</v>
      </c>
      <c r="G884" t="s">
        <v>25</v>
      </c>
      <c r="H884" t="s">
        <v>26</v>
      </c>
      <c r="I884" t="s">
        <v>15</v>
      </c>
      <c r="J884" t="s">
        <v>16</v>
      </c>
      <c r="L884">
        <v>1.5</v>
      </c>
      <c r="AA884">
        <v>2048</v>
      </c>
      <c r="AB884">
        <v>2904</v>
      </c>
      <c r="AC884">
        <v>2280</v>
      </c>
      <c r="AE884">
        <v>1840</v>
      </c>
      <c r="AF884">
        <v>9072</v>
      </c>
    </row>
    <row r="885" spans="1:32">
      <c r="A885" t="s">
        <v>716</v>
      </c>
      <c r="B885" t="s">
        <v>790</v>
      </c>
      <c r="C885" t="str">
        <f>Data_Master[[#This Row],[Uniq-ID]]&amp;"-"&amp;Data_Master[[#This Row],[Period]]</f>
        <v>PE-Project_Engineer-027-M5</v>
      </c>
      <c r="D885" t="s">
        <v>791</v>
      </c>
      <c r="E885" t="s">
        <v>76</v>
      </c>
      <c r="F885" t="s">
        <v>475</v>
      </c>
      <c r="G885" t="s">
        <v>28</v>
      </c>
      <c r="H885" t="s">
        <v>29</v>
      </c>
      <c r="I885" t="s">
        <v>15</v>
      </c>
      <c r="J885" t="s">
        <v>16</v>
      </c>
      <c r="L885">
        <v>1.03</v>
      </c>
      <c r="AA885">
        <v>1048</v>
      </c>
      <c r="AB885">
        <v>2040</v>
      </c>
      <c r="AC885">
        <v>1712</v>
      </c>
      <c r="AE885">
        <v>1384</v>
      </c>
      <c r="AF885">
        <v>6184</v>
      </c>
    </row>
    <row r="886" spans="1:32">
      <c r="A886" t="s">
        <v>716</v>
      </c>
      <c r="B886" t="s">
        <v>790</v>
      </c>
      <c r="C886" t="str">
        <f>Data_Master[[#This Row],[Uniq-ID]]&amp;"-"&amp;Data_Master[[#This Row],[Period]]</f>
        <v>PE-Project_Engineer-027-M6</v>
      </c>
      <c r="D886" t="s">
        <v>791</v>
      </c>
      <c r="E886" t="s">
        <v>76</v>
      </c>
      <c r="F886" t="s">
        <v>475</v>
      </c>
      <c r="G886" t="s">
        <v>31</v>
      </c>
      <c r="H886" t="s">
        <v>32</v>
      </c>
      <c r="I886" t="s">
        <v>33</v>
      </c>
      <c r="J886" t="s">
        <v>44</v>
      </c>
    </row>
    <row r="887" spans="1:32">
      <c r="A887" t="s">
        <v>716</v>
      </c>
      <c r="B887" t="s">
        <v>779</v>
      </c>
      <c r="C887" t="str">
        <f>Data_Master[[#This Row],[Uniq-ID]]&amp;"-"&amp;Data_Master[[#This Row],[Period]]</f>
        <v>PE-Project_Engineer-028-M1</v>
      </c>
      <c r="D887" t="s">
        <v>780</v>
      </c>
      <c r="E887" t="s">
        <v>11</v>
      </c>
      <c r="F887" t="s">
        <v>441</v>
      </c>
      <c r="G887" t="s">
        <v>13</v>
      </c>
      <c r="H887" t="s">
        <v>458</v>
      </c>
      <c r="I887" t="s">
        <v>15</v>
      </c>
      <c r="J887" t="s">
        <v>719</v>
      </c>
      <c r="L887">
        <v>1</v>
      </c>
      <c r="AA887">
        <v>964</v>
      </c>
      <c r="AB887">
        <v>1170</v>
      </c>
      <c r="AC887">
        <v>164</v>
      </c>
      <c r="AE887">
        <v>102</v>
      </c>
      <c r="AF887">
        <v>2400</v>
      </c>
    </row>
    <row r="888" spans="1:32">
      <c r="A888" t="s">
        <v>716</v>
      </c>
      <c r="B888" t="s">
        <v>779</v>
      </c>
      <c r="C888" t="str">
        <f>Data_Master[[#This Row],[Uniq-ID]]&amp;"-"&amp;Data_Master[[#This Row],[Period]]</f>
        <v>PE-Project_Engineer-028-M2</v>
      </c>
      <c r="D888" t="s">
        <v>780</v>
      </c>
      <c r="E888" t="s">
        <v>11</v>
      </c>
      <c r="F888" t="s">
        <v>441</v>
      </c>
      <c r="G888" t="s">
        <v>18</v>
      </c>
      <c r="H888" t="s">
        <v>268</v>
      </c>
      <c r="I888" t="s">
        <v>15</v>
      </c>
      <c r="J888" t="s">
        <v>719</v>
      </c>
      <c r="L888">
        <v>1</v>
      </c>
      <c r="AA888">
        <v>544</v>
      </c>
      <c r="AB888">
        <v>1080</v>
      </c>
      <c r="AC888">
        <v>1052</v>
      </c>
      <c r="AE888">
        <v>308</v>
      </c>
      <c r="AF888">
        <v>2984</v>
      </c>
    </row>
    <row r="889" spans="1:32">
      <c r="A889" t="s">
        <v>716</v>
      </c>
      <c r="B889" t="s">
        <v>779</v>
      </c>
      <c r="C889" t="str">
        <f>Data_Master[[#This Row],[Uniq-ID]]&amp;"-"&amp;Data_Master[[#This Row],[Period]]</f>
        <v>PE-Project_Engineer-028-M3</v>
      </c>
      <c r="D889" t="s">
        <v>780</v>
      </c>
      <c r="E889" t="s">
        <v>11</v>
      </c>
      <c r="F889" t="s">
        <v>441</v>
      </c>
      <c r="G889" t="s">
        <v>22</v>
      </c>
      <c r="H889" t="s">
        <v>270</v>
      </c>
      <c r="I889" t="s">
        <v>15</v>
      </c>
      <c r="J889" t="s">
        <v>719</v>
      </c>
      <c r="L889">
        <v>1</v>
      </c>
      <c r="AA889">
        <v>576</v>
      </c>
      <c r="AB889">
        <v>828</v>
      </c>
      <c r="AC889">
        <v>624</v>
      </c>
      <c r="AE889">
        <v>854</v>
      </c>
      <c r="AF889">
        <v>2882</v>
      </c>
    </row>
    <row r="890" spans="1:32">
      <c r="A890" t="s">
        <v>716</v>
      </c>
      <c r="B890" t="s">
        <v>779</v>
      </c>
      <c r="C890" t="str">
        <f>Data_Master[[#This Row],[Uniq-ID]]&amp;"-"&amp;Data_Master[[#This Row],[Period]]</f>
        <v>PE-Project_Engineer-028-M4</v>
      </c>
      <c r="D890" t="s">
        <v>780</v>
      </c>
      <c r="E890" t="s">
        <v>11</v>
      </c>
      <c r="F890" t="s">
        <v>441</v>
      </c>
      <c r="G890" t="s">
        <v>25</v>
      </c>
      <c r="H890" t="s">
        <v>272</v>
      </c>
      <c r="I890" t="s">
        <v>15</v>
      </c>
      <c r="J890" t="s">
        <v>719</v>
      </c>
      <c r="L890">
        <v>1</v>
      </c>
      <c r="AA890">
        <v>964</v>
      </c>
      <c r="AB890">
        <v>1374</v>
      </c>
      <c r="AC890">
        <v>552</v>
      </c>
      <c r="AE890">
        <v>866</v>
      </c>
      <c r="AF890">
        <v>3756</v>
      </c>
    </row>
    <row r="891" spans="1:32">
      <c r="A891" t="s">
        <v>716</v>
      </c>
      <c r="B891" t="s">
        <v>779</v>
      </c>
      <c r="C891" t="str">
        <f>Data_Master[[#This Row],[Uniq-ID]]&amp;"-"&amp;Data_Master[[#This Row],[Period]]</f>
        <v>PE-Project_Engineer-028-M5</v>
      </c>
      <c r="D891" t="s">
        <v>780</v>
      </c>
      <c r="E891" t="s">
        <v>11</v>
      </c>
      <c r="F891" t="s">
        <v>441</v>
      </c>
      <c r="G891" t="s">
        <v>28</v>
      </c>
      <c r="H891" t="s">
        <v>274</v>
      </c>
      <c r="I891" t="s">
        <v>33</v>
      </c>
      <c r="J891" t="s">
        <v>44</v>
      </c>
      <c r="L891">
        <v>0.5</v>
      </c>
      <c r="AA891">
        <v>32</v>
      </c>
      <c r="AB891">
        <v>144</v>
      </c>
      <c r="AE891">
        <v>126</v>
      </c>
      <c r="AF891">
        <v>302</v>
      </c>
    </row>
    <row r="892" spans="1:32">
      <c r="A892" t="s">
        <v>716</v>
      </c>
      <c r="B892" t="s">
        <v>801</v>
      </c>
      <c r="C892" t="str">
        <f>Data_Master[[#This Row],[Uniq-ID]]&amp;"-"&amp;Data_Master[[#This Row],[Period]]</f>
        <v>PE-Project_Engineer-029-M1</v>
      </c>
      <c r="D892" t="s">
        <v>802</v>
      </c>
      <c r="E892" t="s">
        <v>76</v>
      </c>
      <c r="F892" t="s">
        <v>475</v>
      </c>
      <c r="G892" t="s">
        <v>13</v>
      </c>
      <c r="H892" t="s">
        <v>14</v>
      </c>
      <c r="I892" t="s">
        <v>15</v>
      </c>
      <c r="J892" t="s">
        <v>44</v>
      </c>
    </row>
    <row r="893" spans="1:32">
      <c r="A893" t="s">
        <v>716</v>
      </c>
      <c r="B893" t="s">
        <v>801</v>
      </c>
      <c r="C893" t="str">
        <f>Data_Master[[#This Row],[Uniq-ID]]&amp;"-"&amp;Data_Master[[#This Row],[Period]]</f>
        <v>PE-Project_Engineer-029-M2</v>
      </c>
      <c r="D893" t="s">
        <v>802</v>
      </c>
      <c r="E893" t="s">
        <v>76</v>
      </c>
      <c r="F893" t="s">
        <v>475</v>
      </c>
      <c r="G893" t="s">
        <v>18</v>
      </c>
      <c r="H893" t="s">
        <v>19</v>
      </c>
      <c r="I893" t="s">
        <v>15</v>
      </c>
      <c r="J893" t="s">
        <v>44</v>
      </c>
    </row>
    <row r="894" spans="1:32">
      <c r="A894" t="s">
        <v>716</v>
      </c>
      <c r="B894" t="s">
        <v>801</v>
      </c>
      <c r="C894" t="str">
        <f>Data_Master[[#This Row],[Uniq-ID]]&amp;"-"&amp;Data_Master[[#This Row],[Period]]</f>
        <v>PE-Project_Engineer-029-M3</v>
      </c>
      <c r="D894" t="s">
        <v>802</v>
      </c>
      <c r="E894" t="s">
        <v>76</v>
      </c>
      <c r="F894" t="s">
        <v>475</v>
      </c>
      <c r="G894" t="s">
        <v>22</v>
      </c>
      <c r="H894" t="s">
        <v>23</v>
      </c>
      <c r="I894" t="s">
        <v>15</v>
      </c>
      <c r="J894" t="s">
        <v>44</v>
      </c>
    </row>
    <row r="895" spans="1:32">
      <c r="A895" t="s">
        <v>716</v>
      </c>
      <c r="B895" t="s">
        <v>801</v>
      </c>
      <c r="C895" t="str">
        <f>Data_Master[[#This Row],[Uniq-ID]]&amp;"-"&amp;Data_Master[[#This Row],[Period]]</f>
        <v>PE-Project_Engineer-029-M4</v>
      </c>
      <c r="D895" t="s">
        <v>802</v>
      </c>
      <c r="E895" t="s">
        <v>76</v>
      </c>
      <c r="F895" t="s">
        <v>475</v>
      </c>
      <c r="G895" t="s">
        <v>25</v>
      </c>
      <c r="H895" t="s">
        <v>26</v>
      </c>
      <c r="I895" t="s">
        <v>15</v>
      </c>
      <c r="J895" t="s">
        <v>44</v>
      </c>
    </row>
    <row r="896" spans="1:32">
      <c r="A896" t="s">
        <v>716</v>
      </c>
      <c r="B896" t="s">
        <v>801</v>
      </c>
      <c r="C896" t="str">
        <f>Data_Master[[#This Row],[Uniq-ID]]&amp;"-"&amp;Data_Master[[#This Row],[Period]]</f>
        <v>PE-Project_Engineer-029-M5</v>
      </c>
      <c r="D896" t="s">
        <v>802</v>
      </c>
      <c r="E896" t="s">
        <v>76</v>
      </c>
      <c r="F896" t="s">
        <v>475</v>
      </c>
      <c r="G896" t="s">
        <v>28</v>
      </c>
      <c r="H896" t="s">
        <v>29</v>
      </c>
      <c r="I896" t="s">
        <v>15</v>
      </c>
      <c r="J896" t="s">
        <v>44</v>
      </c>
    </row>
    <row r="897" spans="1:32">
      <c r="A897" t="s">
        <v>716</v>
      </c>
      <c r="B897" t="s">
        <v>801</v>
      </c>
      <c r="C897" t="str">
        <f>Data_Master[[#This Row],[Uniq-ID]]&amp;"-"&amp;Data_Master[[#This Row],[Period]]</f>
        <v>PE-Project_Engineer-029-M6</v>
      </c>
      <c r="D897" t="s">
        <v>802</v>
      </c>
      <c r="E897" t="s">
        <v>76</v>
      </c>
      <c r="F897" t="s">
        <v>475</v>
      </c>
      <c r="G897" t="s">
        <v>31</v>
      </c>
      <c r="H897" t="s">
        <v>32</v>
      </c>
      <c r="I897" t="s">
        <v>33</v>
      </c>
      <c r="J897" t="s">
        <v>44</v>
      </c>
    </row>
    <row r="898" spans="1:32">
      <c r="A898" t="s">
        <v>716</v>
      </c>
      <c r="B898" t="s">
        <v>816</v>
      </c>
      <c r="C898" t="str">
        <f>Data_Master[[#This Row],[Uniq-ID]]&amp;"-"&amp;Data_Master[[#This Row],[Period]]</f>
        <v>PE-Project_Engineer-030-M1</v>
      </c>
      <c r="D898" t="s">
        <v>817</v>
      </c>
      <c r="E898" t="s">
        <v>112</v>
      </c>
      <c r="F898" t="s">
        <v>475</v>
      </c>
      <c r="G898" t="s">
        <v>13</v>
      </c>
      <c r="H898" t="s">
        <v>336</v>
      </c>
      <c r="I898" t="s">
        <v>15</v>
      </c>
      <c r="J898" t="s">
        <v>44</v>
      </c>
      <c r="L898">
        <v>0.6</v>
      </c>
      <c r="AA898">
        <v>400</v>
      </c>
      <c r="AB898">
        <v>600</v>
      </c>
      <c r="AC898">
        <v>200</v>
      </c>
      <c r="AF898">
        <v>1200</v>
      </c>
    </row>
    <row r="899" spans="1:32">
      <c r="A899" t="s">
        <v>716</v>
      </c>
      <c r="B899" t="s">
        <v>816</v>
      </c>
      <c r="C899" t="str">
        <f>Data_Master[[#This Row],[Uniq-ID]]&amp;"-"&amp;Data_Master[[#This Row],[Period]]</f>
        <v>PE-Project_Engineer-030-M2</v>
      </c>
      <c r="D899" t="s">
        <v>817</v>
      </c>
      <c r="E899" t="s">
        <v>112</v>
      </c>
      <c r="F899" t="s">
        <v>475</v>
      </c>
      <c r="G899" t="s">
        <v>18</v>
      </c>
      <c r="H899" t="s">
        <v>337</v>
      </c>
      <c r="I899" t="s">
        <v>15</v>
      </c>
      <c r="J899" t="s">
        <v>719</v>
      </c>
      <c r="L899">
        <v>1</v>
      </c>
      <c r="AA899">
        <v>600</v>
      </c>
      <c r="AB899">
        <v>1110</v>
      </c>
      <c r="AC899">
        <v>380</v>
      </c>
      <c r="AF899">
        <v>2090</v>
      </c>
    </row>
    <row r="900" spans="1:32">
      <c r="A900" t="s">
        <v>716</v>
      </c>
      <c r="B900" t="s">
        <v>816</v>
      </c>
      <c r="C900" t="str">
        <f>Data_Master[[#This Row],[Uniq-ID]]&amp;"-"&amp;Data_Master[[#This Row],[Period]]</f>
        <v>PE-Project_Engineer-030-M3</v>
      </c>
      <c r="D900" t="s">
        <v>817</v>
      </c>
      <c r="E900" t="s">
        <v>112</v>
      </c>
      <c r="F900" t="s">
        <v>475</v>
      </c>
      <c r="G900" t="s">
        <v>22</v>
      </c>
      <c r="H900" t="s">
        <v>338</v>
      </c>
      <c r="I900" t="s">
        <v>15</v>
      </c>
      <c r="J900" t="s">
        <v>719</v>
      </c>
      <c r="L900">
        <v>1</v>
      </c>
      <c r="AA900">
        <v>1020</v>
      </c>
      <c r="AB900">
        <v>1530</v>
      </c>
      <c r="AC900">
        <v>180</v>
      </c>
      <c r="AF900">
        <v>2730</v>
      </c>
    </row>
    <row r="901" spans="1:32">
      <c r="A901" t="s">
        <v>716</v>
      </c>
      <c r="B901" t="s">
        <v>816</v>
      </c>
      <c r="C901" t="str">
        <f>Data_Master[[#This Row],[Uniq-ID]]&amp;"-"&amp;Data_Master[[#This Row],[Period]]</f>
        <v>PE-Project_Engineer-030-M4</v>
      </c>
      <c r="D901" t="s">
        <v>817</v>
      </c>
      <c r="E901" t="s">
        <v>112</v>
      </c>
      <c r="F901" t="s">
        <v>475</v>
      </c>
      <c r="G901" t="s">
        <v>25</v>
      </c>
      <c r="H901" t="s">
        <v>339</v>
      </c>
      <c r="I901" t="s">
        <v>33</v>
      </c>
      <c r="J901" t="s">
        <v>44</v>
      </c>
      <c r="L901">
        <v>0.95</v>
      </c>
      <c r="AA901">
        <v>840</v>
      </c>
      <c r="AB901">
        <v>1050</v>
      </c>
      <c r="AF901">
        <v>1890</v>
      </c>
    </row>
    <row r="902" spans="1:32">
      <c r="A902" t="s">
        <v>716</v>
      </c>
      <c r="B902" t="s">
        <v>874</v>
      </c>
      <c r="C902" t="str">
        <f>Data_Master[[#This Row],[Uniq-ID]]&amp;"-"&amp;Data_Master[[#This Row],[Period]]</f>
        <v>PE-Project_Engineer-031-M1</v>
      </c>
      <c r="D902" t="s">
        <v>875</v>
      </c>
      <c r="E902" t="s">
        <v>112</v>
      </c>
      <c r="F902" t="s">
        <v>446</v>
      </c>
      <c r="G902" t="s">
        <v>13</v>
      </c>
      <c r="H902" t="s">
        <v>336</v>
      </c>
      <c r="I902" t="s">
        <v>15</v>
      </c>
      <c r="J902" t="s">
        <v>44</v>
      </c>
    </row>
    <row r="903" spans="1:32">
      <c r="A903" t="s">
        <v>716</v>
      </c>
      <c r="B903" t="s">
        <v>874</v>
      </c>
      <c r="C903" t="str">
        <f>Data_Master[[#This Row],[Uniq-ID]]&amp;"-"&amp;Data_Master[[#This Row],[Period]]</f>
        <v>PE-Project_Engineer-031-M2</v>
      </c>
      <c r="D903" t="s">
        <v>875</v>
      </c>
      <c r="E903" t="s">
        <v>112</v>
      </c>
      <c r="F903" t="s">
        <v>446</v>
      </c>
      <c r="G903" t="s">
        <v>18</v>
      </c>
      <c r="H903" t="s">
        <v>337</v>
      </c>
      <c r="I903" t="s">
        <v>15</v>
      </c>
      <c r="J903" t="s">
        <v>44</v>
      </c>
    </row>
    <row r="904" spans="1:32">
      <c r="A904" t="s">
        <v>716</v>
      </c>
      <c r="B904" t="s">
        <v>874</v>
      </c>
      <c r="C904" t="str">
        <f>Data_Master[[#This Row],[Uniq-ID]]&amp;"-"&amp;Data_Master[[#This Row],[Period]]</f>
        <v>PE-Project_Engineer-031-M3</v>
      </c>
      <c r="D904" t="s">
        <v>875</v>
      </c>
      <c r="E904" t="s">
        <v>112</v>
      </c>
      <c r="F904" t="s">
        <v>446</v>
      </c>
      <c r="G904" t="s">
        <v>22</v>
      </c>
      <c r="H904" t="s">
        <v>338</v>
      </c>
      <c r="I904" t="s">
        <v>15</v>
      </c>
      <c r="J904" t="s">
        <v>44</v>
      </c>
    </row>
    <row r="905" spans="1:32">
      <c r="A905" t="s">
        <v>716</v>
      </c>
      <c r="B905" t="s">
        <v>874</v>
      </c>
      <c r="C905" t="str">
        <f>Data_Master[[#This Row],[Uniq-ID]]&amp;"-"&amp;Data_Master[[#This Row],[Period]]</f>
        <v>PE-Project_Engineer-031-M4</v>
      </c>
      <c r="D905" t="s">
        <v>875</v>
      </c>
      <c r="E905" t="s">
        <v>112</v>
      </c>
      <c r="F905" t="s">
        <v>446</v>
      </c>
      <c r="G905" t="s">
        <v>25</v>
      </c>
      <c r="H905" t="s">
        <v>339</v>
      </c>
      <c r="I905" t="s">
        <v>33</v>
      </c>
      <c r="J905" t="s">
        <v>44</v>
      </c>
    </row>
    <row r="906" spans="1:32">
      <c r="A906" t="s">
        <v>716</v>
      </c>
      <c r="B906" t="s">
        <v>781</v>
      </c>
      <c r="C906" t="str">
        <f>Data_Master[[#This Row],[Uniq-ID]]&amp;"-"&amp;Data_Master[[#This Row],[Period]]</f>
        <v>PE-Project_Engineer-032-M1</v>
      </c>
      <c r="D906" t="s">
        <v>782</v>
      </c>
      <c r="E906" t="s">
        <v>112</v>
      </c>
      <c r="F906" t="s">
        <v>457</v>
      </c>
      <c r="G906" t="s">
        <v>13</v>
      </c>
      <c r="H906" t="s">
        <v>783</v>
      </c>
      <c r="I906" t="s">
        <v>15</v>
      </c>
      <c r="J906" t="s">
        <v>719</v>
      </c>
      <c r="L906">
        <v>1</v>
      </c>
      <c r="AA906">
        <v>1120</v>
      </c>
      <c r="AB906">
        <v>1890</v>
      </c>
      <c r="AC906">
        <v>1420</v>
      </c>
      <c r="AF906">
        <v>4430</v>
      </c>
    </row>
    <row r="907" spans="1:32">
      <c r="A907" t="s">
        <v>716</v>
      </c>
      <c r="B907" t="s">
        <v>781</v>
      </c>
      <c r="C907" t="str">
        <f>Data_Master[[#This Row],[Uniq-ID]]&amp;"-"&amp;Data_Master[[#This Row],[Period]]</f>
        <v>PE-Project_Engineer-032-M2</v>
      </c>
      <c r="D907" t="s">
        <v>782</v>
      </c>
      <c r="E907" t="s">
        <v>112</v>
      </c>
      <c r="F907" t="s">
        <v>457</v>
      </c>
      <c r="G907" t="s">
        <v>18</v>
      </c>
      <c r="H907" t="s">
        <v>784</v>
      </c>
      <c r="I907" t="s">
        <v>15</v>
      </c>
      <c r="J907" t="s">
        <v>719</v>
      </c>
      <c r="L907">
        <v>1</v>
      </c>
      <c r="AA907">
        <v>1220</v>
      </c>
      <c r="AB907">
        <v>2190</v>
      </c>
      <c r="AC907">
        <v>740</v>
      </c>
      <c r="AF907">
        <v>4150</v>
      </c>
    </row>
    <row r="908" spans="1:32">
      <c r="A908" t="s">
        <v>716</v>
      </c>
      <c r="B908" t="s">
        <v>781</v>
      </c>
      <c r="C908" t="str">
        <f>Data_Master[[#This Row],[Uniq-ID]]&amp;"-"&amp;Data_Master[[#This Row],[Period]]</f>
        <v>PE-Project_Engineer-032-M3</v>
      </c>
      <c r="D908" t="s">
        <v>782</v>
      </c>
      <c r="E908" t="s">
        <v>112</v>
      </c>
      <c r="F908" t="s">
        <v>457</v>
      </c>
      <c r="G908" t="s">
        <v>22</v>
      </c>
      <c r="H908" t="s">
        <v>785</v>
      </c>
      <c r="I908" t="s">
        <v>15</v>
      </c>
      <c r="J908" t="s">
        <v>719</v>
      </c>
      <c r="L908">
        <v>1</v>
      </c>
      <c r="AA908">
        <v>1520</v>
      </c>
      <c r="AB908">
        <v>2340</v>
      </c>
      <c r="AC908">
        <v>440</v>
      </c>
      <c r="AF908">
        <v>4300</v>
      </c>
    </row>
    <row r="909" spans="1:32">
      <c r="A909" t="s">
        <v>716</v>
      </c>
      <c r="B909" t="s">
        <v>781</v>
      </c>
      <c r="C909" t="str">
        <f>Data_Master[[#This Row],[Uniq-ID]]&amp;"-"&amp;Data_Master[[#This Row],[Period]]</f>
        <v>PE-Project_Engineer-032-M4</v>
      </c>
      <c r="D909" t="s">
        <v>782</v>
      </c>
      <c r="E909" t="s">
        <v>112</v>
      </c>
      <c r="F909" t="s">
        <v>457</v>
      </c>
      <c r="G909" t="s">
        <v>25</v>
      </c>
      <c r="H909" t="s">
        <v>373</v>
      </c>
      <c r="I909" t="s">
        <v>33</v>
      </c>
      <c r="J909" t="s">
        <v>719</v>
      </c>
      <c r="L909">
        <v>1</v>
      </c>
      <c r="AA909">
        <v>1640</v>
      </c>
      <c r="AB909">
        <v>2280</v>
      </c>
      <c r="AC909">
        <v>340</v>
      </c>
      <c r="AF909">
        <v>4260</v>
      </c>
    </row>
    <row r="910" spans="1:32">
      <c r="A910" t="s">
        <v>716</v>
      </c>
      <c r="B910" t="s">
        <v>781</v>
      </c>
      <c r="C910" t="str">
        <f>Data_Master[[#This Row],[Uniq-ID]]&amp;"-"&amp;Data_Master[[#This Row],[Period]]</f>
        <v>PE-Project_Engineer-032-M5</v>
      </c>
      <c r="D910" t="s">
        <v>782</v>
      </c>
      <c r="E910" t="s">
        <v>112</v>
      </c>
      <c r="F910" t="s">
        <v>457</v>
      </c>
      <c r="G910" t="s">
        <v>28</v>
      </c>
      <c r="H910" t="s">
        <v>4152</v>
      </c>
      <c r="I910" t="s">
        <v>225</v>
      </c>
      <c r="J910" t="s">
        <v>44</v>
      </c>
    </row>
    <row r="911" spans="1:32">
      <c r="A911" t="s">
        <v>716</v>
      </c>
      <c r="B911" t="s">
        <v>870</v>
      </c>
      <c r="C911" t="str">
        <f>Data_Master[[#This Row],[Uniq-ID]]&amp;"-"&amp;Data_Master[[#This Row],[Period]]</f>
        <v>PE-Project_Engineer-033-M1</v>
      </c>
      <c r="D911" t="s">
        <v>871</v>
      </c>
      <c r="E911" t="s">
        <v>112</v>
      </c>
      <c r="F911" t="s">
        <v>475</v>
      </c>
      <c r="G911" t="s">
        <v>13</v>
      </c>
      <c r="H911" t="s">
        <v>760</v>
      </c>
      <c r="I911" t="s">
        <v>15</v>
      </c>
      <c r="J911" t="s">
        <v>44</v>
      </c>
      <c r="L911">
        <v>0.83</v>
      </c>
      <c r="AA911">
        <v>420</v>
      </c>
      <c r="AB911">
        <v>870</v>
      </c>
      <c r="AC911">
        <v>360</v>
      </c>
      <c r="AF911">
        <v>1650</v>
      </c>
    </row>
    <row r="912" spans="1:32">
      <c r="A912" t="s">
        <v>716</v>
      </c>
      <c r="B912" t="s">
        <v>870</v>
      </c>
      <c r="C912" t="str">
        <f>Data_Master[[#This Row],[Uniq-ID]]&amp;"-"&amp;Data_Master[[#This Row],[Period]]</f>
        <v>PE-Project_Engineer-033-M2</v>
      </c>
      <c r="D912" t="s">
        <v>871</v>
      </c>
      <c r="E912" t="s">
        <v>112</v>
      </c>
      <c r="F912" t="s">
        <v>475</v>
      </c>
      <c r="G912" t="s">
        <v>18</v>
      </c>
      <c r="H912" t="s">
        <v>761</v>
      </c>
      <c r="I912" t="s">
        <v>15</v>
      </c>
      <c r="J912" t="s">
        <v>719</v>
      </c>
      <c r="L912">
        <v>1</v>
      </c>
      <c r="AA912">
        <v>620</v>
      </c>
      <c r="AB912">
        <v>1500</v>
      </c>
      <c r="AC912">
        <v>740</v>
      </c>
      <c r="AF912">
        <v>2860</v>
      </c>
    </row>
    <row r="913" spans="1:32">
      <c r="A913" t="s">
        <v>716</v>
      </c>
      <c r="B913" t="s">
        <v>870</v>
      </c>
      <c r="C913" t="str">
        <f>Data_Master[[#This Row],[Uniq-ID]]&amp;"-"&amp;Data_Master[[#This Row],[Period]]</f>
        <v>PE-Project_Engineer-033-M3</v>
      </c>
      <c r="D913" t="s">
        <v>871</v>
      </c>
      <c r="E913" t="s">
        <v>112</v>
      </c>
      <c r="F913" t="s">
        <v>475</v>
      </c>
      <c r="G913" t="s">
        <v>22</v>
      </c>
      <c r="H913" t="s">
        <v>762</v>
      </c>
      <c r="I913" t="s">
        <v>15</v>
      </c>
      <c r="J913" t="s">
        <v>719</v>
      </c>
      <c r="L913">
        <v>1</v>
      </c>
      <c r="AA913">
        <v>1020</v>
      </c>
      <c r="AB913">
        <v>1560</v>
      </c>
      <c r="AC913">
        <v>200</v>
      </c>
      <c r="AF913">
        <v>2780</v>
      </c>
    </row>
    <row r="914" spans="1:32">
      <c r="A914" t="s">
        <v>716</v>
      </c>
      <c r="B914" t="s">
        <v>870</v>
      </c>
      <c r="C914" t="str">
        <f>Data_Master[[#This Row],[Uniq-ID]]&amp;"-"&amp;Data_Master[[#This Row],[Period]]</f>
        <v>PE-Project_Engineer-033-M4</v>
      </c>
      <c r="D914" t="s">
        <v>871</v>
      </c>
      <c r="E914" t="s">
        <v>112</v>
      </c>
      <c r="F914" t="s">
        <v>475</v>
      </c>
      <c r="G914" t="s">
        <v>25</v>
      </c>
      <c r="H914" t="s">
        <v>763</v>
      </c>
      <c r="I914" t="s">
        <v>33</v>
      </c>
      <c r="J914" t="s">
        <v>44</v>
      </c>
      <c r="L914">
        <v>0.84</v>
      </c>
      <c r="AA914">
        <v>660</v>
      </c>
      <c r="AB914">
        <v>1020</v>
      </c>
      <c r="AF914">
        <v>1680</v>
      </c>
    </row>
    <row r="915" spans="1:32">
      <c r="A915" t="s">
        <v>716</v>
      </c>
      <c r="B915" t="s">
        <v>818</v>
      </c>
      <c r="C915" t="str">
        <f>Data_Master[[#This Row],[Uniq-ID]]&amp;"-"&amp;Data_Master[[#This Row],[Period]]</f>
        <v>PE-Project_Engineer-034-M1</v>
      </c>
      <c r="D915" t="s">
        <v>819</v>
      </c>
      <c r="E915" t="s">
        <v>76</v>
      </c>
      <c r="F915" t="s">
        <v>446</v>
      </c>
      <c r="G915" t="s">
        <v>13</v>
      </c>
      <c r="H915" t="s">
        <v>820</v>
      </c>
      <c r="I915" t="s">
        <v>15</v>
      </c>
      <c r="J915" t="s">
        <v>44</v>
      </c>
      <c r="L915">
        <v>0.5</v>
      </c>
      <c r="AA915">
        <v>96</v>
      </c>
      <c r="AB915">
        <v>324</v>
      </c>
      <c r="AC915">
        <v>24</v>
      </c>
      <c r="AE915">
        <v>24</v>
      </c>
      <c r="AF915">
        <v>468</v>
      </c>
    </row>
    <row r="916" spans="1:32">
      <c r="A916" t="s">
        <v>716</v>
      </c>
      <c r="B916" t="s">
        <v>818</v>
      </c>
      <c r="C916" t="str">
        <f>Data_Master[[#This Row],[Uniq-ID]]&amp;"-"&amp;Data_Master[[#This Row],[Period]]</f>
        <v>PE-Project_Engineer-034-M2</v>
      </c>
      <c r="D916" t="s">
        <v>819</v>
      </c>
      <c r="E916" t="s">
        <v>76</v>
      </c>
      <c r="F916" t="s">
        <v>446</v>
      </c>
      <c r="G916" t="s">
        <v>18</v>
      </c>
      <c r="H916" t="s">
        <v>821</v>
      </c>
      <c r="I916" t="s">
        <v>15</v>
      </c>
      <c r="J916" t="s">
        <v>44</v>
      </c>
      <c r="L916">
        <v>0.5</v>
      </c>
      <c r="AB916">
        <v>36</v>
      </c>
      <c r="AC916">
        <v>48</v>
      </c>
      <c r="AE916">
        <v>24</v>
      </c>
      <c r="AF916">
        <v>108</v>
      </c>
    </row>
    <row r="917" spans="1:32">
      <c r="A917" t="s">
        <v>716</v>
      </c>
      <c r="B917" t="s">
        <v>818</v>
      </c>
      <c r="C917" t="str">
        <f>Data_Master[[#This Row],[Uniq-ID]]&amp;"-"&amp;Data_Master[[#This Row],[Period]]</f>
        <v>PE-Project_Engineer-034-M3</v>
      </c>
      <c r="D917" t="s">
        <v>819</v>
      </c>
      <c r="E917" t="s">
        <v>76</v>
      </c>
      <c r="F917" t="s">
        <v>446</v>
      </c>
      <c r="G917" t="s">
        <v>22</v>
      </c>
      <c r="H917" t="s">
        <v>822</v>
      </c>
      <c r="I917" t="s">
        <v>33</v>
      </c>
      <c r="J917" t="s">
        <v>44</v>
      </c>
      <c r="L917">
        <v>0.5</v>
      </c>
      <c r="AC917">
        <v>48</v>
      </c>
      <c r="AF917">
        <v>48</v>
      </c>
    </row>
    <row r="918" spans="1:32">
      <c r="A918" t="s">
        <v>716</v>
      </c>
      <c r="B918" t="s">
        <v>818</v>
      </c>
      <c r="C918" t="str">
        <f>Data_Master[[#This Row],[Uniq-ID]]&amp;"-"&amp;Data_Master[[#This Row],[Period]]</f>
        <v>PE-Project_Engineer-034-M4</v>
      </c>
      <c r="D918" t="s">
        <v>819</v>
      </c>
      <c r="E918" t="s">
        <v>76</v>
      </c>
      <c r="F918" t="s">
        <v>446</v>
      </c>
      <c r="G918" t="s">
        <v>25</v>
      </c>
      <c r="H918" t="s">
        <v>4102</v>
      </c>
      <c r="I918" t="s">
        <v>225</v>
      </c>
      <c r="J918" t="s">
        <v>44</v>
      </c>
    </row>
    <row r="919" spans="1:32">
      <c r="A919" t="s">
        <v>716</v>
      </c>
      <c r="B919" t="s">
        <v>827</v>
      </c>
      <c r="C919" t="str">
        <f>Data_Master[[#This Row],[Uniq-ID]]&amp;"-"&amp;Data_Master[[#This Row],[Period]]</f>
        <v>PE-Project_Engineer-035-M1</v>
      </c>
      <c r="D919" t="s">
        <v>828</v>
      </c>
      <c r="E919" t="s">
        <v>48</v>
      </c>
      <c r="F919" t="s">
        <v>446</v>
      </c>
      <c r="G919" t="s">
        <v>13</v>
      </c>
      <c r="H919" t="s">
        <v>449</v>
      </c>
      <c r="I919" t="s">
        <v>15</v>
      </c>
      <c r="J919" t="s">
        <v>44</v>
      </c>
    </row>
    <row r="920" spans="1:32">
      <c r="A920" t="s">
        <v>716</v>
      </c>
      <c r="B920" t="s">
        <v>827</v>
      </c>
      <c r="C920" t="str">
        <f>Data_Master[[#This Row],[Uniq-ID]]&amp;"-"&amp;Data_Master[[#This Row],[Period]]</f>
        <v>PE-Project_Engineer-035-M2</v>
      </c>
      <c r="D920" t="s">
        <v>828</v>
      </c>
      <c r="E920" t="s">
        <v>48</v>
      </c>
      <c r="F920" t="s">
        <v>446</v>
      </c>
      <c r="G920" t="s">
        <v>18</v>
      </c>
      <c r="H920" t="s">
        <v>450</v>
      </c>
      <c r="I920" t="s">
        <v>15</v>
      </c>
      <c r="J920" t="s">
        <v>44</v>
      </c>
    </row>
    <row r="921" spans="1:32">
      <c r="A921" t="s">
        <v>716</v>
      </c>
      <c r="B921" t="s">
        <v>827</v>
      </c>
      <c r="C921" t="str">
        <f>Data_Master[[#This Row],[Uniq-ID]]&amp;"-"&amp;Data_Master[[#This Row],[Period]]</f>
        <v>PE-Project_Engineer-035-M3</v>
      </c>
      <c r="D921" t="s">
        <v>828</v>
      </c>
      <c r="E921" t="s">
        <v>48</v>
      </c>
      <c r="F921" t="s">
        <v>446</v>
      </c>
      <c r="G921" t="s">
        <v>22</v>
      </c>
      <c r="H921" t="s">
        <v>451</v>
      </c>
      <c r="I921" t="s">
        <v>15</v>
      </c>
      <c r="J921" t="s">
        <v>44</v>
      </c>
    </row>
    <row r="922" spans="1:32">
      <c r="A922" t="s">
        <v>716</v>
      </c>
      <c r="B922" t="s">
        <v>827</v>
      </c>
      <c r="C922" t="str">
        <f>Data_Master[[#This Row],[Uniq-ID]]&amp;"-"&amp;Data_Master[[#This Row],[Period]]</f>
        <v>PE-Project_Engineer-035-M4</v>
      </c>
      <c r="D922" t="s">
        <v>828</v>
      </c>
      <c r="E922" t="s">
        <v>48</v>
      </c>
      <c r="F922" t="s">
        <v>446</v>
      </c>
      <c r="G922" t="s">
        <v>25</v>
      </c>
      <c r="H922" t="s">
        <v>452</v>
      </c>
      <c r="I922" t="s">
        <v>33</v>
      </c>
      <c r="J922" t="s">
        <v>44</v>
      </c>
    </row>
    <row r="923" spans="1:32">
      <c r="A923" t="s">
        <v>716</v>
      </c>
      <c r="B923" t="s">
        <v>837</v>
      </c>
      <c r="C923" t="str">
        <f>Data_Master[[#This Row],[Uniq-ID]]&amp;"-"&amp;Data_Master[[#This Row],[Period]]</f>
        <v>PE-Project_Engineer-036-M1</v>
      </c>
      <c r="D923" t="s">
        <v>838</v>
      </c>
      <c r="E923" t="s">
        <v>48</v>
      </c>
      <c r="F923" t="s">
        <v>446</v>
      </c>
      <c r="G923" t="s">
        <v>13</v>
      </c>
      <c r="H923" t="s">
        <v>37</v>
      </c>
      <c r="I923" t="s">
        <v>15</v>
      </c>
      <c r="J923" t="s">
        <v>44</v>
      </c>
    </row>
    <row r="924" spans="1:32">
      <c r="A924" t="s">
        <v>716</v>
      </c>
      <c r="B924" t="s">
        <v>837</v>
      </c>
      <c r="C924" t="str">
        <f>Data_Master[[#This Row],[Uniq-ID]]&amp;"-"&amp;Data_Master[[#This Row],[Period]]</f>
        <v>PE-Project_Engineer-036-M2</v>
      </c>
      <c r="D924" t="s">
        <v>838</v>
      </c>
      <c r="E924" t="s">
        <v>48</v>
      </c>
      <c r="F924" t="s">
        <v>446</v>
      </c>
      <c r="G924" t="s">
        <v>18</v>
      </c>
      <c r="H924" t="s">
        <v>39</v>
      </c>
      <c r="I924" t="s">
        <v>15</v>
      </c>
      <c r="J924" t="s">
        <v>44</v>
      </c>
    </row>
    <row r="925" spans="1:32">
      <c r="A925" t="s">
        <v>716</v>
      </c>
      <c r="B925" t="s">
        <v>837</v>
      </c>
      <c r="C925" t="str">
        <f>Data_Master[[#This Row],[Uniq-ID]]&amp;"-"&amp;Data_Master[[#This Row],[Period]]</f>
        <v>PE-Project_Engineer-036-M3</v>
      </c>
      <c r="D925" t="s">
        <v>838</v>
      </c>
      <c r="E925" t="s">
        <v>48</v>
      </c>
      <c r="F925" t="s">
        <v>446</v>
      </c>
      <c r="G925" t="s">
        <v>22</v>
      </c>
      <c r="H925" t="s">
        <v>41</v>
      </c>
      <c r="I925" t="s">
        <v>15</v>
      </c>
      <c r="J925" t="s">
        <v>44</v>
      </c>
    </row>
    <row r="926" spans="1:32">
      <c r="A926" t="s">
        <v>716</v>
      </c>
      <c r="B926" t="s">
        <v>837</v>
      </c>
      <c r="C926" t="str">
        <f>Data_Master[[#This Row],[Uniq-ID]]&amp;"-"&amp;Data_Master[[#This Row],[Period]]</f>
        <v>PE-Project_Engineer-036-M4</v>
      </c>
      <c r="D926" t="s">
        <v>838</v>
      </c>
      <c r="E926" t="s">
        <v>48</v>
      </c>
      <c r="F926" t="s">
        <v>446</v>
      </c>
      <c r="G926" t="s">
        <v>25</v>
      </c>
      <c r="H926" t="s">
        <v>43</v>
      </c>
      <c r="I926" t="s">
        <v>33</v>
      </c>
      <c r="J926" t="s">
        <v>44</v>
      </c>
    </row>
    <row r="927" spans="1:32">
      <c r="A927" t="s">
        <v>716</v>
      </c>
      <c r="B927" t="s">
        <v>839</v>
      </c>
      <c r="C927" t="str">
        <f>Data_Master[[#This Row],[Uniq-ID]]&amp;"-"&amp;Data_Master[[#This Row],[Period]]</f>
        <v>PE-Project_Engineer-037-M1</v>
      </c>
      <c r="D927" t="s">
        <v>840</v>
      </c>
      <c r="E927" t="s">
        <v>48</v>
      </c>
      <c r="F927" t="s">
        <v>446</v>
      </c>
      <c r="G927" t="s">
        <v>13</v>
      </c>
      <c r="H927" t="s">
        <v>449</v>
      </c>
      <c r="I927" t="s">
        <v>15</v>
      </c>
      <c r="J927" t="s">
        <v>44</v>
      </c>
    </row>
    <row r="928" spans="1:32">
      <c r="A928" t="s">
        <v>716</v>
      </c>
      <c r="B928" t="s">
        <v>839</v>
      </c>
      <c r="C928" t="str">
        <f>Data_Master[[#This Row],[Uniq-ID]]&amp;"-"&amp;Data_Master[[#This Row],[Period]]</f>
        <v>PE-Project_Engineer-037-M2</v>
      </c>
      <c r="D928" t="s">
        <v>840</v>
      </c>
      <c r="E928" t="s">
        <v>48</v>
      </c>
      <c r="F928" t="s">
        <v>446</v>
      </c>
      <c r="G928" t="s">
        <v>18</v>
      </c>
      <c r="H928" t="s">
        <v>450</v>
      </c>
      <c r="I928" t="s">
        <v>15</v>
      </c>
      <c r="J928" t="s">
        <v>44</v>
      </c>
    </row>
    <row r="929" spans="1:32">
      <c r="A929" t="s">
        <v>716</v>
      </c>
      <c r="B929" t="s">
        <v>839</v>
      </c>
      <c r="C929" t="str">
        <f>Data_Master[[#This Row],[Uniq-ID]]&amp;"-"&amp;Data_Master[[#This Row],[Period]]</f>
        <v>PE-Project_Engineer-037-M3</v>
      </c>
      <c r="D929" t="s">
        <v>840</v>
      </c>
      <c r="E929" t="s">
        <v>48</v>
      </c>
      <c r="F929" t="s">
        <v>446</v>
      </c>
      <c r="G929" t="s">
        <v>22</v>
      </c>
      <c r="H929" t="s">
        <v>451</v>
      </c>
      <c r="I929" t="s">
        <v>15</v>
      </c>
      <c r="J929" t="s">
        <v>44</v>
      </c>
    </row>
    <row r="930" spans="1:32">
      <c r="A930" t="s">
        <v>716</v>
      </c>
      <c r="B930" t="s">
        <v>839</v>
      </c>
      <c r="C930" t="str">
        <f>Data_Master[[#This Row],[Uniq-ID]]&amp;"-"&amp;Data_Master[[#This Row],[Period]]</f>
        <v>PE-Project_Engineer-037-M4</v>
      </c>
      <c r="D930" t="s">
        <v>840</v>
      </c>
      <c r="E930" t="s">
        <v>48</v>
      </c>
      <c r="F930" t="s">
        <v>446</v>
      </c>
      <c r="G930" t="s">
        <v>25</v>
      </c>
      <c r="H930" t="s">
        <v>452</v>
      </c>
      <c r="I930" t="s">
        <v>33</v>
      </c>
      <c r="J930" t="s">
        <v>44</v>
      </c>
    </row>
    <row r="931" spans="1:32">
      <c r="A931" t="s">
        <v>716</v>
      </c>
      <c r="B931" t="s">
        <v>799</v>
      </c>
      <c r="C931" t="str">
        <f>Data_Master[[#This Row],[Uniq-ID]]&amp;"-"&amp;Data_Master[[#This Row],[Period]]</f>
        <v>PE-Project_Engineer-038-M1</v>
      </c>
      <c r="D931" t="s">
        <v>800</v>
      </c>
      <c r="E931" t="s">
        <v>76</v>
      </c>
      <c r="F931" t="s">
        <v>461</v>
      </c>
      <c r="G931" t="s">
        <v>13</v>
      </c>
      <c r="H931" t="s">
        <v>37</v>
      </c>
      <c r="I931" t="s">
        <v>15</v>
      </c>
      <c r="J931" t="s">
        <v>719</v>
      </c>
      <c r="L931">
        <v>1</v>
      </c>
      <c r="AA931">
        <v>1132</v>
      </c>
      <c r="AB931">
        <v>1758</v>
      </c>
      <c r="AC931">
        <v>728</v>
      </c>
      <c r="AE931">
        <v>528</v>
      </c>
      <c r="AF931">
        <v>4146</v>
      </c>
    </row>
    <row r="932" spans="1:32">
      <c r="A932" t="s">
        <v>716</v>
      </c>
      <c r="B932" t="s">
        <v>799</v>
      </c>
      <c r="C932" t="str">
        <f>Data_Master[[#This Row],[Uniq-ID]]&amp;"-"&amp;Data_Master[[#This Row],[Period]]</f>
        <v>PE-Project_Engineer-038-M2</v>
      </c>
      <c r="D932" t="s">
        <v>800</v>
      </c>
      <c r="E932" t="s">
        <v>76</v>
      </c>
      <c r="F932" t="s">
        <v>461</v>
      </c>
      <c r="G932" t="s">
        <v>18</v>
      </c>
      <c r="H932" t="s">
        <v>39</v>
      </c>
      <c r="I932" t="s">
        <v>15</v>
      </c>
      <c r="J932" t="s">
        <v>16</v>
      </c>
      <c r="L932">
        <v>1.17</v>
      </c>
      <c r="AA932">
        <v>2248</v>
      </c>
      <c r="AB932">
        <v>2646</v>
      </c>
      <c r="AC932">
        <v>1664</v>
      </c>
      <c r="AE932">
        <v>440</v>
      </c>
      <c r="AF932">
        <v>6998</v>
      </c>
    </row>
    <row r="933" spans="1:32">
      <c r="A933" t="s">
        <v>716</v>
      </c>
      <c r="B933" t="s">
        <v>799</v>
      </c>
      <c r="C933" t="str">
        <f>Data_Master[[#This Row],[Uniq-ID]]&amp;"-"&amp;Data_Master[[#This Row],[Period]]</f>
        <v>PE-Project_Engineer-038-M3</v>
      </c>
      <c r="D933" t="s">
        <v>800</v>
      </c>
      <c r="E933" t="s">
        <v>76</v>
      </c>
      <c r="F933" t="s">
        <v>461</v>
      </c>
      <c r="G933" t="s">
        <v>22</v>
      </c>
      <c r="H933" t="s">
        <v>41</v>
      </c>
      <c r="I933" t="s">
        <v>15</v>
      </c>
      <c r="J933" t="s">
        <v>16</v>
      </c>
      <c r="L933">
        <v>1.48</v>
      </c>
      <c r="AA933">
        <v>2408</v>
      </c>
      <c r="AB933">
        <v>3702</v>
      </c>
      <c r="AC933">
        <v>1824</v>
      </c>
      <c r="AE933">
        <v>952</v>
      </c>
      <c r="AF933">
        <v>8886</v>
      </c>
    </row>
    <row r="934" spans="1:32">
      <c r="A934" t="s">
        <v>716</v>
      </c>
      <c r="B934" t="s">
        <v>799</v>
      </c>
      <c r="C934" t="str">
        <f>Data_Master[[#This Row],[Uniq-ID]]&amp;"-"&amp;Data_Master[[#This Row],[Period]]</f>
        <v>PE-Project_Engineer-038-M4</v>
      </c>
      <c r="D934" t="s">
        <v>800</v>
      </c>
      <c r="E934" t="s">
        <v>76</v>
      </c>
      <c r="F934" t="s">
        <v>461</v>
      </c>
      <c r="G934" t="s">
        <v>25</v>
      </c>
      <c r="H934" t="s">
        <v>43</v>
      </c>
      <c r="I934" t="s">
        <v>33</v>
      </c>
      <c r="J934" t="s">
        <v>44</v>
      </c>
      <c r="L934">
        <v>0.76</v>
      </c>
      <c r="AA934">
        <v>432</v>
      </c>
      <c r="AB934">
        <v>780</v>
      </c>
      <c r="AE934">
        <v>304</v>
      </c>
      <c r="AF934">
        <v>1516</v>
      </c>
    </row>
    <row r="935" spans="1:32">
      <c r="A935" t="s">
        <v>716</v>
      </c>
      <c r="B935" t="s">
        <v>768</v>
      </c>
      <c r="C935" t="str">
        <f>Data_Master[[#This Row],[Uniq-ID]]&amp;"-"&amp;Data_Master[[#This Row],[Period]]</f>
        <v>PE-Project_Engineer-039-M1</v>
      </c>
      <c r="D935" t="s">
        <v>769</v>
      </c>
      <c r="E935" t="s">
        <v>76</v>
      </c>
      <c r="F935" t="s">
        <v>461</v>
      </c>
      <c r="G935" t="s">
        <v>13</v>
      </c>
      <c r="H935" t="s">
        <v>37</v>
      </c>
      <c r="I935" t="s">
        <v>15</v>
      </c>
      <c r="J935" t="s">
        <v>719</v>
      </c>
      <c r="L935">
        <v>1</v>
      </c>
      <c r="AA935">
        <v>1844</v>
      </c>
      <c r="AB935">
        <v>2286</v>
      </c>
      <c r="AC935">
        <v>1028</v>
      </c>
      <c r="AE935">
        <v>500</v>
      </c>
      <c r="AF935">
        <v>5658</v>
      </c>
    </row>
    <row r="936" spans="1:32">
      <c r="A936" t="s">
        <v>716</v>
      </c>
      <c r="B936" t="s">
        <v>768</v>
      </c>
      <c r="C936" t="str">
        <f>Data_Master[[#This Row],[Uniq-ID]]&amp;"-"&amp;Data_Master[[#This Row],[Period]]</f>
        <v>PE-Project_Engineer-039-M2</v>
      </c>
      <c r="D936" t="s">
        <v>769</v>
      </c>
      <c r="E936" t="s">
        <v>76</v>
      </c>
      <c r="F936" t="s">
        <v>461</v>
      </c>
      <c r="G936" t="s">
        <v>18</v>
      </c>
      <c r="H936" t="s">
        <v>39</v>
      </c>
      <c r="I936" t="s">
        <v>15</v>
      </c>
      <c r="J936" t="s">
        <v>719</v>
      </c>
      <c r="L936">
        <v>1</v>
      </c>
      <c r="AA936">
        <v>628</v>
      </c>
      <c r="AB936">
        <v>1170</v>
      </c>
      <c r="AC936">
        <v>908</v>
      </c>
      <c r="AE936">
        <v>350</v>
      </c>
      <c r="AF936">
        <v>3056</v>
      </c>
    </row>
    <row r="937" spans="1:32">
      <c r="A937" t="s">
        <v>716</v>
      </c>
      <c r="B937" t="s">
        <v>768</v>
      </c>
      <c r="C937" t="str">
        <f>Data_Master[[#This Row],[Uniq-ID]]&amp;"-"&amp;Data_Master[[#This Row],[Period]]</f>
        <v>PE-Project_Engineer-039-M3</v>
      </c>
      <c r="D937" t="s">
        <v>769</v>
      </c>
      <c r="E937" t="s">
        <v>76</v>
      </c>
      <c r="F937" t="s">
        <v>461</v>
      </c>
      <c r="G937" t="s">
        <v>22</v>
      </c>
      <c r="H937" t="s">
        <v>41</v>
      </c>
      <c r="I937" t="s">
        <v>15</v>
      </c>
      <c r="J937" t="s">
        <v>719</v>
      </c>
      <c r="L937">
        <v>1</v>
      </c>
      <c r="AA937">
        <v>1080</v>
      </c>
      <c r="AB937">
        <v>1980</v>
      </c>
      <c r="AC937">
        <v>1292</v>
      </c>
      <c r="AE937">
        <v>548</v>
      </c>
      <c r="AF937">
        <v>4900</v>
      </c>
    </row>
    <row r="938" spans="1:32">
      <c r="A938" t="s">
        <v>716</v>
      </c>
      <c r="B938" t="s">
        <v>768</v>
      </c>
      <c r="C938" t="str">
        <f>Data_Master[[#This Row],[Uniq-ID]]&amp;"-"&amp;Data_Master[[#This Row],[Period]]</f>
        <v>PE-Project_Engineer-039-M4</v>
      </c>
      <c r="D938" t="s">
        <v>769</v>
      </c>
      <c r="E938" t="s">
        <v>76</v>
      </c>
      <c r="F938" t="s">
        <v>461</v>
      </c>
      <c r="G938" t="s">
        <v>25</v>
      </c>
      <c r="H938" t="s">
        <v>43</v>
      </c>
      <c r="I938" t="s">
        <v>33</v>
      </c>
      <c r="J938" t="s">
        <v>44</v>
      </c>
      <c r="L938">
        <v>0.5</v>
      </c>
      <c r="AA938">
        <v>52</v>
      </c>
      <c r="AB938">
        <v>366</v>
      </c>
      <c r="AC938">
        <v>120</v>
      </c>
      <c r="AE938">
        <v>122</v>
      </c>
      <c r="AF938">
        <v>660</v>
      </c>
    </row>
    <row r="939" spans="1:32">
      <c r="A939" t="s">
        <v>716</v>
      </c>
      <c r="B939" t="s">
        <v>864</v>
      </c>
      <c r="C939" t="str">
        <f>Data_Master[[#This Row],[Uniq-ID]]&amp;"-"&amp;Data_Master[[#This Row],[Period]]</f>
        <v>PE-Project_Engineer-040-M1</v>
      </c>
      <c r="D939" t="s">
        <v>865</v>
      </c>
      <c r="E939" t="s">
        <v>76</v>
      </c>
      <c r="F939" t="s">
        <v>475</v>
      </c>
      <c r="G939" t="s">
        <v>13</v>
      </c>
      <c r="H939" t="s">
        <v>37</v>
      </c>
      <c r="I939" t="s">
        <v>15</v>
      </c>
      <c r="J939" t="s">
        <v>44</v>
      </c>
    </row>
    <row r="940" spans="1:32">
      <c r="A940" t="s">
        <v>716</v>
      </c>
      <c r="B940" t="s">
        <v>864</v>
      </c>
      <c r="C940" t="str">
        <f>Data_Master[[#This Row],[Uniq-ID]]&amp;"-"&amp;Data_Master[[#This Row],[Period]]</f>
        <v>PE-Project_Engineer-040-M2</v>
      </c>
      <c r="D940" t="s">
        <v>865</v>
      </c>
      <c r="E940" t="s">
        <v>76</v>
      </c>
      <c r="F940" t="s">
        <v>475</v>
      </c>
      <c r="G940" t="s">
        <v>18</v>
      </c>
      <c r="H940" t="s">
        <v>39</v>
      </c>
      <c r="I940" t="s">
        <v>15</v>
      </c>
      <c r="J940" t="s">
        <v>44</v>
      </c>
    </row>
    <row r="941" spans="1:32">
      <c r="A941" t="s">
        <v>716</v>
      </c>
      <c r="B941" t="s">
        <v>864</v>
      </c>
      <c r="C941" t="str">
        <f>Data_Master[[#This Row],[Uniq-ID]]&amp;"-"&amp;Data_Master[[#This Row],[Period]]</f>
        <v>PE-Project_Engineer-040-M3</v>
      </c>
      <c r="D941" t="s">
        <v>865</v>
      </c>
      <c r="E941" t="s">
        <v>76</v>
      </c>
      <c r="F941" t="s">
        <v>475</v>
      </c>
      <c r="G941" t="s">
        <v>22</v>
      </c>
      <c r="H941" t="s">
        <v>41</v>
      </c>
      <c r="I941" t="s">
        <v>15</v>
      </c>
      <c r="J941" t="s">
        <v>44</v>
      </c>
    </row>
    <row r="942" spans="1:32">
      <c r="A942" t="s">
        <v>716</v>
      </c>
      <c r="B942" t="s">
        <v>864</v>
      </c>
      <c r="C942" t="str">
        <f>Data_Master[[#This Row],[Uniq-ID]]&amp;"-"&amp;Data_Master[[#This Row],[Period]]</f>
        <v>PE-Project_Engineer-040-M4</v>
      </c>
      <c r="D942" t="s">
        <v>865</v>
      </c>
      <c r="E942" t="s">
        <v>76</v>
      </c>
      <c r="F942" t="s">
        <v>475</v>
      </c>
      <c r="G942" t="s">
        <v>25</v>
      </c>
      <c r="H942" t="s">
        <v>43</v>
      </c>
      <c r="I942" t="s">
        <v>33</v>
      </c>
      <c r="J942" t="s">
        <v>44</v>
      </c>
    </row>
    <row r="943" spans="1:32">
      <c r="A943" t="s">
        <v>716</v>
      </c>
      <c r="B943" t="s">
        <v>866</v>
      </c>
      <c r="C943" t="str">
        <f>Data_Master[[#This Row],[Uniq-ID]]&amp;"-"&amp;Data_Master[[#This Row],[Period]]</f>
        <v>PE-Project_Engineer-041-M1</v>
      </c>
      <c r="D943" t="s">
        <v>867</v>
      </c>
      <c r="E943" t="s">
        <v>76</v>
      </c>
      <c r="F943" t="s">
        <v>441</v>
      </c>
      <c r="G943" t="s">
        <v>13</v>
      </c>
      <c r="H943" t="s">
        <v>37</v>
      </c>
      <c r="I943" t="s">
        <v>15</v>
      </c>
      <c r="J943" t="s">
        <v>44</v>
      </c>
    </row>
    <row r="944" spans="1:32">
      <c r="A944" t="s">
        <v>716</v>
      </c>
      <c r="B944" t="s">
        <v>866</v>
      </c>
      <c r="C944" t="str">
        <f>Data_Master[[#This Row],[Uniq-ID]]&amp;"-"&amp;Data_Master[[#This Row],[Period]]</f>
        <v>PE-Project_Engineer-041-M2</v>
      </c>
      <c r="D944" t="s">
        <v>867</v>
      </c>
      <c r="E944" t="s">
        <v>76</v>
      </c>
      <c r="F944" t="s">
        <v>441</v>
      </c>
      <c r="G944" t="s">
        <v>18</v>
      </c>
      <c r="H944" t="s">
        <v>39</v>
      </c>
      <c r="I944" t="s">
        <v>15</v>
      </c>
      <c r="J944" t="s">
        <v>44</v>
      </c>
    </row>
    <row r="945" spans="1:32">
      <c r="A945" t="s">
        <v>716</v>
      </c>
      <c r="B945" t="s">
        <v>866</v>
      </c>
      <c r="C945" t="str">
        <f>Data_Master[[#This Row],[Uniq-ID]]&amp;"-"&amp;Data_Master[[#This Row],[Period]]</f>
        <v>PE-Project_Engineer-041-M3</v>
      </c>
      <c r="D945" t="s">
        <v>867</v>
      </c>
      <c r="E945" t="s">
        <v>76</v>
      </c>
      <c r="F945" t="s">
        <v>441</v>
      </c>
      <c r="G945" t="s">
        <v>22</v>
      </c>
      <c r="H945" t="s">
        <v>41</v>
      </c>
      <c r="I945" t="s">
        <v>15</v>
      </c>
      <c r="J945" t="s">
        <v>44</v>
      </c>
    </row>
    <row r="946" spans="1:32">
      <c r="A946" t="s">
        <v>716</v>
      </c>
      <c r="B946" t="s">
        <v>866</v>
      </c>
      <c r="C946" t="str">
        <f>Data_Master[[#This Row],[Uniq-ID]]&amp;"-"&amp;Data_Master[[#This Row],[Period]]</f>
        <v>PE-Project_Engineer-041-M4</v>
      </c>
      <c r="D946" t="s">
        <v>867</v>
      </c>
      <c r="E946" t="s">
        <v>76</v>
      </c>
      <c r="F946" t="s">
        <v>441</v>
      </c>
      <c r="G946" t="s">
        <v>25</v>
      </c>
      <c r="H946" t="s">
        <v>43</v>
      </c>
      <c r="I946" t="s">
        <v>33</v>
      </c>
      <c r="J946" t="s">
        <v>44</v>
      </c>
    </row>
    <row r="947" spans="1:32">
      <c r="A947" t="s">
        <v>716</v>
      </c>
      <c r="B947" t="s">
        <v>876</v>
      </c>
      <c r="C947" t="str">
        <f>Data_Master[[#This Row],[Uniq-ID]]&amp;"-"&amp;Data_Master[[#This Row],[Period]]</f>
        <v>PE-Project_Engineer-042-M1</v>
      </c>
      <c r="D947" t="s">
        <v>877</v>
      </c>
      <c r="E947" t="s">
        <v>76</v>
      </c>
      <c r="F947" t="s">
        <v>441</v>
      </c>
      <c r="G947" t="s">
        <v>13</v>
      </c>
      <c r="H947" t="s">
        <v>37</v>
      </c>
      <c r="I947" t="s">
        <v>15</v>
      </c>
      <c r="J947" t="s">
        <v>44</v>
      </c>
    </row>
    <row r="948" spans="1:32">
      <c r="A948" t="s">
        <v>716</v>
      </c>
      <c r="B948" t="s">
        <v>876</v>
      </c>
      <c r="C948" t="str">
        <f>Data_Master[[#This Row],[Uniq-ID]]&amp;"-"&amp;Data_Master[[#This Row],[Period]]</f>
        <v>PE-Project_Engineer-042-M2</v>
      </c>
      <c r="D948" t="s">
        <v>877</v>
      </c>
      <c r="E948" t="s">
        <v>76</v>
      </c>
      <c r="F948" t="s">
        <v>441</v>
      </c>
      <c r="G948" t="s">
        <v>18</v>
      </c>
      <c r="H948" t="s">
        <v>39</v>
      </c>
      <c r="I948" t="s">
        <v>15</v>
      </c>
      <c r="J948" t="s">
        <v>44</v>
      </c>
    </row>
    <row r="949" spans="1:32">
      <c r="A949" t="s">
        <v>716</v>
      </c>
      <c r="B949" t="s">
        <v>876</v>
      </c>
      <c r="C949" t="str">
        <f>Data_Master[[#This Row],[Uniq-ID]]&amp;"-"&amp;Data_Master[[#This Row],[Period]]</f>
        <v>PE-Project_Engineer-042-M3</v>
      </c>
      <c r="D949" t="s">
        <v>877</v>
      </c>
      <c r="E949" t="s">
        <v>76</v>
      </c>
      <c r="F949" t="s">
        <v>441</v>
      </c>
      <c r="G949" t="s">
        <v>22</v>
      </c>
      <c r="H949" t="s">
        <v>41</v>
      </c>
      <c r="I949" t="s">
        <v>15</v>
      </c>
      <c r="J949" t="s">
        <v>44</v>
      </c>
    </row>
    <row r="950" spans="1:32">
      <c r="A950" t="s">
        <v>716</v>
      </c>
      <c r="B950" t="s">
        <v>876</v>
      </c>
      <c r="C950" t="str">
        <f>Data_Master[[#This Row],[Uniq-ID]]&amp;"-"&amp;Data_Master[[#This Row],[Period]]</f>
        <v>PE-Project_Engineer-042-M4</v>
      </c>
      <c r="D950" t="s">
        <v>877</v>
      </c>
      <c r="E950" t="s">
        <v>76</v>
      </c>
      <c r="F950" t="s">
        <v>441</v>
      </c>
      <c r="G950" t="s">
        <v>25</v>
      </c>
      <c r="H950" t="s">
        <v>43</v>
      </c>
      <c r="I950" t="s">
        <v>33</v>
      </c>
      <c r="J950" t="s">
        <v>44</v>
      </c>
    </row>
    <row r="951" spans="1:32">
      <c r="A951" t="s">
        <v>716</v>
      </c>
      <c r="B951" t="s">
        <v>730</v>
      </c>
      <c r="C951" t="str">
        <f>Data_Master[[#This Row],[Uniq-ID]]&amp;"-"&amp;Data_Master[[#This Row],[Period]]</f>
        <v>PE-Project_Engineer-044-M1</v>
      </c>
      <c r="D951" t="s">
        <v>731</v>
      </c>
      <c r="E951" t="s">
        <v>76</v>
      </c>
      <c r="F951" t="s">
        <v>441</v>
      </c>
      <c r="G951" t="s">
        <v>13</v>
      </c>
      <c r="H951" t="s">
        <v>37</v>
      </c>
      <c r="I951" t="s">
        <v>15</v>
      </c>
      <c r="J951" t="s">
        <v>16</v>
      </c>
      <c r="L951">
        <v>1.5</v>
      </c>
      <c r="AA951">
        <v>2592</v>
      </c>
      <c r="AB951">
        <v>3756</v>
      </c>
      <c r="AC951">
        <v>3772</v>
      </c>
      <c r="AE951">
        <v>712</v>
      </c>
      <c r="AF951">
        <v>10832</v>
      </c>
    </row>
    <row r="952" spans="1:32">
      <c r="A952" t="s">
        <v>716</v>
      </c>
      <c r="B952" t="s">
        <v>730</v>
      </c>
      <c r="C952" t="str">
        <f>Data_Master[[#This Row],[Uniq-ID]]&amp;"-"&amp;Data_Master[[#This Row],[Period]]</f>
        <v>PE-Project_Engineer-044-M2</v>
      </c>
      <c r="D952" t="s">
        <v>731</v>
      </c>
      <c r="E952" t="s">
        <v>76</v>
      </c>
      <c r="F952" t="s">
        <v>441</v>
      </c>
      <c r="G952" t="s">
        <v>18</v>
      </c>
      <c r="H952" t="s">
        <v>39</v>
      </c>
      <c r="I952" t="s">
        <v>15</v>
      </c>
      <c r="J952" t="s">
        <v>16</v>
      </c>
      <c r="L952">
        <v>1.5</v>
      </c>
      <c r="AA952">
        <v>3024</v>
      </c>
      <c r="AB952">
        <v>5856</v>
      </c>
      <c r="AC952">
        <v>1336</v>
      </c>
      <c r="AE952">
        <v>564</v>
      </c>
      <c r="AF952">
        <v>10780</v>
      </c>
    </row>
    <row r="953" spans="1:32">
      <c r="A953" t="s">
        <v>716</v>
      </c>
      <c r="B953" t="s">
        <v>730</v>
      </c>
      <c r="C953" t="str">
        <f>Data_Master[[#This Row],[Uniq-ID]]&amp;"-"&amp;Data_Master[[#This Row],[Period]]</f>
        <v>PE-Project_Engineer-044-M3</v>
      </c>
      <c r="D953" t="s">
        <v>731</v>
      </c>
      <c r="E953" t="s">
        <v>76</v>
      </c>
      <c r="F953" t="s">
        <v>441</v>
      </c>
      <c r="G953" t="s">
        <v>22</v>
      </c>
      <c r="H953" t="s">
        <v>41</v>
      </c>
      <c r="I953" t="s">
        <v>15</v>
      </c>
      <c r="J953" t="s">
        <v>16</v>
      </c>
      <c r="L953">
        <v>1.5</v>
      </c>
      <c r="AA953">
        <v>3216</v>
      </c>
      <c r="AB953">
        <v>10746</v>
      </c>
      <c r="AC953">
        <v>1584</v>
      </c>
      <c r="AE953">
        <v>468</v>
      </c>
      <c r="AF953">
        <v>16014</v>
      </c>
    </row>
    <row r="954" spans="1:32">
      <c r="A954" t="s">
        <v>716</v>
      </c>
      <c r="B954" t="s">
        <v>730</v>
      </c>
      <c r="C954" t="str">
        <f>Data_Master[[#This Row],[Uniq-ID]]&amp;"-"&amp;Data_Master[[#This Row],[Period]]</f>
        <v>PE-Project_Engineer-044-M4</v>
      </c>
      <c r="D954" t="s">
        <v>731</v>
      </c>
      <c r="E954" t="s">
        <v>76</v>
      </c>
      <c r="F954" t="s">
        <v>441</v>
      </c>
      <c r="G954" t="s">
        <v>25</v>
      </c>
      <c r="H954" t="s">
        <v>43</v>
      </c>
      <c r="I954" t="s">
        <v>33</v>
      </c>
      <c r="J954" t="s">
        <v>719</v>
      </c>
      <c r="L954">
        <v>1</v>
      </c>
      <c r="AA954">
        <v>768</v>
      </c>
      <c r="AB954">
        <v>4044</v>
      </c>
      <c r="AC954">
        <v>96</v>
      </c>
      <c r="AE954">
        <v>12</v>
      </c>
      <c r="AF954">
        <v>4920</v>
      </c>
    </row>
    <row r="955" spans="1:32">
      <c r="A955" t="s">
        <v>716</v>
      </c>
      <c r="B955" t="s">
        <v>720</v>
      </c>
      <c r="C955" t="str">
        <f>Data_Master[[#This Row],[Uniq-ID]]&amp;"-"&amp;Data_Master[[#This Row],[Period]]</f>
        <v>PE-Project_Engineer-045-M1</v>
      </c>
      <c r="D955" t="s">
        <v>721</v>
      </c>
      <c r="E955" t="s">
        <v>76</v>
      </c>
      <c r="F955" t="s">
        <v>441</v>
      </c>
      <c r="G955" t="s">
        <v>13</v>
      </c>
      <c r="H955" t="s">
        <v>37</v>
      </c>
      <c r="I955" t="s">
        <v>15</v>
      </c>
      <c r="J955" t="s">
        <v>16</v>
      </c>
      <c r="L955">
        <v>1.5</v>
      </c>
      <c r="AA955">
        <v>2944</v>
      </c>
      <c r="AB955">
        <v>5364</v>
      </c>
      <c r="AC955">
        <v>2488</v>
      </c>
      <c r="AE955">
        <v>312</v>
      </c>
      <c r="AF955">
        <v>11108</v>
      </c>
    </row>
    <row r="956" spans="1:32">
      <c r="A956" t="s">
        <v>716</v>
      </c>
      <c r="B956" t="s">
        <v>720</v>
      </c>
      <c r="C956" t="str">
        <f>Data_Master[[#This Row],[Uniq-ID]]&amp;"-"&amp;Data_Master[[#This Row],[Period]]</f>
        <v>PE-Project_Engineer-045-M2</v>
      </c>
      <c r="D956" t="s">
        <v>721</v>
      </c>
      <c r="E956" t="s">
        <v>76</v>
      </c>
      <c r="F956" t="s">
        <v>441</v>
      </c>
      <c r="G956" t="s">
        <v>18</v>
      </c>
      <c r="H956" t="s">
        <v>39</v>
      </c>
      <c r="I956" t="s">
        <v>15</v>
      </c>
      <c r="J956" t="s">
        <v>16</v>
      </c>
      <c r="L956">
        <v>1.5</v>
      </c>
      <c r="AA956">
        <v>3256</v>
      </c>
      <c r="AB956">
        <v>5232</v>
      </c>
      <c r="AC956">
        <v>1552</v>
      </c>
      <c r="AE956">
        <v>780</v>
      </c>
      <c r="AF956">
        <v>10820</v>
      </c>
    </row>
    <row r="957" spans="1:32">
      <c r="A957" t="s">
        <v>716</v>
      </c>
      <c r="B957" t="s">
        <v>720</v>
      </c>
      <c r="C957" t="str">
        <f>Data_Master[[#This Row],[Uniq-ID]]&amp;"-"&amp;Data_Master[[#This Row],[Period]]</f>
        <v>PE-Project_Engineer-045-M3</v>
      </c>
      <c r="D957" t="s">
        <v>721</v>
      </c>
      <c r="E957" t="s">
        <v>76</v>
      </c>
      <c r="F957" t="s">
        <v>441</v>
      </c>
      <c r="G957" t="s">
        <v>22</v>
      </c>
      <c r="H957" t="s">
        <v>41</v>
      </c>
      <c r="I957" t="s">
        <v>15</v>
      </c>
      <c r="J957" t="s">
        <v>16</v>
      </c>
      <c r="L957">
        <v>1.5</v>
      </c>
      <c r="AA957">
        <v>2792</v>
      </c>
      <c r="AB957">
        <v>5364</v>
      </c>
      <c r="AC957">
        <v>1904</v>
      </c>
      <c r="AE957">
        <v>640</v>
      </c>
      <c r="AF957">
        <v>10700</v>
      </c>
    </row>
    <row r="958" spans="1:32">
      <c r="A958" t="s">
        <v>716</v>
      </c>
      <c r="B958" t="s">
        <v>720</v>
      </c>
      <c r="C958" t="str">
        <f>Data_Master[[#This Row],[Uniq-ID]]&amp;"-"&amp;Data_Master[[#This Row],[Period]]</f>
        <v>PE-Project_Engineer-045-M4</v>
      </c>
      <c r="D958" t="s">
        <v>721</v>
      </c>
      <c r="E958" t="s">
        <v>76</v>
      </c>
      <c r="F958" t="s">
        <v>441</v>
      </c>
      <c r="G958" t="s">
        <v>25</v>
      </c>
      <c r="H958" t="s">
        <v>43</v>
      </c>
      <c r="I958" t="s">
        <v>33</v>
      </c>
      <c r="J958" t="s">
        <v>719</v>
      </c>
      <c r="L958">
        <v>1</v>
      </c>
      <c r="AA958">
        <v>472</v>
      </c>
      <c r="AB958">
        <v>2208</v>
      </c>
      <c r="AC958">
        <v>112</v>
      </c>
      <c r="AE958">
        <v>80</v>
      </c>
      <c r="AF958">
        <v>2872</v>
      </c>
    </row>
    <row r="959" spans="1:32">
      <c r="A959" t="s">
        <v>716</v>
      </c>
      <c r="B959" t="s">
        <v>754</v>
      </c>
      <c r="C959" t="str">
        <f>Data_Master[[#This Row],[Uniq-ID]]&amp;"-"&amp;Data_Master[[#This Row],[Period]]</f>
        <v>PE-Project_Engineer-047-M1</v>
      </c>
      <c r="D959" t="s">
        <v>755</v>
      </c>
      <c r="E959" t="s">
        <v>76</v>
      </c>
      <c r="F959" t="s">
        <v>468</v>
      </c>
      <c r="G959" t="s">
        <v>13</v>
      </c>
      <c r="H959" t="s">
        <v>37</v>
      </c>
      <c r="I959" t="s">
        <v>15</v>
      </c>
      <c r="J959" t="s">
        <v>719</v>
      </c>
      <c r="L959">
        <v>1</v>
      </c>
      <c r="AA959">
        <v>512</v>
      </c>
      <c r="AB959">
        <v>1284</v>
      </c>
      <c r="AC959">
        <v>2104</v>
      </c>
      <c r="AE959">
        <v>788</v>
      </c>
      <c r="AF959">
        <v>4688</v>
      </c>
    </row>
    <row r="960" spans="1:32">
      <c r="A960" t="s">
        <v>716</v>
      </c>
      <c r="B960" t="s">
        <v>754</v>
      </c>
      <c r="C960" t="str">
        <f>Data_Master[[#This Row],[Uniq-ID]]&amp;"-"&amp;Data_Master[[#This Row],[Period]]</f>
        <v>PE-Project_Engineer-047-M2</v>
      </c>
      <c r="D960" t="s">
        <v>755</v>
      </c>
      <c r="E960" t="s">
        <v>76</v>
      </c>
      <c r="F960" t="s">
        <v>468</v>
      </c>
      <c r="G960" t="s">
        <v>18</v>
      </c>
      <c r="H960" t="s">
        <v>39</v>
      </c>
      <c r="I960" t="s">
        <v>15</v>
      </c>
      <c r="J960" t="s">
        <v>719</v>
      </c>
      <c r="L960">
        <v>1</v>
      </c>
      <c r="AA960">
        <v>508</v>
      </c>
      <c r="AB960">
        <v>918</v>
      </c>
      <c r="AC960">
        <v>480</v>
      </c>
      <c r="AE960">
        <v>854</v>
      </c>
      <c r="AF960">
        <v>2760</v>
      </c>
    </row>
    <row r="961" spans="1:32">
      <c r="A961" t="s">
        <v>716</v>
      </c>
      <c r="B961" t="s">
        <v>754</v>
      </c>
      <c r="C961" t="str">
        <f>Data_Master[[#This Row],[Uniq-ID]]&amp;"-"&amp;Data_Master[[#This Row],[Period]]</f>
        <v>PE-Project_Engineer-047-M3</v>
      </c>
      <c r="D961" t="s">
        <v>755</v>
      </c>
      <c r="E961" t="s">
        <v>76</v>
      </c>
      <c r="F961" t="s">
        <v>468</v>
      </c>
      <c r="G961" t="s">
        <v>22</v>
      </c>
      <c r="H961" t="s">
        <v>41</v>
      </c>
      <c r="I961" t="s">
        <v>15</v>
      </c>
      <c r="J961" t="s">
        <v>719</v>
      </c>
      <c r="L961">
        <v>1</v>
      </c>
      <c r="AA961">
        <v>600</v>
      </c>
      <c r="AB961">
        <v>750</v>
      </c>
      <c r="AC961">
        <v>964</v>
      </c>
      <c r="AE961">
        <v>1040</v>
      </c>
      <c r="AF961">
        <v>3354</v>
      </c>
    </row>
    <row r="962" spans="1:32">
      <c r="A962" t="s">
        <v>716</v>
      </c>
      <c r="B962" t="s">
        <v>754</v>
      </c>
      <c r="C962" t="str">
        <f>Data_Master[[#This Row],[Uniq-ID]]&amp;"-"&amp;Data_Master[[#This Row],[Period]]</f>
        <v>PE-Project_Engineer-047-M4</v>
      </c>
      <c r="D962" t="s">
        <v>755</v>
      </c>
      <c r="E962" t="s">
        <v>76</v>
      </c>
      <c r="F962" t="s">
        <v>468</v>
      </c>
      <c r="G962" t="s">
        <v>25</v>
      </c>
      <c r="H962" t="s">
        <v>43</v>
      </c>
      <c r="I962" t="s">
        <v>33</v>
      </c>
      <c r="J962" t="s">
        <v>44</v>
      </c>
      <c r="L962">
        <v>0.57999999999999996</v>
      </c>
      <c r="AA962">
        <v>196</v>
      </c>
      <c r="AB962">
        <v>366</v>
      </c>
      <c r="AE962">
        <v>588</v>
      </c>
      <c r="AF962">
        <v>1150</v>
      </c>
    </row>
    <row r="963" spans="1:32">
      <c r="A963" t="s">
        <v>716</v>
      </c>
      <c r="B963" t="s">
        <v>810</v>
      </c>
      <c r="C963" t="str">
        <f>Data_Master[[#This Row],[Uniq-ID]]&amp;"-"&amp;Data_Master[[#This Row],[Period]]</f>
        <v>PE-Project_Engineer-048-M1</v>
      </c>
      <c r="D963" t="s">
        <v>811</v>
      </c>
      <c r="E963" t="s">
        <v>112</v>
      </c>
      <c r="F963" t="s">
        <v>441</v>
      </c>
      <c r="G963" t="s">
        <v>13</v>
      </c>
      <c r="H963" t="s">
        <v>268</v>
      </c>
      <c r="I963" t="s">
        <v>15</v>
      </c>
      <c r="J963" t="s">
        <v>44</v>
      </c>
    </row>
    <row r="964" spans="1:32">
      <c r="A964" t="s">
        <v>716</v>
      </c>
      <c r="B964" t="s">
        <v>810</v>
      </c>
      <c r="C964" t="str">
        <f>Data_Master[[#This Row],[Uniq-ID]]&amp;"-"&amp;Data_Master[[#This Row],[Period]]</f>
        <v>PE-Project_Engineer-048-M2</v>
      </c>
      <c r="D964" t="s">
        <v>811</v>
      </c>
      <c r="E964" t="s">
        <v>112</v>
      </c>
      <c r="F964" t="s">
        <v>441</v>
      </c>
      <c r="G964" t="s">
        <v>18</v>
      </c>
      <c r="H964" t="s">
        <v>270</v>
      </c>
      <c r="I964" t="s">
        <v>15</v>
      </c>
      <c r="J964" t="s">
        <v>44</v>
      </c>
    </row>
    <row r="965" spans="1:32">
      <c r="A965" t="s">
        <v>716</v>
      </c>
      <c r="B965" t="s">
        <v>810</v>
      </c>
      <c r="C965" t="str">
        <f>Data_Master[[#This Row],[Uniq-ID]]&amp;"-"&amp;Data_Master[[#This Row],[Period]]</f>
        <v>PE-Project_Engineer-048-M3</v>
      </c>
      <c r="D965" t="s">
        <v>811</v>
      </c>
      <c r="E965" t="s">
        <v>112</v>
      </c>
      <c r="F965" t="s">
        <v>441</v>
      </c>
      <c r="G965" t="s">
        <v>22</v>
      </c>
      <c r="H965" t="s">
        <v>272</v>
      </c>
      <c r="I965" t="s">
        <v>15</v>
      </c>
      <c r="J965" t="s">
        <v>44</v>
      </c>
    </row>
    <row r="966" spans="1:32">
      <c r="A966" t="s">
        <v>716</v>
      </c>
      <c r="B966" t="s">
        <v>810</v>
      </c>
      <c r="C966" t="str">
        <f>Data_Master[[#This Row],[Uniq-ID]]&amp;"-"&amp;Data_Master[[#This Row],[Period]]</f>
        <v>PE-Project_Engineer-048-M4</v>
      </c>
      <c r="D966" t="s">
        <v>811</v>
      </c>
      <c r="E966" t="s">
        <v>112</v>
      </c>
      <c r="F966" t="s">
        <v>441</v>
      </c>
      <c r="G966" t="s">
        <v>25</v>
      </c>
      <c r="H966" t="s">
        <v>274</v>
      </c>
      <c r="I966" t="s">
        <v>33</v>
      </c>
      <c r="J966" t="s">
        <v>44</v>
      </c>
    </row>
    <row r="967" spans="1:32">
      <c r="A967" t="s">
        <v>716</v>
      </c>
      <c r="B967" t="s">
        <v>812</v>
      </c>
      <c r="C967" t="str">
        <f>Data_Master[[#This Row],[Uniq-ID]]&amp;"-"&amp;Data_Master[[#This Row],[Period]]</f>
        <v>PE-Project_Engineer-052-M1</v>
      </c>
      <c r="D967" t="s">
        <v>813</v>
      </c>
      <c r="E967" t="s">
        <v>48</v>
      </c>
      <c r="F967" t="s">
        <v>441</v>
      </c>
      <c r="G967" t="s">
        <v>13</v>
      </c>
      <c r="H967" t="s">
        <v>814</v>
      </c>
      <c r="I967" t="s">
        <v>15</v>
      </c>
      <c r="J967" t="s">
        <v>44</v>
      </c>
    </row>
    <row r="968" spans="1:32">
      <c r="A968" t="s">
        <v>716</v>
      </c>
      <c r="B968" t="s">
        <v>812</v>
      </c>
      <c r="C968" t="str">
        <f>Data_Master[[#This Row],[Uniq-ID]]&amp;"-"&amp;Data_Master[[#This Row],[Period]]</f>
        <v>PE-Project_Engineer-052-M2</v>
      </c>
      <c r="D968" t="s">
        <v>813</v>
      </c>
      <c r="E968" t="s">
        <v>48</v>
      </c>
      <c r="F968" t="s">
        <v>441</v>
      </c>
      <c r="G968" t="s">
        <v>18</v>
      </c>
      <c r="H968" t="s">
        <v>815</v>
      </c>
      <c r="I968" t="s">
        <v>15</v>
      </c>
      <c r="J968" t="s">
        <v>44</v>
      </c>
    </row>
    <row r="969" spans="1:32">
      <c r="A969" t="s">
        <v>716</v>
      </c>
      <c r="B969" t="s">
        <v>812</v>
      </c>
      <c r="C969" t="str">
        <f>Data_Master[[#This Row],[Uniq-ID]]&amp;"-"&amp;Data_Master[[#This Row],[Period]]</f>
        <v>PE-Project_Engineer-052-M3</v>
      </c>
      <c r="D969" t="s">
        <v>813</v>
      </c>
      <c r="E969" t="s">
        <v>48</v>
      </c>
      <c r="F969" t="s">
        <v>441</v>
      </c>
      <c r="G969" t="s">
        <v>22</v>
      </c>
      <c r="H969" t="s">
        <v>670</v>
      </c>
      <c r="I969" t="s">
        <v>15</v>
      </c>
      <c r="J969" t="s">
        <v>44</v>
      </c>
    </row>
    <row r="970" spans="1:32">
      <c r="A970" t="s">
        <v>716</v>
      </c>
      <c r="B970" t="s">
        <v>812</v>
      </c>
      <c r="C970" t="str">
        <f>Data_Master[[#This Row],[Uniq-ID]]&amp;"-"&amp;Data_Master[[#This Row],[Period]]</f>
        <v>PE-Project_Engineer-052-M4</v>
      </c>
      <c r="D970" t="s">
        <v>813</v>
      </c>
      <c r="E970" t="s">
        <v>48</v>
      </c>
      <c r="F970" t="s">
        <v>441</v>
      </c>
      <c r="G970" t="s">
        <v>25</v>
      </c>
      <c r="H970" t="s">
        <v>671</v>
      </c>
      <c r="I970" t="s">
        <v>33</v>
      </c>
      <c r="J970" t="s">
        <v>44</v>
      </c>
    </row>
    <row r="971" spans="1:32">
      <c r="A971" t="s">
        <v>716</v>
      </c>
      <c r="B971" t="s">
        <v>808</v>
      </c>
      <c r="C971" t="str">
        <f>Data_Master[[#This Row],[Uniq-ID]]&amp;"-"&amp;Data_Master[[#This Row],[Period]]</f>
        <v>PE-Project_Engineer-055-M1</v>
      </c>
      <c r="D971" t="s">
        <v>809</v>
      </c>
      <c r="E971" t="s">
        <v>76</v>
      </c>
      <c r="F971" t="s">
        <v>446</v>
      </c>
      <c r="G971" t="s">
        <v>13</v>
      </c>
      <c r="H971" t="s">
        <v>37</v>
      </c>
      <c r="I971" t="s">
        <v>15</v>
      </c>
      <c r="J971" t="s">
        <v>44</v>
      </c>
    </row>
    <row r="972" spans="1:32">
      <c r="A972" t="s">
        <v>716</v>
      </c>
      <c r="B972" t="s">
        <v>808</v>
      </c>
      <c r="C972" t="str">
        <f>Data_Master[[#This Row],[Uniq-ID]]&amp;"-"&amp;Data_Master[[#This Row],[Period]]</f>
        <v>PE-Project_Engineer-055-M2</v>
      </c>
      <c r="D972" t="s">
        <v>809</v>
      </c>
      <c r="E972" t="s">
        <v>76</v>
      </c>
      <c r="F972" t="s">
        <v>446</v>
      </c>
      <c r="G972" t="s">
        <v>18</v>
      </c>
      <c r="H972" t="s">
        <v>39</v>
      </c>
      <c r="I972" t="s">
        <v>15</v>
      </c>
      <c r="J972" t="s">
        <v>44</v>
      </c>
    </row>
    <row r="973" spans="1:32">
      <c r="A973" t="s">
        <v>716</v>
      </c>
      <c r="B973" t="s">
        <v>808</v>
      </c>
      <c r="C973" t="str">
        <f>Data_Master[[#This Row],[Uniq-ID]]&amp;"-"&amp;Data_Master[[#This Row],[Period]]</f>
        <v>PE-Project_Engineer-055-M3</v>
      </c>
      <c r="D973" t="s">
        <v>809</v>
      </c>
      <c r="E973" t="s">
        <v>76</v>
      </c>
      <c r="F973" t="s">
        <v>446</v>
      </c>
      <c r="G973" t="s">
        <v>22</v>
      </c>
      <c r="H973" t="s">
        <v>41</v>
      </c>
      <c r="I973" t="s">
        <v>15</v>
      </c>
      <c r="J973" t="s">
        <v>44</v>
      </c>
    </row>
    <row r="974" spans="1:32">
      <c r="A974" t="s">
        <v>716</v>
      </c>
      <c r="B974" t="s">
        <v>808</v>
      </c>
      <c r="C974" t="str">
        <f>Data_Master[[#This Row],[Uniq-ID]]&amp;"-"&amp;Data_Master[[#This Row],[Period]]</f>
        <v>PE-Project_Engineer-055-M4</v>
      </c>
      <c r="D974" t="s">
        <v>809</v>
      </c>
      <c r="E974" t="s">
        <v>76</v>
      </c>
      <c r="F974" t="s">
        <v>446</v>
      </c>
      <c r="G974" t="s">
        <v>25</v>
      </c>
      <c r="H974" t="s">
        <v>43</v>
      </c>
      <c r="I974" t="s">
        <v>33</v>
      </c>
      <c r="J974" t="s">
        <v>44</v>
      </c>
    </row>
    <row r="975" spans="1:32">
      <c r="A975" t="s">
        <v>716</v>
      </c>
      <c r="B975" t="s">
        <v>805</v>
      </c>
      <c r="C975" t="str">
        <f>Data_Master[[#This Row],[Uniq-ID]]&amp;"-"&amp;Data_Master[[#This Row],[Period]]</f>
        <v>PE-Project_Engineer-056-M1</v>
      </c>
      <c r="D975" t="s">
        <v>806</v>
      </c>
      <c r="E975" t="s">
        <v>290</v>
      </c>
      <c r="F975" t="s">
        <v>446</v>
      </c>
      <c r="G975" t="s">
        <v>13</v>
      </c>
      <c r="H975" t="s">
        <v>807</v>
      </c>
      <c r="I975" t="s">
        <v>15</v>
      </c>
      <c r="J975" t="s">
        <v>44</v>
      </c>
    </row>
    <row r="976" spans="1:32">
      <c r="A976" t="s">
        <v>716</v>
      </c>
      <c r="B976" t="s">
        <v>805</v>
      </c>
      <c r="C976" t="str">
        <f>Data_Master[[#This Row],[Uniq-ID]]&amp;"-"&amp;Data_Master[[#This Row],[Period]]</f>
        <v>PE-Project_Engineer-056-M2</v>
      </c>
      <c r="D976" t="s">
        <v>806</v>
      </c>
      <c r="E976" t="s">
        <v>290</v>
      </c>
      <c r="F976" t="s">
        <v>446</v>
      </c>
      <c r="G976" t="s">
        <v>18</v>
      </c>
      <c r="H976" t="s">
        <v>464</v>
      </c>
      <c r="I976" t="s">
        <v>15</v>
      </c>
      <c r="J976" t="s">
        <v>44</v>
      </c>
    </row>
    <row r="977" spans="1:32">
      <c r="A977" t="s">
        <v>716</v>
      </c>
      <c r="B977" t="s">
        <v>805</v>
      </c>
      <c r="C977" t="str">
        <f>Data_Master[[#This Row],[Uniq-ID]]&amp;"-"&amp;Data_Master[[#This Row],[Period]]</f>
        <v>PE-Project_Engineer-056-M3</v>
      </c>
      <c r="D977" t="s">
        <v>806</v>
      </c>
      <c r="E977" t="s">
        <v>290</v>
      </c>
      <c r="F977" t="s">
        <v>446</v>
      </c>
      <c r="G977" t="s">
        <v>22</v>
      </c>
      <c r="H977" t="s">
        <v>465</v>
      </c>
      <c r="I977" t="s">
        <v>15</v>
      </c>
      <c r="J977" t="s">
        <v>44</v>
      </c>
    </row>
    <row r="978" spans="1:32">
      <c r="A978" t="s">
        <v>716</v>
      </c>
      <c r="B978" t="s">
        <v>805</v>
      </c>
      <c r="C978" t="str">
        <f>Data_Master[[#This Row],[Uniq-ID]]&amp;"-"&amp;Data_Master[[#This Row],[Period]]</f>
        <v>PE-Project_Engineer-056-M4</v>
      </c>
      <c r="D978" t="s">
        <v>806</v>
      </c>
      <c r="E978" t="s">
        <v>290</v>
      </c>
      <c r="F978" t="s">
        <v>446</v>
      </c>
      <c r="G978" t="s">
        <v>25</v>
      </c>
      <c r="H978" t="s">
        <v>3448</v>
      </c>
      <c r="I978" t="s">
        <v>33</v>
      </c>
      <c r="J978" t="s">
        <v>44</v>
      </c>
    </row>
    <row r="979" spans="1:32">
      <c r="A979" t="s">
        <v>716</v>
      </c>
      <c r="B979" t="s">
        <v>740</v>
      </c>
      <c r="C979" t="str">
        <f>Data_Master[[#This Row],[Uniq-ID]]&amp;"-"&amp;Data_Master[[#This Row],[Period]]</f>
        <v>PE-Project_Engineer-058-M1</v>
      </c>
      <c r="D979" t="s">
        <v>741</v>
      </c>
      <c r="E979" t="s">
        <v>76</v>
      </c>
      <c r="F979" t="s">
        <v>520</v>
      </c>
      <c r="G979" t="s">
        <v>13</v>
      </c>
      <c r="H979" t="s">
        <v>26</v>
      </c>
      <c r="I979" t="s">
        <v>15</v>
      </c>
      <c r="J979" t="s">
        <v>16</v>
      </c>
      <c r="L979">
        <v>1.5</v>
      </c>
      <c r="AA979">
        <v>7176</v>
      </c>
      <c r="AB979">
        <v>9708</v>
      </c>
      <c r="AC979">
        <v>6264</v>
      </c>
      <c r="AE979">
        <v>396</v>
      </c>
      <c r="AF979">
        <v>23544</v>
      </c>
    </row>
    <row r="980" spans="1:32">
      <c r="A980" t="s">
        <v>716</v>
      </c>
      <c r="B980" t="s">
        <v>740</v>
      </c>
      <c r="C980" t="str">
        <f>Data_Master[[#This Row],[Uniq-ID]]&amp;"-"&amp;Data_Master[[#This Row],[Period]]</f>
        <v>PE-Project_Engineer-058-M2</v>
      </c>
      <c r="D980" t="s">
        <v>741</v>
      </c>
      <c r="E980" t="s">
        <v>76</v>
      </c>
      <c r="F980" t="s">
        <v>520</v>
      </c>
      <c r="G980" t="s">
        <v>18</v>
      </c>
      <c r="H980" t="s">
        <v>29</v>
      </c>
      <c r="I980" t="s">
        <v>15</v>
      </c>
      <c r="J980" t="s">
        <v>16</v>
      </c>
      <c r="L980">
        <v>1.5</v>
      </c>
      <c r="AA980">
        <v>10304</v>
      </c>
      <c r="AB980">
        <v>15372</v>
      </c>
      <c r="AC980">
        <v>9296</v>
      </c>
      <c r="AE980">
        <v>4420</v>
      </c>
      <c r="AF980">
        <v>39392</v>
      </c>
    </row>
    <row r="981" spans="1:32">
      <c r="A981" t="s">
        <v>716</v>
      </c>
      <c r="B981" t="s">
        <v>740</v>
      </c>
      <c r="C981" t="str">
        <f>Data_Master[[#This Row],[Uniq-ID]]&amp;"-"&amp;Data_Master[[#This Row],[Period]]</f>
        <v>PE-Project_Engineer-058-M3</v>
      </c>
      <c r="D981" t="s">
        <v>741</v>
      </c>
      <c r="E981" t="s">
        <v>76</v>
      </c>
      <c r="F981" t="s">
        <v>520</v>
      </c>
      <c r="G981" t="s">
        <v>22</v>
      </c>
      <c r="H981" t="s">
        <v>32</v>
      </c>
      <c r="I981" t="s">
        <v>33</v>
      </c>
      <c r="J981" t="s">
        <v>16</v>
      </c>
      <c r="L981">
        <v>1.5</v>
      </c>
      <c r="AA981">
        <v>4032</v>
      </c>
      <c r="AB981">
        <v>5676</v>
      </c>
      <c r="AC981">
        <v>3304</v>
      </c>
      <c r="AE981">
        <v>2164</v>
      </c>
      <c r="AF981">
        <v>15176</v>
      </c>
    </row>
    <row r="982" spans="1:32">
      <c r="A982" t="s">
        <v>716</v>
      </c>
      <c r="B982" t="s">
        <v>786</v>
      </c>
      <c r="C982" t="str">
        <f>Data_Master[[#This Row],[Uniq-ID]]&amp;"-"&amp;Data_Master[[#This Row],[Period]]</f>
        <v>PE-Project_Engineer-059-M1</v>
      </c>
      <c r="D982" t="s">
        <v>787</v>
      </c>
      <c r="E982" t="s">
        <v>76</v>
      </c>
      <c r="F982" t="s">
        <v>446</v>
      </c>
      <c r="G982" t="s">
        <v>13</v>
      </c>
      <c r="H982" t="s">
        <v>26</v>
      </c>
      <c r="I982" t="s">
        <v>15</v>
      </c>
      <c r="J982" t="s">
        <v>719</v>
      </c>
      <c r="L982">
        <v>1</v>
      </c>
      <c r="AA982">
        <v>492</v>
      </c>
      <c r="AB982">
        <v>1632</v>
      </c>
      <c r="AC982">
        <v>1824</v>
      </c>
      <c r="AE982">
        <v>1358</v>
      </c>
      <c r="AF982">
        <v>5306</v>
      </c>
    </row>
    <row r="983" spans="1:32">
      <c r="A983" t="s">
        <v>716</v>
      </c>
      <c r="B983" t="s">
        <v>786</v>
      </c>
      <c r="C983" t="str">
        <f>Data_Master[[#This Row],[Uniq-ID]]&amp;"-"&amp;Data_Master[[#This Row],[Period]]</f>
        <v>PE-Project_Engineer-059-M2</v>
      </c>
      <c r="D983" t="s">
        <v>787</v>
      </c>
      <c r="E983" t="s">
        <v>76</v>
      </c>
      <c r="F983" t="s">
        <v>446</v>
      </c>
      <c r="G983" t="s">
        <v>18</v>
      </c>
      <c r="H983" t="s">
        <v>29</v>
      </c>
      <c r="I983" t="s">
        <v>15</v>
      </c>
      <c r="J983" t="s">
        <v>16</v>
      </c>
      <c r="L983">
        <v>1.22</v>
      </c>
      <c r="AA983">
        <v>376</v>
      </c>
      <c r="AB983">
        <v>1032</v>
      </c>
      <c r="AC983">
        <v>2256</v>
      </c>
      <c r="AE983">
        <v>3644</v>
      </c>
      <c r="AF983">
        <v>7308</v>
      </c>
    </row>
    <row r="984" spans="1:32">
      <c r="A984" t="s">
        <v>716</v>
      </c>
      <c r="B984" t="s">
        <v>786</v>
      </c>
      <c r="C984" t="str">
        <f>Data_Master[[#This Row],[Uniq-ID]]&amp;"-"&amp;Data_Master[[#This Row],[Period]]</f>
        <v>PE-Project_Engineer-059-M3</v>
      </c>
      <c r="D984" t="s">
        <v>787</v>
      </c>
      <c r="E984" t="s">
        <v>76</v>
      </c>
      <c r="F984" t="s">
        <v>446</v>
      </c>
      <c r="G984" t="s">
        <v>22</v>
      </c>
      <c r="H984" t="s">
        <v>32</v>
      </c>
      <c r="I984" t="s">
        <v>33</v>
      </c>
      <c r="J984" t="s">
        <v>44</v>
      </c>
      <c r="L984">
        <v>0.5</v>
      </c>
      <c r="AC984">
        <v>88</v>
      </c>
      <c r="AF984">
        <v>88</v>
      </c>
    </row>
    <row r="985" spans="1:32">
      <c r="A985" t="s">
        <v>716</v>
      </c>
      <c r="B985" t="s">
        <v>886</v>
      </c>
      <c r="C985" t="str">
        <f>Data_Master[[#This Row],[Uniq-ID]]&amp;"-"&amp;Data_Master[[#This Row],[Period]]</f>
        <v>PE-Project_Engineer-060-M1</v>
      </c>
      <c r="D985" t="s">
        <v>887</v>
      </c>
      <c r="E985" t="s">
        <v>76</v>
      </c>
      <c r="F985" t="s">
        <v>461</v>
      </c>
      <c r="G985" t="s">
        <v>13</v>
      </c>
      <c r="H985" t="s">
        <v>26</v>
      </c>
      <c r="I985" t="s">
        <v>15</v>
      </c>
      <c r="J985" t="s">
        <v>44</v>
      </c>
    </row>
    <row r="986" spans="1:32">
      <c r="A986" t="s">
        <v>716</v>
      </c>
      <c r="B986" t="s">
        <v>886</v>
      </c>
      <c r="C986" t="str">
        <f>Data_Master[[#This Row],[Uniq-ID]]&amp;"-"&amp;Data_Master[[#This Row],[Period]]</f>
        <v>PE-Project_Engineer-060-M2</v>
      </c>
      <c r="D986" t="s">
        <v>887</v>
      </c>
      <c r="E986" t="s">
        <v>76</v>
      </c>
      <c r="F986" t="s">
        <v>461</v>
      </c>
      <c r="G986" t="s">
        <v>18</v>
      </c>
      <c r="H986" t="s">
        <v>29</v>
      </c>
      <c r="I986" t="s">
        <v>15</v>
      </c>
      <c r="J986" t="s">
        <v>44</v>
      </c>
    </row>
    <row r="987" spans="1:32">
      <c r="A987" t="s">
        <v>716</v>
      </c>
      <c r="B987" t="s">
        <v>886</v>
      </c>
      <c r="C987" t="str">
        <f>Data_Master[[#This Row],[Uniq-ID]]&amp;"-"&amp;Data_Master[[#This Row],[Period]]</f>
        <v>PE-Project_Engineer-060-M3</v>
      </c>
      <c r="D987" t="s">
        <v>887</v>
      </c>
      <c r="E987" t="s">
        <v>76</v>
      </c>
      <c r="F987" t="s">
        <v>461</v>
      </c>
      <c r="G987" t="s">
        <v>22</v>
      </c>
      <c r="H987" t="s">
        <v>32</v>
      </c>
      <c r="I987" t="s">
        <v>33</v>
      </c>
      <c r="J987" t="s">
        <v>44</v>
      </c>
    </row>
    <row r="988" spans="1:32">
      <c r="A988" t="s">
        <v>716</v>
      </c>
      <c r="B988" t="s">
        <v>726</v>
      </c>
      <c r="C988" t="str">
        <f>Data_Master[[#This Row],[Uniq-ID]]&amp;"-"&amp;Data_Master[[#This Row],[Period]]</f>
        <v>PE-Project_Engineer-063-M1</v>
      </c>
      <c r="D988" t="s">
        <v>727</v>
      </c>
      <c r="E988" t="s">
        <v>76</v>
      </c>
      <c r="F988" t="s">
        <v>446</v>
      </c>
      <c r="G988" t="s">
        <v>13</v>
      </c>
      <c r="H988" t="s">
        <v>26</v>
      </c>
      <c r="I988" t="s">
        <v>15</v>
      </c>
      <c r="J988" t="s">
        <v>16</v>
      </c>
      <c r="L988">
        <v>1.28</v>
      </c>
      <c r="AA988">
        <v>1740</v>
      </c>
      <c r="AB988">
        <v>2964</v>
      </c>
      <c r="AC988">
        <v>2000</v>
      </c>
      <c r="AE988">
        <v>986</v>
      </c>
      <c r="AF988">
        <v>7690</v>
      </c>
    </row>
    <row r="989" spans="1:32">
      <c r="A989" t="s">
        <v>716</v>
      </c>
      <c r="B989" t="s">
        <v>726</v>
      </c>
      <c r="C989" t="str">
        <f>Data_Master[[#This Row],[Uniq-ID]]&amp;"-"&amp;Data_Master[[#This Row],[Period]]</f>
        <v>PE-Project_Engineer-063-M2</v>
      </c>
      <c r="D989" t="s">
        <v>727</v>
      </c>
      <c r="E989" t="s">
        <v>76</v>
      </c>
      <c r="F989" t="s">
        <v>446</v>
      </c>
      <c r="G989" t="s">
        <v>18</v>
      </c>
      <c r="H989" t="s">
        <v>29</v>
      </c>
      <c r="I989" t="s">
        <v>15</v>
      </c>
      <c r="J989" t="s">
        <v>16</v>
      </c>
      <c r="L989">
        <v>1.25</v>
      </c>
      <c r="AA989">
        <v>2240</v>
      </c>
      <c r="AB989">
        <v>2670</v>
      </c>
      <c r="AC989">
        <v>1696</v>
      </c>
      <c r="AE989">
        <v>880</v>
      </c>
      <c r="AF989">
        <v>7486</v>
      </c>
    </row>
    <row r="990" spans="1:32">
      <c r="A990" t="s">
        <v>716</v>
      </c>
      <c r="B990" t="s">
        <v>726</v>
      </c>
      <c r="C990" t="str">
        <f>Data_Master[[#This Row],[Uniq-ID]]&amp;"-"&amp;Data_Master[[#This Row],[Period]]</f>
        <v>PE-Project_Engineer-063-M3</v>
      </c>
      <c r="D990" t="s">
        <v>727</v>
      </c>
      <c r="E990" t="s">
        <v>76</v>
      </c>
      <c r="F990" t="s">
        <v>446</v>
      </c>
      <c r="G990" t="s">
        <v>22</v>
      </c>
      <c r="H990" t="s">
        <v>32</v>
      </c>
      <c r="I990" t="s">
        <v>33</v>
      </c>
      <c r="J990" t="s">
        <v>719</v>
      </c>
      <c r="L990">
        <v>1</v>
      </c>
      <c r="AA990">
        <v>560</v>
      </c>
      <c r="AB990">
        <v>1500</v>
      </c>
      <c r="AC990">
        <v>40</v>
      </c>
      <c r="AE990">
        <v>380</v>
      </c>
      <c r="AF990">
        <v>2480</v>
      </c>
    </row>
    <row r="991" spans="1:32">
      <c r="A991" t="s">
        <v>716</v>
      </c>
      <c r="B991" t="s">
        <v>882</v>
      </c>
      <c r="C991" t="str">
        <f>Data_Master[[#This Row],[Uniq-ID]]&amp;"-"&amp;Data_Master[[#This Row],[Period]]</f>
        <v>PE-Project_Engineer-065-M1</v>
      </c>
      <c r="D991" t="s">
        <v>883</v>
      </c>
      <c r="E991" t="s">
        <v>76</v>
      </c>
      <c r="F991" t="s">
        <v>441</v>
      </c>
      <c r="G991" t="s">
        <v>13</v>
      </c>
      <c r="H991" t="s">
        <v>26</v>
      </c>
      <c r="I991" t="s">
        <v>15</v>
      </c>
      <c r="J991" t="s">
        <v>44</v>
      </c>
    </row>
    <row r="992" spans="1:32">
      <c r="A992" t="s">
        <v>716</v>
      </c>
      <c r="B992" t="s">
        <v>882</v>
      </c>
      <c r="C992" t="str">
        <f>Data_Master[[#This Row],[Uniq-ID]]&amp;"-"&amp;Data_Master[[#This Row],[Period]]</f>
        <v>PE-Project_Engineer-065-M2</v>
      </c>
      <c r="D992" t="s">
        <v>883</v>
      </c>
      <c r="E992" t="s">
        <v>76</v>
      </c>
      <c r="F992" t="s">
        <v>441</v>
      </c>
      <c r="G992" t="s">
        <v>18</v>
      </c>
      <c r="H992" t="s">
        <v>29</v>
      </c>
      <c r="I992" t="s">
        <v>15</v>
      </c>
      <c r="J992" t="s">
        <v>44</v>
      </c>
    </row>
    <row r="993" spans="1:32">
      <c r="A993" t="s">
        <v>716</v>
      </c>
      <c r="B993" t="s">
        <v>882</v>
      </c>
      <c r="C993" t="str">
        <f>Data_Master[[#This Row],[Uniq-ID]]&amp;"-"&amp;Data_Master[[#This Row],[Period]]</f>
        <v>PE-Project_Engineer-065-M3</v>
      </c>
      <c r="D993" t="s">
        <v>883</v>
      </c>
      <c r="E993" t="s">
        <v>76</v>
      </c>
      <c r="F993" t="s">
        <v>441</v>
      </c>
      <c r="G993" t="s">
        <v>22</v>
      </c>
      <c r="H993" t="s">
        <v>32</v>
      </c>
      <c r="I993" t="s">
        <v>33</v>
      </c>
      <c r="J993" t="s">
        <v>44</v>
      </c>
    </row>
    <row r="994" spans="1:32">
      <c r="A994" t="s">
        <v>716</v>
      </c>
      <c r="B994" t="s">
        <v>764</v>
      </c>
      <c r="C994" t="str">
        <f>Data_Master[[#This Row],[Uniq-ID]]&amp;"-"&amp;Data_Master[[#This Row],[Period]]</f>
        <v>PE-Project_Engineer-066-M1</v>
      </c>
      <c r="D994" t="s">
        <v>765</v>
      </c>
      <c r="E994" t="s">
        <v>76</v>
      </c>
      <c r="F994" t="s">
        <v>441</v>
      </c>
      <c r="G994" t="s">
        <v>13</v>
      </c>
      <c r="H994" t="s">
        <v>26</v>
      </c>
      <c r="I994" t="s">
        <v>15</v>
      </c>
      <c r="J994" t="s">
        <v>719</v>
      </c>
      <c r="L994">
        <v>1</v>
      </c>
      <c r="AA994">
        <v>96</v>
      </c>
      <c r="AB994">
        <v>2412</v>
      </c>
      <c r="AC994">
        <v>1032</v>
      </c>
      <c r="AE994">
        <v>276</v>
      </c>
      <c r="AF994">
        <v>3816</v>
      </c>
    </row>
    <row r="995" spans="1:32">
      <c r="A995" t="s">
        <v>716</v>
      </c>
      <c r="B995" t="s">
        <v>764</v>
      </c>
      <c r="C995" t="str">
        <f>Data_Master[[#This Row],[Uniq-ID]]&amp;"-"&amp;Data_Master[[#This Row],[Period]]</f>
        <v>PE-Project_Engineer-066-M2</v>
      </c>
      <c r="D995" t="s">
        <v>765</v>
      </c>
      <c r="E995" t="s">
        <v>76</v>
      </c>
      <c r="F995" t="s">
        <v>441</v>
      </c>
      <c r="G995" t="s">
        <v>18</v>
      </c>
      <c r="H995" t="s">
        <v>29</v>
      </c>
      <c r="I995" t="s">
        <v>15</v>
      </c>
      <c r="J995" t="s">
        <v>16</v>
      </c>
      <c r="L995">
        <v>1.18</v>
      </c>
      <c r="AA995">
        <v>24</v>
      </c>
      <c r="AB995">
        <v>5040</v>
      </c>
      <c r="AC995">
        <v>1752</v>
      </c>
      <c r="AE995">
        <v>276</v>
      </c>
      <c r="AF995">
        <v>7092</v>
      </c>
    </row>
    <row r="996" spans="1:32">
      <c r="A996" t="s">
        <v>716</v>
      </c>
      <c r="B996" t="s">
        <v>764</v>
      </c>
      <c r="C996" t="str">
        <f>Data_Master[[#This Row],[Uniq-ID]]&amp;"-"&amp;Data_Master[[#This Row],[Period]]</f>
        <v>PE-Project_Engineer-066-M3</v>
      </c>
      <c r="D996" t="s">
        <v>765</v>
      </c>
      <c r="E996" t="s">
        <v>76</v>
      </c>
      <c r="F996" t="s">
        <v>441</v>
      </c>
      <c r="G996" t="s">
        <v>22</v>
      </c>
      <c r="H996" t="s">
        <v>32</v>
      </c>
      <c r="I996" t="s">
        <v>33</v>
      </c>
      <c r="J996" t="s">
        <v>44</v>
      </c>
      <c r="L996">
        <v>1</v>
      </c>
      <c r="AA996">
        <v>24</v>
      </c>
      <c r="AB996">
        <v>1656</v>
      </c>
      <c r="AC996">
        <v>192</v>
      </c>
      <c r="AE996">
        <v>120</v>
      </c>
      <c r="AF996">
        <v>1992</v>
      </c>
    </row>
    <row r="997" spans="1:32">
      <c r="A997" t="s">
        <v>716</v>
      </c>
      <c r="B997" t="s">
        <v>880</v>
      </c>
      <c r="C997" t="str">
        <f>Data_Master[[#This Row],[Uniq-ID]]&amp;"-"&amp;Data_Master[[#This Row],[Period]]</f>
        <v>PE-Project_Engineer-067-M1</v>
      </c>
      <c r="D997" t="s">
        <v>881</v>
      </c>
      <c r="E997" t="s">
        <v>76</v>
      </c>
      <c r="F997" t="s">
        <v>441</v>
      </c>
      <c r="G997" t="s">
        <v>13</v>
      </c>
      <c r="H997" t="s">
        <v>26</v>
      </c>
      <c r="I997" t="s">
        <v>15</v>
      </c>
      <c r="J997" t="s">
        <v>44</v>
      </c>
    </row>
    <row r="998" spans="1:32">
      <c r="A998" t="s">
        <v>716</v>
      </c>
      <c r="B998" t="s">
        <v>880</v>
      </c>
      <c r="C998" t="str">
        <f>Data_Master[[#This Row],[Uniq-ID]]&amp;"-"&amp;Data_Master[[#This Row],[Period]]</f>
        <v>PE-Project_Engineer-067-M2</v>
      </c>
      <c r="D998" t="s">
        <v>881</v>
      </c>
      <c r="E998" t="s">
        <v>76</v>
      </c>
      <c r="F998" t="s">
        <v>441</v>
      </c>
      <c r="G998" t="s">
        <v>18</v>
      </c>
      <c r="H998" t="s">
        <v>29</v>
      </c>
      <c r="I998" t="s">
        <v>15</v>
      </c>
      <c r="J998" t="s">
        <v>44</v>
      </c>
    </row>
    <row r="999" spans="1:32">
      <c r="A999" t="s">
        <v>716</v>
      </c>
      <c r="B999" t="s">
        <v>880</v>
      </c>
      <c r="C999" t="str">
        <f>Data_Master[[#This Row],[Uniq-ID]]&amp;"-"&amp;Data_Master[[#This Row],[Period]]</f>
        <v>PE-Project_Engineer-067-M3</v>
      </c>
      <c r="D999" t="s">
        <v>881</v>
      </c>
      <c r="E999" t="s">
        <v>76</v>
      </c>
      <c r="F999" t="s">
        <v>441</v>
      </c>
      <c r="G999" t="s">
        <v>22</v>
      </c>
      <c r="H999" t="s">
        <v>32</v>
      </c>
      <c r="I999" t="s">
        <v>33</v>
      </c>
      <c r="J999" t="s">
        <v>44</v>
      </c>
    </row>
    <row r="1000" spans="1:32">
      <c r="A1000" t="s">
        <v>716</v>
      </c>
      <c r="B1000" t="s">
        <v>748</v>
      </c>
      <c r="C1000" t="str">
        <f>Data_Master[[#This Row],[Uniq-ID]]&amp;"-"&amp;Data_Master[[#This Row],[Period]]</f>
        <v>PE-Project_Engineer-068-M1</v>
      </c>
      <c r="D1000" t="s">
        <v>749</v>
      </c>
      <c r="E1000" t="s">
        <v>76</v>
      </c>
      <c r="F1000" t="s">
        <v>441</v>
      </c>
      <c r="G1000" t="s">
        <v>13</v>
      </c>
      <c r="H1000" t="s">
        <v>26</v>
      </c>
      <c r="I1000" t="s">
        <v>15</v>
      </c>
      <c r="J1000" t="s">
        <v>719</v>
      </c>
      <c r="L1000">
        <v>1</v>
      </c>
      <c r="AA1000">
        <v>1184</v>
      </c>
      <c r="AB1000">
        <v>1632</v>
      </c>
      <c r="AC1000">
        <v>560</v>
      </c>
      <c r="AE1000">
        <v>224</v>
      </c>
      <c r="AF1000">
        <v>3600</v>
      </c>
    </row>
    <row r="1001" spans="1:32">
      <c r="A1001" t="s">
        <v>716</v>
      </c>
      <c r="B1001" t="s">
        <v>748</v>
      </c>
      <c r="C1001" t="str">
        <f>Data_Master[[#This Row],[Uniq-ID]]&amp;"-"&amp;Data_Master[[#This Row],[Period]]</f>
        <v>PE-Project_Engineer-068-M2</v>
      </c>
      <c r="D1001" t="s">
        <v>749</v>
      </c>
      <c r="E1001" t="s">
        <v>76</v>
      </c>
      <c r="F1001" t="s">
        <v>441</v>
      </c>
      <c r="G1001" t="s">
        <v>18</v>
      </c>
      <c r="H1001" t="s">
        <v>29</v>
      </c>
      <c r="I1001" t="s">
        <v>15</v>
      </c>
      <c r="J1001" t="s">
        <v>719</v>
      </c>
      <c r="L1001">
        <v>1</v>
      </c>
      <c r="AA1001">
        <v>448</v>
      </c>
      <c r="AB1001">
        <v>528</v>
      </c>
      <c r="AC1001">
        <v>864</v>
      </c>
      <c r="AE1001">
        <v>504</v>
      </c>
      <c r="AF1001">
        <v>2344</v>
      </c>
    </row>
    <row r="1002" spans="1:32">
      <c r="A1002" t="s">
        <v>716</v>
      </c>
      <c r="B1002" t="s">
        <v>748</v>
      </c>
      <c r="C1002" t="str">
        <f>Data_Master[[#This Row],[Uniq-ID]]&amp;"-"&amp;Data_Master[[#This Row],[Period]]</f>
        <v>PE-Project_Engineer-068-M3</v>
      </c>
      <c r="D1002" t="s">
        <v>749</v>
      </c>
      <c r="E1002" t="s">
        <v>76</v>
      </c>
      <c r="F1002" t="s">
        <v>441</v>
      </c>
      <c r="G1002" t="s">
        <v>22</v>
      </c>
      <c r="H1002" t="s">
        <v>32</v>
      </c>
      <c r="I1002" t="s">
        <v>33</v>
      </c>
      <c r="J1002" t="s">
        <v>44</v>
      </c>
      <c r="L1002">
        <v>0.5</v>
      </c>
      <c r="AA1002">
        <v>32</v>
      </c>
      <c r="AB1002">
        <v>336</v>
      </c>
      <c r="AF1002">
        <v>368</v>
      </c>
    </row>
    <row r="1003" spans="1:32">
      <c r="A1003" t="s">
        <v>716</v>
      </c>
      <c r="B1003" t="s">
        <v>872</v>
      </c>
      <c r="C1003" t="str">
        <f>Data_Master[[#This Row],[Uniq-ID]]&amp;"-"&amp;Data_Master[[#This Row],[Period]]</f>
        <v>PE-Project_Engineer-069-M1</v>
      </c>
      <c r="D1003" t="s">
        <v>873</v>
      </c>
      <c r="E1003" t="s">
        <v>76</v>
      </c>
      <c r="F1003" t="s">
        <v>441</v>
      </c>
      <c r="G1003" t="s">
        <v>13</v>
      </c>
      <c r="H1003" t="s">
        <v>26</v>
      </c>
      <c r="I1003" t="s">
        <v>15</v>
      </c>
      <c r="J1003" t="s">
        <v>44</v>
      </c>
    </row>
    <row r="1004" spans="1:32">
      <c r="A1004" t="s">
        <v>716</v>
      </c>
      <c r="B1004" t="s">
        <v>872</v>
      </c>
      <c r="C1004" t="str">
        <f>Data_Master[[#This Row],[Uniq-ID]]&amp;"-"&amp;Data_Master[[#This Row],[Period]]</f>
        <v>PE-Project_Engineer-069-M2</v>
      </c>
      <c r="D1004" t="s">
        <v>873</v>
      </c>
      <c r="E1004" t="s">
        <v>76</v>
      </c>
      <c r="F1004" t="s">
        <v>441</v>
      </c>
      <c r="G1004" t="s">
        <v>18</v>
      </c>
      <c r="H1004" t="s">
        <v>29</v>
      </c>
      <c r="I1004" t="s">
        <v>15</v>
      </c>
      <c r="J1004" t="s">
        <v>44</v>
      </c>
    </row>
    <row r="1005" spans="1:32">
      <c r="A1005" t="s">
        <v>716</v>
      </c>
      <c r="B1005" t="s">
        <v>872</v>
      </c>
      <c r="C1005" t="str">
        <f>Data_Master[[#This Row],[Uniq-ID]]&amp;"-"&amp;Data_Master[[#This Row],[Period]]</f>
        <v>PE-Project_Engineer-069-M3</v>
      </c>
      <c r="D1005" t="s">
        <v>873</v>
      </c>
      <c r="E1005" t="s">
        <v>76</v>
      </c>
      <c r="F1005" t="s">
        <v>441</v>
      </c>
      <c r="G1005" t="s">
        <v>22</v>
      </c>
      <c r="H1005" t="s">
        <v>32</v>
      </c>
      <c r="I1005" t="s">
        <v>33</v>
      </c>
      <c r="J1005" t="s">
        <v>44</v>
      </c>
    </row>
    <row r="1006" spans="1:32">
      <c r="A1006" t="s">
        <v>716</v>
      </c>
      <c r="B1006" t="s">
        <v>788</v>
      </c>
      <c r="C1006" t="str">
        <f>Data_Master[[#This Row],[Uniq-ID]]&amp;"-"&amp;Data_Master[[#This Row],[Period]]</f>
        <v>PE-Project_Engineer-071-M1</v>
      </c>
      <c r="D1006" t="s">
        <v>789</v>
      </c>
      <c r="E1006" t="s">
        <v>11</v>
      </c>
      <c r="F1006" t="s">
        <v>441</v>
      </c>
      <c r="G1006" t="s">
        <v>13</v>
      </c>
      <c r="H1006" t="s">
        <v>332</v>
      </c>
      <c r="I1006" t="s">
        <v>15</v>
      </c>
      <c r="J1006" t="s">
        <v>719</v>
      </c>
      <c r="L1006">
        <v>1</v>
      </c>
      <c r="AA1006">
        <v>68</v>
      </c>
      <c r="AB1006">
        <v>168</v>
      </c>
      <c r="AC1006">
        <v>372</v>
      </c>
      <c r="AE1006">
        <v>2956</v>
      </c>
      <c r="AF1006">
        <v>3564</v>
      </c>
    </row>
    <row r="1007" spans="1:32">
      <c r="A1007" t="s">
        <v>716</v>
      </c>
      <c r="B1007" t="s">
        <v>788</v>
      </c>
      <c r="C1007" t="str">
        <f>Data_Master[[#This Row],[Uniq-ID]]&amp;"-"&amp;Data_Master[[#This Row],[Period]]</f>
        <v>PE-Project_Engineer-071-M2</v>
      </c>
      <c r="D1007" t="s">
        <v>789</v>
      </c>
      <c r="E1007" t="s">
        <v>11</v>
      </c>
      <c r="F1007" t="s">
        <v>441</v>
      </c>
      <c r="G1007" t="s">
        <v>18</v>
      </c>
      <c r="H1007" t="s">
        <v>334</v>
      </c>
      <c r="I1007" t="s">
        <v>15</v>
      </c>
      <c r="J1007" t="s">
        <v>719</v>
      </c>
      <c r="L1007">
        <v>1</v>
      </c>
      <c r="AA1007">
        <v>852</v>
      </c>
      <c r="AB1007">
        <v>1068</v>
      </c>
      <c r="AC1007">
        <v>196</v>
      </c>
      <c r="AE1007">
        <v>1104</v>
      </c>
      <c r="AF1007">
        <v>3220</v>
      </c>
    </row>
    <row r="1008" spans="1:32">
      <c r="A1008" t="s">
        <v>716</v>
      </c>
      <c r="B1008" t="s">
        <v>788</v>
      </c>
      <c r="C1008" t="str">
        <f>Data_Master[[#This Row],[Uniq-ID]]&amp;"-"&amp;Data_Master[[#This Row],[Period]]</f>
        <v>PE-Project_Engineer-071-M3</v>
      </c>
      <c r="D1008" t="s">
        <v>789</v>
      </c>
      <c r="E1008" t="s">
        <v>11</v>
      </c>
      <c r="F1008" t="s">
        <v>441</v>
      </c>
      <c r="G1008" t="s">
        <v>22</v>
      </c>
      <c r="H1008" t="s">
        <v>336</v>
      </c>
      <c r="I1008" t="s">
        <v>15</v>
      </c>
      <c r="J1008" t="s">
        <v>719</v>
      </c>
      <c r="L1008">
        <v>1</v>
      </c>
      <c r="AA1008">
        <v>1104</v>
      </c>
      <c r="AB1008">
        <v>1542</v>
      </c>
      <c r="AC1008">
        <v>1044</v>
      </c>
      <c r="AE1008">
        <v>292</v>
      </c>
      <c r="AF1008">
        <v>3982</v>
      </c>
    </row>
    <row r="1009" spans="1:32">
      <c r="A1009" t="s">
        <v>716</v>
      </c>
      <c r="B1009" t="s">
        <v>788</v>
      </c>
      <c r="C1009" t="str">
        <f>Data_Master[[#This Row],[Uniq-ID]]&amp;"-"&amp;Data_Master[[#This Row],[Period]]</f>
        <v>PE-Project_Engineer-071-M4</v>
      </c>
      <c r="D1009" t="s">
        <v>789</v>
      </c>
      <c r="E1009" t="s">
        <v>11</v>
      </c>
      <c r="F1009" t="s">
        <v>441</v>
      </c>
      <c r="G1009" t="s">
        <v>25</v>
      </c>
      <c r="H1009" t="s">
        <v>337</v>
      </c>
      <c r="I1009" t="s">
        <v>15</v>
      </c>
      <c r="J1009" t="s">
        <v>719</v>
      </c>
      <c r="L1009">
        <v>1</v>
      </c>
      <c r="AA1009">
        <v>864</v>
      </c>
      <c r="AB1009">
        <v>1590</v>
      </c>
      <c r="AC1009">
        <v>1008</v>
      </c>
      <c r="AE1009">
        <v>672</v>
      </c>
      <c r="AF1009">
        <v>4134</v>
      </c>
    </row>
    <row r="1010" spans="1:32">
      <c r="A1010" t="s">
        <v>716</v>
      </c>
      <c r="B1010" t="s">
        <v>788</v>
      </c>
      <c r="C1010" t="str">
        <f>Data_Master[[#This Row],[Uniq-ID]]&amp;"-"&amp;Data_Master[[#This Row],[Period]]</f>
        <v>PE-Project_Engineer-071-M5</v>
      </c>
      <c r="D1010" t="s">
        <v>789</v>
      </c>
      <c r="E1010" t="s">
        <v>11</v>
      </c>
      <c r="F1010" t="s">
        <v>441</v>
      </c>
      <c r="G1010" t="s">
        <v>28</v>
      </c>
      <c r="H1010" t="s">
        <v>338</v>
      </c>
      <c r="I1010" t="s">
        <v>15</v>
      </c>
      <c r="J1010" t="s">
        <v>44</v>
      </c>
      <c r="L1010">
        <v>0.57999999999999996</v>
      </c>
      <c r="AA1010">
        <v>48</v>
      </c>
      <c r="AB1010">
        <v>246</v>
      </c>
      <c r="AC1010">
        <v>356</v>
      </c>
      <c r="AE1010">
        <v>508</v>
      </c>
      <c r="AF1010">
        <v>1158</v>
      </c>
    </row>
    <row r="1011" spans="1:32">
      <c r="A1011" t="s">
        <v>716</v>
      </c>
      <c r="B1011" t="s">
        <v>788</v>
      </c>
      <c r="C1011" t="str">
        <f>Data_Master[[#This Row],[Uniq-ID]]&amp;"-"&amp;Data_Master[[#This Row],[Period]]</f>
        <v>PE-Project_Engineer-071-M6</v>
      </c>
      <c r="D1011" t="s">
        <v>789</v>
      </c>
      <c r="E1011" t="s">
        <v>11</v>
      </c>
      <c r="F1011" t="s">
        <v>441</v>
      </c>
      <c r="G1011" t="s">
        <v>31</v>
      </c>
      <c r="H1011" t="s">
        <v>339</v>
      </c>
      <c r="I1011" t="s">
        <v>33</v>
      </c>
      <c r="J1011" t="s">
        <v>44</v>
      </c>
    </row>
    <row r="1012" spans="1:32">
      <c r="A1012" t="s">
        <v>716</v>
      </c>
      <c r="B1012" t="s">
        <v>868</v>
      </c>
      <c r="C1012" t="str">
        <f>Data_Master[[#This Row],[Uniq-ID]]&amp;"-"&amp;Data_Master[[#This Row],[Period]]</f>
        <v>PE-Project_Engineer-072-M1</v>
      </c>
      <c r="D1012" t="s">
        <v>869</v>
      </c>
      <c r="E1012" t="s">
        <v>48</v>
      </c>
      <c r="F1012" t="s">
        <v>446</v>
      </c>
      <c r="G1012" t="s">
        <v>13</v>
      </c>
      <c r="H1012" t="s">
        <v>54</v>
      </c>
      <c r="I1012" t="s">
        <v>15</v>
      </c>
      <c r="J1012" t="s">
        <v>44</v>
      </c>
    </row>
    <row r="1013" spans="1:32">
      <c r="A1013" t="s">
        <v>716</v>
      </c>
      <c r="B1013" t="s">
        <v>868</v>
      </c>
      <c r="C1013" t="str">
        <f>Data_Master[[#This Row],[Uniq-ID]]&amp;"-"&amp;Data_Master[[#This Row],[Period]]</f>
        <v>PE-Project_Engineer-072-M2</v>
      </c>
      <c r="D1013" t="s">
        <v>869</v>
      </c>
      <c r="E1013" t="s">
        <v>48</v>
      </c>
      <c r="F1013" t="s">
        <v>446</v>
      </c>
      <c r="G1013" t="s">
        <v>18</v>
      </c>
      <c r="H1013" t="s">
        <v>56</v>
      </c>
      <c r="I1013" t="s">
        <v>15</v>
      </c>
      <c r="J1013" t="s">
        <v>44</v>
      </c>
    </row>
    <row r="1014" spans="1:32">
      <c r="A1014" t="s">
        <v>716</v>
      </c>
      <c r="B1014" t="s">
        <v>868</v>
      </c>
      <c r="C1014" t="str">
        <f>Data_Master[[#This Row],[Uniq-ID]]&amp;"-"&amp;Data_Master[[#This Row],[Period]]</f>
        <v>PE-Project_Engineer-072-M3</v>
      </c>
      <c r="D1014" t="s">
        <v>869</v>
      </c>
      <c r="E1014" t="s">
        <v>48</v>
      </c>
      <c r="F1014" t="s">
        <v>446</v>
      </c>
      <c r="G1014" t="s">
        <v>22</v>
      </c>
      <c r="H1014" t="s">
        <v>57</v>
      </c>
      <c r="I1014" t="s">
        <v>33</v>
      </c>
      <c r="J1014" t="s">
        <v>44</v>
      </c>
    </row>
    <row r="1015" spans="1:32">
      <c r="A1015" t="s">
        <v>716</v>
      </c>
      <c r="B1015" t="s">
        <v>860</v>
      </c>
      <c r="C1015" t="str">
        <f>Data_Master[[#This Row],[Uniq-ID]]&amp;"-"&amp;Data_Master[[#This Row],[Period]]</f>
        <v>PE-Project_Engineer-073-M1</v>
      </c>
      <c r="D1015" t="s">
        <v>861</v>
      </c>
      <c r="E1015" t="s">
        <v>48</v>
      </c>
      <c r="F1015" t="s">
        <v>446</v>
      </c>
      <c r="G1015" t="s">
        <v>13</v>
      </c>
      <c r="H1015" t="s">
        <v>54</v>
      </c>
      <c r="I1015" t="s">
        <v>15</v>
      </c>
      <c r="J1015" t="s">
        <v>44</v>
      </c>
    </row>
    <row r="1016" spans="1:32">
      <c r="A1016" t="s">
        <v>716</v>
      </c>
      <c r="B1016" t="s">
        <v>860</v>
      </c>
      <c r="C1016" t="str">
        <f>Data_Master[[#This Row],[Uniq-ID]]&amp;"-"&amp;Data_Master[[#This Row],[Period]]</f>
        <v>PE-Project_Engineer-073-M2</v>
      </c>
      <c r="D1016" t="s">
        <v>861</v>
      </c>
      <c r="E1016" t="s">
        <v>48</v>
      </c>
      <c r="F1016" t="s">
        <v>446</v>
      </c>
      <c r="G1016" t="s">
        <v>18</v>
      </c>
      <c r="H1016" t="s">
        <v>56</v>
      </c>
      <c r="I1016" t="s">
        <v>15</v>
      </c>
      <c r="J1016" t="s">
        <v>44</v>
      </c>
    </row>
    <row r="1017" spans="1:32">
      <c r="A1017" t="s">
        <v>716</v>
      </c>
      <c r="B1017" t="s">
        <v>860</v>
      </c>
      <c r="C1017" t="str">
        <f>Data_Master[[#This Row],[Uniq-ID]]&amp;"-"&amp;Data_Master[[#This Row],[Period]]</f>
        <v>PE-Project_Engineer-073-M3</v>
      </c>
      <c r="D1017" t="s">
        <v>861</v>
      </c>
      <c r="E1017" t="s">
        <v>48</v>
      </c>
      <c r="F1017" t="s">
        <v>446</v>
      </c>
      <c r="G1017" t="s">
        <v>22</v>
      </c>
      <c r="H1017" t="s">
        <v>57</v>
      </c>
      <c r="I1017" t="s">
        <v>33</v>
      </c>
      <c r="J1017" t="s">
        <v>44</v>
      </c>
    </row>
    <row r="1018" spans="1:32">
      <c r="A1018" t="s">
        <v>716</v>
      </c>
      <c r="B1018" t="s">
        <v>858</v>
      </c>
      <c r="C1018" t="str">
        <f>Data_Master[[#This Row],[Uniq-ID]]&amp;"-"&amp;Data_Master[[#This Row],[Period]]</f>
        <v>PE-Project_Engineer-074-M1</v>
      </c>
      <c r="D1018" t="s">
        <v>859</v>
      </c>
      <c r="E1018" t="s">
        <v>76</v>
      </c>
      <c r="F1018" t="s">
        <v>446</v>
      </c>
      <c r="G1018" t="s">
        <v>13</v>
      </c>
      <c r="H1018" t="s">
        <v>26</v>
      </c>
      <c r="I1018" t="s">
        <v>15</v>
      </c>
      <c r="J1018" t="s">
        <v>44</v>
      </c>
      <c r="L1018">
        <v>0.5</v>
      </c>
      <c r="AA1018">
        <v>20</v>
      </c>
      <c r="AB1018">
        <v>120</v>
      </c>
      <c r="AC1018">
        <v>100</v>
      </c>
      <c r="AE1018">
        <v>80</v>
      </c>
      <c r="AF1018">
        <v>320</v>
      </c>
    </row>
    <row r="1019" spans="1:32">
      <c r="A1019" t="s">
        <v>716</v>
      </c>
      <c r="B1019" t="s">
        <v>858</v>
      </c>
      <c r="C1019" t="str">
        <f>Data_Master[[#This Row],[Uniq-ID]]&amp;"-"&amp;Data_Master[[#This Row],[Period]]</f>
        <v>PE-Project_Engineer-074-M2</v>
      </c>
      <c r="D1019" t="s">
        <v>859</v>
      </c>
      <c r="E1019" t="s">
        <v>76</v>
      </c>
      <c r="F1019" t="s">
        <v>446</v>
      </c>
      <c r="G1019" t="s">
        <v>18</v>
      </c>
      <c r="H1019" t="s">
        <v>29</v>
      </c>
      <c r="I1019" t="s">
        <v>15</v>
      </c>
      <c r="J1019" t="s">
        <v>44</v>
      </c>
      <c r="L1019">
        <v>0.5</v>
      </c>
      <c r="AB1019">
        <v>60</v>
      </c>
      <c r="AC1019">
        <v>200</v>
      </c>
      <c r="AE1019">
        <v>50</v>
      </c>
      <c r="AF1019">
        <v>310</v>
      </c>
    </row>
    <row r="1020" spans="1:32">
      <c r="A1020" t="s">
        <v>716</v>
      </c>
      <c r="B1020" t="s">
        <v>858</v>
      </c>
      <c r="C1020" t="str">
        <f>Data_Master[[#This Row],[Uniq-ID]]&amp;"-"&amp;Data_Master[[#This Row],[Period]]</f>
        <v>PE-Project_Engineer-074-M3</v>
      </c>
      <c r="D1020" t="s">
        <v>859</v>
      </c>
      <c r="E1020" t="s">
        <v>76</v>
      </c>
      <c r="F1020" t="s">
        <v>446</v>
      </c>
      <c r="G1020" t="s">
        <v>22</v>
      </c>
      <c r="H1020" t="s">
        <v>32</v>
      </c>
      <c r="I1020" t="s">
        <v>33</v>
      </c>
      <c r="J1020" t="s">
        <v>44</v>
      </c>
    </row>
    <row r="1021" spans="1:32">
      <c r="A1021" t="s">
        <v>716</v>
      </c>
      <c r="B1021" t="s">
        <v>852</v>
      </c>
      <c r="C1021" t="str">
        <f>Data_Master[[#This Row],[Uniq-ID]]&amp;"-"&amp;Data_Master[[#This Row],[Period]]</f>
        <v>PE-Project_Engineer-075-M1</v>
      </c>
      <c r="D1021" t="s">
        <v>853</v>
      </c>
      <c r="E1021" t="s">
        <v>250</v>
      </c>
      <c r="F1021" t="s">
        <v>446</v>
      </c>
      <c r="G1021" t="s">
        <v>13</v>
      </c>
      <c r="H1021" t="s">
        <v>26</v>
      </c>
      <c r="I1021" t="s">
        <v>15</v>
      </c>
      <c r="J1021" t="s">
        <v>44</v>
      </c>
    </row>
    <row r="1022" spans="1:32">
      <c r="A1022" t="s">
        <v>716</v>
      </c>
      <c r="B1022" t="s">
        <v>852</v>
      </c>
      <c r="C1022" t="str">
        <f>Data_Master[[#This Row],[Uniq-ID]]&amp;"-"&amp;Data_Master[[#This Row],[Period]]</f>
        <v>PE-Project_Engineer-075-M2</v>
      </c>
      <c r="D1022" t="s">
        <v>853</v>
      </c>
      <c r="E1022" t="s">
        <v>250</v>
      </c>
      <c r="F1022" t="s">
        <v>446</v>
      </c>
      <c r="G1022" t="s">
        <v>18</v>
      </c>
      <c r="H1022" t="s">
        <v>29</v>
      </c>
      <c r="I1022" t="s">
        <v>15</v>
      </c>
      <c r="J1022" t="s">
        <v>44</v>
      </c>
    </row>
    <row r="1023" spans="1:32">
      <c r="A1023" t="s">
        <v>716</v>
      </c>
      <c r="B1023" t="s">
        <v>852</v>
      </c>
      <c r="C1023" t="str">
        <f>Data_Master[[#This Row],[Uniq-ID]]&amp;"-"&amp;Data_Master[[#This Row],[Period]]</f>
        <v>PE-Project_Engineer-075-M3</v>
      </c>
      <c r="D1023" t="s">
        <v>853</v>
      </c>
      <c r="E1023" t="s">
        <v>250</v>
      </c>
      <c r="F1023" t="s">
        <v>446</v>
      </c>
      <c r="G1023" t="s">
        <v>22</v>
      </c>
      <c r="H1023" t="s">
        <v>32</v>
      </c>
      <c r="I1023" t="s">
        <v>33</v>
      </c>
      <c r="J1023" t="s">
        <v>44</v>
      </c>
    </row>
    <row r="1024" spans="1:32">
      <c r="A1024" t="s">
        <v>716</v>
      </c>
      <c r="B1024" t="s">
        <v>850</v>
      </c>
      <c r="C1024" t="str">
        <f>Data_Master[[#This Row],[Uniq-ID]]&amp;"-"&amp;Data_Master[[#This Row],[Period]]</f>
        <v>PE-Project_Engineer-076-M1</v>
      </c>
      <c r="D1024" t="s">
        <v>851</v>
      </c>
      <c r="E1024" t="s">
        <v>290</v>
      </c>
      <c r="F1024" t="s">
        <v>446</v>
      </c>
      <c r="G1024" t="s">
        <v>13</v>
      </c>
      <c r="H1024" t="s">
        <v>14</v>
      </c>
      <c r="I1024" t="s">
        <v>15</v>
      </c>
      <c r="J1024" t="s">
        <v>44</v>
      </c>
    </row>
    <row r="1025" spans="1:10">
      <c r="A1025" t="s">
        <v>716</v>
      </c>
      <c r="B1025" t="s">
        <v>850</v>
      </c>
      <c r="C1025" t="str">
        <f>Data_Master[[#This Row],[Uniq-ID]]&amp;"-"&amp;Data_Master[[#This Row],[Period]]</f>
        <v>PE-Project_Engineer-076-M2</v>
      </c>
      <c r="D1025" t="s">
        <v>851</v>
      </c>
      <c r="E1025" t="s">
        <v>290</v>
      </c>
      <c r="F1025" t="s">
        <v>446</v>
      </c>
      <c r="G1025" t="s">
        <v>18</v>
      </c>
      <c r="H1025" t="s">
        <v>19</v>
      </c>
      <c r="I1025" t="s">
        <v>15</v>
      </c>
      <c r="J1025" t="s">
        <v>44</v>
      </c>
    </row>
    <row r="1026" spans="1:10">
      <c r="A1026" t="s">
        <v>716</v>
      </c>
      <c r="B1026" t="s">
        <v>850</v>
      </c>
      <c r="C1026" t="str">
        <f>Data_Master[[#This Row],[Uniq-ID]]&amp;"-"&amp;Data_Master[[#This Row],[Period]]</f>
        <v>PE-Project_Engineer-076-M3</v>
      </c>
      <c r="D1026" t="s">
        <v>851</v>
      </c>
      <c r="E1026" t="s">
        <v>290</v>
      </c>
      <c r="F1026" t="s">
        <v>446</v>
      </c>
      <c r="G1026" t="s">
        <v>22</v>
      </c>
      <c r="H1026" t="s">
        <v>23</v>
      </c>
      <c r="I1026" t="s">
        <v>15</v>
      </c>
      <c r="J1026" t="s">
        <v>44</v>
      </c>
    </row>
    <row r="1027" spans="1:10">
      <c r="A1027" t="s">
        <v>716</v>
      </c>
      <c r="B1027" t="s">
        <v>850</v>
      </c>
      <c r="C1027" t="str">
        <f>Data_Master[[#This Row],[Uniq-ID]]&amp;"-"&amp;Data_Master[[#This Row],[Period]]</f>
        <v>PE-Project_Engineer-076-M4</v>
      </c>
      <c r="D1027" t="s">
        <v>851</v>
      </c>
      <c r="E1027" t="s">
        <v>290</v>
      </c>
      <c r="F1027" t="s">
        <v>446</v>
      </c>
      <c r="G1027" t="s">
        <v>25</v>
      </c>
      <c r="H1027" t="s">
        <v>26</v>
      </c>
      <c r="I1027" t="s">
        <v>15</v>
      </c>
      <c r="J1027" t="s">
        <v>44</v>
      </c>
    </row>
    <row r="1028" spans="1:10">
      <c r="A1028" t="s">
        <v>716</v>
      </c>
      <c r="B1028" t="s">
        <v>850</v>
      </c>
      <c r="C1028" t="str">
        <f>Data_Master[[#This Row],[Uniq-ID]]&amp;"-"&amp;Data_Master[[#This Row],[Period]]</f>
        <v>PE-Project_Engineer-076-M5</v>
      </c>
      <c r="D1028" t="s">
        <v>851</v>
      </c>
      <c r="E1028" t="s">
        <v>290</v>
      </c>
      <c r="F1028" t="s">
        <v>446</v>
      </c>
      <c r="G1028" t="s">
        <v>28</v>
      </c>
      <c r="H1028" t="s">
        <v>29</v>
      </c>
      <c r="I1028" t="s">
        <v>15</v>
      </c>
      <c r="J1028" t="s">
        <v>44</v>
      </c>
    </row>
    <row r="1029" spans="1:10">
      <c r="A1029" t="s">
        <v>716</v>
      </c>
      <c r="B1029" t="s">
        <v>850</v>
      </c>
      <c r="C1029" t="str">
        <f>Data_Master[[#This Row],[Uniq-ID]]&amp;"-"&amp;Data_Master[[#This Row],[Period]]</f>
        <v>PE-Project_Engineer-076-M6</v>
      </c>
      <c r="D1029" t="s">
        <v>851</v>
      </c>
      <c r="E1029" t="s">
        <v>290</v>
      </c>
      <c r="F1029" t="s">
        <v>446</v>
      </c>
      <c r="G1029" t="s">
        <v>31</v>
      </c>
      <c r="H1029" t="s">
        <v>32</v>
      </c>
      <c r="I1029" t="s">
        <v>33</v>
      </c>
      <c r="J1029" t="s">
        <v>44</v>
      </c>
    </row>
    <row r="1030" spans="1:10">
      <c r="A1030" t="s">
        <v>716</v>
      </c>
      <c r="B1030" t="s">
        <v>848</v>
      </c>
      <c r="C1030" t="str">
        <f>Data_Master[[#This Row],[Uniq-ID]]&amp;"-"&amp;Data_Master[[#This Row],[Period]]</f>
        <v>PE-Project_Engineer-077-M1</v>
      </c>
      <c r="D1030" t="s">
        <v>849</v>
      </c>
      <c r="E1030" t="s">
        <v>290</v>
      </c>
      <c r="F1030" t="s">
        <v>446</v>
      </c>
      <c r="G1030" t="s">
        <v>13</v>
      </c>
      <c r="H1030" t="s">
        <v>14</v>
      </c>
      <c r="I1030" t="s">
        <v>15</v>
      </c>
      <c r="J1030" t="s">
        <v>44</v>
      </c>
    </row>
    <row r="1031" spans="1:10">
      <c r="A1031" t="s">
        <v>716</v>
      </c>
      <c r="B1031" t="s">
        <v>848</v>
      </c>
      <c r="C1031" t="str">
        <f>Data_Master[[#This Row],[Uniq-ID]]&amp;"-"&amp;Data_Master[[#This Row],[Period]]</f>
        <v>PE-Project_Engineer-077-M2</v>
      </c>
      <c r="D1031" t="s">
        <v>849</v>
      </c>
      <c r="E1031" t="s">
        <v>290</v>
      </c>
      <c r="F1031" t="s">
        <v>446</v>
      </c>
      <c r="G1031" t="s">
        <v>18</v>
      </c>
      <c r="H1031" t="s">
        <v>19</v>
      </c>
      <c r="I1031" t="s">
        <v>15</v>
      </c>
      <c r="J1031" t="s">
        <v>44</v>
      </c>
    </row>
    <row r="1032" spans="1:10">
      <c r="A1032" t="s">
        <v>716</v>
      </c>
      <c r="B1032" t="s">
        <v>848</v>
      </c>
      <c r="C1032" t="str">
        <f>Data_Master[[#This Row],[Uniq-ID]]&amp;"-"&amp;Data_Master[[#This Row],[Period]]</f>
        <v>PE-Project_Engineer-077-M3</v>
      </c>
      <c r="D1032" t="s">
        <v>849</v>
      </c>
      <c r="E1032" t="s">
        <v>290</v>
      </c>
      <c r="F1032" t="s">
        <v>446</v>
      </c>
      <c r="G1032" t="s">
        <v>22</v>
      </c>
      <c r="H1032" t="s">
        <v>23</v>
      </c>
      <c r="I1032" t="s">
        <v>15</v>
      </c>
      <c r="J1032" t="s">
        <v>44</v>
      </c>
    </row>
    <row r="1033" spans="1:10">
      <c r="A1033" t="s">
        <v>716</v>
      </c>
      <c r="B1033" t="s">
        <v>848</v>
      </c>
      <c r="C1033" t="str">
        <f>Data_Master[[#This Row],[Uniq-ID]]&amp;"-"&amp;Data_Master[[#This Row],[Period]]</f>
        <v>PE-Project_Engineer-077-M4</v>
      </c>
      <c r="D1033" t="s">
        <v>849</v>
      </c>
      <c r="E1033" t="s">
        <v>290</v>
      </c>
      <c r="F1033" t="s">
        <v>446</v>
      </c>
      <c r="G1033" t="s">
        <v>25</v>
      </c>
      <c r="H1033" t="s">
        <v>26</v>
      </c>
      <c r="I1033" t="s">
        <v>15</v>
      </c>
      <c r="J1033" t="s">
        <v>44</v>
      </c>
    </row>
    <row r="1034" spans="1:10">
      <c r="A1034" t="s">
        <v>716</v>
      </c>
      <c r="B1034" t="s">
        <v>848</v>
      </c>
      <c r="C1034" t="str">
        <f>Data_Master[[#This Row],[Uniq-ID]]&amp;"-"&amp;Data_Master[[#This Row],[Period]]</f>
        <v>PE-Project_Engineer-077-M5</v>
      </c>
      <c r="D1034" t="s">
        <v>849</v>
      </c>
      <c r="E1034" t="s">
        <v>290</v>
      </c>
      <c r="F1034" t="s">
        <v>446</v>
      </c>
      <c r="G1034" t="s">
        <v>28</v>
      </c>
      <c r="H1034" t="s">
        <v>29</v>
      </c>
      <c r="I1034" t="s">
        <v>15</v>
      </c>
      <c r="J1034" t="s">
        <v>44</v>
      </c>
    </row>
    <row r="1035" spans="1:10">
      <c r="A1035" t="s">
        <v>716</v>
      </c>
      <c r="B1035" t="s">
        <v>848</v>
      </c>
      <c r="C1035" t="str">
        <f>Data_Master[[#This Row],[Uniq-ID]]&amp;"-"&amp;Data_Master[[#This Row],[Period]]</f>
        <v>PE-Project_Engineer-077-M6</v>
      </c>
      <c r="D1035" t="s">
        <v>849</v>
      </c>
      <c r="E1035" t="s">
        <v>290</v>
      </c>
      <c r="F1035" t="s">
        <v>446</v>
      </c>
      <c r="G1035" t="s">
        <v>31</v>
      </c>
      <c r="H1035" t="s">
        <v>32</v>
      </c>
      <c r="I1035" t="s">
        <v>33</v>
      </c>
      <c r="J1035" t="s">
        <v>44</v>
      </c>
    </row>
    <row r="1036" spans="1:10">
      <c r="A1036" t="s">
        <v>716</v>
      </c>
      <c r="B1036" t="s">
        <v>843</v>
      </c>
      <c r="C1036" t="str">
        <f>Data_Master[[#This Row],[Uniq-ID]]&amp;"-"&amp;Data_Master[[#This Row],[Period]]</f>
        <v>PE-Project_Engineer-078-M1</v>
      </c>
      <c r="D1036" t="s">
        <v>844</v>
      </c>
      <c r="E1036" t="s">
        <v>48</v>
      </c>
      <c r="F1036" t="s">
        <v>475</v>
      </c>
      <c r="G1036" t="s">
        <v>13</v>
      </c>
      <c r="H1036" t="s">
        <v>531</v>
      </c>
      <c r="I1036" t="s">
        <v>15</v>
      </c>
      <c r="J1036" t="s">
        <v>44</v>
      </c>
    </row>
    <row r="1037" spans="1:10">
      <c r="A1037" t="s">
        <v>716</v>
      </c>
      <c r="B1037" t="s">
        <v>843</v>
      </c>
      <c r="C1037" t="str">
        <f>Data_Master[[#This Row],[Uniq-ID]]&amp;"-"&amp;Data_Master[[#This Row],[Period]]</f>
        <v>PE-Project_Engineer-078-M2</v>
      </c>
      <c r="D1037" t="s">
        <v>844</v>
      </c>
      <c r="E1037" t="s">
        <v>48</v>
      </c>
      <c r="F1037" t="s">
        <v>475</v>
      </c>
      <c r="G1037" t="s">
        <v>18</v>
      </c>
      <c r="H1037" t="s">
        <v>302</v>
      </c>
      <c r="I1037" t="s">
        <v>15</v>
      </c>
      <c r="J1037" t="s">
        <v>44</v>
      </c>
    </row>
    <row r="1038" spans="1:10">
      <c r="A1038" t="s">
        <v>716</v>
      </c>
      <c r="B1038" t="s">
        <v>843</v>
      </c>
      <c r="C1038" t="str">
        <f>Data_Master[[#This Row],[Uniq-ID]]&amp;"-"&amp;Data_Master[[#This Row],[Period]]</f>
        <v>PE-Project_Engineer-078-M3</v>
      </c>
      <c r="D1038" t="s">
        <v>844</v>
      </c>
      <c r="E1038" t="s">
        <v>48</v>
      </c>
      <c r="F1038" t="s">
        <v>475</v>
      </c>
      <c r="G1038" t="s">
        <v>22</v>
      </c>
      <c r="H1038" t="s">
        <v>303</v>
      </c>
      <c r="I1038" t="s">
        <v>33</v>
      </c>
      <c r="J1038" t="s">
        <v>44</v>
      </c>
    </row>
    <row r="1039" spans="1:10">
      <c r="A1039" t="s">
        <v>716</v>
      </c>
      <c r="B1039" t="s">
        <v>841</v>
      </c>
      <c r="C1039" t="str">
        <f>Data_Master[[#This Row],[Uniq-ID]]&amp;"-"&amp;Data_Master[[#This Row],[Period]]</f>
        <v>PE-Project_Engineer-079-M1</v>
      </c>
      <c r="D1039" t="s">
        <v>842</v>
      </c>
      <c r="E1039" t="s">
        <v>290</v>
      </c>
      <c r="F1039" t="s">
        <v>446</v>
      </c>
      <c r="G1039" t="s">
        <v>13</v>
      </c>
      <c r="H1039" t="s">
        <v>531</v>
      </c>
      <c r="I1039" t="s">
        <v>15</v>
      </c>
      <c r="J1039" t="s">
        <v>44</v>
      </c>
    </row>
    <row r="1040" spans="1:10">
      <c r="A1040" t="s">
        <v>716</v>
      </c>
      <c r="B1040" t="s">
        <v>841</v>
      </c>
      <c r="C1040" t="str">
        <f>Data_Master[[#This Row],[Uniq-ID]]&amp;"-"&amp;Data_Master[[#This Row],[Period]]</f>
        <v>PE-Project_Engineer-079-M2</v>
      </c>
      <c r="D1040" t="s">
        <v>842</v>
      </c>
      <c r="E1040" t="s">
        <v>290</v>
      </c>
      <c r="F1040" t="s">
        <v>446</v>
      </c>
      <c r="G1040" t="s">
        <v>18</v>
      </c>
      <c r="H1040" t="s">
        <v>302</v>
      </c>
      <c r="I1040" t="s">
        <v>15</v>
      </c>
      <c r="J1040" t="s">
        <v>44</v>
      </c>
    </row>
    <row r="1041" spans="1:32">
      <c r="A1041" t="s">
        <v>716</v>
      </c>
      <c r="B1041" t="s">
        <v>841</v>
      </c>
      <c r="C1041" t="str">
        <f>Data_Master[[#This Row],[Uniq-ID]]&amp;"-"&amp;Data_Master[[#This Row],[Period]]</f>
        <v>PE-Project_Engineer-079-M3</v>
      </c>
      <c r="D1041" t="s">
        <v>842</v>
      </c>
      <c r="E1041" t="s">
        <v>290</v>
      </c>
      <c r="F1041" t="s">
        <v>446</v>
      </c>
      <c r="G1041" t="s">
        <v>22</v>
      </c>
      <c r="H1041" t="s">
        <v>303</v>
      </c>
      <c r="I1041" t="s">
        <v>33</v>
      </c>
      <c r="J1041" t="s">
        <v>44</v>
      </c>
    </row>
    <row r="1042" spans="1:32">
      <c r="A1042" t="s">
        <v>716</v>
      </c>
      <c r="B1042" t="s">
        <v>772</v>
      </c>
      <c r="C1042" t="str">
        <f>Data_Master[[#This Row],[Uniq-ID]]&amp;"-"&amp;Data_Master[[#This Row],[Period]]</f>
        <v>PE-Project_Engineer-080-M1</v>
      </c>
      <c r="D1042" t="s">
        <v>773</v>
      </c>
      <c r="E1042" t="s">
        <v>112</v>
      </c>
      <c r="F1042" t="s">
        <v>457</v>
      </c>
      <c r="G1042" t="s">
        <v>13</v>
      </c>
      <c r="H1042" t="s">
        <v>774</v>
      </c>
      <c r="I1042" t="s">
        <v>15</v>
      </c>
      <c r="J1042" t="s">
        <v>719</v>
      </c>
      <c r="L1042">
        <v>1</v>
      </c>
      <c r="AA1042">
        <v>780</v>
      </c>
      <c r="AB1042">
        <v>1680</v>
      </c>
      <c r="AC1042">
        <v>420</v>
      </c>
      <c r="AF1042">
        <v>2880</v>
      </c>
    </row>
    <row r="1043" spans="1:32">
      <c r="A1043" t="s">
        <v>716</v>
      </c>
      <c r="B1043" t="s">
        <v>772</v>
      </c>
      <c r="C1043" t="str">
        <f>Data_Master[[#This Row],[Uniq-ID]]&amp;"-"&amp;Data_Master[[#This Row],[Period]]</f>
        <v>PE-Project_Engineer-080-M2</v>
      </c>
      <c r="D1043" t="s">
        <v>773</v>
      </c>
      <c r="E1043" t="s">
        <v>112</v>
      </c>
      <c r="F1043" t="s">
        <v>457</v>
      </c>
      <c r="G1043" t="s">
        <v>18</v>
      </c>
      <c r="H1043" t="s">
        <v>775</v>
      </c>
      <c r="I1043" t="s">
        <v>15</v>
      </c>
      <c r="J1043" t="s">
        <v>16</v>
      </c>
      <c r="L1043">
        <v>1.1000000000000001</v>
      </c>
      <c r="AA1043">
        <v>2540</v>
      </c>
      <c r="AB1043">
        <v>3540</v>
      </c>
      <c r="AC1043">
        <v>520</v>
      </c>
      <c r="AF1043">
        <v>6600</v>
      </c>
    </row>
    <row r="1044" spans="1:32">
      <c r="A1044" t="s">
        <v>716</v>
      </c>
      <c r="B1044" t="s">
        <v>772</v>
      </c>
      <c r="C1044" t="str">
        <f>Data_Master[[#This Row],[Uniq-ID]]&amp;"-"&amp;Data_Master[[#This Row],[Period]]</f>
        <v>PE-Project_Engineer-080-M3</v>
      </c>
      <c r="D1044" t="s">
        <v>773</v>
      </c>
      <c r="E1044" t="s">
        <v>112</v>
      </c>
      <c r="F1044" t="s">
        <v>457</v>
      </c>
      <c r="G1044" t="s">
        <v>22</v>
      </c>
      <c r="H1044" t="s">
        <v>776</v>
      </c>
      <c r="I1044" t="s">
        <v>33</v>
      </c>
      <c r="J1044" t="s">
        <v>44</v>
      </c>
      <c r="L1044">
        <v>0.5</v>
      </c>
      <c r="AB1044">
        <v>30</v>
      </c>
      <c r="AF1044">
        <v>30</v>
      </c>
    </row>
    <row r="1045" spans="1:32">
      <c r="A1045" t="s">
        <v>716</v>
      </c>
      <c r="B1045" t="s">
        <v>831</v>
      </c>
      <c r="C1045" t="str">
        <f>Data_Master[[#This Row],[Uniq-ID]]&amp;"-"&amp;Data_Master[[#This Row],[Period]]</f>
        <v>PE-Project_Engineer-081-M1</v>
      </c>
      <c r="D1045" t="s">
        <v>832</v>
      </c>
      <c r="E1045" t="s">
        <v>48</v>
      </c>
      <c r="F1045" t="s">
        <v>446</v>
      </c>
      <c r="G1045" t="s">
        <v>13</v>
      </c>
      <c r="H1045" t="s">
        <v>807</v>
      </c>
      <c r="I1045" t="s">
        <v>15</v>
      </c>
      <c r="J1045" t="s">
        <v>44</v>
      </c>
    </row>
    <row r="1046" spans="1:32">
      <c r="A1046" t="s">
        <v>716</v>
      </c>
      <c r="B1046" t="s">
        <v>831</v>
      </c>
      <c r="C1046" t="str">
        <f>Data_Master[[#This Row],[Uniq-ID]]&amp;"-"&amp;Data_Master[[#This Row],[Period]]</f>
        <v>PE-Project_Engineer-081-M2</v>
      </c>
      <c r="D1046" t="s">
        <v>832</v>
      </c>
      <c r="E1046" t="s">
        <v>48</v>
      </c>
      <c r="F1046" t="s">
        <v>446</v>
      </c>
      <c r="G1046" t="s">
        <v>18</v>
      </c>
      <c r="H1046" t="s">
        <v>464</v>
      </c>
      <c r="I1046" t="s">
        <v>15</v>
      </c>
      <c r="J1046" t="s">
        <v>44</v>
      </c>
    </row>
    <row r="1047" spans="1:32">
      <c r="A1047" t="s">
        <v>716</v>
      </c>
      <c r="B1047" t="s">
        <v>831</v>
      </c>
      <c r="C1047" t="str">
        <f>Data_Master[[#This Row],[Uniq-ID]]&amp;"-"&amp;Data_Master[[#This Row],[Period]]</f>
        <v>PE-Project_Engineer-081-M3</v>
      </c>
      <c r="D1047" t="s">
        <v>832</v>
      </c>
      <c r="E1047" t="s">
        <v>48</v>
      </c>
      <c r="F1047" t="s">
        <v>446</v>
      </c>
      <c r="G1047" t="s">
        <v>22</v>
      </c>
      <c r="H1047" t="s">
        <v>465</v>
      </c>
      <c r="I1047" t="s">
        <v>15</v>
      </c>
      <c r="J1047" t="s">
        <v>44</v>
      </c>
    </row>
    <row r="1048" spans="1:32">
      <c r="A1048" t="s">
        <v>716</v>
      </c>
      <c r="B1048" t="s">
        <v>831</v>
      </c>
      <c r="C1048" t="str">
        <f>Data_Master[[#This Row],[Uniq-ID]]&amp;"-"&amp;Data_Master[[#This Row],[Period]]</f>
        <v>PE-Project_Engineer-081-M4</v>
      </c>
      <c r="D1048" t="s">
        <v>832</v>
      </c>
      <c r="E1048" t="s">
        <v>48</v>
      </c>
      <c r="F1048" t="s">
        <v>446</v>
      </c>
      <c r="G1048" t="s">
        <v>25</v>
      </c>
      <c r="H1048" t="s">
        <v>3448</v>
      </c>
      <c r="I1048" t="s">
        <v>33</v>
      </c>
      <c r="J1048" t="s">
        <v>44</v>
      </c>
    </row>
    <row r="1049" spans="1:32">
      <c r="A1049" t="s">
        <v>716</v>
      </c>
      <c r="B1049" t="s">
        <v>794</v>
      </c>
      <c r="C1049" t="str">
        <f>Data_Master[[#This Row],[Uniq-ID]]&amp;"-"&amp;Data_Master[[#This Row],[Period]]</f>
        <v>PE-Project_Engineer-082-M1</v>
      </c>
      <c r="D1049" t="s">
        <v>795</v>
      </c>
      <c r="E1049" t="s">
        <v>76</v>
      </c>
      <c r="F1049" t="s">
        <v>441</v>
      </c>
      <c r="G1049" t="s">
        <v>13</v>
      </c>
      <c r="H1049" t="s">
        <v>796</v>
      </c>
      <c r="I1049" t="s">
        <v>15</v>
      </c>
      <c r="J1049" t="s">
        <v>719</v>
      </c>
      <c r="L1049">
        <v>1</v>
      </c>
      <c r="AA1049">
        <v>144</v>
      </c>
      <c r="AB1049">
        <v>360</v>
      </c>
      <c r="AC1049">
        <v>1672</v>
      </c>
      <c r="AE1049">
        <v>1052</v>
      </c>
      <c r="AF1049">
        <v>3228</v>
      </c>
    </row>
    <row r="1050" spans="1:32">
      <c r="A1050" t="s">
        <v>716</v>
      </c>
      <c r="B1050" t="s">
        <v>794</v>
      </c>
      <c r="C1050" t="str">
        <f>Data_Master[[#This Row],[Uniq-ID]]&amp;"-"&amp;Data_Master[[#This Row],[Period]]</f>
        <v>PE-Project_Engineer-082-M2</v>
      </c>
      <c r="D1050" t="s">
        <v>795</v>
      </c>
      <c r="E1050" t="s">
        <v>76</v>
      </c>
      <c r="F1050" t="s">
        <v>441</v>
      </c>
      <c r="G1050" t="s">
        <v>18</v>
      </c>
      <c r="H1050" t="s">
        <v>404</v>
      </c>
      <c r="I1050" t="s">
        <v>15</v>
      </c>
      <c r="J1050" t="s">
        <v>44</v>
      </c>
      <c r="L1050">
        <v>0.5</v>
      </c>
      <c r="AA1050">
        <v>16</v>
      </c>
      <c r="AB1050">
        <v>24</v>
      </c>
      <c r="AC1050">
        <v>176</v>
      </c>
      <c r="AF1050">
        <v>216</v>
      </c>
    </row>
    <row r="1051" spans="1:32">
      <c r="A1051" t="s">
        <v>716</v>
      </c>
      <c r="B1051" t="s">
        <v>794</v>
      </c>
      <c r="C1051" t="str">
        <f>Data_Master[[#This Row],[Uniq-ID]]&amp;"-"&amp;Data_Master[[#This Row],[Period]]</f>
        <v>PE-Project_Engineer-082-M3</v>
      </c>
      <c r="D1051" t="s">
        <v>795</v>
      </c>
      <c r="E1051" t="s">
        <v>76</v>
      </c>
      <c r="F1051" t="s">
        <v>441</v>
      </c>
      <c r="G1051" t="s">
        <v>22</v>
      </c>
      <c r="H1051" t="s">
        <v>3405</v>
      </c>
      <c r="I1051" t="s">
        <v>33</v>
      </c>
      <c r="J1051" t="s">
        <v>44</v>
      </c>
    </row>
    <row r="1052" spans="1:32">
      <c r="A1052" t="s">
        <v>716</v>
      </c>
      <c r="B1052" t="s">
        <v>825</v>
      </c>
      <c r="C1052" t="str">
        <f>Data_Master[[#This Row],[Uniq-ID]]&amp;"-"&amp;Data_Master[[#This Row],[Period]]</f>
        <v>PE-Project_Engineer-083-M1</v>
      </c>
      <c r="D1052" t="s">
        <v>826</v>
      </c>
      <c r="E1052" t="s">
        <v>76</v>
      </c>
      <c r="F1052" t="s">
        <v>461</v>
      </c>
      <c r="G1052" t="s">
        <v>13</v>
      </c>
      <c r="H1052" t="s">
        <v>26</v>
      </c>
      <c r="I1052" t="s">
        <v>15</v>
      </c>
      <c r="J1052" t="s">
        <v>44</v>
      </c>
    </row>
    <row r="1053" spans="1:32">
      <c r="A1053" t="s">
        <v>716</v>
      </c>
      <c r="B1053" t="s">
        <v>825</v>
      </c>
      <c r="C1053" t="str">
        <f>Data_Master[[#This Row],[Uniq-ID]]&amp;"-"&amp;Data_Master[[#This Row],[Period]]</f>
        <v>PE-Project_Engineer-083-M2</v>
      </c>
      <c r="D1053" t="s">
        <v>826</v>
      </c>
      <c r="E1053" t="s">
        <v>76</v>
      </c>
      <c r="F1053" t="s">
        <v>461</v>
      </c>
      <c r="G1053" t="s">
        <v>18</v>
      </c>
      <c r="H1053" t="s">
        <v>29</v>
      </c>
      <c r="I1053" t="s">
        <v>15</v>
      </c>
      <c r="J1053" t="s">
        <v>44</v>
      </c>
    </row>
    <row r="1054" spans="1:32">
      <c r="A1054" t="s">
        <v>716</v>
      </c>
      <c r="B1054" t="s">
        <v>825</v>
      </c>
      <c r="C1054" t="str">
        <f>Data_Master[[#This Row],[Uniq-ID]]&amp;"-"&amp;Data_Master[[#This Row],[Period]]</f>
        <v>PE-Project_Engineer-083-M3</v>
      </c>
      <c r="D1054" t="s">
        <v>826</v>
      </c>
      <c r="E1054" t="s">
        <v>76</v>
      </c>
      <c r="F1054" t="s">
        <v>461</v>
      </c>
      <c r="G1054" t="s">
        <v>22</v>
      </c>
      <c r="H1054" t="s">
        <v>32</v>
      </c>
      <c r="I1054" t="s">
        <v>33</v>
      </c>
      <c r="J1054" t="s">
        <v>44</v>
      </c>
    </row>
    <row r="1055" spans="1:32">
      <c r="A1055" t="s">
        <v>716</v>
      </c>
      <c r="B1055" t="s">
        <v>722</v>
      </c>
      <c r="C1055" t="str">
        <f>Data_Master[[#This Row],[Uniq-ID]]&amp;"-"&amp;Data_Master[[#This Row],[Period]]</f>
        <v>PE-Project_Engineer-084-M1</v>
      </c>
      <c r="D1055" t="s">
        <v>723</v>
      </c>
      <c r="E1055" t="s">
        <v>48</v>
      </c>
      <c r="F1055" t="s">
        <v>457</v>
      </c>
      <c r="G1055" t="s">
        <v>13</v>
      </c>
      <c r="H1055" t="s">
        <v>26</v>
      </c>
      <c r="I1055" t="s">
        <v>15</v>
      </c>
      <c r="J1055" t="s">
        <v>16</v>
      </c>
      <c r="L1055">
        <v>1.5</v>
      </c>
      <c r="AA1055">
        <v>3032</v>
      </c>
      <c r="AB1055">
        <v>4110</v>
      </c>
      <c r="AC1055">
        <v>740</v>
      </c>
      <c r="AE1055">
        <v>1168</v>
      </c>
      <c r="AF1055">
        <v>9050</v>
      </c>
    </row>
    <row r="1056" spans="1:32">
      <c r="A1056" t="s">
        <v>716</v>
      </c>
      <c r="B1056" t="s">
        <v>722</v>
      </c>
      <c r="C1056" t="str">
        <f>Data_Master[[#This Row],[Uniq-ID]]&amp;"-"&amp;Data_Master[[#This Row],[Period]]</f>
        <v>PE-Project_Engineer-084-M2</v>
      </c>
      <c r="D1056" t="s">
        <v>723</v>
      </c>
      <c r="E1056" t="s">
        <v>48</v>
      </c>
      <c r="F1056" t="s">
        <v>457</v>
      </c>
      <c r="G1056" t="s">
        <v>18</v>
      </c>
      <c r="H1056" t="s">
        <v>29</v>
      </c>
      <c r="I1056" t="s">
        <v>15</v>
      </c>
      <c r="J1056" t="s">
        <v>16</v>
      </c>
      <c r="L1056">
        <v>1.3</v>
      </c>
      <c r="AA1056">
        <v>2144</v>
      </c>
      <c r="AB1056">
        <v>3384</v>
      </c>
      <c r="AC1056">
        <v>1392</v>
      </c>
      <c r="AE1056">
        <v>906</v>
      </c>
      <c r="AF1056">
        <v>7826</v>
      </c>
    </row>
    <row r="1057" spans="1:32">
      <c r="A1057" t="s">
        <v>716</v>
      </c>
      <c r="B1057" t="s">
        <v>722</v>
      </c>
      <c r="C1057" t="str">
        <f>Data_Master[[#This Row],[Uniq-ID]]&amp;"-"&amp;Data_Master[[#This Row],[Period]]</f>
        <v>PE-Project_Engineer-084-M3</v>
      </c>
      <c r="D1057" t="s">
        <v>723</v>
      </c>
      <c r="E1057" t="s">
        <v>48</v>
      </c>
      <c r="F1057" t="s">
        <v>457</v>
      </c>
      <c r="G1057" t="s">
        <v>22</v>
      </c>
      <c r="H1057" t="s">
        <v>32</v>
      </c>
      <c r="I1057" t="s">
        <v>33</v>
      </c>
      <c r="J1057" t="s">
        <v>44</v>
      </c>
      <c r="L1057">
        <v>0.69</v>
      </c>
      <c r="AA1057">
        <v>32</v>
      </c>
      <c r="AB1057">
        <v>216</v>
      </c>
      <c r="AC1057">
        <v>836</v>
      </c>
      <c r="AE1057">
        <v>298</v>
      </c>
      <c r="AF1057">
        <v>1382</v>
      </c>
    </row>
    <row r="1058" spans="1:32">
      <c r="A1058" t="s">
        <v>716</v>
      </c>
      <c r="B1058" t="s">
        <v>770</v>
      </c>
      <c r="C1058" t="str">
        <f>Data_Master[[#This Row],[Uniq-ID]]&amp;"-"&amp;Data_Master[[#This Row],[Period]]</f>
        <v>PE-Project_Engineer-085-M1</v>
      </c>
      <c r="D1058" t="s">
        <v>771</v>
      </c>
      <c r="E1058" t="s">
        <v>290</v>
      </c>
      <c r="F1058" t="s">
        <v>446</v>
      </c>
      <c r="G1058" t="s">
        <v>13</v>
      </c>
      <c r="H1058" t="s">
        <v>14</v>
      </c>
      <c r="I1058" t="s">
        <v>15</v>
      </c>
      <c r="J1058" t="s">
        <v>719</v>
      </c>
      <c r="L1058">
        <v>1</v>
      </c>
      <c r="AA1058">
        <v>1432</v>
      </c>
      <c r="AB1058">
        <v>1908</v>
      </c>
      <c r="AC1058">
        <v>144</v>
      </c>
      <c r="AE1058">
        <v>124</v>
      </c>
      <c r="AF1058">
        <v>3608</v>
      </c>
    </row>
    <row r="1059" spans="1:32">
      <c r="A1059" t="s">
        <v>716</v>
      </c>
      <c r="B1059" t="s">
        <v>770</v>
      </c>
      <c r="C1059" t="str">
        <f>Data_Master[[#This Row],[Uniq-ID]]&amp;"-"&amp;Data_Master[[#This Row],[Period]]</f>
        <v>PE-Project_Engineer-085-M2</v>
      </c>
      <c r="D1059" t="s">
        <v>771</v>
      </c>
      <c r="E1059" t="s">
        <v>290</v>
      </c>
      <c r="F1059" t="s">
        <v>446</v>
      </c>
      <c r="G1059" t="s">
        <v>18</v>
      </c>
      <c r="H1059" t="s">
        <v>19</v>
      </c>
      <c r="I1059" t="s">
        <v>15</v>
      </c>
      <c r="J1059" t="s">
        <v>719</v>
      </c>
      <c r="L1059">
        <v>1</v>
      </c>
      <c r="AA1059">
        <v>1224</v>
      </c>
      <c r="AB1059">
        <v>1836</v>
      </c>
      <c r="AC1059">
        <v>628</v>
      </c>
      <c r="AE1059">
        <v>210</v>
      </c>
      <c r="AF1059">
        <v>3898</v>
      </c>
    </row>
    <row r="1060" spans="1:32">
      <c r="A1060" t="s">
        <v>716</v>
      </c>
      <c r="B1060" t="s">
        <v>770</v>
      </c>
      <c r="C1060" t="str">
        <f>Data_Master[[#This Row],[Uniq-ID]]&amp;"-"&amp;Data_Master[[#This Row],[Period]]</f>
        <v>PE-Project_Engineer-085-M3</v>
      </c>
      <c r="D1060" t="s">
        <v>771</v>
      </c>
      <c r="E1060" t="s">
        <v>290</v>
      </c>
      <c r="F1060" t="s">
        <v>446</v>
      </c>
      <c r="G1060" t="s">
        <v>22</v>
      </c>
      <c r="H1060" t="s">
        <v>23</v>
      </c>
      <c r="I1060" t="s">
        <v>15</v>
      </c>
      <c r="J1060" t="s">
        <v>719</v>
      </c>
      <c r="L1060">
        <v>1</v>
      </c>
      <c r="AA1060">
        <v>1240</v>
      </c>
      <c r="AB1060">
        <v>1872</v>
      </c>
      <c r="AC1060">
        <v>1276</v>
      </c>
      <c r="AE1060">
        <v>282</v>
      </c>
      <c r="AF1060">
        <v>4670</v>
      </c>
    </row>
    <row r="1061" spans="1:32">
      <c r="A1061" t="s">
        <v>716</v>
      </c>
      <c r="B1061" t="s">
        <v>770</v>
      </c>
      <c r="C1061" t="str">
        <f>Data_Master[[#This Row],[Uniq-ID]]&amp;"-"&amp;Data_Master[[#This Row],[Period]]</f>
        <v>PE-Project_Engineer-085-M4</v>
      </c>
      <c r="D1061" t="s">
        <v>771</v>
      </c>
      <c r="E1061" t="s">
        <v>290</v>
      </c>
      <c r="F1061" t="s">
        <v>446</v>
      </c>
      <c r="G1061" t="s">
        <v>25</v>
      </c>
      <c r="H1061" t="s">
        <v>26</v>
      </c>
      <c r="I1061" t="s">
        <v>15</v>
      </c>
      <c r="J1061" t="s">
        <v>719</v>
      </c>
      <c r="L1061">
        <v>1</v>
      </c>
      <c r="AA1061">
        <v>936</v>
      </c>
      <c r="AB1061">
        <v>1800</v>
      </c>
      <c r="AC1061">
        <v>2964</v>
      </c>
      <c r="AE1061">
        <v>112</v>
      </c>
      <c r="AF1061">
        <v>5812</v>
      </c>
    </row>
    <row r="1062" spans="1:32">
      <c r="A1062" t="s">
        <v>716</v>
      </c>
      <c r="B1062" t="s">
        <v>770</v>
      </c>
      <c r="C1062" t="str">
        <f>Data_Master[[#This Row],[Uniq-ID]]&amp;"-"&amp;Data_Master[[#This Row],[Period]]</f>
        <v>PE-Project_Engineer-085-M5</v>
      </c>
      <c r="D1062" t="s">
        <v>771</v>
      </c>
      <c r="E1062" t="s">
        <v>290</v>
      </c>
      <c r="F1062" t="s">
        <v>446</v>
      </c>
      <c r="G1062" t="s">
        <v>28</v>
      </c>
      <c r="H1062" t="s">
        <v>29</v>
      </c>
      <c r="I1062" t="s">
        <v>15</v>
      </c>
      <c r="J1062" t="s">
        <v>719</v>
      </c>
      <c r="L1062">
        <v>1</v>
      </c>
      <c r="AA1062">
        <v>624</v>
      </c>
      <c r="AB1062">
        <v>1140</v>
      </c>
      <c r="AC1062">
        <v>3648</v>
      </c>
      <c r="AE1062">
        <v>500</v>
      </c>
      <c r="AF1062">
        <v>5912</v>
      </c>
    </row>
    <row r="1063" spans="1:32">
      <c r="A1063" t="s">
        <v>716</v>
      </c>
      <c r="B1063" t="s">
        <v>770</v>
      </c>
      <c r="C1063" t="str">
        <f>Data_Master[[#This Row],[Uniq-ID]]&amp;"-"&amp;Data_Master[[#This Row],[Period]]</f>
        <v>PE-Project_Engineer-085-M6</v>
      </c>
      <c r="D1063" t="s">
        <v>771</v>
      </c>
      <c r="E1063" t="s">
        <v>290</v>
      </c>
      <c r="F1063" t="s">
        <v>446</v>
      </c>
      <c r="G1063" t="s">
        <v>31</v>
      </c>
      <c r="H1063" t="s">
        <v>32</v>
      </c>
      <c r="I1063" t="s">
        <v>33</v>
      </c>
      <c r="J1063" t="s">
        <v>44</v>
      </c>
    </row>
    <row r="1064" spans="1:32">
      <c r="A1064" t="s">
        <v>716</v>
      </c>
      <c r="B1064" t="s">
        <v>888</v>
      </c>
      <c r="C1064" t="str">
        <f>Data_Master[[#This Row],[Uniq-ID]]&amp;"-"&amp;Data_Master[[#This Row],[Period]]</f>
        <v>PE-Project_Engineer-086-M1</v>
      </c>
      <c r="D1064" t="s">
        <v>889</v>
      </c>
      <c r="E1064" t="s">
        <v>11</v>
      </c>
      <c r="F1064" t="s">
        <v>446</v>
      </c>
      <c r="G1064" t="s">
        <v>13</v>
      </c>
      <c r="H1064" t="s">
        <v>71</v>
      </c>
      <c r="I1064" t="s">
        <v>15</v>
      </c>
      <c r="J1064" t="s">
        <v>44</v>
      </c>
    </row>
    <row r="1065" spans="1:32">
      <c r="A1065" t="s">
        <v>716</v>
      </c>
      <c r="B1065" t="s">
        <v>888</v>
      </c>
      <c r="C1065" t="str">
        <f>Data_Master[[#This Row],[Uniq-ID]]&amp;"-"&amp;Data_Master[[#This Row],[Period]]</f>
        <v>PE-Project_Engineer-086-M2</v>
      </c>
      <c r="D1065" t="s">
        <v>889</v>
      </c>
      <c r="E1065" t="s">
        <v>11</v>
      </c>
      <c r="F1065" t="s">
        <v>446</v>
      </c>
      <c r="G1065" t="s">
        <v>18</v>
      </c>
      <c r="H1065" t="s">
        <v>73</v>
      </c>
      <c r="I1065" t="s">
        <v>33</v>
      </c>
      <c r="J1065" t="s">
        <v>44</v>
      </c>
    </row>
    <row r="1066" spans="1:32">
      <c r="A1066" t="s">
        <v>716</v>
      </c>
      <c r="B1066" t="s">
        <v>803</v>
      </c>
      <c r="C1066" t="str">
        <f>Data_Master[[#This Row],[Uniq-ID]]&amp;"-"&amp;Data_Master[[#This Row],[Period]]</f>
        <v>PE-Project_Engineer-088-M1</v>
      </c>
      <c r="D1066" t="s">
        <v>804</v>
      </c>
      <c r="E1066" t="s">
        <v>76</v>
      </c>
      <c r="F1066" t="s">
        <v>441</v>
      </c>
      <c r="G1066" t="s">
        <v>13</v>
      </c>
      <c r="H1066" t="s">
        <v>465</v>
      </c>
      <c r="I1066" t="s">
        <v>15</v>
      </c>
      <c r="J1066" t="s">
        <v>44</v>
      </c>
    </row>
    <row r="1067" spans="1:32">
      <c r="A1067" t="s">
        <v>716</v>
      </c>
      <c r="B1067" t="s">
        <v>803</v>
      </c>
      <c r="C1067" t="str">
        <f>Data_Master[[#This Row],[Uniq-ID]]&amp;"-"&amp;Data_Master[[#This Row],[Period]]</f>
        <v>PE-Project_Engineer-088-M2</v>
      </c>
      <c r="D1067" t="s">
        <v>804</v>
      </c>
      <c r="E1067" t="s">
        <v>76</v>
      </c>
      <c r="F1067" t="s">
        <v>441</v>
      </c>
      <c r="G1067" t="s">
        <v>18</v>
      </c>
      <c r="H1067" t="s">
        <v>3448</v>
      </c>
      <c r="I1067" t="s">
        <v>33</v>
      </c>
      <c r="J1067" t="s">
        <v>44</v>
      </c>
    </row>
    <row r="1068" spans="1:32">
      <c r="A1068" t="s">
        <v>438</v>
      </c>
      <c r="B1068" t="s">
        <v>459</v>
      </c>
      <c r="C1068" t="str">
        <f>Data_Master[[#This Row],[Uniq-ID]]&amp;"-"&amp;Data_Master[[#This Row],[Period]]</f>
        <v>QC-Quality_Control-001-M1</v>
      </c>
      <c r="D1068" t="s">
        <v>460</v>
      </c>
      <c r="E1068" t="s">
        <v>76</v>
      </c>
      <c r="F1068" t="s">
        <v>461</v>
      </c>
      <c r="G1068" t="s">
        <v>13</v>
      </c>
      <c r="H1068" t="s">
        <v>49</v>
      </c>
      <c r="I1068" t="s">
        <v>15</v>
      </c>
      <c r="K1068" t="s">
        <v>442</v>
      </c>
      <c r="L1068">
        <v>1.5</v>
      </c>
      <c r="T1068">
        <v>32</v>
      </c>
      <c r="W1068">
        <v>15</v>
      </c>
      <c r="X1068">
        <v>32</v>
      </c>
    </row>
    <row r="1069" spans="1:32">
      <c r="A1069" t="s">
        <v>438</v>
      </c>
      <c r="B1069" t="s">
        <v>459</v>
      </c>
      <c r="C1069" t="str">
        <f>Data_Master[[#This Row],[Uniq-ID]]&amp;"-"&amp;Data_Master[[#This Row],[Period]]</f>
        <v>QC-Quality_Control-001-M2</v>
      </c>
      <c r="D1069" t="s">
        <v>460</v>
      </c>
      <c r="E1069" t="s">
        <v>76</v>
      </c>
      <c r="F1069" t="s">
        <v>461</v>
      </c>
      <c r="G1069" t="s">
        <v>18</v>
      </c>
      <c r="H1069" t="s">
        <v>51</v>
      </c>
      <c r="I1069" t="s">
        <v>15</v>
      </c>
      <c r="K1069" t="s">
        <v>442</v>
      </c>
      <c r="L1069">
        <v>1.5</v>
      </c>
      <c r="T1069">
        <v>26</v>
      </c>
      <c r="U1069">
        <v>6</v>
      </c>
      <c r="V1069">
        <v>2</v>
      </c>
      <c r="W1069">
        <v>15</v>
      </c>
      <c r="X1069">
        <v>34</v>
      </c>
    </row>
    <row r="1070" spans="1:32">
      <c r="A1070" t="s">
        <v>438</v>
      </c>
      <c r="B1070" t="s">
        <v>459</v>
      </c>
      <c r="C1070" t="str">
        <f>Data_Master[[#This Row],[Uniq-ID]]&amp;"-"&amp;Data_Master[[#This Row],[Period]]</f>
        <v>QC-Quality_Control-001-M3</v>
      </c>
      <c r="D1070" t="s">
        <v>460</v>
      </c>
      <c r="E1070" t="s">
        <v>76</v>
      </c>
      <c r="F1070" t="s">
        <v>461</v>
      </c>
      <c r="G1070" t="s">
        <v>22</v>
      </c>
      <c r="H1070" t="s">
        <v>52</v>
      </c>
      <c r="I1070" t="s">
        <v>15</v>
      </c>
      <c r="K1070" t="s">
        <v>442</v>
      </c>
      <c r="L1070">
        <v>1.5</v>
      </c>
      <c r="T1070">
        <v>15</v>
      </c>
      <c r="U1070">
        <v>8.5</v>
      </c>
      <c r="V1070">
        <v>1</v>
      </c>
      <c r="W1070">
        <v>15</v>
      </c>
      <c r="X1070">
        <v>24.5</v>
      </c>
    </row>
    <row r="1071" spans="1:32">
      <c r="A1071" t="s">
        <v>438</v>
      </c>
      <c r="B1071" t="s">
        <v>459</v>
      </c>
      <c r="C1071" t="str">
        <f>Data_Master[[#This Row],[Uniq-ID]]&amp;"-"&amp;Data_Master[[#This Row],[Period]]</f>
        <v>QC-Quality_Control-001-M4</v>
      </c>
      <c r="D1071" t="s">
        <v>460</v>
      </c>
      <c r="E1071" t="s">
        <v>76</v>
      </c>
      <c r="F1071" t="s">
        <v>461</v>
      </c>
      <c r="G1071" t="s">
        <v>25</v>
      </c>
      <c r="H1071" t="s">
        <v>54</v>
      </c>
      <c r="I1071" t="s">
        <v>15</v>
      </c>
      <c r="K1071" t="s">
        <v>442</v>
      </c>
      <c r="L1071">
        <v>1.5</v>
      </c>
      <c r="T1071">
        <v>31</v>
      </c>
      <c r="U1071">
        <v>3.5</v>
      </c>
      <c r="W1071">
        <v>15</v>
      </c>
      <c r="X1071">
        <v>34.5</v>
      </c>
    </row>
    <row r="1072" spans="1:32">
      <c r="A1072" t="s">
        <v>438</v>
      </c>
      <c r="B1072" t="s">
        <v>459</v>
      </c>
      <c r="C1072" t="str">
        <f>Data_Master[[#This Row],[Uniq-ID]]&amp;"-"&amp;Data_Master[[#This Row],[Period]]</f>
        <v>QC-Quality_Control-001-M5</v>
      </c>
      <c r="D1072" t="s">
        <v>460</v>
      </c>
      <c r="E1072" t="s">
        <v>76</v>
      </c>
      <c r="F1072" t="s">
        <v>461</v>
      </c>
      <c r="G1072" t="s">
        <v>28</v>
      </c>
      <c r="H1072" t="s">
        <v>56</v>
      </c>
      <c r="I1072" t="s">
        <v>15</v>
      </c>
      <c r="K1072" t="s">
        <v>442</v>
      </c>
      <c r="L1072">
        <v>1.5</v>
      </c>
      <c r="T1072">
        <v>30</v>
      </c>
      <c r="V1072">
        <v>3</v>
      </c>
      <c r="W1072">
        <v>15</v>
      </c>
      <c r="X1072">
        <v>33</v>
      </c>
    </row>
    <row r="1073" spans="1:24">
      <c r="A1073" t="s">
        <v>438</v>
      </c>
      <c r="B1073" t="s">
        <v>459</v>
      </c>
      <c r="C1073" t="str">
        <f>Data_Master[[#This Row],[Uniq-ID]]&amp;"-"&amp;Data_Master[[#This Row],[Period]]</f>
        <v>QC-Quality_Control-001-M6</v>
      </c>
      <c r="D1073" t="s">
        <v>460</v>
      </c>
      <c r="E1073" t="s">
        <v>76</v>
      </c>
      <c r="F1073" t="s">
        <v>461</v>
      </c>
      <c r="G1073" t="s">
        <v>31</v>
      </c>
      <c r="H1073" t="s">
        <v>57</v>
      </c>
      <c r="I1073" t="s">
        <v>33</v>
      </c>
      <c r="K1073" t="s">
        <v>443</v>
      </c>
      <c r="L1073">
        <v>0.5</v>
      </c>
      <c r="T1073">
        <v>6</v>
      </c>
      <c r="W1073">
        <v>15</v>
      </c>
      <c r="X1073">
        <v>6</v>
      </c>
    </row>
    <row r="1074" spans="1:24">
      <c r="A1074" t="s">
        <v>438</v>
      </c>
      <c r="B1074" t="s">
        <v>473</v>
      </c>
      <c r="C1074" t="str">
        <f>Data_Master[[#This Row],[Uniq-ID]]&amp;"-"&amp;Data_Master[[#This Row],[Period]]</f>
        <v>QC-Quality_Control-002-M1</v>
      </c>
      <c r="D1074" t="s">
        <v>474</v>
      </c>
      <c r="E1074" t="s">
        <v>76</v>
      </c>
      <c r="F1074" t="s">
        <v>475</v>
      </c>
      <c r="G1074" t="s">
        <v>13</v>
      </c>
      <c r="H1074" t="s">
        <v>49</v>
      </c>
      <c r="I1074" t="s">
        <v>15</v>
      </c>
      <c r="K1074" t="s">
        <v>442</v>
      </c>
      <c r="L1074">
        <v>1.5</v>
      </c>
      <c r="T1074">
        <v>44</v>
      </c>
      <c r="W1074">
        <v>20</v>
      </c>
      <c r="X1074">
        <v>44</v>
      </c>
    </row>
    <row r="1075" spans="1:24">
      <c r="A1075" t="s">
        <v>438</v>
      </c>
      <c r="B1075" t="s">
        <v>473</v>
      </c>
      <c r="C1075" t="str">
        <f>Data_Master[[#This Row],[Uniq-ID]]&amp;"-"&amp;Data_Master[[#This Row],[Period]]</f>
        <v>QC-Quality_Control-002-M2</v>
      </c>
      <c r="D1075" t="s">
        <v>474</v>
      </c>
      <c r="E1075" t="s">
        <v>76</v>
      </c>
      <c r="F1075" t="s">
        <v>475</v>
      </c>
      <c r="G1075" t="s">
        <v>18</v>
      </c>
      <c r="H1075" t="s">
        <v>51</v>
      </c>
      <c r="I1075" t="s">
        <v>15</v>
      </c>
      <c r="K1075" t="s">
        <v>442</v>
      </c>
      <c r="L1075">
        <v>1.5</v>
      </c>
      <c r="T1075">
        <v>74</v>
      </c>
      <c r="V1075">
        <v>1</v>
      </c>
      <c r="W1075">
        <v>20</v>
      </c>
      <c r="X1075">
        <v>75</v>
      </c>
    </row>
    <row r="1076" spans="1:24">
      <c r="A1076" t="s">
        <v>438</v>
      </c>
      <c r="B1076" t="s">
        <v>473</v>
      </c>
      <c r="C1076" t="str">
        <f>Data_Master[[#This Row],[Uniq-ID]]&amp;"-"&amp;Data_Master[[#This Row],[Period]]</f>
        <v>QC-Quality_Control-002-M3</v>
      </c>
      <c r="D1076" t="s">
        <v>474</v>
      </c>
      <c r="E1076" t="s">
        <v>76</v>
      </c>
      <c r="F1076" t="s">
        <v>475</v>
      </c>
      <c r="G1076" t="s">
        <v>22</v>
      </c>
      <c r="H1076" t="s">
        <v>52</v>
      </c>
      <c r="I1076" t="s">
        <v>15</v>
      </c>
      <c r="K1076" t="s">
        <v>442</v>
      </c>
      <c r="L1076">
        <v>1.5</v>
      </c>
      <c r="T1076">
        <v>39</v>
      </c>
      <c r="W1076">
        <v>20</v>
      </c>
      <c r="X1076">
        <v>39</v>
      </c>
    </row>
    <row r="1077" spans="1:24">
      <c r="A1077" t="s">
        <v>438</v>
      </c>
      <c r="B1077" t="s">
        <v>473</v>
      </c>
      <c r="C1077" t="str">
        <f>Data_Master[[#This Row],[Uniq-ID]]&amp;"-"&amp;Data_Master[[#This Row],[Period]]</f>
        <v>QC-Quality_Control-002-M4</v>
      </c>
      <c r="D1077" t="s">
        <v>474</v>
      </c>
      <c r="E1077" t="s">
        <v>76</v>
      </c>
      <c r="F1077" t="s">
        <v>475</v>
      </c>
      <c r="G1077" t="s">
        <v>25</v>
      </c>
      <c r="H1077" t="s">
        <v>54</v>
      </c>
      <c r="I1077" t="s">
        <v>15</v>
      </c>
      <c r="K1077" t="s">
        <v>442</v>
      </c>
      <c r="L1077">
        <v>1.5</v>
      </c>
      <c r="T1077">
        <v>45</v>
      </c>
      <c r="V1077">
        <v>1</v>
      </c>
      <c r="W1077">
        <v>20</v>
      </c>
      <c r="X1077">
        <v>46</v>
      </c>
    </row>
    <row r="1078" spans="1:24">
      <c r="A1078" t="s">
        <v>438</v>
      </c>
      <c r="B1078" t="s">
        <v>473</v>
      </c>
      <c r="C1078" t="str">
        <f>Data_Master[[#This Row],[Uniq-ID]]&amp;"-"&amp;Data_Master[[#This Row],[Period]]</f>
        <v>QC-Quality_Control-002-M5</v>
      </c>
      <c r="D1078" t="s">
        <v>474</v>
      </c>
      <c r="E1078" t="s">
        <v>76</v>
      </c>
      <c r="F1078" t="s">
        <v>475</v>
      </c>
      <c r="G1078" t="s">
        <v>28</v>
      </c>
      <c r="H1078" t="s">
        <v>56</v>
      </c>
      <c r="I1078" t="s">
        <v>15</v>
      </c>
      <c r="K1078" t="s">
        <v>442</v>
      </c>
      <c r="L1078">
        <v>1.5</v>
      </c>
      <c r="T1078">
        <v>38</v>
      </c>
      <c r="V1078">
        <v>4</v>
      </c>
      <c r="W1078">
        <v>20</v>
      </c>
      <c r="X1078">
        <v>42</v>
      </c>
    </row>
    <row r="1079" spans="1:24">
      <c r="A1079" t="s">
        <v>438</v>
      </c>
      <c r="B1079" t="s">
        <v>473</v>
      </c>
      <c r="C1079" t="str">
        <f>Data_Master[[#This Row],[Uniq-ID]]&amp;"-"&amp;Data_Master[[#This Row],[Period]]</f>
        <v>QC-Quality_Control-002-M6</v>
      </c>
      <c r="D1079" t="s">
        <v>474</v>
      </c>
      <c r="E1079" t="s">
        <v>76</v>
      </c>
      <c r="F1079" t="s">
        <v>475</v>
      </c>
      <c r="G1079" t="s">
        <v>31</v>
      </c>
      <c r="H1079" t="s">
        <v>57</v>
      </c>
      <c r="I1079" t="s">
        <v>33</v>
      </c>
      <c r="K1079" t="s">
        <v>442</v>
      </c>
      <c r="L1079">
        <v>1.5</v>
      </c>
      <c r="T1079">
        <v>33</v>
      </c>
      <c r="V1079">
        <v>1</v>
      </c>
      <c r="W1079">
        <v>20</v>
      </c>
      <c r="X1079">
        <v>34</v>
      </c>
    </row>
    <row r="1080" spans="1:24">
      <c r="A1080" t="s">
        <v>438</v>
      </c>
      <c r="B1080" t="s">
        <v>534</v>
      </c>
      <c r="C1080" t="str">
        <f>Data_Master[[#This Row],[Uniq-ID]]&amp;"-"&amp;Data_Master[[#This Row],[Period]]</f>
        <v>QC-Quality_Control-003-M1</v>
      </c>
      <c r="D1080" t="s">
        <v>535</v>
      </c>
      <c r="E1080" t="s">
        <v>11</v>
      </c>
      <c r="F1080" t="s">
        <v>457</v>
      </c>
      <c r="G1080" t="s">
        <v>13</v>
      </c>
      <c r="H1080" t="s">
        <v>49</v>
      </c>
      <c r="I1080" t="s">
        <v>15</v>
      </c>
      <c r="K1080" t="s">
        <v>443</v>
      </c>
      <c r="L1080">
        <v>0.5</v>
      </c>
      <c r="T1080">
        <v>2</v>
      </c>
      <c r="U1080">
        <v>7</v>
      </c>
      <c r="W1080">
        <v>20</v>
      </c>
      <c r="X1080">
        <v>9</v>
      </c>
    </row>
    <row r="1081" spans="1:24">
      <c r="A1081" t="s">
        <v>438</v>
      </c>
      <c r="B1081" t="s">
        <v>534</v>
      </c>
      <c r="C1081" t="str">
        <f>Data_Master[[#This Row],[Uniq-ID]]&amp;"-"&amp;Data_Master[[#This Row],[Period]]</f>
        <v>QC-Quality_Control-003-M2</v>
      </c>
      <c r="D1081" t="s">
        <v>535</v>
      </c>
      <c r="E1081" t="s">
        <v>11</v>
      </c>
      <c r="F1081" t="s">
        <v>457</v>
      </c>
      <c r="G1081" t="s">
        <v>18</v>
      </c>
      <c r="H1081" t="s">
        <v>51</v>
      </c>
      <c r="I1081" t="s">
        <v>15</v>
      </c>
      <c r="K1081" t="s">
        <v>442</v>
      </c>
      <c r="L1081">
        <v>1.5</v>
      </c>
      <c r="T1081">
        <v>30</v>
      </c>
      <c r="U1081">
        <v>9</v>
      </c>
      <c r="W1081">
        <v>20</v>
      </c>
      <c r="X1081">
        <v>39</v>
      </c>
    </row>
    <row r="1082" spans="1:24">
      <c r="A1082" t="s">
        <v>438</v>
      </c>
      <c r="B1082" t="s">
        <v>534</v>
      </c>
      <c r="C1082" t="str">
        <f>Data_Master[[#This Row],[Uniq-ID]]&amp;"-"&amp;Data_Master[[#This Row],[Period]]</f>
        <v>QC-Quality_Control-003-M3</v>
      </c>
      <c r="D1082" t="s">
        <v>535</v>
      </c>
      <c r="E1082" t="s">
        <v>11</v>
      </c>
      <c r="F1082" t="s">
        <v>457</v>
      </c>
      <c r="G1082" t="s">
        <v>22</v>
      </c>
      <c r="H1082" t="s">
        <v>52</v>
      </c>
      <c r="I1082" t="s">
        <v>15</v>
      </c>
      <c r="K1082" t="s">
        <v>442</v>
      </c>
      <c r="L1082">
        <v>1.5</v>
      </c>
      <c r="T1082">
        <v>20</v>
      </c>
      <c r="U1082">
        <v>9.5</v>
      </c>
      <c r="V1082">
        <v>2</v>
      </c>
      <c r="W1082">
        <v>20</v>
      </c>
      <c r="X1082">
        <v>31.5</v>
      </c>
    </row>
    <row r="1083" spans="1:24">
      <c r="A1083" t="s">
        <v>438</v>
      </c>
      <c r="B1083" t="s">
        <v>534</v>
      </c>
      <c r="C1083" t="str">
        <f>Data_Master[[#This Row],[Uniq-ID]]&amp;"-"&amp;Data_Master[[#This Row],[Period]]</f>
        <v>QC-Quality_Control-003-M4</v>
      </c>
      <c r="D1083" t="s">
        <v>535</v>
      </c>
      <c r="E1083" t="s">
        <v>11</v>
      </c>
      <c r="F1083" t="s">
        <v>457</v>
      </c>
      <c r="G1083" t="s">
        <v>25</v>
      </c>
      <c r="H1083" t="s">
        <v>54</v>
      </c>
      <c r="I1083" t="s">
        <v>15</v>
      </c>
      <c r="K1083" t="s">
        <v>442</v>
      </c>
      <c r="L1083">
        <v>1.5</v>
      </c>
      <c r="T1083">
        <v>25</v>
      </c>
      <c r="U1083">
        <v>4.5</v>
      </c>
      <c r="V1083">
        <v>4</v>
      </c>
      <c r="W1083">
        <v>20</v>
      </c>
      <c r="X1083">
        <v>33.5</v>
      </c>
    </row>
    <row r="1084" spans="1:24">
      <c r="A1084" t="s">
        <v>438</v>
      </c>
      <c r="B1084" t="s">
        <v>534</v>
      </c>
      <c r="C1084" t="str">
        <f>Data_Master[[#This Row],[Uniq-ID]]&amp;"-"&amp;Data_Master[[#This Row],[Period]]</f>
        <v>QC-Quality_Control-003-M5</v>
      </c>
      <c r="D1084" t="s">
        <v>535</v>
      </c>
      <c r="E1084" t="s">
        <v>11</v>
      </c>
      <c r="F1084" t="s">
        <v>457</v>
      </c>
      <c r="G1084" t="s">
        <v>28</v>
      </c>
      <c r="H1084" t="s">
        <v>56</v>
      </c>
      <c r="I1084" t="s">
        <v>15</v>
      </c>
      <c r="K1084" t="s">
        <v>442</v>
      </c>
      <c r="L1084">
        <v>1.28</v>
      </c>
      <c r="T1084">
        <v>20</v>
      </c>
      <c r="U1084">
        <v>3.5</v>
      </c>
      <c r="V1084">
        <v>2</v>
      </c>
      <c r="W1084">
        <v>20</v>
      </c>
      <c r="X1084">
        <v>25.5</v>
      </c>
    </row>
    <row r="1085" spans="1:24">
      <c r="A1085" t="s">
        <v>438</v>
      </c>
      <c r="B1085" t="s">
        <v>534</v>
      </c>
      <c r="C1085" t="str">
        <f>Data_Master[[#This Row],[Uniq-ID]]&amp;"-"&amp;Data_Master[[#This Row],[Period]]</f>
        <v>QC-Quality_Control-003-M6</v>
      </c>
      <c r="D1085" t="s">
        <v>535</v>
      </c>
      <c r="E1085" t="s">
        <v>11</v>
      </c>
      <c r="F1085" t="s">
        <v>457</v>
      </c>
      <c r="G1085" t="s">
        <v>31</v>
      </c>
      <c r="H1085" t="s">
        <v>57</v>
      </c>
      <c r="I1085" t="s">
        <v>33</v>
      </c>
      <c r="K1085" t="s">
        <v>443</v>
      </c>
      <c r="L1085">
        <v>0.5</v>
      </c>
      <c r="T1085">
        <v>6</v>
      </c>
      <c r="U1085">
        <v>1</v>
      </c>
      <c r="V1085">
        <v>1</v>
      </c>
      <c r="W1085">
        <v>20</v>
      </c>
      <c r="X1085">
        <v>8</v>
      </c>
    </row>
    <row r="1086" spans="1:24">
      <c r="A1086" t="s">
        <v>438</v>
      </c>
      <c r="B1086" t="s">
        <v>478</v>
      </c>
      <c r="C1086" t="str">
        <f>Data_Master[[#This Row],[Uniq-ID]]&amp;"-"&amp;Data_Master[[#This Row],[Period]]</f>
        <v>QC-Quality_Control-004-M1</v>
      </c>
      <c r="D1086" t="s">
        <v>479</v>
      </c>
      <c r="E1086" t="s">
        <v>76</v>
      </c>
      <c r="F1086" t="s">
        <v>461</v>
      </c>
      <c r="G1086" t="s">
        <v>13</v>
      </c>
      <c r="H1086" t="s">
        <v>447</v>
      </c>
      <c r="I1086" t="s">
        <v>15</v>
      </c>
      <c r="K1086" t="s">
        <v>442</v>
      </c>
      <c r="L1086">
        <v>1.3</v>
      </c>
      <c r="T1086">
        <v>13</v>
      </c>
      <c r="U1086">
        <v>6.5</v>
      </c>
      <c r="W1086">
        <v>15</v>
      </c>
      <c r="X1086">
        <v>19.5</v>
      </c>
    </row>
    <row r="1087" spans="1:24">
      <c r="A1087" t="s">
        <v>438</v>
      </c>
      <c r="B1087" t="s">
        <v>478</v>
      </c>
      <c r="C1087" t="str">
        <f>Data_Master[[#This Row],[Uniq-ID]]&amp;"-"&amp;Data_Master[[#This Row],[Period]]</f>
        <v>QC-Quality_Control-004-M2</v>
      </c>
      <c r="D1087" t="s">
        <v>479</v>
      </c>
      <c r="E1087" t="s">
        <v>76</v>
      </c>
      <c r="F1087" t="s">
        <v>461</v>
      </c>
      <c r="G1087" t="s">
        <v>18</v>
      </c>
      <c r="H1087" t="s">
        <v>448</v>
      </c>
      <c r="I1087" t="s">
        <v>15</v>
      </c>
      <c r="K1087" t="s">
        <v>442</v>
      </c>
      <c r="L1087">
        <v>1.5</v>
      </c>
      <c r="T1087">
        <v>27</v>
      </c>
      <c r="U1087">
        <v>12</v>
      </c>
      <c r="V1087">
        <v>2</v>
      </c>
      <c r="W1087">
        <v>15</v>
      </c>
      <c r="X1087">
        <v>41</v>
      </c>
    </row>
    <row r="1088" spans="1:24">
      <c r="A1088" t="s">
        <v>438</v>
      </c>
      <c r="B1088" t="s">
        <v>478</v>
      </c>
      <c r="C1088" t="str">
        <f>Data_Master[[#This Row],[Uniq-ID]]&amp;"-"&amp;Data_Master[[#This Row],[Period]]</f>
        <v>QC-Quality_Control-004-M3</v>
      </c>
      <c r="D1088" t="s">
        <v>479</v>
      </c>
      <c r="E1088" t="s">
        <v>76</v>
      </c>
      <c r="F1088" t="s">
        <v>461</v>
      </c>
      <c r="G1088" t="s">
        <v>22</v>
      </c>
      <c r="H1088" t="s">
        <v>449</v>
      </c>
      <c r="I1088" t="s">
        <v>15</v>
      </c>
      <c r="K1088" t="s">
        <v>442</v>
      </c>
      <c r="L1088">
        <v>1.5</v>
      </c>
      <c r="T1088">
        <v>11</v>
      </c>
      <c r="U1088">
        <v>17.5</v>
      </c>
      <c r="W1088">
        <v>15</v>
      </c>
      <c r="X1088">
        <v>28.5</v>
      </c>
    </row>
    <row r="1089" spans="1:24">
      <c r="A1089" t="s">
        <v>438</v>
      </c>
      <c r="B1089" t="s">
        <v>478</v>
      </c>
      <c r="C1089" t="str">
        <f>Data_Master[[#This Row],[Uniq-ID]]&amp;"-"&amp;Data_Master[[#This Row],[Period]]</f>
        <v>QC-Quality_Control-004-M4</v>
      </c>
      <c r="D1089" t="s">
        <v>479</v>
      </c>
      <c r="E1089" t="s">
        <v>76</v>
      </c>
      <c r="F1089" t="s">
        <v>461</v>
      </c>
      <c r="G1089" t="s">
        <v>25</v>
      </c>
      <c r="H1089" t="s">
        <v>450</v>
      </c>
      <c r="I1089" t="s">
        <v>15</v>
      </c>
      <c r="K1089" t="s">
        <v>442</v>
      </c>
      <c r="L1089">
        <v>1.43</v>
      </c>
      <c r="T1089">
        <v>9</v>
      </c>
      <c r="U1089">
        <v>6.5</v>
      </c>
      <c r="V1089">
        <v>6</v>
      </c>
      <c r="W1089">
        <v>15</v>
      </c>
      <c r="X1089">
        <v>21.5</v>
      </c>
    </row>
    <row r="1090" spans="1:24">
      <c r="A1090" t="s">
        <v>438</v>
      </c>
      <c r="B1090" t="s">
        <v>478</v>
      </c>
      <c r="C1090" t="str">
        <f>Data_Master[[#This Row],[Uniq-ID]]&amp;"-"&amp;Data_Master[[#This Row],[Period]]</f>
        <v>QC-Quality_Control-004-M5</v>
      </c>
      <c r="D1090" t="s">
        <v>479</v>
      </c>
      <c r="E1090" t="s">
        <v>76</v>
      </c>
      <c r="F1090" t="s">
        <v>461</v>
      </c>
      <c r="G1090" t="s">
        <v>28</v>
      </c>
      <c r="H1090" t="s">
        <v>451</v>
      </c>
      <c r="I1090" t="s">
        <v>15</v>
      </c>
      <c r="K1090" t="s">
        <v>442</v>
      </c>
      <c r="L1090">
        <v>1.1000000000000001</v>
      </c>
      <c r="T1090">
        <v>7</v>
      </c>
      <c r="U1090">
        <v>2.5</v>
      </c>
      <c r="V1090">
        <v>7</v>
      </c>
      <c r="W1090">
        <v>15</v>
      </c>
      <c r="X1090">
        <v>16.5</v>
      </c>
    </row>
    <row r="1091" spans="1:24">
      <c r="A1091" t="s">
        <v>438</v>
      </c>
      <c r="B1091" t="s">
        <v>478</v>
      </c>
      <c r="C1091" t="str">
        <f>Data_Master[[#This Row],[Uniq-ID]]&amp;"-"&amp;Data_Master[[#This Row],[Period]]</f>
        <v>QC-Quality_Control-004-M6</v>
      </c>
      <c r="D1091" t="s">
        <v>479</v>
      </c>
      <c r="E1091" t="s">
        <v>76</v>
      </c>
      <c r="F1091" t="s">
        <v>461</v>
      </c>
      <c r="G1091" t="s">
        <v>31</v>
      </c>
      <c r="H1091" t="s">
        <v>452</v>
      </c>
      <c r="I1091" t="s">
        <v>33</v>
      </c>
      <c r="K1091" t="s">
        <v>443</v>
      </c>
      <c r="L1091">
        <v>0.5</v>
      </c>
      <c r="T1091">
        <v>3</v>
      </c>
      <c r="W1091">
        <v>15</v>
      </c>
      <c r="X1091">
        <v>3</v>
      </c>
    </row>
    <row r="1092" spans="1:24">
      <c r="A1092" t="s">
        <v>438</v>
      </c>
      <c r="B1092" t="s">
        <v>444</v>
      </c>
      <c r="C1092" t="str">
        <f>Data_Master[[#This Row],[Uniq-ID]]&amp;"-"&amp;Data_Master[[#This Row],[Period]]</f>
        <v>QC-Quality_Control-005-M1</v>
      </c>
      <c r="D1092" t="s">
        <v>445</v>
      </c>
      <c r="E1092" t="s">
        <v>76</v>
      </c>
      <c r="F1092" t="s">
        <v>446</v>
      </c>
      <c r="G1092" t="s">
        <v>13</v>
      </c>
      <c r="H1092" t="s">
        <v>447</v>
      </c>
      <c r="I1092" t="s">
        <v>15</v>
      </c>
      <c r="K1092" t="s">
        <v>442</v>
      </c>
      <c r="L1092">
        <v>1.5</v>
      </c>
      <c r="T1092">
        <v>44</v>
      </c>
      <c r="U1092">
        <v>1.5</v>
      </c>
      <c r="W1092">
        <v>20</v>
      </c>
      <c r="X1092">
        <v>45.5</v>
      </c>
    </row>
    <row r="1093" spans="1:24">
      <c r="A1093" t="s">
        <v>438</v>
      </c>
      <c r="B1093" t="s">
        <v>444</v>
      </c>
      <c r="C1093" t="str">
        <f>Data_Master[[#This Row],[Uniq-ID]]&amp;"-"&amp;Data_Master[[#This Row],[Period]]</f>
        <v>QC-Quality_Control-005-M2</v>
      </c>
      <c r="D1093" t="s">
        <v>445</v>
      </c>
      <c r="E1093" t="s">
        <v>76</v>
      </c>
      <c r="F1093" t="s">
        <v>446</v>
      </c>
      <c r="G1093" t="s">
        <v>18</v>
      </c>
      <c r="H1093" t="s">
        <v>448</v>
      </c>
      <c r="I1093" t="s">
        <v>15</v>
      </c>
      <c r="K1093" t="s">
        <v>442</v>
      </c>
      <c r="L1093">
        <v>1.5</v>
      </c>
      <c r="T1093">
        <v>58</v>
      </c>
      <c r="U1093">
        <v>2</v>
      </c>
      <c r="W1093">
        <v>20</v>
      </c>
      <c r="X1093">
        <v>60</v>
      </c>
    </row>
    <row r="1094" spans="1:24">
      <c r="A1094" t="s">
        <v>438</v>
      </c>
      <c r="B1094" t="s">
        <v>444</v>
      </c>
      <c r="C1094" t="str">
        <f>Data_Master[[#This Row],[Uniq-ID]]&amp;"-"&amp;Data_Master[[#This Row],[Period]]</f>
        <v>QC-Quality_Control-005-M3</v>
      </c>
      <c r="D1094" t="s">
        <v>445</v>
      </c>
      <c r="E1094" t="s">
        <v>76</v>
      </c>
      <c r="F1094" t="s">
        <v>446</v>
      </c>
      <c r="G1094" t="s">
        <v>22</v>
      </c>
      <c r="H1094" t="s">
        <v>449</v>
      </c>
      <c r="I1094" t="s">
        <v>15</v>
      </c>
      <c r="K1094" t="s">
        <v>442</v>
      </c>
      <c r="L1094">
        <v>1.5</v>
      </c>
      <c r="T1094">
        <v>44</v>
      </c>
      <c r="U1094">
        <v>2</v>
      </c>
      <c r="W1094">
        <v>20</v>
      </c>
      <c r="X1094">
        <v>46</v>
      </c>
    </row>
    <row r="1095" spans="1:24">
      <c r="A1095" t="s">
        <v>438</v>
      </c>
      <c r="B1095" t="s">
        <v>444</v>
      </c>
      <c r="C1095" t="str">
        <f>Data_Master[[#This Row],[Uniq-ID]]&amp;"-"&amp;Data_Master[[#This Row],[Period]]</f>
        <v>QC-Quality_Control-005-M4</v>
      </c>
      <c r="D1095" t="s">
        <v>445</v>
      </c>
      <c r="E1095" t="s">
        <v>76</v>
      </c>
      <c r="F1095" t="s">
        <v>446</v>
      </c>
      <c r="G1095" t="s">
        <v>25</v>
      </c>
      <c r="H1095" t="s">
        <v>450</v>
      </c>
      <c r="I1095" t="s">
        <v>15</v>
      </c>
      <c r="K1095" t="s">
        <v>442</v>
      </c>
      <c r="L1095">
        <v>1.5</v>
      </c>
      <c r="T1095">
        <v>37</v>
      </c>
      <c r="U1095">
        <v>1</v>
      </c>
      <c r="V1095">
        <v>1</v>
      </c>
      <c r="W1095">
        <v>20</v>
      </c>
      <c r="X1095">
        <v>39</v>
      </c>
    </row>
    <row r="1096" spans="1:24">
      <c r="A1096" t="s">
        <v>438</v>
      </c>
      <c r="B1096" t="s">
        <v>444</v>
      </c>
      <c r="C1096" t="str">
        <f>Data_Master[[#This Row],[Uniq-ID]]&amp;"-"&amp;Data_Master[[#This Row],[Period]]</f>
        <v>QC-Quality_Control-005-M5</v>
      </c>
      <c r="D1096" t="s">
        <v>445</v>
      </c>
      <c r="E1096" t="s">
        <v>76</v>
      </c>
      <c r="F1096" t="s">
        <v>446</v>
      </c>
      <c r="G1096" t="s">
        <v>28</v>
      </c>
      <c r="H1096" t="s">
        <v>451</v>
      </c>
      <c r="I1096" t="s">
        <v>15</v>
      </c>
      <c r="K1096" t="s">
        <v>442</v>
      </c>
      <c r="L1096">
        <v>1.5</v>
      </c>
      <c r="T1096">
        <v>67</v>
      </c>
      <c r="U1096">
        <v>4</v>
      </c>
      <c r="V1096">
        <v>2</v>
      </c>
      <c r="W1096">
        <v>20</v>
      </c>
      <c r="X1096">
        <v>73</v>
      </c>
    </row>
    <row r="1097" spans="1:24">
      <c r="A1097" t="s">
        <v>438</v>
      </c>
      <c r="B1097" t="s">
        <v>444</v>
      </c>
      <c r="C1097" t="str">
        <f>Data_Master[[#This Row],[Uniq-ID]]&amp;"-"&amp;Data_Master[[#This Row],[Period]]</f>
        <v>QC-Quality_Control-005-M6</v>
      </c>
      <c r="D1097" t="s">
        <v>445</v>
      </c>
      <c r="E1097" t="s">
        <v>76</v>
      </c>
      <c r="F1097" t="s">
        <v>446</v>
      </c>
      <c r="G1097" t="s">
        <v>31</v>
      </c>
      <c r="H1097" t="s">
        <v>452</v>
      </c>
      <c r="I1097" t="s">
        <v>33</v>
      </c>
      <c r="K1097" t="s">
        <v>442</v>
      </c>
      <c r="L1097">
        <v>1.5</v>
      </c>
      <c r="T1097">
        <v>39</v>
      </c>
      <c r="U1097">
        <v>2.5</v>
      </c>
      <c r="W1097">
        <v>20</v>
      </c>
      <c r="X1097">
        <v>41.5</v>
      </c>
    </row>
    <row r="1098" spans="1:24">
      <c r="A1098" t="s">
        <v>438</v>
      </c>
      <c r="B1098" t="s">
        <v>469</v>
      </c>
      <c r="C1098" t="str">
        <f>Data_Master[[#This Row],[Uniq-ID]]&amp;"-"&amp;Data_Master[[#This Row],[Period]]</f>
        <v>QC-Quality_Control-006-M1</v>
      </c>
      <c r="D1098" t="s">
        <v>470</v>
      </c>
      <c r="E1098" t="s">
        <v>76</v>
      </c>
      <c r="F1098" t="s">
        <v>441</v>
      </c>
      <c r="G1098" t="s">
        <v>13</v>
      </c>
      <c r="H1098" t="s">
        <v>332</v>
      </c>
      <c r="I1098" t="s">
        <v>15</v>
      </c>
      <c r="K1098" t="s">
        <v>442</v>
      </c>
      <c r="L1098">
        <v>1.5</v>
      </c>
      <c r="T1098">
        <v>57</v>
      </c>
      <c r="W1098">
        <v>20</v>
      </c>
      <c r="X1098">
        <v>57</v>
      </c>
    </row>
    <row r="1099" spans="1:24">
      <c r="A1099" t="s">
        <v>438</v>
      </c>
      <c r="B1099" t="s">
        <v>469</v>
      </c>
      <c r="C1099" t="str">
        <f>Data_Master[[#This Row],[Uniq-ID]]&amp;"-"&amp;Data_Master[[#This Row],[Period]]</f>
        <v>QC-Quality_Control-006-M2</v>
      </c>
      <c r="D1099" t="s">
        <v>470</v>
      </c>
      <c r="E1099" t="s">
        <v>76</v>
      </c>
      <c r="F1099" t="s">
        <v>441</v>
      </c>
      <c r="G1099" t="s">
        <v>18</v>
      </c>
      <c r="H1099" t="s">
        <v>334</v>
      </c>
      <c r="I1099" t="s">
        <v>15</v>
      </c>
      <c r="K1099" t="s">
        <v>442</v>
      </c>
      <c r="L1099">
        <v>1.5</v>
      </c>
      <c r="T1099">
        <v>65</v>
      </c>
      <c r="W1099">
        <v>20</v>
      </c>
      <c r="X1099">
        <v>65</v>
      </c>
    </row>
    <row r="1100" spans="1:24">
      <c r="A1100" t="s">
        <v>438</v>
      </c>
      <c r="B1100" t="s">
        <v>469</v>
      </c>
      <c r="C1100" t="str">
        <f>Data_Master[[#This Row],[Uniq-ID]]&amp;"-"&amp;Data_Master[[#This Row],[Period]]</f>
        <v>QC-Quality_Control-006-M3</v>
      </c>
      <c r="D1100" t="s">
        <v>470</v>
      </c>
      <c r="E1100" t="s">
        <v>76</v>
      </c>
      <c r="F1100" t="s">
        <v>441</v>
      </c>
      <c r="G1100" t="s">
        <v>22</v>
      </c>
      <c r="H1100" t="s">
        <v>336</v>
      </c>
      <c r="I1100" t="s">
        <v>15</v>
      </c>
      <c r="K1100" t="s">
        <v>442</v>
      </c>
      <c r="L1100">
        <v>1.5</v>
      </c>
      <c r="T1100">
        <v>51</v>
      </c>
      <c r="W1100">
        <v>20</v>
      </c>
      <c r="X1100">
        <v>51</v>
      </c>
    </row>
    <row r="1101" spans="1:24">
      <c r="A1101" t="s">
        <v>438</v>
      </c>
      <c r="B1101" t="s">
        <v>469</v>
      </c>
      <c r="C1101" t="str">
        <f>Data_Master[[#This Row],[Uniq-ID]]&amp;"-"&amp;Data_Master[[#This Row],[Period]]</f>
        <v>QC-Quality_Control-006-M4</v>
      </c>
      <c r="D1101" t="s">
        <v>470</v>
      </c>
      <c r="E1101" t="s">
        <v>76</v>
      </c>
      <c r="F1101" t="s">
        <v>441</v>
      </c>
      <c r="G1101" t="s">
        <v>25</v>
      </c>
      <c r="H1101" t="s">
        <v>337</v>
      </c>
      <c r="I1101" t="s">
        <v>15</v>
      </c>
      <c r="K1101" t="s">
        <v>442</v>
      </c>
      <c r="L1101">
        <v>1.5</v>
      </c>
      <c r="T1101">
        <v>44</v>
      </c>
      <c r="W1101">
        <v>20</v>
      </c>
      <c r="X1101">
        <v>44</v>
      </c>
    </row>
    <row r="1102" spans="1:24">
      <c r="A1102" t="s">
        <v>438</v>
      </c>
      <c r="B1102" t="s">
        <v>469</v>
      </c>
      <c r="C1102" t="str">
        <f>Data_Master[[#This Row],[Uniq-ID]]&amp;"-"&amp;Data_Master[[#This Row],[Period]]</f>
        <v>QC-Quality_Control-006-M5</v>
      </c>
      <c r="D1102" t="s">
        <v>470</v>
      </c>
      <c r="E1102" t="s">
        <v>76</v>
      </c>
      <c r="F1102" t="s">
        <v>441</v>
      </c>
      <c r="G1102" t="s">
        <v>28</v>
      </c>
      <c r="H1102" t="s">
        <v>338</v>
      </c>
      <c r="I1102" t="s">
        <v>15</v>
      </c>
      <c r="K1102" t="s">
        <v>442</v>
      </c>
      <c r="L1102">
        <v>1.5</v>
      </c>
      <c r="T1102">
        <v>42</v>
      </c>
      <c r="W1102">
        <v>20</v>
      </c>
      <c r="X1102">
        <v>42</v>
      </c>
    </row>
    <row r="1103" spans="1:24">
      <c r="A1103" t="s">
        <v>438</v>
      </c>
      <c r="B1103" t="s">
        <v>469</v>
      </c>
      <c r="C1103" t="str">
        <f>Data_Master[[#This Row],[Uniq-ID]]&amp;"-"&amp;Data_Master[[#This Row],[Period]]</f>
        <v>QC-Quality_Control-006-M6</v>
      </c>
      <c r="D1103" t="s">
        <v>470</v>
      </c>
      <c r="E1103" t="s">
        <v>76</v>
      </c>
      <c r="F1103" t="s">
        <v>441</v>
      </c>
      <c r="G1103" t="s">
        <v>31</v>
      </c>
      <c r="H1103" t="s">
        <v>339</v>
      </c>
      <c r="I1103" t="s">
        <v>33</v>
      </c>
      <c r="K1103" t="s">
        <v>442</v>
      </c>
      <c r="L1103">
        <v>1.3</v>
      </c>
      <c r="T1103">
        <v>26</v>
      </c>
      <c r="W1103">
        <v>20</v>
      </c>
      <c r="X1103">
        <v>26</v>
      </c>
    </row>
    <row r="1104" spans="1:24">
      <c r="A1104" t="s">
        <v>438</v>
      </c>
      <c r="B1104" t="s">
        <v>508</v>
      </c>
      <c r="C1104" t="str">
        <f>Data_Master[[#This Row],[Uniq-ID]]&amp;"-"&amp;Data_Master[[#This Row],[Period]]</f>
        <v>QC-Quality_Control-007-M1</v>
      </c>
      <c r="D1104" t="s">
        <v>509</v>
      </c>
      <c r="E1104" t="s">
        <v>76</v>
      </c>
      <c r="F1104" t="s">
        <v>441</v>
      </c>
      <c r="G1104" t="s">
        <v>13</v>
      </c>
      <c r="H1104" t="s">
        <v>122</v>
      </c>
      <c r="I1104" t="s">
        <v>15</v>
      </c>
      <c r="K1104" t="s">
        <v>442</v>
      </c>
      <c r="L1104">
        <v>1.5</v>
      </c>
      <c r="T1104">
        <v>72</v>
      </c>
      <c r="W1104">
        <v>20</v>
      </c>
      <c r="X1104">
        <v>72</v>
      </c>
    </row>
    <row r="1105" spans="1:24">
      <c r="A1105" t="s">
        <v>438</v>
      </c>
      <c r="B1105" t="s">
        <v>508</v>
      </c>
      <c r="C1105" t="str">
        <f>Data_Master[[#This Row],[Uniq-ID]]&amp;"-"&amp;Data_Master[[#This Row],[Period]]</f>
        <v>QC-Quality_Control-007-M2</v>
      </c>
      <c r="D1105" t="s">
        <v>509</v>
      </c>
      <c r="E1105" t="s">
        <v>76</v>
      </c>
      <c r="F1105" t="s">
        <v>441</v>
      </c>
      <c r="G1105" t="s">
        <v>18</v>
      </c>
      <c r="H1105" t="s">
        <v>124</v>
      </c>
      <c r="I1105" t="s">
        <v>15</v>
      </c>
      <c r="K1105" t="s">
        <v>442</v>
      </c>
      <c r="L1105">
        <v>1.5</v>
      </c>
      <c r="T1105">
        <v>81</v>
      </c>
      <c r="W1105">
        <v>20</v>
      </c>
      <c r="X1105">
        <v>81</v>
      </c>
    </row>
    <row r="1106" spans="1:24">
      <c r="A1106" t="s">
        <v>438</v>
      </c>
      <c r="B1106" t="s">
        <v>508</v>
      </c>
      <c r="C1106" t="str">
        <f>Data_Master[[#This Row],[Uniq-ID]]&amp;"-"&amp;Data_Master[[#This Row],[Period]]</f>
        <v>QC-Quality_Control-007-M3</v>
      </c>
      <c r="D1106" t="s">
        <v>509</v>
      </c>
      <c r="E1106" t="s">
        <v>76</v>
      </c>
      <c r="F1106" t="s">
        <v>441</v>
      </c>
      <c r="G1106" t="s">
        <v>22</v>
      </c>
      <c r="H1106" t="s">
        <v>126</v>
      </c>
      <c r="I1106" t="s">
        <v>15</v>
      </c>
      <c r="K1106" t="s">
        <v>442</v>
      </c>
      <c r="L1106">
        <v>1.5</v>
      </c>
      <c r="T1106">
        <v>87</v>
      </c>
      <c r="W1106">
        <v>20</v>
      </c>
      <c r="X1106">
        <v>87</v>
      </c>
    </row>
    <row r="1107" spans="1:24">
      <c r="A1107" t="s">
        <v>438</v>
      </c>
      <c r="B1107" t="s">
        <v>508</v>
      </c>
      <c r="C1107" t="str">
        <f>Data_Master[[#This Row],[Uniq-ID]]&amp;"-"&amp;Data_Master[[#This Row],[Period]]</f>
        <v>QC-Quality_Control-007-M4</v>
      </c>
      <c r="D1107" t="s">
        <v>509</v>
      </c>
      <c r="E1107" t="s">
        <v>76</v>
      </c>
      <c r="F1107" t="s">
        <v>441</v>
      </c>
      <c r="G1107" t="s">
        <v>25</v>
      </c>
      <c r="H1107" t="s">
        <v>128</v>
      </c>
      <c r="I1107" t="s">
        <v>15</v>
      </c>
      <c r="K1107" t="s">
        <v>442</v>
      </c>
      <c r="L1107">
        <v>1.5</v>
      </c>
      <c r="T1107">
        <v>45</v>
      </c>
      <c r="W1107">
        <v>20</v>
      </c>
      <c r="X1107">
        <v>45</v>
      </c>
    </row>
    <row r="1108" spans="1:24">
      <c r="A1108" t="s">
        <v>438</v>
      </c>
      <c r="B1108" t="s">
        <v>508</v>
      </c>
      <c r="C1108" t="str">
        <f>Data_Master[[#This Row],[Uniq-ID]]&amp;"-"&amp;Data_Master[[#This Row],[Period]]</f>
        <v>QC-Quality_Control-007-M5</v>
      </c>
      <c r="D1108" t="s">
        <v>509</v>
      </c>
      <c r="E1108" t="s">
        <v>76</v>
      </c>
      <c r="F1108" t="s">
        <v>441</v>
      </c>
      <c r="G1108" t="s">
        <v>28</v>
      </c>
      <c r="H1108" t="s">
        <v>130</v>
      </c>
      <c r="I1108" t="s">
        <v>15</v>
      </c>
      <c r="K1108" t="s">
        <v>442</v>
      </c>
      <c r="L1108">
        <v>1.5</v>
      </c>
      <c r="T1108">
        <v>61</v>
      </c>
      <c r="W1108">
        <v>20</v>
      </c>
      <c r="X1108">
        <v>61</v>
      </c>
    </row>
    <row r="1109" spans="1:24">
      <c r="A1109" t="s">
        <v>438</v>
      </c>
      <c r="B1109" t="s">
        <v>508</v>
      </c>
      <c r="C1109" t="str">
        <f>Data_Master[[#This Row],[Uniq-ID]]&amp;"-"&amp;Data_Master[[#This Row],[Period]]</f>
        <v>QC-Quality_Control-007-M6</v>
      </c>
      <c r="D1109" t="s">
        <v>509</v>
      </c>
      <c r="E1109" t="s">
        <v>76</v>
      </c>
      <c r="F1109" t="s">
        <v>441</v>
      </c>
      <c r="G1109" t="s">
        <v>31</v>
      </c>
      <c r="H1109" t="s">
        <v>132</v>
      </c>
      <c r="I1109" t="s">
        <v>33</v>
      </c>
      <c r="K1109" t="s">
        <v>442</v>
      </c>
      <c r="L1109">
        <v>1.1000000000000001</v>
      </c>
      <c r="T1109">
        <v>22</v>
      </c>
      <c r="W1109">
        <v>20</v>
      </c>
      <c r="X1109">
        <v>22</v>
      </c>
    </row>
    <row r="1110" spans="1:24">
      <c r="A1110" t="s">
        <v>438</v>
      </c>
      <c r="B1110" t="s">
        <v>439</v>
      </c>
      <c r="C1110" t="str">
        <f>Data_Master[[#This Row],[Uniq-ID]]&amp;"-"&amp;Data_Master[[#This Row],[Period]]</f>
        <v>QC-Quality_Control-008-M1</v>
      </c>
      <c r="D1110" t="s">
        <v>440</v>
      </c>
      <c r="E1110" t="s">
        <v>11</v>
      </c>
      <c r="F1110" t="s">
        <v>441</v>
      </c>
      <c r="G1110" t="s">
        <v>13</v>
      </c>
      <c r="H1110" t="s">
        <v>122</v>
      </c>
      <c r="I1110" t="s">
        <v>15</v>
      </c>
      <c r="K1110" t="s">
        <v>442</v>
      </c>
      <c r="L1110">
        <v>1.2</v>
      </c>
      <c r="T1110">
        <v>11</v>
      </c>
      <c r="U1110">
        <v>13</v>
      </c>
      <c r="W1110">
        <v>20</v>
      </c>
      <c r="X1110">
        <v>24</v>
      </c>
    </row>
    <row r="1111" spans="1:24">
      <c r="A1111" t="s">
        <v>438</v>
      </c>
      <c r="B1111" t="s">
        <v>439</v>
      </c>
      <c r="C1111" t="str">
        <f>Data_Master[[#This Row],[Uniq-ID]]&amp;"-"&amp;Data_Master[[#This Row],[Period]]</f>
        <v>QC-Quality_Control-008-M2</v>
      </c>
      <c r="D1111" t="s">
        <v>440</v>
      </c>
      <c r="E1111" t="s">
        <v>11</v>
      </c>
      <c r="F1111" t="s">
        <v>441</v>
      </c>
      <c r="G1111" t="s">
        <v>18</v>
      </c>
      <c r="H1111" t="s">
        <v>124</v>
      </c>
      <c r="I1111" t="s">
        <v>15</v>
      </c>
      <c r="K1111" t="s">
        <v>442</v>
      </c>
      <c r="L1111">
        <v>1.5</v>
      </c>
      <c r="T1111">
        <v>6</v>
      </c>
      <c r="U1111">
        <v>25.5</v>
      </c>
      <c r="W1111">
        <v>20</v>
      </c>
      <c r="X1111">
        <v>31.5</v>
      </c>
    </row>
    <row r="1112" spans="1:24">
      <c r="A1112" t="s">
        <v>438</v>
      </c>
      <c r="B1112" t="s">
        <v>439</v>
      </c>
      <c r="C1112" t="str">
        <f>Data_Master[[#This Row],[Uniq-ID]]&amp;"-"&amp;Data_Master[[#This Row],[Period]]</f>
        <v>QC-Quality_Control-008-M3</v>
      </c>
      <c r="D1112" t="s">
        <v>440</v>
      </c>
      <c r="E1112" t="s">
        <v>11</v>
      </c>
      <c r="F1112" t="s">
        <v>441</v>
      </c>
      <c r="G1112" t="s">
        <v>22</v>
      </c>
      <c r="H1112" t="s">
        <v>126</v>
      </c>
      <c r="I1112" t="s">
        <v>15</v>
      </c>
      <c r="K1112" t="s">
        <v>442</v>
      </c>
      <c r="L1112">
        <v>1.5</v>
      </c>
      <c r="U1112">
        <v>64.5</v>
      </c>
      <c r="W1112">
        <v>20</v>
      </c>
      <c r="X1112">
        <v>64.5</v>
      </c>
    </row>
    <row r="1113" spans="1:24">
      <c r="A1113" t="s">
        <v>438</v>
      </c>
      <c r="B1113" t="s">
        <v>439</v>
      </c>
      <c r="C1113" t="str">
        <f>Data_Master[[#This Row],[Uniq-ID]]&amp;"-"&amp;Data_Master[[#This Row],[Period]]</f>
        <v>QC-Quality_Control-008-M4</v>
      </c>
      <c r="D1113" t="s">
        <v>440</v>
      </c>
      <c r="E1113" t="s">
        <v>11</v>
      </c>
      <c r="F1113" t="s">
        <v>441</v>
      </c>
      <c r="G1113" t="s">
        <v>25</v>
      </c>
      <c r="H1113" t="s">
        <v>128</v>
      </c>
      <c r="I1113" t="s">
        <v>15</v>
      </c>
      <c r="K1113" t="s">
        <v>442</v>
      </c>
      <c r="L1113">
        <v>1.5</v>
      </c>
      <c r="T1113">
        <v>4</v>
      </c>
      <c r="U1113">
        <v>44.5</v>
      </c>
      <c r="W1113">
        <v>20</v>
      </c>
      <c r="X1113">
        <v>48.5</v>
      </c>
    </row>
    <row r="1114" spans="1:24">
      <c r="A1114" t="s">
        <v>438</v>
      </c>
      <c r="B1114" t="s">
        <v>439</v>
      </c>
      <c r="C1114" t="str">
        <f>Data_Master[[#This Row],[Uniq-ID]]&amp;"-"&amp;Data_Master[[#This Row],[Period]]</f>
        <v>QC-Quality_Control-008-M5</v>
      </c>
      <c r="D1114" t="s">
        <v>440</v>
      </c>
      <c r="E1114" t="s">
        <v>11</v>
      </c>
      <c r="F1114" t="s">
        <v>441</v>
      </c>
      <c r="G1114" t="s">
        <v>28</v>
      </c>
      <c r="H1114" t="s">
        <v>130</v>
      </c>
      <c r="I1114" t="s">
        <v>15</v>
      </c>
      <c r="K1114" t="s">
        <v>442</v>
      </c>
      <c r="L1114">
        <v>1.1499999999999999</v>
      </c>
      <c r="T1114">
        <v>1</v>
      </c>
      <c r="U1114">
        <v>22</v>
      </c>
      <c r="W1114">
        <v>20</v>
      </c>
      <c r="X1114">
        <v>23</v>
      </c>
    </row>
    <row r="1115" spans="1:24">
      <c r="A1115" t="s">
        <v>438</v>
      </c>
      <c r="B1115" t="s">
        <v>439</v>
      </c>
      <c r="C1115" t="str">
        <f>Data_Master[[#This Row],[Uniq-ID]]&amp;"-"&amp;Data_Master[[#This Row],[Period]]</f>
        <v>QC-Quality_Control-008-M6</v>
      </c>
      <c r="D1115" t="s">
        <v>440</v>
      </c>
      <c r="E1115" t="s">
        <v>11</v>
      </c>
      <c r="F1115" t="s">
        <v>441</v>
      </c>
      <c r="G1115" t="s">
        <v>31</v>
      </c>
      <c r="H1115" t="s">
        <v>132</v>
      </c>
      <c r="I1115" t="s">
        <v>33</v>
      </c>
      <c r="K1115" t="s">
        <v>443</v>
      </c>
      <c r="L1115">
        <v>0.78</v>
      </c>
      <c r="T1115">
        <v>2</v>
      </c>
      <c r="U1115">
        <v>13.5</v>
      </c>
      <c r="W1115">
        <v>20</v>
      </c>
      <c r="X1115">
        <v>15.5</v>
      </c>
    </row>
    <row r="1116" spans="1:24">
      <c r="A1116" t="s">
        <v>438</v>
      </c>
      <c r="B1116" t="s">
        <v>482</v>
      </c>
      <c r="C1116" t="str">
        <f>Data_Master[[#This Row],[Uniq-ID]]&amp;"-"&amp;Data_Master[[#This Row],[Period]]</f>
        <v>QC-Quality_Control-010-M1</v>
      </c>
      <c r="D1116" t="s">
        <v>483</v>
      </c>
      <c r="E1116" t="s">
        <v>484</v>
      </c>
      <c r="F1116" t="s">
        <v>446</v>
      </c>
      <c r="G1116" t="s">
        <v>13</v>
      </c>
      <c r="H1116" t="s">
        <v>122</v>
      </c>
      <c r="I1116" t="s">
        <v>15</v>
      </c>
      <c r="K1116" t="s">
        <v>442</v>
      </c>
      <c r="L1116">
        <v>1</v>
      </c>
      <c r="T1116">
        <v>19</v>
      </c>
      <c r="V1116">
        <v>1</v>
      </c>
      <c r="W1116">
        <v>20</v>
      </c>
      <c r="X1116">
        <v>20</v>
      </c>
    </row>
    <row r="1117" spans="1:24">
      <c r="A1117" t="s">
        <v>438</v>
      </c>
      <c r="B1117" t="s">
        <v>482</v>
      </c>
      <c r="C1117" t="str">
        <f>Data_Master[[#This Row],[Uniq-ID]]&amp;"-"&amp;Data_Master[[#This Row],[Period]]</f>
        <v>QC-Quality_Control-010-M2</v>
      </c>
      <c r="D1117" t="s">
        <v>483</v>
      </c>
      <c r="E1117" t="s">
        <v>484</v>
      </c>
      <c r="F1117" t="s">
        <v>446</v>
      </c>
      <c r="G1117" t="s">
        <v>18</v>
      </c>
      <c r="H1117" t="s">
        <v>124</v>
      </c>
      <c r="I1117" t="s">
        <v>15</v>
      </c>
      <c r="K1117" t="s">
        <v>442</v>
      </c>
      <c r="L1117">
        <v>1.5</v>
      </c>
      <c r="T1117">
        <v>27</v>
      </c>
      <c r="V1117">
        <v>3</v>
      </c>
      <c r="W1117">
        <v>20</v>
      </c>
      <c r="X1117">
        <v>30</v>
      </c>
    </row>
    <row r="1118" spans="1:24">
      <c r="A1118" t="s">
        <v>438</v>
      </c>
      <c r="B1118" t="s">
        <v>482</v>
      </c>
      <c r="C1118" t="str">
        <f>Data_Master[[#This Row],[Uniq-ID]]&amp;"-"&amp;Data_Master[[#This Row],[Period]]</f>
        <v>QC-Quality_Control-010-M3</v>
      </c>
      <c r="D1118" t="s">
        <v>483</v>
      </c>
      <c r="E1118" t="s">
        <v>484</v>
      </c>
      <c r="F1118" t="s">
        <v>446</v>
      </c>
      <c r="G1118" t="s">
        <v>22</v>
      </c>
      <c r="H1118" t="s">
        <v>126</v>
      </c>
      <c r="I1118" t="s">
        <v>15</v>
      </c>
      <c r="K1118" t="s">
        <v>443</v>
      </c>
      <c r="L1118">
        <v>0.5</v>
      </c>
      <c r="T1118">
        <v>2</v>
      </c>
      <c r="V1118">
        <v>3</v>
      </c>
      <c r="W1118">
        <v>20</v>
      </c>
      <c r="X1118">
        <v>5</v>
      </c>
    </row>
    <row r="1119" spans="1:24">
      <c r="A1119" t="s">
        <v>438</v>
      </c>
      <c r="B1119" t="s">
        <v>482</v>
      </c>
      <c r="C1119" t="str">
        <f>Data_Master[[#This Row],[Uniq-ID]]&amp;"-"&amp;Data_Master[[#This Row],[Period]]</f>
        <v>QC-Quality_Control-010-M4</v>
      </c>
      <c r="D1119" t="s">
        <v>483</v>
      </c>
      <c r="E1119" t="s">
        <v>484</v>
      </c>
      <c r="F1119" t="s">
        <v>446</v>
      </c>
      <c r="G1119" t="s">
        <v>25</v>
      </c>
      <c r="H1119" t="s">
        <v>128</v>
      </c>
      <c r="I1119" t="s">
        <v>15</v>
      </c>
      <c r="K1119" t="s">
        <v>442</v>
      </c>
      <c r="L1119">
        <v>1.1000000000000001</v>
      </c>
      <c r="T1119">
        <v>19</v>
      </c>
      <c r="V1119">
        <v>3</v>
      </c>
      <c r="W1119">
        <v>20</v>
      </c>
      <c r="X1119">
        <v>22</v>
      </c>
    </row>
    <row r="1120" spans="1:24">
      <c r="A1120" t="s">
        <v>438</v>
      </c>
      <c r="B1120" t="s">
        <v>482</v>
      </c>
      <c r="C1120" t="str">
        <f>Data_Master[[#This Row],[Uniq-ID]]&amp;"-"&amp;Data_Master[[#This Row],[Period]]</f>
        <v>QC-Quality_Control-010-M5</v>
      </c>
      <c r="D1120" t="s">
        <v>483</v>
      </c>
      <c r="E1120" t="s">
        <v>484</v>
      </c>
      <c r="F1120" t="s">
        <v>446</v>
      </c>
      <c r="G1120" t="s">
        <v>28</v>
      </c>
      <c r="H1120" t="s">
        <v>130</v>
      </c>
      <c r="I1120" t="s">
        <v>15</v>
      </c>
      <c r="K1120" t="s">
        <v>443</v>
      </c>
      <c r="W1120">
        <v>20</v>
      </c>
    </row>
    <row r="1121" spans="1:24">
      <c r="A1121" t="s">
        <v>438</v>
      </c>
      <c r="B1121" t="s">
        <v>482</v>
      </c>
      <c r="C1121" t="str">
        <f>Data_Master[[#This Row],[Uniq-ID]]&amp;"-"&amp;Data_Master[[#This Row],[Period]]</f>
        <v>QC-Quality_Control-010-M6</v>
      </c>
      <c r="D1121" t="s">
        <v>483</v>
      </c>
      <c r="E1121" t="s">
        <v>484</v>
      </c>
      <c r="F1121" t="s">
        <v>446</v>
      </c>
      <c r="G1121" t="s">
        <v>31</v>
      </c>
      <c r="H1121" t="s">
        <v>132</v>
      </c>
      <c r="I1121" t="s">
        <v>33</v>
      </c>
      <c r="K1121" t="s">
        <v>443</v>
      </c>
      <c r="W1121">
        <v>20</v>
      </c>
    </row>
    <row r="1122" spans="1:24">
      <c r="A1122" t="s">
        <v>438</v>
      </c>
      <c r="B1122" t="s">
        <v>498</v>
      </c>
      <c r="C1122" t="str">
        <f>Data_Master[[#This Row],[Uniq-ID]]&amp;"-"&amp;Data_Master[[#This Row],[Period]]</f>
        <v>QC-Quality_Control-011-M1</v>
      </c>
      <c r="D1122" t="s">
        <v>499</v>
      </c>
      <c r="E1122" t="s">
        <v>76</v>
      </c>
      <c r="F1122" t="s">
        <v>500</v>
      </c>
      <c r="G1122" t="s">
        <v>13</v>
      </c>
      <c r="H1122" t="s">
        <v>14</v>
      </c>
      <c r="I1122" t="s">
        <v>15</v>
      </c>
      <c r="K1122" t="s">
        <v>442</v>
      </c>
      <c r="L1122">
        <v>1.5</v>
      </c>
      <c r="T1122">
        <v>27</v>
      </c>
      <c r="U1122">
        <v>0.5</v>
      </c>
      <c r="W1122">
        <v>15</v>
      </c>
      <c r="X1122">
        <v>27.5</v>
      </c>
    </row>
    <row r="1123" spans="1:24">
      <c r="A1123" t="s">
        <v>438</v>
      </c>
      <c r="B1123" t="s">
        <v>498</v>
      </c>
      <c r="C1123" t="str">
        <f>Data_Master[[#This Row],[Uniq-ID]]&amp;"-"&amp;Data_Master[[#This Row],[Period]]</f>
        <v>QC-Quality_Control-011-M2</v>
      </c>
      <c r="D1123" t="s">
        <v>499</v>
      </c>
      <c r="E1123" t="s">
        <v>76</v>
      </c>
      <c r="F1123" t="s">
        <v>500</v>
      </c>
      <c r="G1123" t="s">
        <v>18</v>
      </c>
      <c r="H1123" t="s">
        <v>19</v>
      </c>
      <c r="I1123" t="s">
        <v>15</v>
      </c>
      <c r="K1123" t="s">
        <v>442</v>
      </c>
      <c r="L1123">
        <v>1.2</v>
      </c>
      <c r="T1123">
        <v>15</v>
      </c>
      <c r="U1123">
        <v>3</v>
      </c>
      <c r="W1123">
        <v>15</v>
      </c>
      <c r="X1123">
        <v>18</v>
      </c>
    </row>
    <row r="1124" spans="1:24">
      <c r="A1124" t="s">
        <v>438</v>
      </c>
      <c r="B1124" t="s">
        <v>498</v>
      </c>
      <c r="C1124" t="str">
        <f>Data_Master[[#This Row],[Uniq-ID]]&amp;"-"&amp;Data_Master[[#This Row],[Period]]</f>
        <v>QC-Quality_Control-011-M3</v>
      </c>
      <c r="D1124" t="s">
        <v>499</v>
      </c>
      <c r="E1124" t="s">
        <v>76</v>
      </c>
      <c r="F1124" t="s">
        <v>500</v>
      </c>
      <c r="G1124" t="s">
        <v>22</v>
      </c>
      <c r="H1124" t="s">
        <v>23</v>
      </c>
      <c r="I1124" t="s">
        <v>15</v>
      </c>
      <c r="K1124" t="s">
        <v>442</v>
      </c>
      <c r="L1124">
        <v>1.5</v>
      </c>
      <c r="T1124">
        <v>25</v>
      </c>
      <c r="W1124">
        <v>15</v>
      </c>
      <c r="X1124">
        <v>25</v>
      </c>
    </row>
    <row r="1125" spans="1:24">
      <c r="A1125" t="s">
        <v>438</v>
      </c>
      <c r="B1125" t="s">
        <v>498</v>
      </c>
      <c r="C1125" t="str">
        <f>Data_Master[[#This Row],[Uniq-ID]]&amp;"-"&amp;Data_Master[[#This Row],[Period]]</f>
        <v>QC-Quality_Control-011-M4</v>
      </c>
      <c r="D1125" t="s">
        <v>499</v>
      </c>
      <c r="E1125" t="s">
        <v>76</v>
      </c>
      <c r="F1125" t="s">
        <v>500</v>
      </c>
      <c r="G1125" t="s">
        <v>25</v>
      </c>
      <c r="H1125" t="s">
        <v>26</v>
      </c>
      <c r="I1125" t="s">
        <v>15</v>
      </c>
      <c r="K1125" t="s">
        <v>442</v>
      </c>
      <c r="L1125">
        <v>1.5</v>
      </c>
      <c r="T1125">
        <v>23</v>
      </c>
      <c r="U1125">
        <v>0.5</v>
      </c>
      <c r="W1125">
        <v>15</v>
      </c>
      <c r="X1125">
        <v>23.5</v>
      </c>
    </row>
    <row r="1126" spans="1:24">
      <c r="A1126" t="s">
        <v>438</v>
      </c>
      <c r="B1126" t="s">
        <v>498</v>
      </c>
      <c r="C1126" t="str">
        <f>Data_Master[[#This Row],[Uniq-ID]]&amp;"-"&amp;Data_Master[[#This Row],[Period]]</f>
        <v>QC-Quality_Control-011-M5</v>
      </c>
      <c r="D1126" t="s">
        <v>499</v>
      </c>
      <c r="E1126" t="s">
        <v>76</v>
      </c>
      <c r="F1126" t="s">
        <v>500</v>
      </c>
      <c r="G1126" t="s">
        <v>28</v>
      </c>
      <c r="H1126" t="s">
        <v>29</v>
      </c>
      <c r="I1126" t="s">
        <v>15</v>
      </c>
      <c r="K1126" t="s">
        <v>442</v>
      </c>
      <c r="L1126">
        <v>1.4</v>
      </c>
      <c r="T1126">
        <v>21</v>
      </c>
      <c r="W1126">
        <v>15</v>
      </c>
      <c r="X1126">
        <v>21</v>
      </c>
    </row>
    <row r="1127" spans="1:24">
      <c r="A1127" t="s">
        <v>438</v>
      </c>
      <c r="B1127" t="s">
        <v>498</v>
      </c>
      <c r="C1127" t="str">
        <f>Data_Master[[#This Row],[Uniq-ID]]&amp;"-"&amp;Data_Master[[#This Row],[Period]]</f>
        <v>QC-Quality_Control-011-M6</v>
      </c>
      <c r="D1127" t="s">
        <v>499</v>
      </c>
      <c r="E1127" t="s">
        <v>76</v>
      </c>
      <c r="F1127" t="s">
        <v>500</v>
      </c>
      <c r="G1127" t="s">
        <v>31</v>
      </c>
      <c r="H1127" t="s">
        <v>32</v>
      </c>
      <c r="I1127" t="s">
        <v>33</v>
      </c>
      <c r="K1127" t="s">
        <v>443</v>
      </c>
      <c r="L1127">
        <v>0.53</v>
      </c>
      <c r="T1127">
        <v>8</v>
      </c>
      <c r="W1127">
        <v>15</v>
      </c>
      <c r="X1127">
        <v>8</v>
      </c>
    </row>
    <row r="1128" spans="1:24">
      <c r="A1128" t="s">
        <v>438</v>
      </c>
      <c r="B1128" t="s">
        <v>491</v>
      </c>
      <c r="C1128" t="str">
        <f>Data_Master[[#This Row],[Uniq-ID]]&amp;"-"&amp;Data_Master[[#This Row],[Period]]</f>
        <v>QC-Quality_Control-012-M1</v>
      </c>
      <c r="D1128" t="s">
        <v>492</v>
      </c>
      <c r="E1128" t="s">
        <v>76</v>
      </c>
      <c r="F1128" t="s">
        <v>493</v>
      </c>
      <c r="G1128" t="s">
        <v>13</v>
      </c>
      <c r="H1128" t="s">
        <v>14</v>
      </c>
      <c r="I1128" t="s">
        <v>15</v>
      </c>
      <c r="K1128" t="s">
        <v>442</v>
      </c>
      <c r="L1128">
        <v>1.5</v>
      </c>
      <c r="T1128">
        <v>20</v>
      </c>
      <c r="U1128">
        <v>4</v>
      </c>
      <c r="W1128">
        <v>15</v>
      </c>
      <c r="X1128">
        <v>24</v>
      </c>
    </row>
    <row r="1129" spans="1:24">
      <c r="A1129" t="s">
        <v>438</v>
      </c>
      <c r="B1129" t="s">
        <v>491</v>
      </c>
      <c r="C1129" t="str">
        <f>Data_Master[[#This Row],[Uniq-ID]]&amp;"-"&amp;Data_Master[[#This Row],[Period]]</f>
        <v>QC-Quality_Control-012-M2</v>
      </c>
      <c r="D1129" t="s">
        <v>492</v>
      </c>
      <c r="E1129" t="s">
        <v>76</v>
      </c>
      <c r="F1129" t="s">
        <v>493</v>
      </c>
      <c r="G1129" t="s">
        <v>18</v>
      </c>
      <c r="H1129" t="s">
        <v>19</v>
      </c>
      <c r="I1129" t="s">
        <v>15</v>
      </c>
      <c r="K1129" t="s">
        <v>442</v>
      </c>
      <c r="L1129">
        <v>1.5</v>
      </c>
      <c r="T1129">
        <v>29</v>
      </c>
      <c r="U1129">
        <v>4</v>
      </c>
      <c r="W1129">
        <v>15</v>
      </c>
      <c r="X1129">
        <v>33</v>
      </c>
    </row>
    <row r="1130" spans="1:24">
      <c r="A1130" t="s">
        <v>438</v>
      </c>
      <c r="B1130" t="s">
        <v>491</v>
      </c>
      <c r="C1130" t="str">
        <f>Data_Master[[#This Row],[Uniq-ID]]&amp;"-"&amp;Data_Master[[#This Row],[Period]]</f>
        <v>QC-Quality_Control-012-M3</v>
      </c>
      <c r="D1130" t="s">
        <v>492</v>
      </c>
      <c r="E1130" t="s">
        <v>76</v>
      </c>
      <c r="F1130" t="s">
        <v>493</v>
      </c>
      <c r="G1130" t="s">
        <v>22</v>
      </c>
      <c r="H1130" t="s">
        <v>23</v>
      </c>
      <c r="I1130" t="s">
        <v>15</v>
      </c>
      <c r="K1130" t="s">
        <v>442</v>
      </c>
      <c r="L1130">
        <v>1.5</v>
      </c>
      <c r="T1130">
        <v>26</v>
      </c>
      <c r="U1130">
        <v>16.5</v>
      </c>
      <c r="W1130">
        <v>15</v>
      </c>
      <c r="X1130">
        <v>42.5</v>
      </c>
    </row>
    <row r="1131" spans="1:24">
      <c r="A1131" t="s">
        <v>438</v>
      </c>
      <c r="B1131" t="s">
        <v>491</v>
      </c>
      <c r="C1131" t="str">
        <f>Data_Master[[#This Row],[Uniq-ID]]&amp;"-"&amp;Data_Master[[#This Row],[Period]]</f>
        <v>QC-Quality_Control-012-M4</v>
      </c>
      <c r="D1131" t="s">
        <v>492</v>
      </c>
      <c r="E1131" t="s">
        <v>76</v>
      </c>
      <c r="F1131" t="s">
        <v>493</v>
      </c>
      <c r="G1131" t="s">
        <v>25</v>
      </c>
      <c r="H1131" t="s">
        <v>26</v>
      </c>
      <c r="I1131" t="s">
        <v>15</v>
      </c>
      <c r="K1131" t="s">
        <v>442</v>
      </c>
      <c r="L1131">
        <v>1.5</v>
      </c>
      <c r="T1131">
        <v>34</v>
      </c>
      <c r="U1131">
        <v>6.5</v>
      </c>
      <c r="W1131">
        <v>15</v>
      </c>
      <c r="X1131">
        <v>40.5</v>
      </c>
    </row>
    <row r="1132" spans="1:24">
      <c r="A1132" t="s">
        <v>438</v>
      </c>
      <c r="B1132" t="s">
        <v>491</v>
      </c>
      <c r="C1132" t="str">
        <f>Data_Master[[#This Row],[Uniq-ID]]&amp;"-"&amp;Data_Master[[#This Row],[Period]]</f>
        <v>QC-Quality_Control-012-M5</v>
      </c>
      <c r="D1132" t="s">
        <v>492</v>
      </c>
      <c r="E1132" t="s">
        <v>76</v>
      </c>
      <c r="F1132" t="s">
        <v>493</v>
      </c>
      <c r="G1132" t="s">
        <v>28</v>
      </c>
      <c r="H1132" t="s">
        <v>29</v>
      </c>
      <c r="I1132" t="s">
        <v>15</v>
      </c>
      <c r="K1132" t="s">
        <v>442</v>
      </c>
      <c r="L1132">
        <v>1.5</v>
      </c>
      <c r="T1132">
        <v>24</v>
      </c>
      <c r="U1132">
        <v>3.5</v>
      </c>
      <c r="W1132">
        <v>15</v>
      </c>
      <c r="X1132">
        <v>27.5</v>
      </c>
    </row>
    <row r="1133" spans="1:24">
      <c r="A1133" t="s">
        <v>438</v>
      </c>
      <c r="B1133" t="s">
        <v>491</v>
      </c>
      <c r="C1133" t="str">
        <f>Data_Master[[#This Row],[Uniq-ID]]&amp;"-"&amp;Data_Master[[#This Row],[Period]]</f>
        <v>QC-Quality_Control-012-M6</v>
      </c>
      <c r="D1133" t="s">
        <v>492</v>
      </c>
      <c r="E1133" t="s">
        <v>76</v>
      </c>
      <c r="F1133" t="s">
        <v>493</v>
      </c>
      <c r="G1133" t="s">
        <v>31</v>
      </c>
      <c r="H1133" t="s">
        <v>32</v>
      </c>
      <c r="I1133" t="s">
        <v>33</v>
      </c>
      <c r="K1133" t="s">
        <v>442</v>
      </c>
      <c r="L1133">
        <v>1.3</v>
      </c>
      <c r="T1133">
        <v>15</v>
      </c>
      <c r="U1133">
        <v>4.5</v>
      </c>
      <c r="W1133">
        <v>15</v>
      </c>
      <c r="X1133">
        <v>19.5</v>
      </c>
    </row>
    <row r="1134" spans="1:24">
      <c r="A1134" t="s">
        <v>438</v>
      </c>
      <c r="B1134" t="s">
        <v>489</v>
      </c>
      <c r="C1134" t="str">
        <f>Data_Master[[#This Row],[Uniq-ID]]&amp;"-"&amp;Data_Master[[#This Row],[Period]]</f>
        <v>QC-Quality_Control-013-M1</v>
      </c>
      <c r="D1134" t="s">
        <v>490</v>
      </c>
      <c r="E1134" t="s">
        <v>11</v>
      </c>
      <c r="F1134" t="s">
        <v>475</v>
      </c>
      <c r="G1134" t="s">
        <v>13</v>
      </c>
      <c r="H1134" t="s">
        <v>14</v>
      </c>
      <c r="I1134" t="s">
        <v>15</v>
      </c>
      <c r="K1134" t="s">
        <v>442</v>
      </c>
      <c r="L1134">
        <v>1.5</v>
      </c>
      <c r="T1134">
        <v>40</v>
      </c>
      <c r="U1134">
        <v>3</v>
      </c>
      <c r="W1134">
        <v>20</v>
      </c>
      <c r="X1134">
        <v>43</v>
      </c>
    </row>
    <row r="1135" spans="1:24">
      <c r="A1135" t="s">
        <v>438</v>
      </c>
      <c r="B1135" t="s">
        <v>489</v>
      </c>
      <c r="C1135" t="str">
        <f>Data_Master[[#This Row],[Uniq-ID]]&amp;"-"&amp;Data_Master[[#This Row],[Period]]</f>
        <v>QC-Quality_Control-013-M2</v>
      </c>
      <c r="D1135" t="s">
        <v>490</v>
      </c>
      <c r="E1135" t="s">
        <v>11</v>
      </c>
      <c r="F1135" t="s">
        <v>475</v>
      </c>
      <c r="G1135" t="s">
        <v>18</v>
      </c>
      <c r="H1135" t="s">
        <v>19</v>
      </c>
      <c r="I1135" t="s">
        <v>15</v>
      </c>
      <c r="K1135" t="s">
        <v>442</v>
      </c>
      <c r="L1135">
        <v>1.5</v>
      </c>
      <c r="T1135">
        <v>70</v>
      </c>
      <c r="U1135">
        <v>1</v>
      </c>
      <c r="W1135">
        <v>20</v>
      </c>
      <c r="X1135">
        <v>71</v>
      </c>
    </row>
    <row r="1136" spans="1:24">
      <c r="A1136" t="s">
        <v>438</v>
      </c>
      <c r="B1136" t="s">
        <v>489</v>
      </c>
      <c r="C1136" t="str">
        <f>Data_Master[[#This Row],[Uniq-ID]]&amp;"-"&amp;Data_Master[[#This Row],[Period]]</f>
        <v>QC-Quality_Control-013-M3</v>
      </c>
      <c r="D1136" t="s">
        <v>490</v>
      </c>
      <c r="E1136" t="s">
        <v>11</v>
      </c>
      <c r="F1136" t="s">
        <v>475</v>
      </c>
      <c r="G1136" t="s">
        <v>22</v>
      </c>
      <c r="H1136" t="s">
        <v>23</v>
      </c>
      <c r="I1136" t="s">
        <v>15</v>
      </c>
      <c r="K1136" t="s">
        <v>442</v>
      </c>
      <c r="L1136">
        <v>1.5</v>
      </c>
      <c r="T1136">
        <v>37</v>
      </c>
      <c r="W1136">
        <v>20</v>
      </c>
      <c r="X1136">
        <v>37</v>
      </c>
    </row>
    <row r="1137" spans="1:24">
      <c r="A1137" t="s">
        <v>438</v>
      </c>
      <c r="B1137" t="s">
        <v>489</v>
      </c>
      <c r="C1137" t="str">
        <f>Data_Master[[#This Row],[Uniq-ID]]&amp;"-"&amp;Data_Master[[#This Row],[Period]]</f>
        <v>QC-Quality_Control-013-M4</v>
      </c>
      <c r="D1137" t="s">
        <v>490</v>
      </c>
      <c r="E1137" t="s">
        <v>11</v>
      </c>
      <c r="F1137" t="s">
        <v>475</v>
      </c>
      <c r="G1137" t="s">
        <v>25</v>
      </c>
      <c r="H1137" t="s">
        <v>26</v>
      </c>
      <c r="I1137" t="s">
        <v>15</v>
      </c>
      <c r="K1137" t="s">
        <v>442</v>
      </c>
      <c r="L1137">
        <v>1.5</v>
      </c>
      <c r="T1137">
        <v>39</v>
      </c>
      <c r="U1137">
        <v>3</v>
      </c>
      <c r="V1137">
        <v>1</v>
      </c>
      <c r="W1137">
        <v>20</v>
      </c>
      <c r="X1137">
        <v>43</v>
      </c>
    </row>
    <row r="1138" spans="1:24">
      <c r="A1138" t="s">
        <v>438</v>
      </c>
      <c r="B1138" t="s">
        <v>489</v>
      </c>
      <c r="C1138" t="str">
        <f>Data_Master[[#This Row],[Uniq-ID]]&amp;"-"&amp;Data_Master[[#This Row],[Period]]</f>
        <v>QC-Quality_Control-013-M5</v>
      </c>
      <c r="D1138" t="s">
        <v>490</v>
      </c>
      <c r="E1138" t="s">
        <v>11</v>
      </c>
      <c r="F1138" t="s">
        <v>475</v>
      </c>
      <c r="G1138" t="s">
        <v>28</v>
      </c>
      <c r="H1138" t="s">
        <v>29</v>
      </c>
      <c r="I1138" t="s">
        <v>15</v>
      </c>
      <c r="K1138" t="s">
        <v>442</v>
      </c>
      <c r="L1138">
        <v>1.5</v>
      </c>
      <c r="T1138">
        <v>48</v>
      </c>
      <c r="W1138">
        <v>20</v>
      </c>
      <c r="X1138">
        <v>48</v>
      </c>
    </row>
    <row r="1139" spans="1:24">
      <c r="A1139" t="s">
        <v>438</v>
      </c>
      <c r="B1139" t="s">
        <v>489</v>
      </c>
      <c r="C1139" t="str">
        <f>Data_Master[[#This Row],[Uniq-ID]]&amp;"-"&amp;Data_Master[[#This Row],[Period]]</f>
        <v>QC-Quality_Control-013-M6</v>
      </c>
      <c r="D1139" t="s">
        <v>490</v>
      </c>
      <c r="E1139" t="s">
        <v>11</v>
      </c>
      <c r="F1139" t="s">
        <v>475</v>
      </c>
      <c r="G1139" t="s">
        <v>31</v>
      </c>
      <c r="H1139" t="s">
        <v>32</v>
      </c>
      <c r="I1139" t="s">
        <v>33</v>
      </c>
      <c r="K1139" t="s">
        <v>443</v>
      </c>
      <c r="L1139">
        <v>0.5</v>
      </c>
      <c r="V1139">
        <v>1</v>
      </c>
      <c r="W1139">
        <v>20</v>
      </c>
      <c r="X1139">
        <v>1</v>
      </c>
    </row>
    <row r="1140" spans="1:24">
      <c r="A1140" t="s">
        <v>438</v>
      </c>
      <c r="B1140" t="s">
        <v>480</v>
      </c>
      <c r="C1140" t="str">
        <f>Data_Master[[#This Row],[Uniq-ID]]&amp;"-"&amp;Data_Master[[#This Row],[Period]]</f>
        <v>QC-Quality_Control-014-M1</v>
      </c>
      <c r="D1140" t="s">
        <v>481</v>
      </c>
      <c r="E1140" t="s">
        <v>48</v>
      </c>
      <c r="F1140" t="s">
        <v>457</v>
      </c>
      <c r="G1140" t="s">
        <v>13</v>
      </c>
      <c r="H1140" t="s">
        <v>14</v>
      </c>
      <c r="I1140" t="s">
        <v>15</v>
      </c>
      <c r="K1140" t="s">
        <v>442</v>
      </c>
      <c r="L1140">
        <v>1.35</v>
      </c>
      <c r="T1140">
        <v>16</v>
      </c>
      <c r="U1140">
        <v>11</v>
      </c>
      <c r="W1140">
        <v>20</v>
      </c>
      <c r="X1140">
        <v>27</v>
      </c>
    </row>
    <row r="1141" spans="1:24">
      <c r="A1141" t="s">
        <v>438</v>
      </c>
      <c r="B1141" t="s">
        <v>480</v>
      </c>
      <c r="C1141" t="str">
        <f>Data_Master[[#This Row],[Uniq-ID]]&amp;"-"&amp;Data_Master[[#This Row],[Period]]</f>
        <v>QC-Quality_Control-014-M2</v>
      </c>
      <c r="D1141" t="s">
        <v>481</v>
      </c>
      <c r="E1141" t="s">
        <v>48</v>
      </c>
      <c r="F1141" t="s">
        <v>457</v>
      </c>
      <c r="G1141" t="s">
        <v>18</v>
      </c>
      <c r="H1141" t="s">
        <v>19</v>
      </c>
      <c r="I1141" t="s">
        <v>15</v>
      </c>
      <c r="K1141" t="s">
        <v>442</v>
      </c>
      <c r="L1141">
        <v>1.5</v>
      </c>
      <c r="T1141">
        <v>21</v>
      </c>
      <c r="U1141">
        <v>7</v>
      </c>
      <c r="V1141">
        <v>4</v>
      </c>
      <c r="W1141">
        <v>20</v>
      </c>
      <c r="X1141">
        <v>32</v>
      </c>
    </row>
    <row r="1142" spans="1:24">
      <c r="A1142" t="s">
        <v>438</v>
      </c>
      <c r="B1142" t="s">
        <v>480</v>
      </c>
      <c r="C1142" t="str">
        <f>Data_Master[[#This Row],[Uniq-ID]]&amp;"-"&amp;Data_Master[[#This Row],[Period]]</f>
        <v>QC-Quality_Control-014-M3</v>
      </c>
      <c r="D1142" t="s">
        <v>481</v>
      </c>
      <c r="E1142" t="s">
        <v>48</v>
      </c>
      <c r="F1142" t="s">
        <v>457</v>
      </c>
      <c r="G1142" t="s">
        <v>22</v>
      </c>
      <c r="H1142" t="s">
        <v>23</v>
      </c>
      <c r="I1142" t="s">
        <v>15</v>
      </c>
      <c r="K1142" t="s">
        <v>442</v>
      </c>
      <c r="L1142">
        <v>1.5</v>
      </c>
      <c r="T1142">
        <v>44</v>
      </c>
      <c r="U1142">
        <v>9.5</v>
      </c>
      <c r="V1142">
        <v>4</v>
      </c>
      <c r="W1142">
        <v>20</v>
      </c>
      <c r="X1142">
        <v>57.5</v>
      </c>
    </row>
    <row r="1143" spans="1:24">
      <c r="A1143" t="s">
        <v>438</v>
      </c>
      <c r="B1143" t="s">
        <v>480</v>
      </c>
      <c r="C1143" t="str">
        <f>Data_Master[[#This Row],[Uniq-ID]]&amp;"-"&amp;Data_Master[[#This Row],[Period]]</f>
        <v>QC-Quality_Control-014-M4</v>
      </c>
      <c r="D1143" t="s">
        <v>481</v>
      </c>
      <c r="E1143" t="s">
        <v>48</v>
      </c>
      <c r="F1143" t="s">
        <v>457</v>
      </c>
      <c r="G1143" t="s">
        <v>25</v>
      </c>
      <c r="H1143" t="s">
        <v>26</v>
      </c>
      <c r="I1143" t="s">
        <v>15</v>
      </c>
      <c r="K1143" t="s">
        <v>442</v>
      </c>
      <c r="L1143">
        <v>1.5</v>
      </c>
      <c r="T1143">
        <v>43</v>
      </c>
      <c r="U1143">
        <v>3</v>
      </c>
      <c r="V1143">
        <v>5</v>
      </c>
      <c r="W1143">
        <v>20</v>
      </c>
      <c r="X1143">
        <v>51</v>
      </c>
    </row>
    <row r="1144" spans="1:24">
      <c r="A1144" t="s">
        <v>438</v>
      </c>
      <c r="B1144" t="s">
        <v>480</v>
      </c>
      <c r="C1144" t="str">
        <f>Data_Master[[#This Row],[Uniq-ID]]&amp;"-"&amp;Data_Master[[#This Row],[Period]]</f>
        <v>QC-Quality_Control-014-M5</v>
      </c>
      <c r="D1144" t="s">
        <v>481</v>
      </c>
      <c r="E1144" t="s">
        <v>48</v>
      </c>
      <c r="F1144" t="s">
        <v>457</v>
      </c>
      <c r="G1144" t="s">
        <v>28</v>
      </c>
      <c r="H1144" t="s">
        <v>29</v>
      </c>
      <c r="I1144" t="s">
        <v>15</v>
      </c>
      <c r="K1144" t="s">
        <v>442</v>
      </c>
      <c r="L1144">
        <v>1.5</v>
      </c>
      <c r="T1144">
        <v>36</v>
      </c>
      <c r="U1144">
        <v>2.5</v>
      </c>
      <c r="V1144">
        <v>2</v>
      </c>
      <c r="W1144">
        <v>20</v>
      </c>
      <c r="X1144">
        <v>40.5</v>
      </c>
    </row>
    <row r="1145" spans="1:24">
      <c r="A1145" t="s">
        <v>438</v>
      </c>
      <c r="B1145" t="s">
        <v>480</v>
      </c>
      <c r="C1145" t="str">
        <f>Data_Master[[#This Row],[Uniq-ID]]&amp;"-"&amp;Data_Master[[#This Row],[Period]]</f>
        <v>QC-Quality_Control-014-M6</v>
      </c>
      <c r="D1145" t="s">
        <v>481</v>
      </c>
      <c r="E1145" t="s">
        <v>48</v>
      </c>
      <c r="F1145" t="s">
        <v>457</v>
      </c>
      <c r="G1145" t="s">
        <v>31</v>
      </c>
      <c r="H1145" t="s">
        <v>32</v>
      </c>
      <c r="I1145" t="s">
        <v>33</v>
      </c>
      <c r="K1145" t="s">
        <v>442</v>
      </c>
      <c r="L1145">
        <v>1.35</v>
      </c>
      <c r="T1145">
        <v>27</v>
      </c>
      <c r="W1145">
        <v>20</v>
      </c>
      <c r="X1145">
        <v>27</v>
      </c>
    </row>
    <row r="1146" spans="1:24">
      <c r="A1146" t="s">
        <v>438</v>
      </c>
      <c r="B1146" t="s">
        <v>466</v>
      </c>
      <c r="C1146" t="str">
        <f>Data_Master[[#This Row],[Uniq-ID]]&amp;"-"&amp;Data_Master[[#This Row],[Period]]</f>
        <v>QC-Quality_Control-015-M1</v>
      </c>
      <c r="D1146" t="s">
        <v>467</v>
      </c>
      <c r="E1146" t="s">
        <v>11</v>
      </c>
      <c r="F1146" t="s">
        <v>468</v>
      </c>
      <c r="G1146" t="s">
        <v>13</v>
      </c>
      <c r="H1146" t="s">
        <v>14</v>
      </c>
      <c r="I1146" t="s">
        <v>15</v>
      </c>
      <c r="K1146" t="s">
        <v>442</v>
      </c>
      <c r="L1146">
        <v>1.33</v>
      </c>
      <c r="T1146">
        <v>11</v>
      </c>
      <c r="U1146">
        <v>15.5</v>
      </c>
      <c r="W1146">
        <v>20</v>
      </c>
      <c r="X1146">
        <v>26.5</v>
      </c>
    </row>
    <row r="1147" spans="1:24">
      <c r="A1147" t="s">
        <v>438</v>
      </c>
      <c r="B1147" t="s">
        <v>466</v>
      </c>
      <c r="C1147" t="str">
        <f>Data_Master[[#This Row],[Uniq-ID]]&amp;"-"&amp;Data_Master[[#This Row],[Period]]</f>
        <v>QC-Quality_Control-015-M2</v>
      </c>
      <c r="D1147" t="s">
        <v>467</v>
      </c>
      <c r="E1147" t="s">
        <v>11</v>
      </c>
      <c r="F1147" t="s">
        <v>468</v>
      </c>
      <c r="G1147" t="s">
        <v>18</v>
      </c>
      <c r="H1147" t="s">
        <v>19</v>
      </c>
      <c r="I1147" t="s">
        <v>15</v>
      </c>
      <c r="K1147" t="s">
        <v>442</v>
      </c>
      <c r="L1147">
        <v>1.5</v>
      </c>
      <c r="T1147">
        <v>31</v>
      </c>
      <c r="U1147">
        <v>9</v>
      </c>
      <c r="V1147">
        <v>2</v>
      </c>
      <c r="W1147">
        <v>20</v>
      </c>
      <c r="X1147">
        <v>42</v>
      </c>
    </row>
    <row r="1148" spans="1:24">
      <c r="A1148" t="s">
        <v>438</v>
      </c>
      <c r="B1148" t="s">
        <v>466</v>
      </c>
      <c r="C1148" t="str">
        <f>Data_Master[[#This Row],[Uniq-ID]]&amp;"-"&amp;Data_Master[[#This Row],[Period]]</f>
        <v>QC-Quality_Control-015-M3</v>
      </c>
      <c r="D1148" t="s">
        <v>467</v>
      </c>
      <c r="E1148" t="s">
        <v>11</v>
      </c>
      <c r="F1148" t="s">
        <v>468</v>
      </c>
      <c r="G1148" t="s">
        <v>22</v>
      </c>
      <c r="H1148" t="s">
        <v>23</v>
      </c>
      <c r="I1148" t="s">
        <v>15</v>
      </c>
      <c r="K1148" t="s">
        <v>442</v>
      </c>
      <c r="L1148">
        <v>1.5</v>
      </c>
      <c r="T1148">
        <v>34</v>
      </c>
      <c r="U1148">
        <v>7</v>
      </c>
      <c r="V1148">
        <v>2</v>
      </c>
      <c r="W1148">
        <v>20</v>
      </c>
      <c r="X1148">
        <v>43</v>
      </c>
    </row>
    <row r="1149" spans="1:24">
      <c r="A1149" t="s">
        <v>438</v>
      </c>
      <c r="B1149" t="s">
        <v>466</v>
      </c>
      <c r="C1149" t="str">
        <f>Data_Master[[#This Row],[Uniq-ID]]&amp;"-"&amp;Data_Master[[#This Row],[Period]]</f>
        <v>QC-Quality_Control-015-M4</v>
      </c>
      <c r="D1149" t="s">
        <v>467</v>
      </c>
      <c r="E1149" t="s">
        <v>11</v>
      </c>
      <c r="F1149" t="s">
        <v>468</v>
      </c>
      <c r="G1149" t="s">
        <v>25</v>
      </c>
      <c r="H1149" t="s">
        <v>26</v>
      </c>
      <c r="I1149" t="s">
        <v>15</v>
      </c>
      <c r="K1149" t="s">
        <v>442</v>
      </c>
      <c r="L1149">
        <v>1.5</v>
      </c>
      <c r="T1149">
        <v>28</v>
      </c>
      <c r="U1149">
        <v>4</v>
      </c>
      <c r="V1149">
        <v>4</v>
      </c>
      <c r="W1149">
        <v>20</v>
      </c>
      <c r="X1149">
        <v>36</v>
      </c>
    </row>
    <row r="1150" spans="1:24">
      <c r="A1150" t="s">
        <v>438</v>
      </c>
      <c r="B1150" t="s">
        <v>466</v>
      </c>
      <c r="C1150" t="str">
        <f>Data_Master[[#This Row],[Uniq-ID]]&amp;"-"&amp;Data_Master[[#This Row],[Period]]</f>
        <v>QC-Quality_Control-015-M5</v>
      </c>
      <c r="D1150" t="s">
        <v>467</v>
      </c>
      <c r="E1150" t="s">
        <v>11</v>
      </c>
      <c r="F1150" t="s">
        <v>468</v>
      </c>
      <c r="G1150" t="s">
        <v>28</v>
      </c>
      <c r="H1150" t="s">
        <v>29</v>
      </c>
      <c r="I1150" t="s">
        <v>15</v>
      </c>
      <c r="K1150" t="s">
        <v>442</v>
      </c>
      <c r="L1150">
        <v>1.5</v>
      </c>
      <c r="T1150">
        <v>28</v>
      </c>
      <c r="U1150">
        <v>2</v>
      </c>
      <c r="V1150">
        <v>4</v>
      </c>
      <c r="W1150">
        <v>20</v>
      </c>
      <c r="X1150">
        <v>34</v>
      </c>
    </row>
    <row r="1151" spans="1:24">
      <c r="A1151" t="s">
        <v>438</v>
      </c>
      <c r="B1151" t="s">
        <v>466</v>
      </c>
      <c r="C1151" t="str">
        <f>Data_Master[[#This Row],[Uniq-ID]]&amp;"-"&amp;Data_Master[[#This Row],[Period]]</f>
        <v>QC-Quality_Control-015-M6</v>
      </c>
      <c r="D1151" t="s">
        <v>467</v>
      </c>
      <c r="E1151" t="s">
        <v>11</v>
      </c>
      <c r="F1151" t="s">
        <v>468</v>
      </c>
      <c r="G1151" t="s">
        <v>31</v>
      </c>
      <c r="H1151" t="s">
        <v>32</v>
      </c>
      <c r="I1151" t="s">
        <v>33</v>
      </c>
      <c r="K1151" t="s">
        <v>443</v>
      </c>
      <c r="L1151">
        <v>0.75</v>
      </c>
      <c r="T1151">
        <v>11</v>
      </c>
      <c r="U1151">
        <v>2</v>
      </c>
      <c r="V1151">
        <v>2</v>
      </c>
      <c r="W1151">
        <v>20</v>
      </c>
      <c r="X1151">
        <v>15</v>
      </c>
    </row>
    <row r="1152" spans="1:24">
      <c r="A1152" t="s">
        <v>438</v>
      </c>
      <c r="B1152" t="s">
        <v>471</v>
      </c>
      <c r="C1152" t="str">
        <f>Data_Master[[#This Row],[Uniq-ID]]&amp;"-"&amp;Data_Master[[#This Row],[Period]]</f>
        <v>QC-Quality_Control-016-M1</v>
      </c>
      <c r="D1152" t="s">
        <v>472</v>
      </c>
      <c r="E1152" t="s">
        <v>48</v>
      </c>
      <c r="F1152" t="s">
        <v>468</v>
      </c>
      <c r="G1152" t="s">
        <v>13</v>
      </c>
      <c r="H1152" t="s">
        <v>14</v>
      </c>
      <c r="I1152" t="s">
        <v>15</v>
      </c>
      <c r="K1152" t="s">
        <v>442</v>
      </c>
      <c r="L1152">
        <v>1.5</v>
      </c>
      <c r="T1152">
        <v>24</v>
      </c>
      <c r="U1152">
        <v>13.5</v>
      </c>
      <c r="V1152">
        <v>1</v>
      </c>
      <c r="W1152">
        <v>20</v>
      </c>
      <c r="X1152">
        <v>38.5</v>
      </c>
    </row>
    <row r="1153" spans="1:24">
      <c r="A1153" t="s">
        <v>438</v>
      </c>
      <c r="B1153" t="s">
        <v>471</v>
      </c>
      <c r="C1153" t="str">
        <f>Data_Master[[#This Row],[Uniq-ID]]&amp;"-"&amp;Data_Master[[#This Row],[Period]]</f>
        <v>QC-Quality_Control-016-M2</v>
      </c>
      <c r="D1153" t="s">
        <v>472</v>
      </c>
      <c r="E1153" t="s">
        <v>48</v>
      </c>
      <c r="F1153" t="s">
        <v>468</v>
      </c>
      <c r="G1153" t="s">
        <v>18</v>
      </c>
      <c r="H1153" t="s">
        <v>19</v>
      </c>
      <c r="I1153" t="s">
        <v>15</v>
      </c>
      <c r="K1153" t="s">
        <v>442</v>
      </c>
      <c r="L1153">
        <v>1.5</v>
      </c>
      <c r="T1153">
        <v>37</v>
      </c>
      <c r="U1153">
        <v>6.5</v>
      </c>
      <c r="V1153">
        <v>3</v>
      </c>
      <c r="W1153">
        <v>20</v>
      </c>
      <c r="X1153">
        <v>46.5</v>
      </c>
    </row>
    <row r="1154" spans="1:24">
      <c r="A1154" t="s">
        <v>438</v>
      </c>
      <c r="B1154" t="s">
        <v>471</v>
      </c>
      <c r="C1154" t="str">
        <f>Data_Master[[#This Row],[Uniq-ID]]&amp;"-"&amp;Data_Master[[#This Row],[Period]]</f>
        <v>QC-Quality_Control-016-M3</v>
      </c>
      <c r="D1154" t="s">
        <v>472</v>
      </c>
      <c r="E1154" t="s">
        <v>48</v>
      </c>
      <c r="F1154" t="s">
        <v>468</v>
      </c>
      <c r="G1154" t="s">
        <v>22</v>
      </c>
      <c r="H1154" t="s">
        <v>23</v>
      </c>
      <c r="I1154" t="s">
        <v>15</v>
      </c>
      <c r="K1154" t="s">
        <v>442</v>
      </c>
      <c r="L1154">
        <v>1.5</v>
      </c>
      <c r="T1154">
        <v>30</v>
      </c>
      <c r="U1154">
        <v>8</v>
      </c>
      <c r="V1154">
        <v>6</v>
      </c>
      <c r="W1154">
        <v>20</v>
      </c>
      <c r="X1154">
        <v>44</v>
      </c>
    </row>
    <row r="1155" spans="1:24">
      <c r="A1155" t="s">
        <v>438</v>
      </c>
      <c r="B1155" t="s">
        <v>471</v>
      </c>
      <c r="C1155" t="str">
        <f>Data_Master[[#This Row],[Uniq-ID]]&amp;"-"&amp;Data_Master[[#This Row],[Period]]</f>
        <v>QC-Quality_Control-016-M4</v>
      </c>
      <c r="D1155" t="s">
        <v>472</v>
      </c>
      <c r="E1155" t="s">
        <v>48</v>
      </c>
      <c r="F1155" t="s">
        <v>468</v>
      </c>
      <c r="G1155" t="s">
        <v>25</v>
      </c>
      <c r="H1155" t="s">
        <v>26</v>
      </c>
      <c r="I1155" t="s">
        <v>15</v>
      </c>
      <c r="K1155" t="s">
        <v>442</v>
      </c>
      <c r="L1155">
        <v>1.5</v>
      </c>
      <c r="T1155">
        <v>34</v>
      </c>
      <c r="U1155">
        <v>1.5</v>
      </c>
      <c r="V1155">
        <v>7</v>
      </c>
      <c r="W1155">
        <v>20</v>
      </c>
      <c r="X1155">
        <v>42.5</v>
      </c>
    </row>
    <row r="1156" spans="1:24">
      <c r="A1156" t="s">
        <v>438</v>
      </c>
      <c r="B1156" t="s">
        <v>471</v>
      </c>
      <c r="C1156" t="str">
        <f>Data_Master[[#This Row],[Uniq-ID]]&amp;"-"&amp;Data_Master[[#This Row],[Period]]</f>
        <v>QC-Quality_Control-016-M5</v>
      </c>
      <c r="D1156" t="s">
        <v>472</v>
      </c>
      <c r="E1156" t="s">
        <v>48</v>
      </c>
      <c r="F1156" t="s">
        <v>468</v>
      </c>
      <c r="G1156" t="s">
        <v>28</v>
      </c>
      <c r="H1156" t="s">
        <v>29</v>
      </c>
      <c r="I1156" t="s">
        <v>15</v>
      </c>
      <c r="K1156" t="s">
        <v>442</v>
      </c>
      <c r="L1156">
        <v>1.5</v>
      </c>
      <c r="T1156">
        <v>34</v>
      </c>
      <c r="U1156">
        <v>1.5</v>
      </c>
      <c r="V1156">
        <v>4</v>
      </c>
      <c r="W1156">
        <v>20</v>
      </c>
      <c r="X1156">
        <v>39.5</v>
      </c>
    </row>
    <row r="1157" spans="1:24">
      <c r="A1157" t="s">
        <v>438</v>
      </c>
      <c r="B1157" t="s">
        <v>471</v>
      </c>
      <c r="C1157" t="str">
        <f>Data_Master[[#This Row],[Uniq-ID]]&amp;"-"&amp;Data_Master[[#This Row],[Period]]</f>
        <v>QC-Quality_Control-016-M6</v>
      </c>
      <c r="D1157" t="s">
        <v>472</v>
      </c>
      <c r="E1157" t="s">
        <v>48</v>
      </c>
      <c r="F1157" t="s">
        <v>468</v>
      </c>
      <c r="G1157" t="s">
        <v>31</v>
      </c>
      <c r="H1157" t="s">
        <v>32</v>
      </c>
      <c r="I1157" t="s">
        <v>33</v>
      </c>
      <c r="K1157" t="s">
        <v>442</v>
      </c>
      <c r="L1157">
        <v>1.18</v>
      </c>
      <c r="T1157">
        <v>22</v>
      </c>
      <c r="U1157">
        <v>0.5</v>
      </c>
      <c r="V1157">
        <v>1</v>
      </c>
      <c r="W1157">
        <v>20</v>
      </c>
      <c r="X1157">
        <v>23.5</v>
      </c>
    </row>
    <row r="1158" spans="1:24">
      <c r="A1158" t="s">
        <v>438</v>
      </c>
      <c r="B1158" t="s">
        <v>510</v>
      </c>
      <c r="C1158" t="str">
        <f>Data_Master[[#This Row],[Uniq-ID]]&amp;"-"&amp;Data_Master[[#This Row],[Period]]</f>
        <v>QC-Quality_Control-017-M1</v>
      </c>
      <c r="D1158" t="s">
        <v>511</v>
      </c>
      <c r="E1158" t="s">
        <v>250</v>
      </c>
      <c r="F1158" t="s">
        <v>446</v>
      </c>
      <c r="G1158" t="s">
        <v>13</v>
      </c>
      <c r="H1158" t="s">
        <v>14</v>
      </c>
      <c r="I1158" t="s">
        <v>15</v>
      </c>
      <c r="K1158" t="s">
        <v>442</v>
      </c>
      <c r="L1158">
        <v>1.1000000000000001</v>
      </c>
      <c r="T1158">
        <v>22</v>
      </c>
      <c r="W1158">
        <v>20</v>
      </c>
      <c r="X1158">
        <v>22</v>
      </c>
    </row>
    <row r="1159" spans="1:24">
      <c r="A1159" t="s">
        <v>438</v>
      </c>
      <c r="B1159" t="s">
        <v>510</v>
      </c>
      <c r="C1159" t="str">
        <f>Data_Master[[#This Row],[Uniq-ID]]&amp;"-"&amp;Data_Master[[#This Row],[Period]]</f>
        <v>QC-Quality_Control-017-M2</v>
      </c>
      <c r="D1159" t="s">
        <v>511</v>
      </c>
      <c r="E1159" t="s">
        <v>250</v>
      </c>
      <c r="F1159" t="s">
        <v>446</v>
      </c>
      <c r="G1159" t="s">
        <v>18</v>
      </c>
      <c r="H1159" t="s">
        <v>19</v>
      </c>
      <c r="I1159" t="s">
        <v>15</v>
      </c>
      <c r="K1159" t="s">
        <v>442</v>
      </c>
      <c r="L1159">
        <v>1</v>
      </c>
      <c r="T1159">
        <v>20</v>
      </c>
      <c r="W1159">
        <v>20</v>
      </c>
      <c r="X1159">
        <v>20</v>
      </c>
    </row>
    <row r="1160" spans="1:24">
      <c r="A1160" t="s">
        <v>438</v>
      </c>
      <c r="B1160" t="s">
        <v>510</v>
      </c>
      <c r="C1160" t="str">
        <f>Data_Master[[#This Row],[Uniq-ID]]&amp;"-"&amp;Data_Master[[#This Row],[Period]]</f>
        <v>QC-Quality_Control-017-M3</v>
      </c>
      <c r="D1160" t="s">
        <v>511</v>
      </c>
      <c r="E1160" t="s">
        <v>250</v>
      </c>
      <c r="F1160" t="s">
        <v>446</v>
      </c>
      <c r="G1160" t="s">
        <v>22</v>
      </c>
      <c r="H1160" t="s">
        <v>23</v>
      </c>
      <c r="I1160" t="s">
        <v>15</v>
      </c>
      <c r="K1160" t="s">
        <v>443</v>
      </c>
      <c r="W1160">
        <v>20</v>
      </c>
    </row>
    <row r="1161" spans="1:24">
      <c r="A1161" t="s">
        <v>438</v>
      </c>
      <c r="B1161" t="s">
        <v>510</v>
      </c>
      <c r="C1161" t="str">
        <f>Data_Master[[#This Row],[Uniq-ID]]&amp;"-"&amp;Data_Master[[#This Row],[Period]]</f>
        <v>QC-Quality_Control-017-M4</v>
      </c>
      <c r="D1161" t="s">
        <v>511</v>
      </c>
      <c r="E1161" t="s">
        <v>250</v>
      </c>
      <c r="F1161" t="s">
        <v>446</v>
      </c>
      <c r="G1161" t="s">
        <v>25</v>
      </c>
      <c r="H1161" t="s">
        <v>26</v>
      </c>
      <c r="I1161" t="s">
        <v>15</v>
      </c>
      <c r="K1161" t="s">
        <v>443</v>
      </c>
      <c r="W1161">
        <v>20</v>
      </c>
    </row>
    <row r="1162" spans="1:24">
      <c r="A1162" t="s">
        <v>438</v>
      </c>
      <c r="B1162" t="s">
        <v>510</v>
      </c>
      <c r="C1162" t="str">
        <f>Data_Master[[#This Row],[Uniq-ID]]&amp;"-"&amp;Data_Master[[#This Row],[Period]]</f>
        <v>QC-Quality_Control-017-M5</v>
      </c>
      <c r="D1162" t="s">
        <v>511</v>
      </c>
      <c r="E1162" t="s">
        <v>250</v>
      </c>
      <c r="F1162" t="s">
        <v>446</v>
      </c>
      <c r="G1162" t="s">
        <v>28</v>
      </c>
      <c r="H1162" t="s">
        <v>29</v>
      </c>
      <c r="I1162" t="s">
        <v>15</v>
      </c>
      <c r="K1162" t="s">
        <v>443</v>
      </c>
      <c r="W1162">
        <v>20</v>
      </c>
    </row>
    <row r="1163" spans="1:24">
      <c r="A1163" t="s">
        <v>438</v>
      </c>
      <c r="B1163" t="s">
        <v>510</v>
      </c>
      <c r="C1163" t="str">
        <f>Data_Master[[#This Row],[Uniq-ID]]&amp;"-"&amp;Data_Master[[#This Row],[Period]]</f>
        <v>QC-Quality_Control-017-M6</v>
      </c>
      <c r="D1163" t="s">
        <v>511</v>
      </c>
      <c r="E1163" t="s">
        <v>250</v>
      </c>
      <c r="F1163" t="s">
        <v>446</v>
      </c>
      <c r="G1163" t="s">
        <v>31</v>
      </c>
      <c r="H1163" t="s">
        <v>32</v>
      </c>
      <c r="I1163" t="s">
        <v>33</v>
      </c>
      <c r="K1163" t="s">
        <v>443</v>
      </c>
      <c r="W1163">
        <v>20</v>
      </c>
    </row>
    <row r="1164" spans="1:24">
      <c r="A1164" t="s">
        <v>438</v>
      </c>
      <c r="B1164" t="s">
        <v>536</v>
      </c>
      <c r="C1164" t="str">
        <f>Data_Master[[#This Row],[Uniq-ID]]&amp;"-"&amp;Data_Master[[#This Row],[Period]]</f>
        <v>QC-Quality_Control-018-M1</v>
      </c>
      <c r="D1164" t="s">
        <v>537</v>
      </c>
      <c r="E1164" t="s">
        <v>250</v>
      </c>
      <c r="F1164" t="s">
        <v>446</v>
      </c>
      <c r="G1164" t="s">
        <v>13</v>
      </c>
      <c r="H1164" t="s">
        <v>14</v>
      </c>
      <c r="I1164" t="s">
        <v>15</v>
      </c>
      <c r="K1164" t="s">
        <v>443</v>
      </c>
      <c r="L1164">
        <v>0.65</v>
      </c>
      <c r="T1164">
        <v>13</v>
      </c>
      <c r="W1164">
        <v>20</v>
      </c>
      <c r="X1164">
        <v>13</v>
      </c>
    </row>
    <row r="1165" spans="1:24">
      <c r="A1165" t="s">
        <v>438</v>
      </c>
      <c r="B1165" t="s">
        <v>536</v>
      </c>
      <c r="C1165" t="str">
        <f>Data_Master[[#This Row],[Uniq-ID]]&amp;"-"&amp;Data_Master[[#This Row],[Period]]</f>
        <v>QC-Quality_Control-018-M2</v>
      </c>
      <c r="D1165" t="s">
        <v>537</v>
      </c>
      <c r="E1165" t="s">
        <v>250</v>
      </c>
      <c r="F1165" t="s">
        <v>446</v>
      </c>
      <c r="G1165" t="s">
        <v>18</v>
      </c>
      <c r="H1165" t="s">
        <v>19</v>
      </c>
      <c r="I1165" t="s">
        <v>15</v>
      </c>
      <c r="K1165" t="s">
        <v>442</v>
      </c>
      <c r="L1165">
        <v>1.2</v>
      </c>
      <c r="T1165">
        <v>24</v>
      </c>
      <c r="W1165">
        <v>20</v>
      </c>
      <c r="X1165">
        <v>24</v>
      </c>
    </row>
    <row r="1166" spans="1:24">
      <c r="A1166" t="s">
        <v>438</v>
      </c>
      <c r="B1166" t="s">
        <v>536</v>
      </c>
      <c r="C1166" t="str">
        <f>Data_Master[[#This Row],[Uniq-ID]]&amp;"-"&amp;Data_Master[[#This Row],[Period]]</f>
        <v>QC-Quality_Control-018-M3</v>
      </c>
      <c r="D1166" t="s">
        <v>537</v>
      </c>
      <c r="E1166" t="s">
        <v>250</v>
      </c>
      <c r="F1166" t="s">
        <v>446</v>
      </c>
      <c r="G1166" t="s">
        <v>22</v>
      </c>
      <c r="H1166" t="s">
        <v>23</v>
      </c>
      <c r="I1166" t="s">
        <v>15</v>
      </c>
      <c r="K1166" t="s">
        <v>442</v>
      </c>
      <c r="L1166">
        <v>1.1000000000000001</v>
      </c>
      <c r="T1166">
        <v>22</v>
      </c>
      <c r="W1166">
        <v>20</v>
      </c>
      <c r="X1166">
        <v>22</v>
      </c>
    </row>
    <row r="1167" spans="1:24">
      <c r="A1167" t="s">
        <v>438</v>
      </c>
      <c r="B1167" t="s">
        <v>536</v>
      </c>
      <c r="C1167" t="str">
        <f>Data_Master[[#This Row],[Uniq-ID]]&amp;"-"&amp;Data_Master[[#This Row],[Period]]</f>
        <v>QC-Quality_Control-018-M4</v>
      </c>
      <c r="D1167" t="s">
        <v>537</v>
      </c>
      <c r="E1167" t="s">
        <v>250</v>
      </c>
      <c r="F1167" t="s">
        <v>446</v>
      </c>
      <c r="G1167" t="s">
        <v>25</v>
      </c>
      <c r="H1167" t="s">
        <v>26</v>
      </c>
      <c r="I1167" t="s">
        <v>15</v>
      </c>
      <c r="K1167" t="s">
        <v>442</v>
      </c>
      <c r="L1167">
        <v>1</v>
      </c>
      <c r="T1167">
        <v>20</v>
      </c>
      <c r="W1167">
        <v>20</v>
      </c>
      <c r="X1167">
        <v>20</v>
      </c>
    </row>
    <row r="1168" spans="1:24">
      <c r="A1168" t="s">
        <v>438</v>
      </c>
      <c r="B1168" t="s">
        <v>536</v>
      </c>
      <c r="C1168" t="str">
        <f>Data_Master[[#This Row],[Uniq-ID]]&amp;"-"&amp;Data_Master[[#This Row],[Period]]</f>
        <v>QC-Quality_Control-018-M5</v>
      </c>
      <c r="D1168" t="s">
        <v>537</v>
      </c>
      <c r="E1168" t="s">
        <v>250</v>
      </c>
      <c r="F1168" t="s">
        <v>446</v>
      </c>
      <c r="G1168" t="s">
        <v>28</v>
      </c>
      <c r="H1168" t="s">
        <v>29</v>
      </c>
      <c r="I1168" t="s">
        <v>15</v>
      </c>
      <c r="K1168" t="s">
        <v>442</v>
      </c>
      <c r="L1168">
        <v>1</v>
      </c>
      <c r="T1168">
        <v>20</v>
      </c>
      <c r="W1168">
        <v>20</v>
      </c>
      <c r="X1168">
        <v>20</v>
      </c>
    </row>
    <row r="1169" spans="1:24">
      <c r="A1169" t="s">
        <v>438</v>
      </c>
      <c r="B1169" t="s">
        <v>536</v>
      </c>
      <c r="C1169" t="str">
        <f>Data_Master[[#This Row],[Uniq-ID]]&amp;"-"&amp;Data_Master[[#This Row],[Period]]</f>
        <v>QC-Quality_Control-018-M6</v>
      </c>
      <c r="D1169" t="s">
        <v>537</v>
      </c>
      <c r="E1169" t="s">
        <v>250</v>
      </c>
      <c r="F1169" t="s">
        <v>446</v>
      </c>
      <c r="G1169" t="s">
        <v>31</v>
      </c>
      <c r="H1169" t="s">
        <v>32</v>
      </c>
      <c r="I1169" t="s">
        <v>33</v>
      </c>
      <c r="K1169" t="s">
        <v>442</v>
      </c>
      <c r="L1169">
        <v>1</v>
      </c>
      <c r="T1169">
        <v>20</v>
      </c>
      <c r="W1169">
        <v>20</v>
      </c>
      <c r="X1169">
        <v>20</v>
      </c>
    </row>
    <row r="1170" spans="1:24">
      <c r="A1170" t="s">
        <v>438</v>
      </c>
      <c r="B1170" t="s">
        <v>512</v>
      </c>
      <c r="C1170" t="str">
        <f>Data_Master[[#This Row],[Uniq-ID]]&amp;"-"&amp;Data_Master[[#This Row],[Period]]</f>
        <v>QC-Quality_Control-019-M1</v>
      </c>
      <c r="D1170" t="s">
        <v>513</v>
      </c>
      <c r="E1170" t="s">
        <v>250</v>
      </c>
      <c r="F1170" t="s">
        <v>446</v>
      </c>
      <c r="G1170" t="s">
        <v>13</v>
      </c>
      <c r="H1170" t="s">
        <v>14</v>
      </c>
      <c r="I1170" t="s">
        <v>15</v>
      </c>
      <c r="K1170" t="s">
        <v>443</v>
      </c>
      <c r="W1170">
        <v>20</v>
      </c>
    </row>
    <row r="1171" spans="1:24">
      <c r="A1171" t="s">
        <v>438</v>
      </c>
      <c r="B1171" t="s">
        <v>512</v>
      </c>
      <c r="C1171" t="str">
        <f>Data_Master[[#This Row],[Uniq-ID]]&amp;"-"&amp;Data_Master[[#This Row],[Period]]</f>
        <v>QC-Quality_Control-019-M2</v>
      </c>
      <c r="D1171" t="s">
        <v>513</v>
      </c>
      <c r="E1171" t="s">
        <v>250</v>
      </c>
      <c r="F1171" t="s">
        <v>446</v>
      </c>
      <c r="G1171" t="s">
        <v>18</v>
      </c>
      <c r="H1171" t="s">
        <v>19</v>
      </c>
      <c r="I1171" t="s">
        <v>15</v>
      </c>
      <c r="K1171" t="s">
        <v>443</v>
      </c>
      <c r="W1171">
        <v>20</v>
      </c>
    </row>
    <row r="1172" spans="1:24">
      <c r="A1172" t="s">
        <v>438</v>
      </c>
      <c r="B1172" t="s">
        <v>512</v>
      </c>
      <c r="C1172" t="str">
        <f>Data_Master[[#This Row],[Uniq-ID]]&amp;"-"&amp;Data_Master[[#This Row],[Period]]</f>
        <v>QC-Quality_Control-019-M3</v>
      </c>
      <c r="D1172" t="s">
        <v>513</v>
      </c>
      <c r="E1172" t="s">
        <v>250</v>
      </c>
      <c r="F1172" t="s">
        <v>446</v>
      </c>
      <c r="G1172" t="s">
        <v>22</v>
      </c>
      <c r="H1172" t="s">
        <v>23</v>
      </c>
      <c r="I1172" t="s">
        <v>15</v>
      </c>
      <c r="K1172" t="s">
        <v>443</v>
      </c>
      <c r="W1172">
        <v>20</v>
      </c>
    </row>
    <row r="1173" spans="1:24">
      <c r="A1173" t="s">
        <v>438</v>
      </c>
      <c r="B1173" t="s">
        <v>512</v>
      </c>
      <c r="C1173" t="str">
        <f>Data_Master[[#This Row],[Uniq-ID]]&amp;"-"&amp;Data_Master[[#This Row],[Period]]</f>
        <v>QC-Quality_Control-019-M4</v>
      </c>
      <c r="D1173" t="s">
        <v>513</v>
      </c>
      <c r="E1173" t="s">
        <v>250</v>
      </c>
      <c r="F1173" t="s">
        <v>446</v>
      </c>
      <c r="G1173" t="s">
        <v>25</v>
      </c>
      <c r="H1173" t="s">
        <v>26</v>
      </c>
      <c r="I1173" t="s">
        <v>15</v>
      </c>
      <c r="K1173" t="s">
        <v>443</v>
      </c>
      <c r="W1173">
        <v>20</v>
      </c>
    </row>
    <row r="1174" spans="1:24">
      <c r="A1174" t="s">
        <v>438</v>
      </c>
      <c r="B1174" t="s">
        <v>512</v>
      </c>
      <c r="C1174" t="str">
        <f>Data_Master[[#This Row],[Uniq-ID]]&amp;"-"&amp;Data_Master[[#This Row],[Period]]</f>
        <v>QC-Quality_Control-019-M5</v>
      </c>
      <c r="D1174" t="s">
        <v>513</v>
      </c>
      <c r="E1174" t="s">
        <v>250</v>
      </c>
      <c r="F1174" t="s">
        <v>446</v>
      </c>
      <c r="G1174" t="s">
        <v>28</v>
      </c>
      <c r="H1174" t="s">
        <v>29</v>
      </c>
      <c r="I1174" t="s">
        <v>15</v>
      </c>
      <c r="K1174" t="s">
        <v>443</v>
      </c>
      <c r="W1174">
        <v>20</v>
      </c>
    </row>
    <row r="1175" spans="1:24">
      <c r="A1175" t="s">
        <v>438</v>
      </c>
      <c r="B1175" t="s">
        <v>512</v>
      </c>
      <c r="C1175" t="str">
        <f>Data_Master[[#This Row],[Uniq-ID]]&amp;"-"&amp;Data_Master[[#This Row],[Period]]</f>
        <v>QC-Quality_Control-019-M6</v>
      </c>
      <c r="D1175" t="s">
        <v>513</v>
      </c>
      <c r="E1175" t="s">
        <v>250</v>
      </c>
      <c r="F1175" t="s">
        <v>446</v>
      </c>
      <c r="G1175" t="s">
        <v>31</v>
      </c>
      <c r="H1175" t="s">
        <v>32</v>
      </c>
      <c r="I1175" t="s">
        <v>33</v>
      </c>
      <c r="K1175" t="s">
        <v>443</v>
      </c>
      <c r="W1175">
        <v>20</v>
      </c>
    </row>
    <row r="1176" spans="1:24">
      <c r="A1176" t="s">
        <v>438</v>
      </c>
      <c r="B1176" t="s">
        <v>501</v>
      </c>
      <c r="C1176" t="str">
        <f>Data_Master[[#This Row],[Uniq-ID]]&amp;"-"&amp;Data_Master[[#This Row],[Period]]</f>
        <v>QC-Quality_Control-020-M1</v>
      </c>
      <c r="D1176" t="s">
        <v>502</v>
      </c>
      <c r="E1176" t="s">
        <v>76</v>
      </c>
      <c r="F1176" t="s">
        <v>446</v>
      </c>
      <c r="G1176" t="s">
        <v>13</v>
      </c>
      <c r="H1176" t="s">
        <v>503</v>
      </c>
      <c r="I1176" t="s">
        <v>15</v>
      </c>
      <c r="K1176" t="s">
        <v>442</v>
      </c>
      <c r="L1176">
        <v>1.5</v>
      </c>
      <c r="T1176">
        <v>53</v>
      </c>
      <c r="W1176">
        <v>20</v>
      </c>
      <c r="X1176">
        <v>53</v>
      </c>
    </row>
    <row r="1177" spans="1:24">
      <c r="A1177" t="s">
        <v>438</v>
      </c>
      <c r="B1177" t="s">
        <v>501</v>
      </c>
      <c r="C1177" t="str">
        <f>Data_Master[[#This Row],[Uniq-ID]]&amp;"-"&amp;Data_Master[[#This Row],[Period]]</f>
        <v>QC-Quality_Control-020-M2</v>
      </c>
      <c r="D1177" t="s">
        <v>502</v>
      </c>
      <c r="E1177" t="s">
        <v>76</v>
      </c>
      <c r="F1177" t="s">
        <v>446</v>
      </c>
      <c r="G1177" t="s">
        <v>18</v>
      </c>
      <c r="H1177" t="s">
        <v>504</v>
      </c>
      <c r="I1177" t="s">
        <v>15</v>
      </c>
      <c r="K1177" t="s">
        <v>442</v>
      </c>
      <c r="L1177">
        <v>1.5</v>
      </c>
      <c r="T1177">
        <v>46</v>
      </c>
      <c r="W1177">
        <v>20</v>
      </c>
      <c r="X1177">
        <v>46</v>
      </c>
    </row>
    <row r="1178" spans="1:24">
      <c r="A1178" t="s">
        <v>438</v>
      </c>
      <c r="B1178" t="s">
        <v>501</v>
      </c>
      <c r="C1178" t="str">
        <f>Data_Master[[#This Row],[Uniq-ID]]&amp;"-"&amp;Data_Master[[#This Row],[Period]]</f>
        <v>QC-Quality_Control-020-M3</v>
      </c>
      <c r="D1178" t="s">
        <v>502</v>
      </c>
      <c r="E1178" t="s">
        <v>76</v>
      </c>
      <c r="F1178" t="s">
        <v>446</v>
      </c>
      <c r="G1178" t="s">
        <v>22</v>
      </c>
      <c r="H1178" t="s">
        <v>505</v>
      </c>
      <c r="I1178" t="s">
        <v>15</v>
      </c>
      <c r="K1178" t="s">
        <v>442</v>
      </c>
      <c r="L1178">
        <v>1.5</v>
      </c>
      <c r="T1178">
        <v>49</v>
      </c>
      <c r="W1178">
        <v>20</v>
      </c>
      <c r="X1178">
        <v>49</v>
      </c>
    </row>
    <row r="1179" spans="1:24">
      <c r="A1179" t="s">
        <v>438</v>
      </c>
      <c r="B1179" t="s">
        <v>501</v>
      </c>
      <c r="C1179" t="str">
        <f>Data_Master[[#This Row],[Uniq-ID]]&amp;"-"&amp;Data_Master[[#This Row],[Period]]</f>
        <v>QC-Quality_Control-020-M4</v>
      </c>
      <c r="D1179" t="s">
        <v>502</v>
      </c>
      <c r="E1179" t="s">
        <v>76</v>
      </c>
      <c r="F1179" t="s">
        <v>446</v>
      </c>
      <c r="G1179" t="s">
        <v>25</v>
      </c>
      <c r="H1179" t="s">
        <v>506</v>
      </c>
      <c r="I1179" t="s">
        <v>15</v>
      </c>
      <c r="K1179" t="s">
        <v>442</v>
      </c>
      <c r="L1179">
        <v>1.5</v>
      </c>
      <c r="T1179">
        <v>31</v>
      </c>
      <c r="W1179">
        <v>20</v>
      </c>
      <c r="X1179">
        <v>31</v>
      </c>
    </row>
    <row r="1180" spans="1:24">
      <c r="A1180" t="s">
        <v>438</v>
      </c>
      <c r="B1180" t="s">
        <v>501</v>
      </c>
      <c r="C1180" t="str">
        <f>Data_Master[[#This Row],[Uniq-ID]]&amp;"-"&amp;Data_Master[[#This Row],[Period]]</f>
        <v>QC-Quality_Control-020-M5</v>
      </c>
      <c r="D1180" t="s">
        <v>502</v>
      </c>
      <c r="E1180" t="s">
        <v>76</v>
      </c>
      <c r="F1180" t="s">
        <v>446</v>
      </c>
      <c r="G1180" t="s">
        <v>28</v>
      </c>
      <c r="H1180" t="s">
        <v>507</v>
      </c>
      <c r="I1180" t="s">
        <v>33</v>
      </c>
      <c r="K1180" t="s">
        <v>442</v>
      </c>
      <c r="L1180">
        <v>1.25</v>
      </c>
      <c r="T1180">
        <v>24</v>
      </c>
      <c r="V1180">
        <v>1</v>
      </c>
      <c r="W1180">
        <v>20</v>
      </c>
      <c r="X1180">
        <v>25</v>
      </c>
    </row>
    <row r="1181" spans="1:24">
      <c r="A1181" t="s">
        <v>438</v>
      </c>
      <c r="B1181" t="s">
        <v>501</v>
      </c>
      <c r="C1181" t="str">
        <f>Data_Master[[#This Row],[Uniq-ID]]&amp;"-"&amp;Data_Master[[#This Row],[Period]]</f>
        <v>QC-Quality_Control-020-M6</v>
      </c>
      <c r="D1181" t="s">
        <v>502</v>
      </c>
      <c r="E1181" t="s">
        <v>76</v>
      </c>
      <c r="F1181" t="s">
        <v>446</v>
      </c>
      <c r="G1181" t="s">
        <v>31</v>
      </c>
      <c r="H1181" t="s">
        <v>4153</v>
      </c>
      <c r="I1181" t="s">
        <v>225</v>
      </c>
      <c r="K1181" t="s">
        <v>443</v>
      </c>
      <c r="W1181">
        <v>20</v>
      </c>
    </row>
    <row r="1182" spans="1:24">
      <c r="A1182" t="s">
        <v>438</v>
      </c>
      <c r="B1182" t="s">
        <v>455</v>
      </c>
      <c r="C1182" t="str">
        <f>Data_Master[[#This Row],[Uniq-ID]]&amp;"-"&amp;Data_Master[[#This Row],[Period]]</f>
        <v>QC-Quality_Control-021-M1</v>
      </c>
      <c r="D1182" t="s">
        <v>456</v>
      </c>
      <c r="E1182" t="s">
        <v>112</v>
      </c>
      <c r="F1182" t="s">
        <v>457</v>
      </c>
      <c r="G1182" t="s">
        <v>13</v>
      </c>
      <c r="H1182" t="s">
        <v>458</v>
      </c>
      <c r="I1182" t="s">
        <v>15</v>
      </c>
      <c r="K1182" t="s">
        <v>442</v>
      </c>
      <c r="L1182">
        <v>1.5</v>
      </c>
      <c r="T1182">
        <v>38</v>
      </c>
      <c r="V1182">
        <v>1</v>
      </c>
      <c r="W1182">
        <v>20</v>
      </c>
      <c r="X1182">
        <v>39</v>
      </c>
    </row>
    <row r="1183" spans="1:24">
      <c r="A1183" t="s">
        <v>438</v>
      </c>
      <c r="B1183" t="s">
        <v>455</v>
      </c>
      <c r="C1183" t="str">
        <f>Data_Master[[#This Row],[Uniq-ID]]&amp;"-"&amp;Data_Master[[#This Row],[Period]]</f>
        <v>QC-Quality_Control-021-M2</v>
      </c>
      <c r="D1183" t="s">
        <v>456</v>
      </c>
      <c r="E1183" t="s">
        <v>112</v>
      </c>
      <c r="F1183" t="s">
        <v>457</v>
      </c>
      <c r="G1183" t="s">
        <v>18</v>
      </c>
      <c r="H1183" t="s">
        <v>268</v>
      </c>
      <c r="I1183" t="s">
        <v>15</v>
      </c>
      <c r="K1183" t="s">
        <v>442</v>
      </c>
      <c r="L1183">
        <v>1.5</v>
      </c>
      <c r="T1183">
        <v>32</v>
      </c>
      <c r="U1183">
        <v>10.5</v>
      </c>
      <c r="V1183">
        <v>1</v>
      </c>
      <c r="W1183">
        <v>20</v>
      </c>
      <c r="X1183">
        <v>43.5</v>
      </c>
    </row>
    <row r="1184" spans="1:24">
      <c r="A1184" t="s">
        <v>438</v>
      </c>
      <c r="B1184" t="s">
        <v>455</v>
      </c>
      <c r="C1184" t="str">
        <f>Data_Master[[#This Row],[Uniq-ID]]&amp;"-"&amp;Data_Master[[#This Row],[Period]]</f>
        <v>QC-Quality_Control-021-M3</v>
      </c>
      <c r="D1184" t="s">
        <v>456</v>
      </c>
      <c r="E1184" t="s">
        <v>112</v>
      </c>
      <c r="F1184" t="s">
        <v>457</v>
      </c>
      <c r="G1184" t="s">
        <v>22</v>
      </c>
      <c r="H1184" t="s">
        <v>270</v>
      </c>
      <c r="I1184" t="s">
        <v>15</v>
      </c>
      <c r="K1184" t="s">
        <v>442</v>
      </c>
      <c r="L1184">
        <v>1.5</v>
      </c>
      <c r="T1184">
        <v>29</v>
      </c>
      <c r="U1184">
        <v>3.5</v>
      </c>
      <c r="V1184">
        <v>1</v>
      </c>
      <c r="W1184">
        <v>20</v>
      </c>
      <c r="X1184">
        <v>33.5</v>
      </c>
    </row>
    <row r="1185" spans="1:24">
      <c r="A1185" t="s">
        <v>438</v>
      </c>
      <c r="B1185" t="s">
        <v>455</v>
      </c>
      <c r="C1185" t="str">
        <f>Data_Master[[#This Row],[Uniq-ID]]&amp;"-"&amp;Data_Master[[#This Row],[Period]]</f>
        <v>QC-Quality_Control-021-M4</v>
      </c>
      <c r="D1185" t="s">
        <v>456</v>
      </c>
      <c r="E1185" t="s">
        <v>112</v>
      </c>
      <c r="F1185" t="s">
        <v>457</v>
      </c>
      <c r="G1185" t="s">
        <v>25</v>
      </c>
      <c r="H1185" t="s">
        <v>272</v>
      </c>
      <c r="I1185" t="s">
        <v>15</v>
      </c>
      <c r="K1185" t="s">
        <v>442</v>
      </c>
      <c r="L1185">
        <v>1.5</v>
      </c>
      <c r="T1185">
        <v>41</v>
      </c>
      <c r="U1185">
        <v>6.5</v>
      </c>
      <c r="V1185">
        <v>1</v>
      </c>
      <c r="W1185">
        <v>20</v>
      </c>
      <c r="X1185">
        <v>48.5</v>
      </c>
    </row>
    <row r="1186" spans="1:24">
      <c r="A1186" t="s">
        <v>438</v>
      </c>
      <c r="B1186" t="s">
        <v>455</v>
      </c>
      <c r="C1186" t="str">
        <f>Data_Master[[#This Row],[Uniq-ID]]&amp;"-"&amp;Data_Master[[#This Row],[Period]]</f>
        <v>QC-Quality_Control-021-M5</v>
      </c>
      <c r="D1186" t="s">
        <v>456</v>
      </c>
      <c r="E1186" t="s">
        <v>112</v>
      </c>
      <c r="F1186" t="s">
        <v>457</v>
      </c>
      <c r="G1186" t="s">
        <v>28</v>
      </c>
      <c r="H1186" t="s">
        <v>274</v>
      </c>
      <c r="I1186" t="s">
        <v>33</v>
      </c>
      <c r="K1186" t="s">
        <v>443</v>
      </c>
      <c r="L1186">
        <v>0.73</v>
      </c>
      <c r="T1186">
        <v>12</v>
      </c>
      <c r="U1186">
        <v>0.5</v>
      </c>
      <c r="V1186">
        <v>2</v>
      </c>
      <c r="W1186">
        <v>20</v>
      </c>
      <c r="X1186">
        <v>14.5</v>
      </c>
    </row>
    <row r="1187" spans="1:24">
      <c r="A1187" t="s">
        <v>438</v>
      </c>
      <c r="B1187" t="s">
        <v>532</v>
      </c>
      <c r="C1187" t="str">
        <f>Data_Master[[#This Row],[Uniq-ID]]&amp;"-"&amp;Data_Master[[#This Row],[Period]]</f>
        <v>QC-Quality_Control-022-M1</v>
      </c>
      <c r="D1187" t="s">
        <v>533</v>
      </c>
      <c r="E1187" t="s">
        <v>487</v>
      </c>
      <c r="F1187" t="s">
        <v>488</v>
      </c>
      <c r="G1187" t="s">
        <v>13</v>
      </c>
      <c r="H1187" t="s">
        <v>67</v>
      </c>
      <c r="I1187" t="s">
        <v>15</v>
      </c>
      <c r="K1187" t="s">
        <v>443</v>
      </c>
      <c r="W1187">
        <v>15</v>
      </c>
    </row>
    <row r="1188" spans="1:24">
      <c r="A1188" t="s">
        <v>438</v>
      </c>
      <c r="B1188" t="s">
        <v>532</v>
      </c>
      <c r="C1188" t="str">
        <f>Data_Master[[#This Row],[Uniq-ID]]&amp;"-"&amp;Data_Master[[#This Row],[Period]]</f>
        <v>QC-Quality_Control-022-M2</v>
      </c>
      <c r="D1188" t="s">
        <v>533</v>
      </c>
      <c r="E1188" t="s">
        <v>487</v>
      </c>
      <c r="F1188" t="s">
        <v>488</v>
      </c>
      <c r="G1188" t="s">
        <v>18</v>
      </c>
      <c r="H1188" t="s">
        <v>69</v>
      </c>
      <c r="I1188" t="s">
        <v>15</v>
      </c>
      <c r="K1188" t="s">
        <v>442</v>
      </c>
      <c r="L1188">
        <v>1.1299999999999999</v>
      </c>
      <c r="T1188">
        <v>5</v>
      </c>
      <c r="V1188">
        <v>12</v>
      </c>
      <c r="W1188">
        <v>15</v>
      </c>
      <c r="X1188">
        <v>17</v>
      </c>
    </row>
    <row r="1189" spans="1:24">
      <c r="A1189" t="s">
        <v>438</v>
      </c>
      <c r="B1189" t="s">
        <v>532</v>
      </c>
      <c r="C1189" t="str">
        <f>Data_Master[[#This Row],[Uniq-ID]]&amp;"-"&amp;Data_Master[[#This Row],[Period]]</f>
        <v>QC-Quality_Control-022-M3</v>
      </c>
      <c r="D1189" t="s">
        <v>533</v>
      </c>
      <c r="E1189" t="s">
        <v>487</v>
      </c>
      <c r="F1189" t="s">
        <v>488</v>
      </c>
      <c r="G1189" t="s">
        <v>22</v>
      </c>
      <c r="H1189" t="s">
        <v>71</v>
      </c>
      <c r="I1189" t="s">
        <v>15</v>
      </c>
      <c r="K1189" t="s">
        <v>442</v>
      </c>
      <c r="L1189">
        <v>1.5</v>
      </c>
      <c r="T1189">
        <v>12</v>
      </c>
      <c r="V1189">
        <v>18</v>
      </c>
      <c r="W1189">
        <v>15</v>
      </c>
      <c r="X1189">
        <v>30</v>
      </c>
    </row>
    <row r="1190" spans="1:24">
      <c r="A1190" t="s">
        <v>438</v>
      </c>
      <c r="B1190" t="s">
        <v>532</v>
      </c>
      <c r="C1190" t="str">
        <f>Data_Master[[#This Row],[Uniq-ID]]&amp;"-"&amp;Data_Master[[#This Row],[Period]]</f>
        <v>QC-Quality_Control-022-M4</v>
      </c>
      <c r="D1190" t="s">
        <v>533</v>
      </c>
      <c r="E1190" t="s">
        <v>487</v>
      </c>
      <c r="F1190" t="s">
        <v>488</v>
      </c>
      <c r="G1190" t="s">
        <v>25</v>
      </c>
      <c r="H1190" t="s">
        <v>73</v>
      </c>
      <c r="I1190" t="s">
        <v>33</v>
      </c>
      <c r="K1190" t="s">
        <v>443</v>
      </c>
      <c r="W1190">
        <v>15</v>
      </c>
    </row>
    <row r="1191" spans="1:24">
      <c r="A1191" t="s">
        <v>438</v>
      </c>
      <c r="B1191" t="s">
        <v>496</v>
      </c>
      <c r="C1191" t="str">
        <f>Data_Master[[#This Row],[Uniq-ID]]&amp;"-"&amp;Data_Master[[#This Row],[Period]]</f>
        <v>QC-Quality_Control-023-M1</v>
      </c>
      <c r="D1191" t="s">
        <v>497</v>
      </c>
      <c r="E1191" t="s">
        <v>76</v>
      </c>
      <c r="F1191" t="s">
        <v>441</v>
      </c>
      <c r="G1191" t="s">
        <v>13</v>
      </c>
      <c r="H1191" t="s">
        <v>37</v>
      </c>
      <c r="I1191" t="s">
        <v>15</v>
      </c>
      <c r="K1191" t="s">
        <v>442</v>
      </c>
      <c r="L1191">
        <v>1.5</v>
      </c>
      <c r="T1191">
        <v>27</v>
      </c>
      <c r="U1191">
        <v>4</v>
      </c>
      <c r="W1191">
        <v>20</v>
      </c>
      <c r="X1191">
        <v>31</v>
      </c>
    </row>
    <row r="1192" spans="1:24">
      <c r="A1192" t="s">
        <v>438</v>
      </c>
      <c r="B1192" t="s">
        <v>496</v>
      </c>
      <c r="C1192" t="str">
        <f>Data_Master[[#This Row],[Uniq-ID]]&amp;"-"&amp;Data_Master[[#This Row],[Period]]</f>
        <v>QC-Quality_Control-023-M2</v>
      </c>
      <c r="D1192" t="s">
        <v>497</v>
      </c>
      <c r="E1192" t="s">
        <v>76</v>
      </c>
      <c r="F1192" t="s">
        <v>441</v>
      </c>
      <c r="G1192" t="s">
        <v>18</v>
      </c>
      <c r="H1192" t="s">
        <v>39</v>
      </c>
      <c r="I1192" t="s">
        <v>15</v>
      </c>
      <c r="K1192" t="s">
        <v>442</v>
      </c>
      <c r="L1192">
        <v>1.5</v>
      </c>
      <c r="T1192">
        <v>24</v>
      </c>
      <c r="U1192">
        <v>7</v>
      </c>
      <c r="V1192">
        <v>2</v>
      </c>
      <c r="W1192">
        <v>20</v>
      </c>
      <c r="X1192">
        <v>33</v>
      </c>
    </row>
    <row r="1193" spans="1:24">
      <c r="A1193" t="s">
        <v>438</v>
      </c>
      <c r="B1193" t="s">
        <v>496</v>
      </c>
      <c r="C1193" t="str">
        <f>Data_Master[[#This Row],[Uniq-ID]]&amp;"-"&amp;Data_Master[[#This Row],[Period]]</f>
        <v>QC-Quality_Control-023-M3</v>
      </c>
      <c r="D1193" t="s">
        <v>497</v>
      </c>
      <c r="E1193" t="s">
        <v>76</v>
      </c>
      <c r="F1193" t="s">
        <v>441</v>
      </c>
      <c r="G1193" t="s">
        <v>22</v>
      </c>
      <c r="H1193" t="s">
        <v>41</v>
      </c>
      <c r="I1193" t="s">
        <v>15</v>
      </c>
      <c r="K1193" t="s">
        <v>442</v>
      </c>
      <c r="L1193">
        <v>1.5</v>
      </c>
      <c r="T1193">
        <v>34</v>
      </c>
      <c r="U1193">
        <v>1.5</v>
      </c>
      <c r="W1193">
        <v>20</v>
      </c>
      <c r="X1193">
        <v>35.5</v>
      </c>
    </row>
    <row r="1194" spans="1:24">
      <c r="A1194" t="s">
        <v>438</v>
      </c>
      <c r="B1194" t="s">
        <v>496</v>
      </c>
      <c r="C1194" t="str">
        <f>Data_Master[[#This Row],[Uniq-ID]]&amp;"-"&amp;Data_Master[[#This Row],[Period]]</f>
        <v>QC-Quality_Control-023-M4</v>
      </c>
      <c r="D1194" t="s">
        <v>497</v>
      </c>
      <c r="E1194" t="s">
        <v>76</v>
      </c>
      <c r="F1194" t="s">
        <v>441</v>
      </c>
      <c r="G1194" t="s">
        <v>25</v>
      </c>
      <c r="H1194" t="s">
        <v>43</v>
      </c>
      <c r="I1194" t="s">
        <v>33</v>
      </c>
      <c r="K1194" t="s">
        <v>443</v>
      </c>
      <c r="W1194">
        <v>20</v>
      </c>
    </row>
    <row r="1195" spans="1:24">
      <c r="A1195" t="s">
        <v>438</v>
      </c>
      <c r="B1195" t="s">
        <v>521</v>
      </c>
      <c r="C1195" t="str">
        <f>Data_Master[[#This Row],[Uniq-ID]]&amp;"-"&amp;Data_Master[[#This Row],[Period]]</f>
        <v>QC-Quality_Control-024-M1</v>
      </c>
      <c r="D1195" t="s">
        <v>522</v>
      </c>
      <c r="E1195" t="s">
        <v>250</v>
      </c>
      <c r="F1195" t="s">
        <v>446</v>
      </c>
      <c r="G1195" t="s">
        <v>13</v>
      </c>
      <c r="H1195" t="s">
        <v>37</v>
      </c>
      <c r="I1195" t="s">
        <v>15</v>
      </c>
      <c r="K1195" t="s">
        <v>443</v>
      </c>
      <c r="W1195">
        <v>20</v>
      </c>
    </row>
    <row r="1196" spans="1:24">
      <c r="A1196" t="s">
        <v>438</v>
      </c>
      <c r="B1196" t="s">
        <v>521</v>
      </c>
      <c r="C1196" t="str">
        <f>Data_Master[[#This Row],[Uniq-ID]]&amp;"-"&amp;Data_Master[[#This Row],[Period]]</f>
        <v>QC-Quality_Control-024-M2</v>
      </c>
      <c r="D1196" t="s">
        <v>522</v>
      </c>
      <c r="E1196" t="s">
        <v>250</v>
      </c>
      <c r="F1196" t="s">
        <v>446</v>
      </c>
      <c r="G1196" t="s">
        <v>18</v>
      </c>
      <c r="H1196" t="s">
        <v>39</v>
      </c>
      <c r="I1196" t="s">
        <v>15</v>
      </c>
      <c r="K1196" t="s">
        <v>442</v>
      </c>
      <c r="L1196">
        <v>1.35</v>
      </c>
      <c r="T1196">
        <v>27</v>
      </c>
      <c r="W1196">
        <v>20</v>
      </c>
      <c r="X1196">
        <v>27</v>
      </c>
    </row>
    <row r="1197" spans="1:24">
      <c r="A1197" t="s">
        <v>438</v>
      </c>
      <c r="B1197" t="s">
        <v>521</v>
      </c>
      <c r="C1197" t="str">
        <f>Data_Master[[#This Row],[Uniq-ID]]&amp;"-"&amp;Data_Master[[#This Row],[Period]]</f>
        <v>QC-Quality_Control-024-M3</v>
      </c>
      <c r="D1197" t="s">
        <v>522</v>
      </c>
      <c r="E1197" t="s">
        <v>250</v>
      </c>
      <c r="F1197" t="s">
        <v>446</v>
      </c>
      <c r="G1197" t="s">
        <v>22</v>
      </c>
      <c r="H1197" t="s">
        <v>41</v>
      </c>
      <c r="I1197" t="s">
        <v>15</v>
      </c>
      <c r="K1197" t="s">
        <v>443</v>
      </c>
      <c r="L1197">
        <v>0.55000000000000004</v>
      </c>
      <c r="T1197">
        <v>11</v>
      </c>
      <c r="W1197">
        <v>20</v>
      </c>
      <c r="X1197">
        <v>11</v>
      </c>
    </row>
    <row r="1198" spans="1:24">
      <c r="A1198" t="s">
        <v>438</v>
      </c>
      <c r="B1198" t="s">
        <v>521</v>
      </c>
      <c r="C1198" t="str">
        <f>Data_Master[[#This Row],[Uniq-ID]]&amp;"-"&amp;Data_Master[[#This Row],[Period]]</f>
        <v>QC-Quality_Control-024-M4</v>
      </c>
      <c r="D1198" t="s">
        <v>522</v>
      </c>
      <c r="E1198" t="s">
        <v>250</v>
      </c>
      <c r="F1198" t="s">
        <v>446</v>
      </c>
      <c r="G1198" t="s">
        <v>25</v>
      </c>
      <c r="H1198" t="s">
        <v>43</v>
      </c>
      <c r="I1198" t="s">
        <v>33</v>
      </c>
      <c r="K1198" t="s">
        <v>443</v>
      </c>
      <c r="L1198">
        <v>0.85</v>
      </c>
      <c r="T1198">
        <v>17</v>
      </c>
      <c r="W1198">
        <v>20</v>
      </c>
      <c r="X1198">
        <v>17</v>
      </c>
    </row>
    <row r="1199" spans="1:24">
      <c r="A1199" t="s">
        <v>438</v>
      </c>
      <c r="B1199" t="s">
        <v>516</v>
      </c>
      <c r="C1199" t="str">
        <f>Data_Master[[#This Row],[Uniq-ID]]&amp;"-"&amp;Data_Master[[#This Row],[Period]]</f>
        <v>QC-Quality_Control-026-M1</v>
      </c>
      <c r="D1199" t="s">
        <v>517</v>
      </c>
      <c r="E1199" t="s">
        <v>48</v>
      </c>
      <c r="F1199" t="s">
        <v>468</v>
      </c>
      <c r="G1199" t="s">
        <v>13</v>
      </c>
      <c r="H1199" t="s">
        <v>253</v>
      </c>
      <c r="I1199" t="s">
        <v>15</v>
      </c>
      <c r="K1199" t="s">
        <v>443</v>
      </c>
      <c r="L1199">
        <v>0.5</v>
      </c>
      <c r="T1199">
        <v>9</v>
      </c>
      <c r="U1199">
        <v>0.5</v>
      </c>
      <c r="W1199">
        <v>20</v>
      </c>
      <c r="X1199">
        <v>9.5</v>
      </c>
    </row>
    <row r="1200" spans="1:24">
      <c r="A1200" t="s">
        <v>438</v>
      </c>
      <c r="B1200" t="s">
        <v>516</v>
      </c>
      <c r="C1200" t="str">
        <f>Data_Master[[#This Row],[Uniq-ID]]&amp;"-"&amp;Data_Master[[#This Row],[Period]]</f>
        <v>QC-Quality_Control-026-M2</v>
      </c>
      <c r="D1200" t="s">
        <v>517</v>
      </c>
      <c r="E1200" t="s">
        <v>48</v>
      </c>
      <c r="F1200" t="s">
        <v>468</v>
      </c>
      <c r="G1200" t="s">
        <v>18</v>
      </c>
      <c r="H1200" t="s">
        <v>255</v>
      </c>
      <c r="I1200" t="s">
        <v>15</v>
      </c>
      <c r="K1200" t="s">
        <v>442</v>
      </c>
      <c r="L1200">
        <v>1.5</v>
      </c>
      <c r="T1200">
        <v>41</v>
      </c>
      <c r="U1200">
        <v>4</v>
      </c>
      <c r="W1200">
        <v>20</v>
      </c>
      <c r="X1200">
        <v>45</v>
      </c>
    </row>
    <row r="1201" spans="1:24">
      <c r="A1201" t="s">
        <v>438</v>
      </c>
      <c r="B1201" t="s">
        <v>516</v>
      </c>
      <c r="C1201" t="str">
        <f>Data_Master[[#This Row],[Uniq-ID]]&amp;"-"&amp;Data_Master[[#This Row],[Period]]</f>
        <v>QC-Quality_Control-026-M3</v>
      </c>
      <c r="D1201" t="s">
        <v>517</v>
      </c>
      <c r="E1201" t="s">
        <v>48</v>
      </c>
      <c r="F1201" t="s">
        <v>468</v>
      </c>
      <c r="G1201" t="s">
        <v>22</v>
      </c>
      <c r="H1201" t="s">
        <v>257</v>
      </c>
      <c r="I1201" t="s">
        <v>33</v>
      </c>
      <c r="K1201" t="s">
        <v>442</v>
      </c>
      <c r="L1201">
        <v>1.08</v>
      </c>
      <c r="T1201">
        <v>21</v>
      </c>
      <c r="U1201">
        <v>0.5</v>
      </c>
      <c r="W1201">
        <v>20</v>
      </c>
      <c r="X1201">
        <v>21.5</v>
      </c>
    </row>
    <row r="1202" spans="1:24">
      <c r="A1202" t="s">
        <v>438</v>
      </c>
      <c r="B1202" t="s">
        <v>476</v>
      </c>
      <c r="C1202" t="str">
        <f>Data_Master[[#This Row],[Uniq-ID]]&amp;"-"&amp;Data_Master[[#This Row],[Period]]</f>
        <v>QC-Quality_Control-027-M1</v>
      </c>
      <c r="D1202" t="s">
        <v>477</v>
      </c>
      <c r="E1202" t="s">
        <v>76</v>
      </c>
      <c r="F1202" t="s">
        <v>461</v>
      </c>
      <c r="G1202" t="s">
        <v>13</v>
      </c>
      <c r="H1202" t="s">
        <v>26</v>
      </c>
      <c r="I1202" t="s">
        <v>15</v>
      </c>
      <c r="K1202" t="s">
        <v>442</v>
      </c>
      <c r="L1202">
        <v>1.5</v>
      </c>
      <c r="T1202">
        <v>19</v>
      </c>
      <c r="U1202">
        <v>2.5</v>
      </c>
      <c r="V1202">
        <v>2</v>
      </c>
      <c r="W1202">
        <v>15</v>
      </c>
      <c r="X1202">
        <v>23.5</v>
      </c>
    </row>
    <row r="1203" spans="1:24">
      <c r="A1203" t="s">
        <v>438</v>
      </c>
      <c r="B1203" t="s">
        <v>476</v>
      </c>
      <c r="C1203" t="str">
        <f>Data_Master[[#This Row],[Uniq-ID]]&amp;"-"&amp;Data_Master[[#This Row],[Period]]</f>
        <v>QC-Quality_Control-027-M2</v>
      </c>
      <c r="D1203" t="s">
        <v>477</v>
      </c>
      <c r="E1203" t="s">
        <v>76</v>
      </c>
      <c r="F1203" t="s">
        <v>461</v>
      </c>
      <c r="G1203" t="s">
        <v>18</v>
      </c>
      <c r="H1203" t="s">
        <v>29</v>
      </c>
      <c r="I1203" t="s">
        <v>15</v>
      </c>
      <c r="K1203" t="s">
        <v>442</v>
      </c>
      <c r="L1203">
        <v>1.5</v>
      </c>
      <c r="T1203">
        <v>18</v>
      </c>
      <c r="U1203">
        <v>4.5</v>
      </c>
      <c r="V1203">
        <v>1</v>
      </c>
      <c r="W1203">
        <v>15</v>
      </c>
      <c r="X1203">
        <v>23.5</v>
      </c>
    </row>
    <row r="1204" spans="1:24">
      <c r="A1204" t="s">
        <v>438</v>
      </c>
      <c r="B1204" t="s">
        <v>476</v>
      </c>
      <c r="C1204" t="str">
        <f>Data_Master[[#This Row],[Uniq-ID]]&amp;"-"&amp;Data_Master[[#This Row],[Period]]</f>
        <v>QC-Quality_Control-027-M3</v>
      </c>
      <c r="D1204" t="s">
        <v>477</v>
      </c>
      <c r="E1204" t="s">
        <v>76</v>
      </c>
      <c r="F1204" t="s">
        <v>461</v>
      </c>
      <c r="G1204" t="s">
        <v>22</v>
      </c>
      <c r="H1204" t="s">
        <v>32</v>
      </c>
      <c r="I1204" t="s">
        <v>33</v>
      </c>
      <c r="K1204" t="s">
        <v>443</v>
      </c>
      <c r="L1204">
        <v>0.5</v>
      </c>
      <c r="T1204">
        <v>1</v>
      </c>
      <c r="U1204">
        <v>1.5</v>
      </c>
      <c r="W1204">
        <v>15</v>
      </c>
      <c r="X1204">
        <v>2.5</v>
      </c>
    </row>
    <row r="1205" spans="1:24">
      <c r="A1205" t="s">
        <v>438</v>
      </c>
      <c r="B1205" t="s">
        <v>514</v>
      </c>
      <c r="C1205" t="str">
        <f>Data_Master[[#This Row],[Uniq-ID]]&amp;"-"&amp;Data_Master[[#This Row],[Period]]</f>
        <v>QC-Quality_Control-028-M1</v>
      </c>
      <c r="D1205" t="s">
        <v>515</v>
      </c>
      <c r="E1205" t="s">
        <v>487</v>
      </c>
      <c r="F1205" t="s">
        <v>488</v>
      </c>
      <c r="G1205" t="s">
        <v>13</v>
      </c>
      <c r="H1205" t="s">
        <v>322</v>
      </c>
      <c r="I1205" t="s">
        <v>15</v>
      </c>
      <c r="K1205" t="s">
        <v>443</v>
      </c>
      <c r="W1205">
        <v>15</v>
      </c>
    </row>
    <row r="1206" spans="1:24">
      <c r="A1206" t="s">
        <v>438</v>
      </c>
      <c r="B1206" t="s">
        <v>514</v>
      </c>
      <c r="C1206" t="str">
        <f>Data_Master[[#This Row],[Uniq-ID]]&amp;"-"&amp;Data_Master[[#This Row],[Period]]</f>
        <v>QC-Quality_Control-028-M2</v>
      </c>
      <c r="D1206" t="s">
        <v>515</v>
      </c>
      <c r="E1206" t="s">
        <v>487</v>
      </c>
      <c r="F1206" t="s">
        <v>488</v>
      </c>
      <c r="G1206" t="s">
        <v>18</v>
      </c>
      <c r="H1206" t="s">
        <v>293</v>
      </c>
      <c r="I1206" t="s">
        <v>15</v>
      </c>
      <c r="K1206" t="s">
        <v>443</v>
      </c>
      <c r="W1206">
        <v>15</v>
      </c>
    </row>
    <row r="1207" spans="1:24">
      <c r="A1207" t="s">
        <v>438</v>
      </c>
      <c r="B1207" t="s">
        <v>514</v>
      </c>
      <c r="C1207" t="str">
        <f>Data_Master[[#This Row],[Uniq-ID]]&amp;"-"&amp;Data_Master[[#This Row],[Period]]</f>
        <v>QC-Quality_Control-028-M3</v>
      </c>
      <c r="D1207" t="s">
        <v>515</v>
      </c>
      <c r="E1207" t="s">
        <v>487</v>
      </c>
      <c r="F1207" t="s">
        <v>488</v>
      </c>
      <c r="G1207" t="s">
        <v>22</v>
      </c>
      <c r="H1207" t="s">
        <v>294</v>
      </c>
      <c r="I1207" t="s">
        <v>33</v>
      </c>
      <c r="K1207" t="s">
        <v>442</v>
      </c>
      <c r="L1207">
        <v>1.4</v>
      </c>
      <c r="T1207">
        <v>21</v>
      </c>
      <c r="W1207">
        <v>15</v>
      </c>
      <c r="X1207">
        <v>21</v>
      </c>
    </row>
    <row r="1208" spans="1:24">
      <c r="A1208" t="s">
        <v>438</v>
      </c>
      <c r="B1208" t="s">
        <v>540</v>
      </c>
      <c r="C1208" t="str">
        <f>Data_Master[[#This Row],[Uniq-ID]]&amp;"-"&amp;Data_Master[[#This Row],[Period]]</f>
        <v>QC-Quality_Control-029-M1</v>
      </c>
      <c r="D1208" t="s">
        <v>541</v>
      </c>
      <c r="F1208" t="s">
        <v>446</v>
      </c>
      <c r="G1208" t="s">
        <v>13</v>
      </c>
      <c r="H1208" t="s">
        <v>322</v>
      </c>
      <c r="I1208" t="s">
        <v>15</v>
      </c>
      <c r="K1208" t="s">
        <v>443</v>
      </c>
      <c r="L1208">
        <v>0.5</v>
      </c>
      <c r="T1208">
        <v>2</v>
      </c>
      <c r="W1208">
        <v>20</v>
      </c>
      <c r="X1208">
        <v>2</v>
      </c>
    </row>
    <row r="1209" spans="1:24">
      <c r="A1209" t="s">
        <v>438</v>
      </c>
      <c r="B1209" t="s">
        <v>540</v>
      </c>
      <c r="C1209" t="str">
        <f>Data_Master[[#This Row],[Uniq-ID]]&amp;"-"&amp;Data_Master[[#This Row],[Period]]</f>
        <v>QC-Quality_Control-029-M2</v>
      </c>
      <c r="D1209" t="s">
        <v>541</v>
      </c>
      <c r="F1209" t="s">
        <v>446</v>
      </c>
      <c r="G1209" t="s">
        <v>18</v>
      </c>
      <c r="H1209" t="s">
        <v>293</v>
      </c>
      <c r="I1209" t="s">
        <v>15</v>
      </c>
      <c r="K1209" t="s">
        <v>443</v>
      </c>
      <c r="L1209">
        <v>0.5</v>
      </c>
      <c r="T1209">
        <v>8</v>
      </c>
      <c r="W1209">
        <v>20</v>
      </c>
      <c r="X1209">
        <v>8</v>
      </c>
    </row>
    <row r="1210" spans="1:24">
      <c r="A1210" t="s">
        <v>438</v>
      </c>
      <c r="B1210" t="s">
        <v>540</v>
      </c>
      <c r="C1210" t="str">
        <f>Data_Master[[#This Row],[Uniq-ID]]&amp;"-"&amp;Data_Master[[#This Row],[Period]]</f>
        <v>QC-Quality_Control-029-M3</v>
      </c>
      <c r="D1210" t="s">
        <v>541</v>
      </c>
      <c r="F1210" t="s">
        <v>446</v>
      </c>
      <c r="G1210" t="s">
        <v>22</v>
      </c>
      <c r="H1210" t="s">
        <v>294</v>
      </c>
      <c r="I1210" t="s">
        <v>33</v>
      </c>
      <c r="K1210" t="s">
        <v>442</v>
      </c>
      <c r="L1210">
        <v>1.5</v>
      </c>
      <c r="T1210">
        <v>60</v>
      </c>
      <c r="W1210">
        <v>20</v>
      </c>
      <c r="X1210">
        <v>60</v>
      </c>
    </row>
    <row r="1211" spans="1:24">
      <c r="A1211" t="s">
        <v>438</v>
      </c>
      <c r="B1211" t="s">
        <v>538</v>
      </c>
      <c r="C1211" t="str">
        <f>Data_Master[[#This Row],[Uniq-ID]]&amp;"-"&amp;Data_Master[[#This Row],[Period]]</f>
        <v>QC-Quality_Control-030-M1</v>
      </c>
      <c r="D1211" t="s">
        <v>539</v>
      </c>
      <c r="E1211" t="s">
        <v>290</v>
      </c>
      <c r="F1211" t="s">
        <v>446</v>
      </c>
      <c r="G1211" t="s">
        <v>13</v>
      </c>
      <c r="H1211" t="s">
        <v>26</v>
      </c>
      <c r="I1211" t="s">
        <v>15</v>
      </c>
      <c r="K1211" t="s">
        <v>443</v>
      </c>
      <c r="L1211">
        <v>0.9</v>
      </c>
      <c r="T1211">
        <v>18</v>
      </c>
      <c r="W1211">
        <v>20</v>
      </c>
      <c r="X1211">
        <v>18</v>
      </c>
    </row>
    <row r="1212" spans="1:24">
      <c r="A1212" t="s">
        <v>438</v>
      </c>
      <c r="B1212" t="s">
        <v>538</v>
      </c>
      <c r="C1212" t="str">
        <f>Data_Master[[#This Row],[Uniq-ID]]&amp;"-"&amp;Data_Master[[#This Row],[Period]]</f>
        <v>QC-Quality_Control-030-M2</v>
      </c>
      <c r="D1212" t="s">
        <v>539</v>
      </c>
      <c r="E1212" t="s">
        <v>290</v>
      </c>
      <c r="F1212" t="s">
        <v>446</v>
      </c>
      <c r="G1212" t="s">
        <v>18</v>
      </c>
      <c r="H1212" t="s">
        <v>29</v>
      </c>
      <c r="I1212" t="s">
        <v>15</v>
      </c>
      <c r="K1212" t="s">
        <v>442</v>
      </c>
      <c r="L1212">
        <v>1.05</v>
      </c>
      <c r="T1212">
        <v>19</v>
      </c>
      <c r="V1212">
        <v>2</v>
      </c>
      <c r="W1212">
        <v>20</v>
      </c>
      <c r="X1212">
        <v>21</v>
      </c>
    </row>
    <row r="1213" spans="1:24">
      <c r="A1213" t="s">
        <v>438</v>
      </c>
      <c r="B1213" t="s">
        <v>538</v>
      </c>
      <c r="C1213" t="str">
        <f>Data_Master[[#This Row],[Uniq-ID]]&amp;"-"&amp;Data_Master[[#This Row],[Period]]</f>
        <v>QC-Quality_Control-030-M3</v>
      </c>
      <c r="D1213" t="s">
        <v>539</v>
      </c>
      <c r="E1213" t="s">
        <v>290</v>
      </c>
      <c r="F1213" t="s">
        <v>446</v>
      </c>
      <c r="G1213" t="s">
        <v>22</v>
      </c>
      <c r="H1213" t="s">
        <v>32</v>
      </c>
      <c r="I1213" t="s">
        <v>33</v>
      </c>
      <c r="K1213" t="s">
        <v>443</v>
      </c>
      <c r="L1213">
        <v>0.75</v>
      </c>
      <c r="T1213">
        <v>13</v>
      </c>
      <c r="V1213">
        <v>2</v>
      </c>
      <c r="W1213">
        <v>20</v>
      </c>
      <c r="X1213">
        <v>15</v>
      </c>
    </row>
    <row r="1214" spans="1:24">
      <c r="A1214" t="s">
        <v>438</v>
      </c>
      <c r="B1214" t="s">
        <v>462</v>
      </c>
      <c r="C1214" t="str">
        <f>Data_Master[[#This Row],[Uniq-ID]]&amp;"-"&amp;Data_Master[[#This Row],[Period]]</f>
        <v>QC-Quality_Control-031-M1</v>
      </c>
      <c r="D1214" t="s">
        <v>463</v>
      </c>
      <c r="E1214" t="s">
        <v>112</v>
      </c>
      <c r="F1214" t="s">
        <v>446</v>
      </c>
      <c r="G1214" t="s">
        <v>13</v>
      </c>
      <c r="H1214" t="s">
        <v>464</v>
      </c>
      <c r="I1214" t="s">
        <v>15</v>
      </c>
      <c r="K1214" t="s">
        <v>442</v>
      </c>
      <c r="L1214">
        <v>1.2</v>
      </c>
      <c r="T1214">
        <v>24</v>
      </c>
      <c r="W1214">
        <v>20</v>
      </c>
      <c r="X1214">
        <v>24</v>
      </c>
    </row>
    <row r="1215" spans="1:24">
      <c r="A1215" t="s">
        <v>438</v>
      </c>
      <c r="B1215" t="s">
        <v>462</v>
      </c>
      <c r="C1215" t="str">
        <f>Data_Master[[#This Row],[Uniq-ID]]&amp;"-"&amp;Data_Master[[#This Row],[Period]]</f>
        <v>QC-Quality_Control-031-M2</v>
      </c>
      <c r="D1215" t="s">
        <v>463</v>
      </c>
      <c r="E1215" t="s">
        <v>112</v>
      </c>
      <c r="F1215" t="s">
        <v>446</v>
      </c>
      <c r="G1215" t="s">
        <v>18</v>
      </c>
      <c r="H1215" t="s">
        <v>465</v>
      </c>
      <c r="I1215" t="s">
        <v>15</v>
      </c>
      <c r="K1215" t="s">
        <v>442</v>
      </c>
      <c r="L1215">
        <v>1.45</v>
      </c>
      <c r="T1215">
        <v>26</v>
      </c>
      <c r="V1215">
        <v>3</v>
      </c>
      <c r="W1215">
        <v>20</v>
      </c>
      <c r="X1215">
        <v>29</v>
      </c>
    </row>
    <row r="1216" spans="1:24">
      <c r="A1216" t="s">
        <v>438</v>
      </c>
      <c r="B1216" t="s">
        <v>462</v>
      </c>
      <c r="C1216" t="str">
        <f>Data_Master[[#This Row],[Uniq-ID]]&amp;"-"&amp;Data_Master[[#This Row],[Period]]</f>
        <v>QC-Quality_Control-031-M3</v>
      </c>
      <c r="D1216" t="s">
        <v>463</v>
      </c>
      <c r="E1216" t="s">
        <v>112</v>
      </c>
      <c r="F1216" t="s">
        <v>446</v>
      </c>
      <c r="G1216" t="s">
        <v>22</v>
      </c>
      <c r="H1216" t="s">
        <v>3448</v>
      </c>
      <c r="I1216" t="s">
        <v>33</v>
      </c>
      <c r="K1216" t="s">
        <v>443</v>
      </c>
      <c r="L1216">
        <v>0.5</v>
      </c>
      <c r="V1216">
        <v>2</v>
      </c>
      <c r="W1216">
        <v>20</v>
      </c>
      <c r="X1216">
        <v>2</v>
      </c>
    </row>
    <row r="1217" spans="1:24">
      <c r="A1217" t="s">
        <v>438</v>
      </c>
      <c r="B1217" t="s">
        <v>528</v>
      </c>
      <c r="C1217" t="str">
        <f>Data_Master[[#This Row],[Uniq-ID]]&amp;"-"&amp;Data_Master[[#This Row],[Period]]</f>
        <v>QC-Quality_Control-032-M1</v>
      </c>
      <c r="D1217" t="s">
        <v>529</v>
      </c>
      <c r="E1217" t="s">
        <v>530</v>
      </c>
      <c r="F1217" t="s">
        <v>441</v>
      </c>
      <c r="G1217" t="s">
        <v>13</v>
      </c>
      <c r="H1217" t="s">
        <v>531</v>
      </c>
      <c r="I1217" t="s">
        <v>15</v>
      </c>
      <c r="K1217" t="s">
        <v>443</v>
      </c>
      <c r="W1217">
        <v>20</v>
      </c>
    </row>
    <row r="1218" spans="1:24">
      <c r="A1218" t="s">
        <v>438</v>
      </c>
      <c r="B1218" t="s">
        <v>528</v>
      </c>
      <c r="C1218" t="str">
        <f>Data_Master[[#This Row],[Uniq-ID]]&amp;"-"&amp;Data_Master[[#This Row],[Period]]</f>
        <v>QC-Quality_Control-032-M2</v>
      </c>
      <c r="D1218" t="s">
        <v>529</v>
      </c>
      <c r="E1218" t="s">
        <v>530</v>
      </c>
      <c r="F1218" t="s">
        <v>441</v>
      </c>
      <c r="G1218" t="s">
        <v>18</v>
      </c>
      <c r="H1218" t="s">
        <v>302</v>
      </c>
      <c r="I1218" t="s">
        <v>15</v>
      </c>
      <c r="K1218" t="s">
        <v>443</v>
      </c>
      <c r="W1218">
        <v>20</v>
      </c>
    </row>
    <row r="1219" spans="1:24">
      <c r="A1219" t="s">
        <v>438</v>
      </c>
      <c r="B1219" t="s">
        <v>528</v>
      </c>
      <c r="C1219" t="str">
        <f>Data_Master[[#This Row],[Uniq-ID]]&amp;"-"&amp;Data_Master[[#This Row],[Period]]</f>
        <v>QC-Quality_Control-032-M3</v>
      </c>
      <c r="D1219" t="s">
        <v>529</v>
      </c>
      <c r="E1219" t="s">
        <v>530</v>
      </c>
      <c r="F1219" t="s">
        <v>441</v>
      </c>
      <c r="G1219" t="s">
        <v>22</v>
      </c>
      <c r="H1219" t="s">
        <v>303</v>
      </c>
      <c r="I1219" t="s">
        <v>33</v>
      </c>
      <c r="K1219" t="s">
        <v>443</v>
      </c>
      <c r="W1219">
        <v>20</v>
      </c>
    </row>
    <row r="1220" spans="1:24">
      <c r="A1220" t="s">
        <v>438</v>
      </c>
      <c r="B1220" t="s">
        <v>494</v>
      </c>
      <c r="C1220" t="str">
        <f>Data_Master[[#This Row],[Uniq-ID]]&amp;"-"&amp;Data_Master[[#This Row],[Period]]</f>
        <v>QC-Quality_Control-033-M1</v>
      </c>
      <c r="D1220" t="s">
        <v>495</v>
      </c>
      <c r="E1220" t="s">
        <v>48</v>
      </c>
      <c r="F1220" t="s">
        <v>457</v>
      </c>
      <c r="G1220" t="s">
        <v>13</v>
      </c>
      <c r="H1220" t="s">
        <v>268</v>
      </c>
      <c r="I1220" t="s">
        <v>15</v>
      </c>
      <c r="K1220" t="s">
        <v>442</v>
      </c>
      <c r="L1220">
        <v>1.5</v>
      </c>
      <c r="T1220">
        <v>38</v>
      </c>
      <c r="U1220">
        <v>5</v>
      </c>
      <c r="W1220">
        <v>20</v>
      </c>
      <c r="X1220">
        <v>43</v>
      </c>
    </row>
    <row r="1221" spans="1:24">
      <c r="A1221" t="s">
        <v>438</v>
      </c>
      <c r="B1221" t="s">
        <v>494</v>
      </c>
      <c r="C1221" t="str">
        <f>Data_Master[[#This Row],[Uniq-ID]]&amp;"-"&amp;Data_Master[[#This Row],[Period]]</f>
        <v>QC-Quality_Control-033-M2</v>
      </c>
      <c r="D1221" t="s">
        <v>495</v>
      </c>
      <c r="E1221" t="s">
        <v>48</v>
      </c>
      <c r="F1221" t="s">
        <v>457</v>
      </c>
      <c r="G1221" t="s">
        <v>18</v>
      </c>
      <c r="H1221" t="s">
        <v>270</v>
      </c>
      <c r="I1221" t="s">
        <v>15</v>
      </c>
      <c r="K1221" t="s">
        <v>442</v>
      </c>
      <c r="L1221">
        <v>1.5</v>
      </c>
      <c r="T1221">
        <v>41</v>
      </c>
      <c r="U1221">
        <v>4.5</v>
      </c>
      <c r="W1221">
        <v>20</v>
      </c>
      <c r="X1221">
        <v>45.5</v>
      </c>
    </row>
    <row r="1222" spans="1:24">
      <c r="A1222" t="s">
        <v>438</v>
      </c>
      <c r="B1222" t="s">
        <v>494</v>
      </c>
      <c r="C1222" t="str">
        <f>Data_Master[[#This Row],[Uniq-ID]]&amp;"-"&amp;Data_Master[[#This Row],[Period]]</f>
        <v>QC-Quality_Control-033-M3</v>
      </c>
      <c r="D1222" t="s">
        <v>495</v>
      </c>
      <c r="E1222" t="s">
        <v>48</v>
      </c>
      <c r="F1222" t="s">
        <v>457</v>
      </c>
      <c r="G1222" t="s">
        <v>22</v>
      </c>
      <c r="H1222" t="s">
        <v>272</v>
      </c>
      <c r="I1222" t="s">
        <v>15</v>
      </c>
      <c r="K1222" t="s">
        <v>442</v>
      </c>
      <c r="L1222">
        <v>1.5</v>
      </c>
      <c r="T1222">
        <v>33</v>
      </c>
      <c r="U1222">
        <v>3</v>
      </c>
      <c r="W1222">
        <v>20</v>
      </c>
      <c r="X1222">
        <v>36</v>
      </c>
    </row>
    <row r="1223" spans="1:24">
      <c r="A1223" t="s">
        <v>438</v>
      </c>
      <c r="B1223" t="s">
        <v>494</v>
      </c>
      <c r="C1223" t="str">
        <f>Data_Master[[#This Row],[Uniq-ID]]&amp;"-"&amp;Data_Master[[#This Row],[Period]]</f>
        <v>QC-Quality_Control-033-M4</v>
      </c>
      <c r="D1223" t="s">
        <v>495</v>
      </c>
      <c r="E1223" t="s">
        <v>48</v>
      </c>
      <c r="F1223" t="s">
        <v>457</v>
      </c>
      <c r="G1223" t="s">
        <v>25</v>
      </c>
      <c r="H1223" t="s">
        <v>274</v>
      </c>
      <c r="I1223" t="s">
        <v>33</v>
      </c>
      <c r="K1223" t="s">
        <v>443</v>
      </c>
      <c r="W1223">
        <v>20</v>
      </c>
    </row>
    <row r="1224" spans="1:24">
      <c r="A1224" t="s">
        <v>438</v>
      </c>
      <c r="B1224" t="s">
        <v>453</v>
      </c>
      <c r="C1224" t="str">
        <f>Data_Master[[#This Row],[Uniq-ID]]&amp;"-"&amp;Data_Master[[#This Row],[Period]]</f>
        <v>QC-Quality_Control-034-M1</v>
      </c>
      <c r="D1224" t="s">
        <v>454</v>
      </c>
      <c r="E1224" t="s">
        <v>250</v>
      </c>
      <c r="F1224" t="s">
        <v>446</v>
      </c>
      <c r="G1224" t="s">
        <v>13</v>
      </c>
      <c r="H1224" t="s">
        <v>26</v>
      </c>
      <c r="I1224" t="s">
        <v>15</v>
      </c>
      <c r="K1224" t="s">
        <v>442</v>
      </c>
      <c r="L1224">
        <v>1.5</v>
      </c>
      <c r="T1224">
        <v>42</v>
      </c>
      <c r="W1224">
        <v>20</v>
      </c>
      <c r="X1224">
        <v>42</v>
      </c>
    </row>
    <row r="1225" spans="1:24">
      <c r="A1225" t="s">
        <v>438</v>
      </c>
      <c r="B1225" t="s">
        <v>453</v>
      </c>
      <c r="C1225" t="str">
        <f>Data_Master[[#This Row],[Uniq-ID]]&amp;"-"&amp;Data_Master[[#This Row],[Period]]</f>
        <v>QC-Quality_Control-034-M2</v>
      </c>
      <c r="D1225" t="s">
        <v>454</v>
      </c>
      <c r="E1225" t="s">
        <v>250</v>
      </c>
      <c r="F1225" t="s">
        <v>446</v>
      </c>
      <c r="G1225" t="s">
        <v>18</v>
      </c>
      <c r="H1225" t="s">
        <v>29</v>
      </c>
      <c r="I1225" t="s">
        <v>15</v>
      </c>
      <c r="K1225" t="s">
        <v>442</v>
      </c>
      <c r="L1225">
        <v>1.5</v>
      </c>
      <c r="T1225">
        <v>37</v>
      </c>
      <c r="V1225">
        <v>2</v>
      </c>
      <c r="W1225">
        <v>20</v>
      </c>
      <c r="X1225">
        <v>39</v>
      </c>
    </row>
    <row r="1226" spans="1:24">
      <c r="A1226" t="s">
        <v>438</v>
      </c>
      <c r="B1226" t="s">
        <v>453</v>
      </c>
      <c r="C1226" t="str">
        <f>Data_Master[[#This Row],[Uniq-ID]]&amp;"-"&amp;Data_Master[[#This Row],[Period]]</f>
        <v>QC-Quality_Control-034-M3</v>
      </c>
      <c r="D1226" t="s">
        <v>454</v>
      </c>
      <c r="E1226" t="s">
        <v>250</v>
      </c>
      <c r="F1226" t="s">
        <v>446</v>
      </c>
      <c r="G1226" t="s">
        <v>22</v>
      </c>
      <c r="H1226" t="s">
        <v>32</v>
      </c>
      <c r="I1226" t="s">
        <v>33</v>
      </c>
      <c r="K1226" t="s">
        <v>443</v>
      </c>
      <c r="L1226">
        <v>0.8</v>
      </c>
      <c r="T1226">
        <v>14</v>
      </c>
      <c r="V1226">
        <v>2</v>
      </c>
      <c r="W1226">
        <v>20</v>
      </c>
      <c r="X1226">
        <v>16</v>
      </c>
    </row>
    <row r="1227" spans="1:24">
      <c r="A1227" t="s">
        <v>438</v>
      </c>
      <c r="B1227" t="s">
        <v>485</v>
      </c>
      <c r="C1227" t="str">
        <f>Data_Master[[#This Row],[Uniq-ID]]&amp;"-"&amp;Data_Master[[#This Row],[Period]]</f>
        <v>QC-Quality_Control-035-M1</v>
      </c>
      <c r="D1227" t="s">
        <v>486</v>
      </c>
      <c r="E1227" t="s">
        <v>487</v>
      </c>
      <c r="F1227" t="s">
        <v>488</v>
      </c>
      <c r="G1227" t="s">
        <v>13</v>
      </c>
      <c r="H1227" t="s">
        <v>26</v>
      </c>
      <c r="I1227" t="s">
        <v>15</v>
      </c>
      <c r="K1227" t="s">
        <v>442</v>
      </c>
      <c r="L1227">
        <v>1</v>
      </c>
      <c r="T1227">
        <v>15</v>
      </c>
      <c r="W1227">
        <v>15</v>
      </c>
      <c r="X1227">
        <v>15</v>
      </c>
    </row>
    <row r="1228" spans="1:24">
      <c r="A1228" t="s">
        <v>438</v>
      </c>
      <c r="B1228" t="s">
        <v>485</v>
      </c>
      <c r="C1228" t="str">
        <f>Data_Master[[#This Row],[Uniq-ID]]&amp;"-"&amp;Data_Master[[#This Row],[Period]]</f>
        <v>QC-Quality_Control-035-M2</v>
      </c>
      <c r="D1228" t="s">
        <v>486</v>
      </c>
      <c r="E1228" t="s">
        <v>487</v>
      </c>
      <c r="F1228" t="s">
        <v>488</v>
      </c>
      <c r="G1228" t="s">
        <v>18</v>
      </c>
      <c r="H1228" t="s">
        <v>29</v>
      </c>
      <c r="I1228" t="s">
        <v>15</v>
      </c>
      <c r="K1228" t="s">
        <v>443</v>
      </c>
      <c r="L1228">
        <v>0.87</v>
      </c>
      <c r="T1228">
        <v>11</v>
      </c>
      <c r="V1228">
        <v>2</v>
      </c>
      <c r="W1228">
        <v>15</v>
      </c>
      <c r="X1228">
        <v>13</v>
      </c>
    </row>
    <row r="1229" spans="1:24">
      <c r="A1229" t="s">
        <v>438</v>
      </c>
      <c r="B1229" t="s">
        <v>485</v>
      </c>
      <c r="C1229" t="str">
        <f>Data_Master[[#This Row],[Uniq-ID]]&amp;"-"&amp;Data_Master[[#This Row],[Period]]</f>
        <v>QC-Quality_Control-035-M3</v>
      </c>
      <c r="D1229" t="s">
        <v>486</v>
      </c>
      <c r="E1229" t="s">
        <v>487</v>
      </c>
      <c r="F1229" t="s">
        <v>488</v>
      </c>
      <c r="G1229" t="s">
        <v>22</v>
      </c>
      <c r="H1229" t="s">
        <v>32</v>
      </c>
      <c r="I1229" t="s">
        <v>33</v>
      </c>
      <c r="K1229" t="s">
        <v>443</v>
      </c>
      <c r="L1229">
        <v>0.5</v>
      </c>
      <c r="T1229">
        <v>3</v>
      </c>
      <c r="W1229">
        <v>15</v>
      </c>
      <c r="X1229">
        <v>3</v>
      </c>
    </row>
    <row r="1230" spans="1:24">
      <c r="A1230" t="s">
        <v>438</v>
      </c>
      <c r="B1230" t="s">
        <v>523</v>
      </c>
      <c r="C1230" t="str">
        <f>Data_Master[[#This Row],[Uniq-ID]]&amp;"-"&amp;Data_Master[[#This Row],[Period]]</f>
        <v>QC-Quality_Control-036-M1</v>
      </c>
      <c r="D1230" t="s">
        <v>524</v>
      </c>
      <c r="E1230" t="s">
        <v>525</v>
      </c>
      <c r="F1230" t="s">
        <v>446</v>
      </c>
      <c r="G1230" t="s">
        <v>13</v>
      </c>
      <c r="H1230" t="s">
        <v>526</v>
      </c>
      <c r="I1230" t="s">
        <v>15</v>
      </c>
      <c r="K1230" t="s">
        <v>443</v>
      </c>
      <c r="W1230">
        <v>20</v>
      </c>
    </row>
    <row r="1231" spans="1:24">
      <c r="A1231" t="s">
        <v>438</v>
      </c>
      <c r="B1231" t="s">
        <v>523</v>
      </c>
      <c r="C1231" t="str">
        <f>Data_Master[[#This Row],[Uniq-ID]]&amp;"-"&amp;Data_Master[[#This Row],[Period]]</f>
        <v>QC-Quality_Control-036-M2</v>
      </c>
      <c r="D1231" t="s">
        <v>524</v>
      </c>
      <c r="E1231" t="s">
        <v>525</v>
      </c>
      <c r="F1231" t="s">
        <v>446</v>
      </c>
      <c r="G1231" t="s">
        <v>18</v>
      </c>
      <c r="H1231" t="s">
        <v>527</v>
      </c>
      <c r="I1231" t="s">
        <v>33</v>
      </c>
      <c r="K1231" t="s">
        <v>443</v>
      </c>
      <c r="W1231">
        <v>20</v>
      </c>
    </row>
    <row r="1232" spans="1:24">
      <c r="A1232" t="s">
        <v>438</v>
      </c>
      <c r="B1232" t="s">
        <v>523</v>
      </c>
      <c r="C1232" t="str">
        <f>Data_Master[[#This Row],[Uniq-ID]]&amp;"-"&amp;Data_Master[[#This Row],[Period]]</f>
        <v>QC-Quality_Control-036-M3</v>
      </c>
      <c r="D1232" t="s">
        <v>524</v>
      </c>
      <c r="E1232" t="s">
        <v>525</v>
      </c>
      <c r="F1232" t="s">
        <v>446</v>
      </c>
      <c r="G1232" t="s">
        <v>22</v>
      </c>
      <c r="H1232" t="s">
        <v>3505</v>
      </c>
      <c r="I1232" t="s">
        <v>225</v>
      </c>
      <c r="K1232" t="s">
        <v>443</v>
      </c>
      <c r="W1232">
        <v>20</v>
      </c>
    </row>
    <row r="1233" spans="1:26">
      <c r="A1233" t="s">
        <v>438</v>
      </c>
      <c r="B1233" t="s">
        <v>518</v>
      </c>
      <c r="C1233" t="str">
        <f>Data_Master[[#This Row],[Uniq-ID]]&amp;"-"&amp;Data_Master[[#This Row],[Period]]</f>
        <v>QC-Quality_Control-037-M1</v>
      </c>
      <c r="D1233" t="s">
        <v>519</v>
      </c>
      <c r="E1233" t="s">
        <v>11</v>
      </c>
      <c r="F1233" t="s">
        <v>520</v>
      </c>
      <c r="G1233" t="s">
        <v>13</v>
      </c>
      <c r="H1233" t="s">
        <v>71</v>
      </c>
      <c r="I1233" t="s">
        <v>15</v>
      </c>
      <c r="K1233" t="s">
        <v>443</v>
      </c>
      <c r="L1233">
        <v>0.5</v>
      </c>
      <c r="U1233">
        <v>1</v>
      </c>
      <c r="W1233">
        <v>15</v>
      </c>
      <c r="X1233">
        <v>1</v>
      </c>
    </row>
    <row r="1234" spans="1:26">
      <c r="A1234" t="s">
        <v>438</v>
      </c>
      <c r="B1234" t="s">
        <v>518</v>
      </c>
      <c r="C1234" t="str">
        <f>Data_Master[[#This Row],[Uniq-ID]]&amp;"-"&amp;Data_Master[[#This Row],[Period]]</f>
        <v>QC-Quality_Control-037-M2</v>
      </c>
      <c r="D1234" t="s">
        <v>519</v>
      </c>
      <c r="E1234" t="s">
        <v>11</v>
      </c>
      <c r="F1234" t="s">
        <v>520</v>
      </c>
      <c r="G1234" t="s">
        <v>18</v>
      </c>
      <c r="H1234" t="s">
        <v>73</v>
      </c>
      <c r="I1234" t="s">
        <v>33</v>
      </c>
      <c r="K1234" t="s">
        <v>442</v>
      </c>
      <c r="L1234">
        <v>1.5</v>
      </c>
      <c r="T1234">
        <v>28</v>
      </c>
      <c r="U1234">
        <v>0.5</v>
      </c>
      <c r="V1234">
        <v>2</v>
      </c>
      <c r="W1234">
        <v>15</v>
      </c>
      <c r="X1234">
        <v>30.5</v>
      </c>
    </row>
    <row r="1235" spans="1:26">
      <c r="A1235" t="s">
        <v>4154</v>
      </c>
      <c r="B1235" t="s">
        <v>583</v>
      </c>
      <c r="C1235" t="str">
        <f>Data_Master[[#This Row],[Uniq-ID]]&amp;"-"&amp;Data_Master[[#This Row],[Period]]</f>
        <v>SE-Site_Engineer-002-M1</v>
      </c>
      <c r="D1235" t="s">
        <v>584</v>
      </c>
      <c r="E1235" t="s">
        <v>76</v>
      </c>
      <c r="F1235" t="s">
        <v>461</v>
      </c>
      <c r="G1235" t="s">
        <v>13</v>
      </c>
      <c r="H1235" t="s">
        <v>49</v>
      </c>
      <c r="I1235" t="s">
        <v>15</v>
      </c>
      <c r="J1235" t="s">
        <v>44</v>
      </c>
      <c r="Y1235">
        <v>3</v>
      </c>
    </row>
    <row r="1236" spans="1:26">
      <c r="A1236" t="s">
        <v>4154</v>
      </c>
      <c r="B1236" t="s">
        <v>583</v>
      </c>
      <c r="C1236" t="str">
        <f>Data_Master[[#This Row],[Uniq-ID]]&amp;"-"&amp;Data_Master[[#This Row],[Period]]</f>
        <v>SE-Site_Engineer-002-M2</v>
      </c>
      <c r="D1236" t="s">
        <v>584</v>
      </c>
      <c r="E1236" t="s">
        <v>76</v>
      </c>
      <c r="F1236" t="s">
        <v>461</v>
      </c>
      <c r="G1236" t="s">
        <v>18</v>
      </c>
      <c r="H1236" t="s">
        <v>51</v>
      </c>
      <c r="I1236" t="s">
        <v>15</v>
      </c>
      <c r="J1236" t="s">
        <v>44</v>
      </c>
      <c r="Y1236">
        <v>11</v>
      </c>
    </row>
    <row r="1237" spans="1:26">
      <c r="A1237" t="s">
        <v>4154</v>
      </c>
      <c r="B1237" t="s">
        <v>583</v>
      </c>
      <c r="C1237" t="str">
        <f>Data_Master[[#This Row],[Uniq-ID]]&amp;"-"&amp;Data_Master[[#This Row],[Period]]</f>
        <v>SE-Site_Engineer-002-M3</v>
      </c>
      <c r="D1237" t="s">
        <v>584</v>
      </c>
      <c r="E1237" t="s">
        <v>76</v>
      </c>
      <c r="F1237" t="s">
        <v>461</v>
      </c>
      <c r="G1237" t="s">
        <v>22</v>
      </c>
      <c r="H1237" t="s">
        <v>52</v>
      </c>
      <c r="I1237" t="s">
        <v>15</v>
      </c>
      <c r="J1237" t="s">
        <v>44</v>
      </c>
      <c r="Y1237">
        <v>3</v>
      </c>
    </row>
    <row r="1238" spans="1:26">
      <c r="A1238" t="s">
        <v>4154</v>
      </c>
      <c r="B1238" t="s">
        <v>583</v>
      </c>
      <c r="C1238" t="str">
        <f>Data_Master[[#This Row],[Uniq-ID]]&amp;"-"&amp;Data_Master[[#This Row],[Period]]</f>
        <v>SE-Site_Engineer-002-M4</v>
      </c>
      <c r="D1238" t="s">
        <v>584</v>
      </c>
      <c r="E1238" t="s">
        <v>76</v>
      </c>
      <c r="F1238" t="s">
        <v>461</v>
      </c>
      <c r="G1238" t="s">
        <v>25</v>
      </c>
      <c r="H1238" t="s">
        <v>54</v>
      </c>
      <c r="I1238" t="s">
        <v>15</v>
      </c>
      <c r="J1238" t="s">
        <v>44</v>
      </c>
      <c r="Y1238">
        <v>8</v>
      </c>
    </row>
    <row r="1239" spans="1:26">
      <c r="A1239" t="s">
        <v>4154</v>
      </c>
      <c r="B1239" t="s">
        <v>583</v>
      </c>
      <c r="C1239" t="str">
        <f>Data_Master[[#This Row],[Uniq-ID]]&amp;"-"&amp;Data_Master[[#This Row],[Period]]</f>
        <v>SE-Site_Engineer-002-M5</v>
      </c>
      <c r="D1239" t="s">
        <v>584</v>
      </c>
      <c r="E1239" t="s">
        <v>76</v>
      </c>
      <c r="F1239" t="s">
        <v>461</v>
      </c>
      <c r="G1239" t="s">
        <v>28</v>
      </c>
      <c r="H1239" t="s">
        <v>56</v>
      </c>
      <c r="I1239" t="s">
        <v>15</v>
      </c>
      <c r="J1239" t="s">
        <v>44</v>
      </c>
      <c r="L1239">
        <v>0.5</v>
      </c>
      <c r="Z1239">
        <v>1</v>
      </c>
    </row>
    <row r="1240" spans="1:26">
      <c r="A1240" t="s">
        <v>4154</v>
      </c>
      <c r="B1240" t="s">
        <v>583</v>
      </c>
      <c r="C1240" t="str">
        <f>Data_Master[[#This Row],[Uniq-ID]]&amp;"-"&amp;Data_Master[[#This Row],[Period]]</f>
        <v>SE-Site_Engineer-002-M6</v>
      </c>
      <c r="D1240" t="s">
        <v>584</v>
      </c>
      <c r="E1240" t="s">
        <v>76</v>
      </c>
      <c r="F1240" t="s">
        <v>461</v>
      </c>
      <c r="G1240" t="s">
        <v>31</v>
      </c>
      <c r="H1240" t="s">
        <v>57</v>
      </c>
      <c r="I1240" t="s">
        <v>33</v>
      </c>
      <c r="J1240" t="s">
        <v>44</v>
      </c>
    </row>
    <row r="1241" spans="1:26">
      <c r="A1241" t="s">
        <v>4154</v>
      </c>
      <c r="B1241" t="s">
        <v>603</v>
      </c>
      <c r="C1241" t="str">
        <f>Data_Master[[#This Row],[Uniq-ID]]&amp;"-"&amp;Data_Master[[#This Row],[Period]]</f>
        <v>SE-Site_Engineer-003-M1</v>
      </c>
      <c r="D1241" t="s">
        <v>604</v>
      </c>
      <c r="E1241" t="s">
        <v>76</v>
      </c>
      <c r="F1241" t="s">
        <v>520</v>
      </c>
      <c r="G1241" t="s">
        <v>13</v>
      </c>
      <c r="H1241" t="s">
        <v>49</v>
      </c>
      <c r="I1241" t="s">
        <v>15</v>
      </c>
      <c r="J1241" t="s">
        <v>44</v>
      </c>
    </row>
    <row r="1242" spans="1:26">
      <c r="A1242" t="s">
        <v>4154</v>
      </c>
      <c r="B1242" t="s">
        <v>603</v>
      </c>
      <c r="C1242" t="str">
        <f>Data_Master[[#This Row],[Uniq-ID]]&amp;"-"&amp;Data_Master[[#This Row],[Period]]</f>
        <v>SE-Site_Engineer-003-M2</v>
      </c>
      <c r="D1242" t="s">
        <v>604</v>
      </c>
      <c r="E1242" t="s">
        <v>76</v>
      </c>
      <c r="F1242" t="s">
        <v>520</v>
      </c>
      <c r="G1242" t="s">
        <v>18</v>
      </c>
      <c r="H1242" t="s">
        <v>51</v>
      </c>
      <c r="I1242" t="s">
        <v>15</v>
      </c>
      <c r="J1242" t="s">
        <v>44</v>
      </c>
    </row>
    <row r="1243" spans="1:26">
      <c r="A1243" t="s">
        <v>4154</v>
      </c>
      <c r="B1243" t="s">
        <v>603</v>
      </c>
      <c r="C1243" t="str">
        <f>Data_Master[[#This Row],[Uniq-ID]]&amp;"-"&amp;Data_Master[[#This Row],[Period]]</f>
        <v>SE-Site_Engineer-003-M3</v>
      </c>
      <c r="D1243" t="s">
        <v>604</v>
      </c>
      <c r="E1243" t="s">
        <v>76</v>
      </c>
      <c r="F1243" t="s">
        <v>520</v>
      </c>
      <c r="G1243" t="s">
        <v>22</v>
      </c>
      <c r="H1243" t="s">
        <v>52</v>
      </c>
      <c r="I1243" t="s">
        <v>15</v>
      </c>
      <c r="J1243" t="s">
        <v>44</v>
      </c>
    </row>
    <row r="1244" spans="1:26">
      <c r="A1244" t="s">
        <v>4154</v>
      </c>
      <c r="B1244" t="s">
        <v>603</v>
      </c>
      <c r="C1244" t="str">
        <f>Data_Master[[#This Row],[Uniq-ID]]&amp;"-"&amp;Data_Master[[#This Row],[Period]]</f>
        <v>SE-Site_Engineer-003-M4</v>
      </c>
      <c r="D1244" t="s">
        <v>604</v>
      </c>
      <c r="E1244" t="s">
        <v>76</v>
      </c>
      <c r="F1244" t="s">
        <v>520</v>
      </c>
      <c r="G1244" t="s">
        <v>25</v>
      </c>
      <c r="H1244" t="s">
        <v>605</v>
      </c>
      <c r="I1244" t="s">
        <v>15</v>
      </c>
      <c r="J1244" t="s">
        <v>44</v>
      </c>
    </row>
    <row r="1245" spans="1:26">
      <c r="A1245" t="s">
        <v>4154</v>
      </c>
      <c r="B1245" t="s">
        <v>652</v>
      </c>
      <c r="C1245" t="str">
        <f>Data_Master[[#This Row],[Uniq-ID]]&amp;"-"&amp;Data_Master[[#This Row],[Period]]</f>
        <v>SE-Site_Engineer-005-M1</v>
      </c>
      <c r="D1245" t="s">
        <v>653</v>
      </c>
      <c r="E1245" t="s">
        <v>48</v>
      </c>
      <c r="F1245" t="s">
        <v>461</v>
      </c>
      <c r="G1245" t="s">
        <v>13</v>
      </c>
      <c r="H1245" t="s">
        <v>122</v>
      </c>
      <c r="I1245" t="s">
        <v>15</v>
      </c>
      <c r="J1245" t="s">
        <v>44</v>
      </c>
    </row>
    <row r="1246" spans="1:26">
      <c r="A1246" t="s">
        <v>4154</v>
      </c>
      <c r="B1246" t="s">
        <v>652</v>
      </c>
      <c r="C1246" t="str">
        <f>Data_Master[[#This Row],[Uniq-ID]]&amp;"-"&amp;Data_Master[[#This Row],[Period]]</f>
        <v>SE-Site_Engineer-005-M2</v>
      </c>
      <c r="D1246" t="s">
        <v>653</v>
      </c>
      <c r="E1246" t="s">
        <v>48</v>
      </c>
      <c r="F1246" t="s">
        <v>461</v>
      </c>
      <c r="G1246" t="s">
        <v>18</v>
      </c>
      <c r="H1246" t="s">
        <v>124</v>
      </c>
      <c r="I1246" t="s">
        <v>15</v>
      </c>
      <c r="J1246" t="s">
        <v>44</v>
      </c>
    </row>
    <row r="1247" spans="1:26">
      <c r="A1247" t="s">
        <v>4154</v>
      </c>
      <c r="B1247" t="s">
        <v>652</v>
      </c>
      <c r="C1247" t="str">
        <f>Data_Master[[#This Row],[Uniq-ID]]&amp;"-"&amp;Data_Master[[#This Row],[Period]]</f>
        <v>SE-Site_Engineer-005-M3</v>
      </c>
      <c r="D1247" t="s">
        <v>653</v>
      </c>
      <c r="E1247" t="s">
        <v>48</v>
      </c>
      <c r="F1247" t="s">
        <v>461</v>
      </c>
      <c r="G1247" t="s">
        <v>22</v>
      </c>
      <c r="H1247" t="s">
        <v>126</v>
      </c>
      <c r="I1247" t="s">
        <v>15</v>
      </c>
      <c r="J1247" t="s">
        <v>44</v>
      </c>
    </row>
    <row r="1248" spans="1:26">
      <c r="A1248" t="s">
        <v>4154</v>
      </c>
      <c r="B1248" t="s">
        <v>652</v>
      </c>
      <c r="C1248" t="str">
        <f>Data_Master[[#This Row],[Uniq-ID]]&amp;"-"&amp;Data_Master[[#This Row],[Period]]</f>
        <v>SE-Site_Engineer-005-M4</v>
      </c>
      <c r="D1248" t="s">
        <v>653</v>
      </c>
      <c r="E1248" t="s">
        <v>48</v>
      </c>
      <c r="F1248" t="s">
        <v>461</v>
      </c>
      <c r="G1248" t="s">
        <v>25</v>
      </c>
      <c r="H1248" t="s">
        <v>128</v>
      </c>
      <c r="I1248" t="s">
        <v>15</v>
      </c>
      <c r="J1248" t="s">
        <v>44</v>
      </c>
    </row>
    <row r="1249" spans="1:25">
      <c r="A1249" t="s">
        <v>4154</v>
      </c>
      <c r="B1249" t="s">
        <v>652</v>
      </c>
      <c r="C1249" t="str">
        <f>Data_Master[[#This Row],[Uniq-ID]]&amp;"-"&amp;Data_Master[[#This Row],[Period]]</f>
        <v>SE-Site_Engineer-005-M5</v>
      </c>
      <c r="D1249" t="s">
        <v>653</v>
      </c>
      <c r="E1249" t="s">
        <v>48</v>
      </c>
      <c r="F1249" t="s">
        <v>461</v>
      </c>
      <c r="G1249" t="s">
        <v>28</v>
      </c>
      <c r="H1249" t="s">
        <v>130</v>
      </c>
      <c r="I1249" t="s">
        <v>15</v>
      </c>
      <c r="J1249" t="s">
        <v>44</v>
      </c>
    </row>
    <row r="1250" spans="1:25">
      <c r="A1250" t="s">
        <v>4154</v>
      </c>
      <c r="B1250" t="s">
        <v>652</v>
      </c>
      <c r="C1250" t="str">
        <f>Data_Master[[#This Row],[Uniq-ID]]&amp;"-"&amp;Data_Master[[#This Row],[Period]]</f>
        <v>SE-Site_Engineer-005-M6</v>
      </c>
      <c r="D1250" t="s">
        <v>653</v>
      </c>
      <c r="E1250" t="s">
        <v>48</v>
      </c>
      <c r="F1250" t="s">
        <v>461</v>
      </c>
      <c r="G1250" t="s">
        <v>31</v>
      </c>
      <c r="H1250" t="s">
        <v>132</v>
      </c>
      <c r="I1250" t="s">
        <v>33</v>
      </c>
      <c r="J1250" t="s">
        <v>44</v>
      </c>
    </row>
    <row r="1251" spans="1:25">
      <c r="A1251" t="s">
        <v>4154</v>
      </c>
      <c r="B1251" t="s">
        <v>702</v>
      </c>
      <c r="C1251" t="str">
        <f>Data_Master[[#This Row],[Uniq-ID]]&amp;"-"&amp;Data_Master[[#This Row],[Period]]</f>
        <v>SE-Site_Engineer-006-M1</v>
      </c>
      <c r="D1251" t="s">
        <v>703</v>
      </c>
      <c r="E1251" t="s">
        <v>48</v>
      </c>
      <c r="F1251" t="s">
        <v>520</v>
      </c>
      <c r="G1251" t="s">
        <v>13</v>
      </c>
      <c r="H1251" t="s">
        <v>122</v>
      </c>
      <c r="I1251" t="s">
        <v>15</v>
      </c>
      <c r="J1251" t="s">
        <v>44</v>
      </c>
    </row>
    <row r="1252" spans="1:25">
      <c r="A1252" t="s">
        <v>4154</v>
      </c>
      <c r="B1252" t="s">
        <v>702</v>
      </c>
      <c r="C1252" t="str">
        <f>Data_Master[[#This Row],[Uniq-ID]]&amp;"-"&amp;Data_Master[[#This Row],[Period]]</f>
        <v>SE-Site_Engineer-006-M2</v>
      </c>
      <c r="D1252" t="s">
        <v>703</v>
      </c>
      <c r="E1252" t="s">
        <v>48</v>
      </c>
      <c r="F1252" t="s">
        <v>520</v>
      </c>
      <c r="G1252" t="s">
        <v>18</v>
      </c>
      <c r="H1252" t="s">
        <v>124</v>
      </c>
      <c r="I1252" t="s">
        <v>15</v>
      </c>
      <c r="J1252" t="s">
        <v>44</v>
      </c>
    </row>
    <row r="1253" spans="1:25">
      <c r="A1253" t="s">
        <v>4154</v>
      </c>
      <c r="B1253" t="s">
        <v>702</v>
      </c>
      <c r="C1253" t="str">
        <f>Data_Master[[#This Row],[Uniq-ID]]&amp;"-"&amp;Data_Master[[#This Row],[Period]]</f>
        <v>SE-Site_Engineer-006-M3</v>
      </c>
      <c r="D1253" t="s">
        <v>703</v>
      </c>
      <c r="E1253" t="s">
        <v>48</v>
      </c>
      <c r="F1253" t="s">
        <v>520</v>
      </c>
      <c r="G1253" t="s">
        <v>22</v>
      </c>
      <c r="H1253" t="s">
        <v>126</v>
      </c>
      <c r="I1253" t="s">
        <v>15</v>
      </c>
      <c r="J1253" t="s">
        <v>44</v>
      </c>
    </row>
    <row r="1254" spans="1:25">
      <c r="A1254" t="s">
        <v>4154</v>
      </c>
      <c r="B1254" t="s">
        <v>702</v>
      </c>
      <c r="C1254" t="str">
        <f>Data_Master[[#This Row],[Uniq-ID]]&amp;"-"&amp;Data_Master[[#This Row],[Period]]</f>
        <v>SE-Site_Engineer-006-M4</v>
      </c>
      <c r="D1254" t="s">
        <v>703</v>
      </c>
      <c r="E1254" t="s">
        <v>48</v>
      </c>
      <c r="F1254" t="s">
        <v>520</v>
      </c>
      <c r="G1254" t="s">
        <v>25</v>
      </c>
      <c r="H1254" t="s">
        <v>128</v>
      </c>
      <c r="I1254" t="s">
        <v>15</v>
      </c>
      <c r="J1254" t="s">
        <v>44</v>
      </c>
      <c r="Y1254">
        <v>21</v>
      </c>
    </row>
    <row r="1255" spans="1:25">
      <c r="A1255" t="s">
        <v>4154</v>
      </c>
      <c r="B1255" t="s">
        <v>702</v>
      </c>
      <c r="C1255" t="str">
        <f>Data_Master[[#This Row],[Uniq-ID]]&amp;"-"&amp;Data_Master[[#This Row],[Period]]</f>
        <v>SE-Site_Engineer-006-M5</v>
      </c>
      <c r="D1255" t="s">
        <v>703</v>
      </c>
      <c r="E1255" t="s">
        <v>48</v>
      </c>
      <c r="F1255" t="s">
        <v>520</v>
      </c>
      <c r="G1255" t="s">
        <v>28</v>
      </c>
      <c r="H1255" t="s">
        <v>130</v>
      </c>
      <c r="I1255" t="s">
        <v>15</v>
      </c>
      <c r="J1255" t="s">
        <v>44</v>
      </c>
    </row>
    <row r="1256" spans="1:25">
      <c r="A1256" t="s">
        <v>4154</v>
      </c>
      <c r="B1256" t="s">
        <v>702</v>
      </c>
      <c r="C1256" t="str">
        <f>Data_Master[[#This Row],[Uniq-ID]]&amp;"-"&amp;Data_Master[[#This Row],[Period]]</f>
        <v>SE-Site_Engineer-006-M6</v>
      </c>
      <c r="D1256" t="s">
        <v>703</v>
      </c>
      <c r="E1256" t="s">
        <v>48</v>
      </c>
      <c r="F1256" t="s">
        <v>520</v>
      </c>
      <c r="G1256" t="s">
        <v>31</v>
      </c>
      <c r="H1256" t="s">
        <v>132</v>
      </c>
      <c r="I1256" t="s">
        <v>33</v>
      </c>
      <c r="J1256" t="s">
        <v>44</v>
      </c>
    </row>
    <row r="1257" spans="1:25">
      <c r="A1257" t="s">
        <v>4154</v>
      </c>
      <c r="B1257" t="s">
        <v>577</v>
      </c>
      <c r="C1257" t="str">
        <f>Data_Master[[#This Row],[Uniq-ID]]&amp;"-"&amp;Data_Master[[#This Row],[Period]]</f>
        <v>SE-Site_Engineer-007-M1</v>
      </c>
      <c r="D1257" t="s">
        <v>578</v>
      </c>
      <c r="E1257" t="s">
        <v>76</v>
      </c>
      <c r="F1257" t="s">
        <v>520</v>
      </c>
      <c r="G1257" t="s">
        <v>13</v>
      </c>
      <c r="H1257" t="s">
        <v>200</v>
      </c>
      <c r="I1257" t="s">
        <v>15</v>
      </c>
      <c r="J1257" t="s">
        <v>44</v>
      </c>
    </row>
    <row r="1258" spans="1:25">
      <c r="A1258" t="s">
        <v>4154</v>
      </c>
      <c r="B1258" t="s">
        <v>577</v>
      </c>
      <c r="C1258" t="str">
        <f>Data_Master[[#This Row],[Uniq-ID]]&amp;"-"&amp;Data_Master[[#This Row],[Period]]</f>
        <v>SE-Site_Engineer-007-M2</v>
      </c>
      <c r="D1258" t="s">
        <v>578</v>
      </c>
      <c r="E1258" t="s">
        <v>76</v>
      </c>
      <c r="F1258" t="s">
        <v>520</v>
      </c>
      <c r="G1258" t="s">
        <v>18</v>
      </c>
      <c r="H1258" t="s">
        <v>202</v>
      </c>
      <c r="I1258" t="s">
        <v>15</v>
      </c>
      <c r="J1258" t="s">
        <v>44</v>
      </c>
    </row>
    <row r="1259" spans="1:25">
      <c r="A1259" t="s">
        <v>4154</v>
      </c>
      <c r="B1259" t="s">
        <v>577</v>
      </c>
      <c r="C1259" t="str">
        <f>Data_Master[[#This Row],[Uniq-ID]]&amp;"-"&amp;Data_Master[[#This Row],[Period]]</f>
        <v>SE-Site_Engineer-007-M3</v>
      </c>
      <c r="D1259" t="s">
        <v>578</v>
      </c>
      <c r="E1259" t="s">
        <v>76</v>
      </c>
      <c r="F1259" t="s">
        <v>520</v>
      </c>
      <c r="G1259" t="s">
        <v>22</v>
      </c>
      <c r="H1259" t="s">
        <v>204</v>
      </c>
      <c r="I1259" t="s">
        <v>15</v>
      </c>
      <c r="J1259" t="s">
        <v>44</v>
      </c>
    </row>
    <row r="1260" spans="1:25">
      <c r="A1260" t="s">
        <v>4154</v>
      </c>
      <c r="B1260" t="s">
        <v>577</v>
      </c>
      <c r="C1260" t="str">
        <f>Data_Master[[#This Row],[Uniq-ID]]&amp;"-"&amp;Data_Master[[#This Row],[Period]]</f>
        <v>SE-Site_Engineer-007-M4</v>
      </c>
      <c r="D1260" t="s">
        <v>578</v>
      </c>
      <c r="E1260" t="s">
        <v>76</v>
      </c>
      <c r="F1260" t="s">
        <v>520</v>
      </c>
      <c r="G1260" t="s">
        <v>25</v>
      </c>
      <c r="H1260" t="s">
        <v>206</v>
      </c>
      <c r="I1260" t="s">
        <v>15</v>
      </c>
      <c r="J1260" t="s">
        <v>44</v>
      </c>
      <c r="Y1260">
        <v>28</v>
      </c>
    </row>
    <row r="1261" spans="1:25">
      <c r="A1261" t="s">
        <v>4154</v>
      </c>
      <c r="B1261" t="s">
        <v>577</v>
      </c>
      <c r="C1261" t="str">
        <f>Data_Master[[#This Row],[Uniq-ID]]&amp;"-"&amp;Data_Master[[#This Row],[Period]]</f>
        <v>SE-Site_Engineer-007-M5</v>
      </c>
      <c r="D1261" t="s">
        <v>578</v>
      </c>
      <c r="E1261" t="s">
        <v>76</v>
      </c>
      <c r="F1261" t="s">
        <v>520</v>
      </c>
      <c r="G1261" t="s">
        <v>28</v>
      </c>
      <c r="H1261" t="s">
        <v>208</v>
      </c>
      <c r="I1261" t="s">
        <v>15</v>
      </c>
      <c r="J1261" t="s">
        <v>44</v>
      </c>
    </row>
    <row r="1262" spans="1:25">
      <c r="A1262" t="s">
        <v>4154</v>
      </c>
      <c r="B1262" t="s">
        <v>577</v>
      </c>
      <c r="C1262" t="str">
        <f>Data_Master[[#This Row],[Uniq-ID]]&amp;"-"&amp;Data_Master[[#This Row],[Period]]</f>
        <v>SE-Site_Engineer-007-M6</v>
      </c>
      <c r="D1262" t="s">
        <v>578</v>
      </c>
      <c r="E1262" t="s">
        <v>76</v>
      </c>
      <c r="F1262" t="s">
        <v>520</v>
      </c>
      <c r="G1262" t="s">
        <v>31</v>
      </c>
      <c r="H1262" t="s">
        <v>210</v>
      </c>
      <c r="I1262" t="s">
        <v>33</v>
      </c>
      <c r="J1262" t="s">
        <v>44</v>
      </c>
    </row>
    <row r="1263" spans="1:25">
      <c r="A1263" t="s">
        <v>4154</v>
      </c>
      <c r="B1263" t="s">
        <v>601</v>
      </c>
      <c r="C1263" t="str">
        <f>Data_Master[[#This Row],[Uniq-ID]]&amp;"-"&amp;Data_Master[[#This Row],[Period]]</f>
        <v>SE-Site_Engineer-008-M1</v>
      </c>
      <c r="D1263" t="s">
        <v>602</v>
      </c>
      <c r="E1263" t="s">
        <v>290</v>
      </c>
      <c r="F1263" t="s">
        <v>475</v>
      </c>
      <c r="G1263" t="s">
        <v>13</v>
      </c>
      <c r="H1263" t="s">
        <v>14</v>
      </c>
      <c r="I1263" t="s">
        <v>15</v>
      </c>
      <c r="J1263" t="s">
        <v>44</v>
      </c>
    </row>
    <row r="1264" spans="1:25">
      <c r="A1264" t="s">
        <v>4154</v>
      </c>
      <c r="B1264" t="s">
        <v>601</v>
      </c>
      <c r="C1264" t="str">
        <f>Data_Master[[#This Row],[Uniq-ID]]&amp;"-"&amp;Data_Master[[#This Row],[Period]]</f>
        <v>SE-Site_Engineer-008-M2</v>
      </c>
      <c r="D1264" t="s">
        <v>602</v>
      </c>
      <c r="E1264" t="s">
        <v>290</v>
      </c>
      <c r="F1264" t="s">
        <v>475</v>
      </c>
      <c r="G1264" t="s">
        <v>18</v>
      </c>
      <c r="H1264" t="s">
        <v>19</v>
      </c>
      <c r="I1264" t="s">
        <v>15</v>
      </c>
      <c r="J1264" t="s">
        <v>44</v>
      </c>
    </row>
    <row r="1265" spans="1:10">
      <c r="A1265" t="s">
        <v>4154</v>
      </c>
      <c r="B1265" t="s">
        <v>601</v>
      </c>
      <c r="C1265" t="str">
        <f>Data_Master[[#This Row],[Uniq-ID]]&amp;"-"&amp;Data_Master[[#This Row],[Period]]</f>
        <v>SE-Site_Engineer-008-M3</v>
      </c>
      <c r="D1265" t="s">
        <v>602</v>
      </c>
      <c r="E1265" t="s">
        <v>290</v>
      </c>
      <c r="F1265" t="s">
        <v>475</v>
      </c>
      <c r="G1265" t="s">
        <v>22</v>
      </c>
      <c r="H1265" t="s">
        <v>23</v>
      </c>
      <c r="I1265" t="s">
        <v>15</v>
      </c>
      <c r="J1265" t="s">
        <v>44</v>
      </c>
    </row>
    <row r="1266" spans="1:10">
      <c r="A1266" t="s">
        <v>4154</v>
      </c>
      <c r="B1266" t="s">
        <v>601</v>
      </c>
      <c r="C1266" t="str">
        <f>Data_Master[[#This Row],[Uniq-ID]]&amp;"-"&amp;Data_Master[[#This Row],[Period]]</f>
        <v>SE-Site_Engineer-008-M4</v>
      </c>
      <c r="D1266" t="s">
        <v>602</v>
      </c>
      <c r="E1266" t="s">
        <v>290</v>
      </c>
      <c r="F1266" t="s">
        <v>475</v>
      </c>
      <c r="G1266" t="s">
        <v>25</v>
      </c>
      <c r="H1266" t="s">
        <v>26</v>
      </c>
      <c r="I1266" t="s">
        <v>15</v>
      </c>
      <c r="J1266" t="s">
        <v>44</v>
      </c>
    </row>
    <row r="1267" spans="1:10">
      <c r="A1267" t="s">
        <v>4154</v>
      </c>
      <c r="B1267" t="s">
        <v>601</v>
      </c>
      <c r="C1267" t="str">
        <f>Data_Master[[#This Row],[Uniq-ID]]&amp;"-"&amp;Data_Master[[#This Row],[Period]]</f>
        <v>SE-Site_Engineer-008-M5</v>
      </c>
      <c r="D1267" t="s">
        <v>602</v>
      </c>
      <c r="E1267" t="s">
        <v>290</v>
      </c>
      <c r="F1267" t="s">
        <v>475</v>
      </c>
      <c r="G1267" t="s">
        <v>28</v>
      </c>
      <c r="H1267" t="s">
        <v>29</v>
      </c>
      <c r="I1267" t="s">
        <v>15</v>
      </c>
      <c r="J1267" t="s">
        <v>44</v>
      </c>
    </row>
    <row r="1268" spans="1:10">
      <c r="A1268" t="s">
        <v>4154</v>
      </c>
      <c r="B1268" t="s">
        <v>601</v>
      </c>
      <c r="C1268" t="str">
        <f>Data_Master[[#This Row],[Uniq-ID]]&amp;"-"&amp;Data_Master[[#This Row],[Period]]</f>
        <v>SE-Site_Engineer-008-M6</v>
      </c>
      <c r="D1268" t="s">
        <v>602</v>
      </c>
      <c r="E1268" t="s">
        <v>290</v>
      </c>
      <c r="F1268" t="s">
        <v>475</v>
      </c>
      <c r="G1268" t="s">
        <v>31</v>
      </c>
      <c r="H1268" t="s">
        <v>32</v>
      </c>
      <c r="I1268" t="s">
        <v>33</v>
      </c>
      <c r="J1268" t="s">
        <v>44</v>
      </c>
    </row>
    <row r="1269" spans="1:10">
      <c r="A1269" t="s">
        <v>4154</v>
      </c>
      <c r="B1269" t="s">
        <v>617</v>
      </c>
      <c r="C1269" t="str">
        <f>Data_Master[[#This Row],[Uniq-ID]]&amp;"-"&amp;Data_Master[[#This Row],[Period]]</f>
        <v>SE-Site_Engineer-010-M1</v>
      </c>
      <c r="D1269" t="s">
        <v>618</v>
      </c>
      <c r="E1269" t="s">
        <v>140</v>
      </c>
      <c r="F1269" t="s">
        <v>441</v>
      </c>
      <c r="G1269" t="s">
        <v>13</v>
      </c>
      <c r="H1269" t="s">
        <v>14</v>
      </c>
      <c r="I1269" t="s">
        <v>15</v>
      </c>
      <c r="J1269" t="s">
        <v>44</v>
      </c>
    </row>
    <row r="1270" spans="1:10">
      <c r="A1270" t="s">
        <v>4154</v>
      </c>
      <c r="B1270" t="s">
        <v>617</v>
      </c>
      <c r="C1270" t="str">
        <f>Data_Master[[#This Row],[Uniq-ID]]&amp;"-"&amp;Data_Master[[#This Row],[Period]]</f>
        <v>SE-Site_Engineer-010-M2</v>
      </c>
      <c r="D1270" t="s">
        <v>618</v>
      </c>
      <c r="E1270" t="s">
        <v>140</v>
      </c>
      <c r="F1270" t="s">
        <v>441</v>
      </c>
      <c r="G1270" t="s">
        <v>18</v>
      </c>
      <c r="H1270" t="s">
        <v>19</v>
      </c>
      <c r="I1270" t="s">
        <v>15</v>
      </c>
      <c r="J1270" t="s">
        <v>44</v>
      </c>
    </row>
    <row r="1271" spans="1:10">
      <c r="A1271" t="s">
        <v>4154</v>
      </c>
      <c r="B1271" t="s">
        <v>617</v>
      </c>
      <c r="C1271" t="str">
        <f>Data_Master[[#This Row],[Uniq-ID]]&amp;"-"&amp;Data_Master[[#This Row],[Period]]</f>
        <v>SE-Site_Engineer-010-M3</v>
      </c>
      <c r="D1271" t="s">
        <v>618</v>
      </c>
      <c r="E1271" t="s">
        <v>140</v>
      </c>
      <c r="F1271" t="s">
        <v>441</v>
      </c>
      <c r="G1271" t="s">
        <v>22</v>
      </c>
      <c r="H1271" t="s">
        <v>23</v>
      </c>
      <c r="I1271" t="s">
        <v>15</v>
      </c>
      <c r="J1271" t="s">
        <v>44</v>
      </c>
    </row>
    <row r="1272" spans="1:10">
      <c r="A1272" t="s">
        <v>4154</v>
      </c>
      <c r="B1272" t="s">
        <v>617</v>
      </c>
      <c r="C1272" t="str">
        <f>Data_Master[[#This Row],[Uniq-ID]]&amp;"-"&amp;Data_Master[[#This Row],[Period]]</f>
        <v>SE-Site_Engineer-010-M4</v>
      </c>
      <c r="D1272" t="s">
        <v>618</v>
      </c>
      <c r="E1272" t="s">
        <v>140</v>
      </c>
      <c r="F1272" t="s">
        <v>441</v>
      </c>
      <c r="G1272" t="s">
        <v>25</v>
      </c>
      <c r="H1272" t="s">
        <v>26</v>
      </c>
      <c r="I1272" t="s">
        <v>15</v>
      </c>
      <c r="J1272" t="s">
        <v>44</v>
      </c>
    </row>
    <row r="1273" spans="1:10">
      <c r="A1273" t="s">
        <v>4154</v>
      </c>
      <c r="B1273" t="s">
        <v>617</v>
      </c>
      <c r="C1273" t="str">
        <f>Data_Master[[#This Row],[Uniq-ID]]&amp;"-"&amp;Data_Master[[#This Row],[Period]]</f>
        <v>SE-Site_Engineer-010-M5</v>
      </c>
      <c r="D1273" t="s">
        <v>618</v>
      </c>
      <c r="E1273" t="s">
        <v>140</v>
      </c>
      <c r="F1273" t="s">
        <v>441</v>
      </c>
      <c r="G1273" t="s">
        <v>28</v>
      </c>
      <c r="H1273" t="s">
        <v>29</v>
      </c>
      <c r="I1273" t="s">
        <v>15</v>
      </c>
      <c r="J1273" t="s">
        <v>44</v>
      </c>
    </row>
    <row r="1274" spans="1:10">
      <c r="A1274" t="s">
        <v>4154</v>
      </c>
      <c r="B1274" t="s">
        <v>617</v>
      </c>
      <c r="C1274" t="str">
        <f>Data_Master[[#This Row],[Uniq-ID]]&amp;"-"&amp;Data_Master[[#This Row],[Period]]</f>
        <v>SE-Site_Engineer-010-M6</v>
      </c>
      <c r="D1274" t="s">
        <v>618</v>
      </c>
      <c r="E1274" t="s">
        <v>140</v>
      </c>
      <c r="F1274" t="s">
        <v>441</v>
      </c>
      <c r="G1274" t="s">
        <v>31</v>
      </c>
      <c r="H1274" t="s">
        <v>32</v>
      </c>
      <c r="I1274" t="s">
        <v>33</v>
      </c>
      <c r="J1274" t="s">
        <v>44</v>
      </c>
    </row>
    <row r="1275" spans="1:10">
      <c r="A1275" t="s">
        <v>4154</v>
      </c>
      <c r="B1275" t="s">
        <v>629</v>
      </c>
      <c r="C1275" t="str">
        <f>Data_Master[[#This Row],[Uniq-ID]]&amp;"-"&amp;Data_Master[[#This Row],[Period]]</f>
        <v>SE-Site_Engineer-011-M1</v>
      </c>
      <c r="D1275" t="s">
        <v>630</v>
      </c>
      <c r="E1275" t="s">
        <v>76</v>
      </c>
      <c r="F1275" t="s">
        <v>441</v>
      </c>
      <c r="G1275" t="s">
        <v>13</v>
      </c>
      <c r="H1275" t="s">
        <v>14</v>
      </c>
      <c r="I1275" t="s">
        <v>15</v>
      </c>
      <c r="J1275" t="s">
        <v>44</v>
      </c>
    </row>
    <row r="1276" spans="1:10">
      <c r="A1276" t="s">
        <v>4154</v>
      </c>
      <c r="B1276" t="s">
        <v>629</v>
      </c>
      <c r="C1276" t="str">
        <f>Data_Master[[#This Row],[Uniq-ID]]&amp;"-"&amp;Data_Master[[#This Row],[Period]]</f>
        <v>SE-Site_Engineer-011-M2</v>
      </c>
      <c r="D1276" t="s">
        <v>630</v>
      </c>
      <c r="E1276" t="s">
        <v>76</v>
      </c>
      <c r="F1276" t="s">
        <v>441</v>
      </c>
      <c r="G1276" t="s">
        <v>18</v>
      </c>
      <c r="H1276" t="s">
        <v>19</v>
      </c>
      <c r="I1276" t="s">
        <v>15</v>
      </c>
      <c r="J1276" t="s">
        <v>44</v>
      </c>
    </row>
    <row r="1277" spans="1:10">
      <c r="A1277" t="s">
        <v>4154</v>
      </c>
      <c r="B1277" t="s">
        <v>629</v>
      </c>
      <c r="C1277" t="str">
        <f>Data_Master[[#This Row],[Uniq-ID]]&amp;"-"&amp;Data_Master[[#This Row],[Period]]</f>
        <v>SE-Site_Engineer-011-M3</v>
      </c>
      <c r="D1277" t="s">
        <v>630</v>
      </c>
      <c r="E1277" t="s">
        <v>76</v>
      </c>
      <c r="F1277" t="s">
        <v>441</v>
      </c>
      <c r="G1277" t="s">
        <v>22</v>
      </c>
      <c r="H1277" t="s">
        <v>23</v>
      </c>
      <c r="I1277" t="s">
        <v>15</v>
      </c>
      <c r="J1277" t="s">
        <v>44</v>
      </c>
    </row>
    <row r="1278" spans="1:10">
      <c r="A1278" t="s">
        <v>4154</v>
      </c>
      <c r="B1278" t="s">
        <v>629</v>
      </c>
      <c r="C1278" t="str">
        <f>Data_Master[[#This Row],[Uniq-ID]]&amp;"-"&amp;Data_Master[[#This Row],[Period]]</f>
        <v>SE-Site_Engineer-011-M4</v>
      </c>
      <c r="D1278" t="s">
        <v>630</v>
      </c>
      <c r="E1278" t="s">
        <v>76</v>
      </c>
      <c r="F1278" t="s">
        <v>441</v>
      </c>
      <c r="G1278" t="s">
        <v>25</v>
      </c>
      <c r="H1278" t="s">
        <v>26</v>
      </c>
      <c r="I1278" t="s">
        <v>15</v>
      </c>
      <c r="J1278" t="s">
        <v>44</v>
      </c>
    </row>
    <row r="1279" spans="1:10">
      <c r="A1279" t="s">
        <v>4154</v>
      </c>
      <c r="B1279" t="s">
        <v>629</v>
      </c>
      <c r="C1279" t="str">
        <f>Data_Master[[#This Row],[Uniq-ID]]&amp;"-"&amp;Data_Master[[#This Row],[Period]]</f>
        <v>SE-Site_Engineer-011-M5</v>
      </c>
      <c r="D1279" t="s">
        <v>630</v>
      </c>
      <c r="E1279" t="s">
        <v>76</v>
      </c>
      <c r="F1279" t="s">
        <v>441</v>
      </c>
      <c r="G1279" t="s">
        <v>28</v>
      </c>
      <c r="H1279" t="s">
        <v>29</v>
      </c>
      <c r="I1279" t="s">
        <v>15</v>
      </c>
      <c r="J1279" t="s">
        <v>44</v>
      </c>
    </row>
    <row r="1280" spans="1:10">
      <c r="A1280" t="s">
        <v>4154</v>
      </c>
      <c r="B1280" t="s">
        <v>629</v>
      </c>
      <c r="C1280" t="str">
        <f>Data_Master[[#This Row],[Uniq-ID]]&amp;"-"&amp;Data_Master[[#This Row],[Period]]</f>
        <v>SE-Site_Engineer-011-M6</v>
      </c>
      <c r="D1280" t="s">
        <v>630</v>
      </c>
      <c r="E1280" t="s">
        <v>76</v>
      </c>
      <c r="F1280" t="s">
        <v>441</v>
      </c>
      <c r="G1280" t="s">
        <v>31</v>
      </c>
      <c r="H1280" t="s">
        <v>32</v>
      </c>
      <c r="I1280" t="s">
        <v>33</v>
      </c>
      <c r="J1280" t="s">
        <v>44</v>
      </c>
    </row>
    <row r="1281" spans="1:26">
      <c r="A1281" t="s">
        <v>4154</v>
      </c>
      <c r="B1281" t="s">
        <v>641</v>
      </c>
      <c r="C1281" t="str">
        <f>Data_Master[[#This Row],[Uniq-ID]]&amp;"-"&amp;Data_Master[[#This Row],[Period]]</f>
        <v>SE-Site_Engineer-015-M1</v>
      </c>
      <c r="D1281" t="s">
        <v>642</v>
      </c>
      <c r="E1281" t="s">
        <v>48</v>
      </c>
      <c r="F1281" t="s">
        <v>441</v>
      </c>
      <c r="G1281" t="s">
        <v>13</v>
      </c>
      <c r="H1281" t="s">
        <v>643</v>
      </c>
      <c r="I1281" t="s">
        <v>15</v>
      </c>
      <c r="J1281" t="s">
        <v>44</v>
      </c>
    </row>
    <row r="1282" spans="1:26">
      <c r="A1282" t="s">
        <v>4154</v>
      </c>
      <c r="B1282" t="s">
        <v>641</v>
      </c>
      <c r="C1282" t="str">
        <f>Data_Master[[#This Row],[Uniq-ID]]&amp;"-"&amp;Data_Master[[#This Row],[Period]]</f>
        <v>SE-Site_Engineer-015-M2</v>
      </c>
      <c r="D1282" t="s">
        <v>642</v>
      </c>
      <c r="E1282" t="s">
        <v>48</v>
      </c>
      <c r="F1282" t="s">
        <v>441</v>
      </c>
      <c r="G1282" t="s">
        <v>18</v>
      </c>
      <c r="H1282" t="s">
        <v>576</v>
      </c>
      <c r="I1282" t="s">
        <v>15</v>
      </c>
      <c r="J1282" t="s">
        <v>44</v>
      </c>
    </row>
    <row r="1283" spans="1:26">
      <c r="A1283" t="s">
        <v>4154</v>
      </c>
      <c r="B1283" t="s">
        <v>641</v>
      </c>
      <c r="C1283" t="str">
        <f>Data_Master[[#This Row],[Uniq-ID]]&amp;"-"&amp;Data_Master[[#This Row],[Period]]</f>
        <v>SE-Site_Engineer-015-M3</v>
      </c>
      <c r="D1283" t="s">
        <v>642</v>
      </c>
      <c r="E1283" t="s">
        <v>48</v>
      </c>
      <c r="F1283" t="s">
        <v>441</v>
      </c>
      <c r="G1283" t="s">
        <v>22</v>
      </c>
      <c r="H1283" t="s">
        <v>526</v>
      </c>
      <c r="I1283" t="s">
        <v>15</v>
      </c>
      <c r="J1283" t="s">
        <v>44</v>
      </c>
    </row>
    <row r="1284" spans="1:26">
      <c r="A1284" t="s">
        <v>4154</v>
      </c>
      <c r="B1284" t="s">
        <v>641</v>
      </c>
      <c r="C1284" t="str">
        <f>Data_Master[[#This Row],[Uniq-ID]]&amp;"-"&amp;Data_Master[[#This Row],[Period]]</f>
        <v>SE-Site_Engineer-015-M4</v>
      </c>
      <c r="D1284" t="s">
        <v>642</v>
      </c>
      <c r="E1284" t="s">
        <v>48</v>
      </c>
      <c r="F1284" t="s">
        <v>441</v>
      </c>
      <c r="G1284" t="s">
        <v>25</v>
      </c>
      <c r="H1284" t="s">
        <v>527</v>
      </c>
      <c r="I1284" t="s">
        <v>33</v>
      </c>
      <c r="J1284" t="s">
        <v>44</v>
      </c>
    </row>
    <row r="1285" spans="1:26">
      <c r="A1285" t="s">
        <v>4154</v>
      </c>
      <c r="B1285" t="s">
        <v>641</v>
      </c>
      <c r="C1285" t="str">
        <f>Data_Master[[#This Row],[Uniq-ID]]&amp;"-"&amp;Data_Master[[#This Row],[Period]]</f>
        <v>SE-Site_Engineer-015-M5</v>
      </c>
      <c r="D1285" t="s">
        <v>642</v>
      </c>
      <c r="E1285" t="s">
        <v>48</v>
      </c>
      <c r="F1285" t="s">
        <v>441</v>
      </c>
      <c r="G1285" t="s">
        <v>28</v>
      </c>
      <c r="H1285" t="s">
        <v>3505</v>
      </c>
      <c r="I1285" t="s">
        <v>225</v>
      </c>
      <c r="J1285" t="s">
        <v>44</v>
      </c>
    </row>
    <row r="1286" spans="1:26">
      <c r="A1286" t="s">
        <v>4154</v>
      </c>
      <c r="B1286" t="s">
        <v>650</v>
      </c>
      <c r="C1286" t="str">
        <f>Data_Master[[#This Row],[Uniq-ID]]&amp;"-"&amp;Data_Master[[#This Row],[Period]]</f>
        <v>SE-Site_Engineer-016-M1</v>
      </c>
      <c r="D1286" t="s">
        <v>651</v>
      </c>
      <c r="E1286" t="s">
        <v>48</v>
      </c>
      <c r="F1286" t="s">
        <v>441</v>
      </c>
      <c r="G1286" t="s">
        <v>13</v>
      </c>
      <c r="H1286" t="s">
        <v>643</v>
      </c>
      <c r="I1286" t="s">
        <v>15</v>
      </c>
      <c r="J1286" t="s">
        <v>44</v>
      </c>
    </row>
    <row r="1287" spans="1:26">
      <c r="A1287" t="s">
        <v>4154</v>
      </c>
      <c r="B1287" t="s">
        <v>650</v>
      </c>
      <c r="C1287" t="str">
        <f>Data_Master[[#This Row],[Uniq-ID]]&amp;"-"&amp;Data_Master[[#This Row],[Period]]</f>
        <v>SE-Site_Engineer-016-M2</v>
      </c>
      <c r="D1287" t="s">
        <v>651</v>
      </c>
      <c r="E1287" t="s">
        <v>48</v>
      </c>
      <c r="F1287" t="s">
        <v>441</v>
      </c>
      <c r="G1287" t="s">
        <v>18</v>
      </c>
      <c r="H1287" t="s">
        <v>576</v>
      </c>
      <c r="I1287" t="s">
        <v>15</v>
      </c>
      <c r="J1287" t="s">
        <v>44</v>
      </c>
    </row>
    <row r="1288" spans="1:26">
      <c r="A1288" t="s">
        <v>4154</v>
      </c>
      <c r="B1288" t="s">
        <v>650</v>
      </c>
      <c r="C1288" t="str">
        <f>Data_Master[[#This Row],[Uniq-ID]]&amp;"-"&amp;Data_Master[[#This Row],[Period]]</f>
        <v>SE-Site_Engineer-016-M3</v>
      </c>
      <c r="D1288" t="s">
        <v>651</v>
      </c>
      <c r="E1288" t="s">
        <v>48</v>
      </c>
      <c r="F1288" t="s">
        <v>441</v>
      </c>
      <c r="G1288" t="s">
        <v>22</v>
      </c>
      <c r="H1288" t="s">
        <v>526</v>
      </c>
      <c r="I1288" t="s">
        <v>15</v>
      </c>
      <c r="J1288" t="s">
        <v>44</v>
      </c>
    </row>
    <row r="1289" spans="1:26">
      <c r="A1289" t="s">
        <v>4154</v>
      </c>
      <c r="B1289" t="s">
        <v>650</v>
      </c>
      <c r="C1289" t="str">
        <f>Data_Master[[#This Row],[Uniq-ID]]&amp;"-"&amp;Data_Master[[#This Row],[Period]]</f>
        <v>SE-Site_Engineer-016-M4</v>
      </c>
      <c r="D1289" t="s">
        <v>651</v>
      </c>
      <c r="E1289" t="s">
        <v>48</v>
      </c>
      <c r="F1289" t="s">
        <v>441</v>
      </c>
      <c r="G1289" t="s">
        <v>25</v>
      </c>
      <c r="H1289" t="s">
        <v>527</v>
      </c>
      <c r="I1289" t="s">
        <v>33</v>
      </c>
      <c r="J1289" t="s">
        <v>44</v>
      </c>
    </row>
    <row r="1290" spans="1:26">
      <c r="A1290" t="s">
        <v>4154</v>
      </c>
      <c r="B1290" t="s">
        <v>650</v>
      </c>
      <c r="C1290" t="str">
        <f>Data_Master[[#This Row],[Uniq-ID]]&amp;"-"&amp;Data_Master[[#This Row],[Period]]</f>
        <v>SE-Site_Engineer-016-M5</v>
      </c>
      <c r="D1290" t="s">
        <v>651</v>
      </c>
      <c r="E1290" t="s">
        <v>48</v>
      </c>
      <c r="F1290" t="s">
        <v>441</v>
      </c>
      <c r="G1290" t="s">
        <v>28</v>
      </c>
      <c r="H1290" t="s">
        <v>3505</v>
      </c>
      <c r="I1290" t="s">
        <v>225</v>
      </c>
      <c r="J1290" t="s">
        <v>44</v>
      </c>
    </row>
    <row r="1291" spans="1:26">
      <c r="A1291" t="s">
        <v>4154</v>
      </c>
      <c r="B1291" t="s">
        <v>658</v>
      </c>
      <c r="C1291" t="str">
        <f>Data_Master[[#This Row],[Uniq-ID]]&amp;"-"&amp;Data_Master[[#This Row],[Period]]</f>
        <v>SE-Site_Engineer-017-M1</v>
      </c>
      <c r="D1291" t="s">
        <v>659</v>
      </c>
      <c r="E1291" t="s">
        <v>48</v>
      </c>
      <c r="F1291" t="s">
        <v>441</v>
      </c>
      <c r="G1291" t="s">
        <v>13</v>
      </c>
      <c r="H1291" t="s">
        <v>643</v>
      </c>
      <c r="I1291" t="s">
        <v>15</v>
      </c>
      <c r="J1291" t="s">
        <v>44</v>
      </c>
    </row>
    <row r="1292" spans="1:26">
      <c r="A1292" t="s">
        <v>4154</v>
      </c>
      <c r="B1292" t="s">
        <v>658</v>
      </c>
      <c r="C1292" t="str">
        <f>Data_Master[[#This Row],[Uniq-ID]]&amp;"-"&amp;Data_Master[[#This Row],[Period]]</f>
        <v>SE-Site_Engineer-017-M2</v>
      </c>
      <c r="D1292" t="s">
        <v>659</v>
      </c>
      <c r="E1292" t="s">
        <v>48</v>
      </c>
      <c r="F1292" t="s">
        <v>441</v>
      </c>
      <c r="G1292" t="s">
        <v>18</v>
      </c>
      <c r="H1292" t="s">
        <v>576</v>
      </c>
      <c r="I1292" t="s">
        <v>15</v>
      </c>
      <c r="J1292" t="s">
        <v>44</v>
      </c>
    </row>
    <row r="1293" spans="1:26">
      <c r="A1293" t="s">
        <v>4154</v>
      </c>
      <c r="B1293" t="s">
        <v>658</v>
      </c>
      <c r="C1293" t="str">
        <f>Data_Master[[#This Row],[Uniq-ID]]&amp;"-"&amp;Data_Master[[#This Row],[Period]]</f>
        <v>SE-Site_Engineer-017-M3</v>
      </c>
      <c r="D1293" t="s">
        <v>659</v>
      </c>
      <c r="E1293" t="s">
        <v>48</v>
      </c>
      <c r="F1293" t="s">
        <v>441</v>
      </c>
      <c r="G1293" t="s">
        <v>22</v>
      </c>
      <c r="H1293" t="s">
        <v>526</v>
      </c>
      <c r="I1293" t="s">
        <v>15</v>
      </c>
      <c r="J1293" t="s">
        <v>44</v>
      </c>
      <c r="Y1293">
        <v>3</v>
      </c>
    </row>
    <row r="1294" spans="1:26">
      <c r="A1294" t="s">
        <v>4154</v>
      </c>
      <c r="B1294" t="s">
        <v>658</v>
      </c>
      <c r="C1294" t="str">
        <f>Data_Master[[#This Row],[Uniq-ID]]&amp;"-"&amp;Data_Master[[#This Row],[Period]]</f>
        <v>SE-Site_Engineer-017-M4</v>
      </c>
      <c r="D1294" t="s">
        <v>659</v>
      </c>
      <c r="E1294" t="s">
        <v>48</v>
      </c>
      <c r="F1294" t="s">
        <v>441</v>
      </c>
      <c r="G1294" t="s">
        <v>25</v>
      </c>
      <c r="H1294" t="s">
        <v>527</v>
      </c>
      <c r="I1294" t="s">
        <v>33</v>
      </c>
      <c r="J1294" t="s">
        <v>44</v>
      </c>
      <c r="L1294">
        <v>0.5</v>
      </c>
      <c r="Y1294">
        <v>13</v>
      </c>
      <c r="Z1294">
        <v>8</v>
      </c>
    </row>
    <row r="1295" spans="1:26">
      <c r="A1295" t="s">
        <v>4154</v>
      </c>
      <c r="B1295" t="s">
        <v>658</v>
      </c>
      <c r="C1295" t="str">
        <f>Data_Master[[#This Row],[Uniq-ID]]&amp;"-"&amp;Data_Master[[#This Row],[Period]]</f>
        <v>SE-Site_Engineer-017-M5</v>
      </c>
      <c r="D1295" t="s">
        <v>659</v>
      </c>
      <c r="E1295" t="s">
        <v>48</v>
      </c>
      <c r="F1295" t="s">
        <v>441</v>
      </c>
      <c r="G1295" t="s">
        <v>28</v>
      </c>
      <c r="H1295" t="s">
        <v>3505</v>
      </c>
      <c r="I1295" t="s">
        <v>225</v>
      </c>
      <c r="J1295" t="s">
        <v>44</v>
      </c>
    </row>
    <row r="1296" spans="1:26">
      <c r="A1296" t="s">
        <v>4154</v>
      </c>
      <c r="B1296" t="s">
        <v>666</v>
      </c>
      <c r="C1296" t="str">
        <f>Data_Master[[#This Row],[Uniq-ID]]&amp;"-"&amp;Data_Master[[#This Row],[Period]]</f>
        <v>SE-Site_Engineer-018-M1</v>
      </c>
      <c r="D1296" t="s">
        <v>667</v>
      </c>
      <c r="E1296" t="s">
        <v>48</v>
      </c>
      <c r="F1296" t="s">
        <v>441</v>
      </c>
      <c r="G1296" t="s">
        <v>13</v>
      </c>
      <c r="H1296" t="s">
        <v>643</v>
      </c>
      <c r="I1296" t="s">
        <v>15</v>
      </c>
      <c r="J1296" t="s">
        <v>44</v>
      </c>
    </row>
    <row r="1297" spans="1:26">
      <c r="A1297" t="s">
        <v>4154</v>
      </c>
      <c r="B1297" t="s">
        <v>666</v>
      </c>
      <c r="C1297" t="str">
        <f>Data_Master[[#This Row],[Uniq-ID]]&amp;"-"&amp;Data_Master[[#This Row],[Period]]</f>
        <v>SE-Site_Engineer-018-M2</v>
      </c>
      <c r="D1297" t="s">
        <v>667</v>
      </c>
      <c r="E1297" t="s">
        <v>48</v>
      </c>
      <c r="F1297" t="s">
        <v>441</v>
      </c>
      <c r="G1297" t="s">
        <v>18</v>
      </c>
      <c r="H1297" t="s">
        <v>576</v>
      </c>
      <c r="I1297" t="s">
        <v>15</v>
      </c>
      <c r="J1297" t="s">
        <v>44</v>
      </c>
    </row>
    <row r="1298" spans="1:26">
      <c r="A1298" t="s">
        <v>4154</v>
      </c>
      <c r="B1298" t="s">
        <v>666</v>
      </c>
      <c r="C1298" t="str">
        <f>Data_Master[[#This Row],[Uniq-ID]]&amp;"-"&amp;Data_Master[[#This Row],[Period]]</f>
        <v>SE-Site_Engineer-018-M3</v>
      </c>
      <c r="D1298" t="s">
        <v>667</v>
      </c>
      <c r="E1298" t="s">
        <v>48</v>
      </c>
      <c r="F1298" t="s">
        <v>441</v>
      </c>
      <c r="G1298" t="s">
        <v>22</v>
      </c>
      <c r="H1298" t="s">
        <v>526</v>
      </c>
      <c r="I1298" t="s">
        <v>15</v>
      </c>
      <c r="J1298" t="s">
        <v>44</v>
      </c>
    </row>
    <row r="1299" spans="1:26">
      <c r="A1299" t="s">
        <v>4154</v>
      </c>
      <c r="B1299" t="s">
        <v>666</v>
      </c>
      <c r="C1299" t="str">
        <f>Data_Master[[#This Row],[Uniq-ID]]&amp;"-"&amp;Data_Master[[#This Row],[Period]]</f>
        <v>SE-Site_Engineer-018-M4</v>
      </c>
      <c r="D1299" t="s">
        <v>667</v>
      </c>
      <c r="E1299" t="s">
        <v>48</v>
      </c>
      <c r="F1299" t="s">
        <v>441</v>
      </c>
      <c r="G1299" t="s">
        <v>25</v>
      </c>
      <c r="H1299" t="s">
        <v>527</v>
      </c>
      <c r="I1299" t="s">
        <v>33</v>
      </c>
      <c r="J1299" t="s">
        <v>44</v>
      </c>
    </row>
    <row r="1300" spans="1:26">
      <c r="A1300" t="s">
        <v>4154</v>
      </c>
      <c r="B1300" t="s">
        <v>666</v>
      </c>
      <c r="C1300" t="str">
        <f>Data_Master[[#This Row],[Uniq-ID]]&amp;"-"&amp;Data_Master[[#This Row],[Period]]</f>
        <v>SE-Site_Engineer-018-M5</v>
      </c>
      <c r="D1300" t="s">
        <v>667</v>
      </c>
      <c r="E1300" t="s">
        <v>48</v>
      </c>
      <c r="F1300" t="s">
        <v>441</v>
      </c>
      <c r="G1300" t="s">
        <v>28</v>
      </c>
      <c r="H1300" t="s">
        <v>3505</v>
      </c>
      <c r="I1300" t="s">
        <v>225</v>
      </c>
      <c r="J1300" t="s">
        <v>44</v>
      </c>
    </row>
    <row r="1301" spans="1:26">
      <c r="A1301" t="s">
        <v>4154</v>
      </c>
      <c r="B1301" t="s">
        <v>676</v>
      </c>
      <c r="C1301" t="str">
        <f>Data_Master[[#This Row],[Uniq-ID]]&amp;"-"&amp;Data_Master[[#This Row],[Period]]</f>
        <v>SE-Site_Engineer-019-M1</v>
      </c>
      <c r="D1301" t="s">
        <v>677</v>
      </c>
      <c r="E1301" t="s">
        <v>76</v>
      </c>
      <c r="F1301" t="s">
        <v>441</v>
      </c>
      <c r="G1301" t="s">
        <v>13</v>
      </c>
      <c r="H1301" t="s">
        <v>392</v>
      </c>
      <c r="I1301" t="s">
        <v>15</v>
      </c>
      <c r="J1301" t="s">
        <v>44</v>
      </c>
      <c r="L1301">
        <v>0.5</v>
      </c>
      <c r="Y1301">
        <v>11</v>
      </c>
      <c r="Z1301">
        <v>3</v>
      </c>
    </row>
    <row r="1302" spans="1:26">
      <c r="A1302" t="s">
        <v>4154</v>
      </c>
      <c r="B1302" t="s">
        <v>676</v>
      </c>
      <c r="C1302" t="str">
        <f>Data_Master[[#This Row],[Uniq-ID]]&amp;"-"&amp;Data_Master[[#This Row],[Period]]</f>
        <v>SE-Site_Engineer-019-M2</v>
      </c>
      <c r="D1302" t="s">
        <v>677</v>
      </c>
      <c r="E1302" t="s">
        <v>76</v>
      </c>
      <c r="F1302" t="s">
        <v>441</v>
      </c>
      <c r="G1302" t="s">
        <v>18</v>
      </c>
      <c r="H1302" t="s">
        <v>393</v>
      </c>
      <c r="I1302" t="s">
        <v>15</v>
      </c>
      <c r="J1302" t="s">
        <v>44</v>
      </c>
      <c r="L1302">
        <v>0.5</v>
      </c>
      <c r="Y1302">
        <v>30</v>
      </c>
      <c r="Z1302">
        <v>4</v>
      </c>
    </row>
    <row r="1303" spans="1:26">
      <c r="A1303" t="s">
        <v>4154</v>
      </c>
      <c r="B1303" t="s">
        <v>676</v>
      </c>
      <c r="C1303" t="str">
        <f>Data_Master[[#This Row],[Uniq-ID]]&amp;"-"&amp;Data_Master[[#This Row],[Period]]</f>
        <v>SE-Site_Engineer-019-M3</v>
      </c>
      <c r="D1303" t="s">
        <v>677</v>
      </c>
      <c r="E1303" t="s">
        <v>76</v>
      </c>
      <c r="F1303" t="s">
        <v>441</v>
      </c>
      <c r="G1303" t="s">
        <v>22</v>
      </c>
      <c r="H1303" t="s">
        <v>395</v>
      </c>
      <c r="I1303" t="s">
        <v>15</v>
      </c>
      <c r="J1303" t="s">
        <v>44</v>
      </c>
      <c r="L1303">
        <v>0.5</v>
      </c>
      <c r="Y1303">
        <v>49</v>
      </c>
      <c r="Z1303">
        <v>9</v>
      </c>
    </row>
    <row r="1304" spans="1:26">
      <c r="A1304" t="s">
        <v>4154</v>
      </c>
      <c r="B1304" t="s">
        <v>676</v>
      </c>
      <c r="C1304" t="str">
        <f>Data_Master[[#This Row],[Uniq-ID]]&amp;"-"&amp;Data_Master[[#This Row],[Period]]</f>
        <v>SE-Site_Engineer-019-M4</v>
      </c>
      <c r="D1304" t="s">
        <v>677</v>
      </c>
      <c r="E1304" t="s">
        <v>76</v>
      </c>
      <c r="F1304" t="s">
        <v>441</v>
      </c>
      <c r="G1304" t="s">
        <v>25</v>
      </c>
      <c r="H1304" t="s">
        <v>348</v>
      </c>
      <c r="I1304" t="s">
        <v>33</v>
      </c>
      <c r="J1304" t="s">
        <v>44</v>
      </c>
      <c r="Y1304">
        <v>11</v>
      </c>
    </row>
    <row r="1305" spans="1:26">
      <c r="A1305" t="s">
        <v>4154</v>
      </c>
      <c r="B1305" t="s">
        <v>676</v>
      </c>
      <c r="C1305" t="str">
        <f>Data_Master[[#This Row],[Uniq-ID]]&amp;"-"&amp;Data_Master[[#This Row],[Period]]</f>
        <v>SE-Site_Engineer-019-M5</v>
      </c>
      <c r="D1305" t="s">
        <v>677</v>
      </c>
      <c r="E1305" t="s">
        <v>76</v>
      </c>
      <c r="F1305" t="s">
        <v>441</v>
      </c>
      <c r="G1305" t="s">
        <v>28</v>
      </c>
      <c r="H1305" t="s">
        <v>4150</v>
      </c>
      <c r="I1305" t="s">
        <v>225</v>
      </c>
      <c r="J1305" t="s">
        <v>44</v>
      </c>
    </row>
    <row r="1306" spans="1:26">
      <c r="A1306" t="s">
        <v>4154</v>
      </c>
      <c r="B1306" t="s">
        <v>684</v>
      </c>
      <c r="C1306" t="str">
        <f>Data_Master[[#This Row],[Uniq-ID]]&amp;"-"&amp;Data_Master[[#This Row],[Period]]</f>
        <v>SE-Site_Engineer-020-M1</v>
      </c>
      <c r="D1306" t="s">
        <v>685</v>
      </c>
      <c r="E1306" t="s">
        <v>76</v>
      </c>
      <c r="F1306" t="s">
        <v>441</v>
      </c>
      <c r="G1306" t="s">
        <v>13</v>
      </c>
      <c r="H1306" t="s">
        <v>392</v>
      </c>
      <c r="I1306" t="s">
        <v>15</v>
      </c>
      <c r="J1306" t="s">
        <v>44</v>
      </c>
      <c r="L1306">
        <v>0.5</v>
      </c>
      <c r="Y1306">
        <v>27</v>
      </c>
      <c r="Z1306">
        <v>4</v>
      </c>
    </row>
    <row r="1307" spans="1:26">
      <c r="A1307" t="s">
        <v>4154</v>
      </c>
      <c r="B1307" t="s">
        <v>684</v>
      </c>
      <c r="C1307" t="str">
        <f>Data_Master[[#This Row],[Uniq-ID]]&amp;"-"&amp;Data_Master[[#This Row],[Period]]</f>
        <v>SE-Site_Engineer-020-M2</v>
      </c>
      <c r="D1307" t="s">
        <v>685</v>
      </c>
      <c r="E1307" t="s">
        <v>76</v>
      </c>
      <c r="F1307" t="s">
        <v>441</v>
      </c>
      <c r="G1307" t="s">
        <v>18</v>
      </c>
      <c r="H1307" t="s">
        <v>393</v>
      </c>
      <c r="I1307" t="s">
        <v>15</v>
      </c>
      <c r="J1307" t="s">
        <v>44</v>
      </c>
      <c r="L1307">
        <v>0.5</v>
      </c>
      <c r="Y1307">
        <v>44</v>
      </c>
      <c r="Z1307">
        <v>13</v>
      </c>
    </row>
    <row r="1308" spans="1:26">
      <c r="A1308" t="s">
        <v>4154</v>
      </c>
      <c r="B1308" t="s">
        <v>684</v>
      </c>
      <c r="C1308" t="str">
        <f>Data_Master[[#This Row],[Uniq-ID]]&amp;"-"&amp;Data_Master[[#This Row],[Period]]</f>
        <v>SE-Site_Engineer-020-M3</v>
      </c>
      <c r="D1308" t="s">
        <v>685</v>
      </c>
      <c r="E1308" t="s">
        <v>76</v>
      </c>
      <c r="F1308" t="s">
        <v>441</v>
      </c>
      <c r="G1308" t="s">
        <v>22</v>
      </c>
      <c r="H1308" t="s">
        <v>395</v>
      </c>
      <c r="I1308" t="s">
        <v>15</v>
      </c>
      <c r="J1308" t="s">
        <v>44</v>
      </c>
      <c r="L1308">
        <v>0.69</v>
      </c>
      <c r="Y1308">
        <v>54</v>
      </c>
      <c r="Z1308">
        <v>22</v>
      </c>
    </row>
    <row r="1309" spans="1:26">
      <c r="A1309" t="s">
        <v>4154</v>
      </c>
      <c r="B1309" t="s">
        <v>684</v>
      </c>
      <c r="C1309" t="str">
        <f>Data_Master[[#This Row],[Uniq-ID]]&amp;"-"&amp;Data_Master[[#This Row],[Period]]</f>
        <v>SE-Site_Engineer-020-M4</v>
      </c>
      <c r="D1309" t="s">
        <v>685</v>
      </c>
      <c r="E1309" t="s">
        <v>76</v>
      </c>
      <c r="F1309" t="s">
        <v>441</v>
      </c>
      <c r="G1309" t="s">
        <v>25</v>
      </c>
      <c r="H1309" t="s">
        <v>348</v>
      </c>
      <c r="I1309" t="s">
        <v>33</v>
      </c>
      <c r="J1309" t="s">
        <v>44</v>
      </c>
      <c r="Y1309">
        <v>9</v>
      </c>
    </row>
    <row r="1310" spans="1:26">
      <c r="A1310" t="s">
        <v>4154</v>
      </c>
      <c r="B1310" t="s">
        <v>684</v>
      </c>
      <c r="C1310" t="str">
        <f>Data_Master[[#This Row],[Uniq-ID]]&amp;"-"&amp;Data_Master[[#This Row],[Period]]</f>
        <v>SE-Site_Engineer-020-M5</v>
      </c>
      <c r="D1310" t="s">
        <v>685</v>
      </c>
      <c r="E1310" t="s">
        <v>76</v>
      </c>
      <c r="F1310" t="s">
        <v>441</v>
      </c>
      <c r="G1310" t="s">
        <v>28</v>
      </c>
      <c r="H1310" t="s">
        <v>4150</v>
      </c>
      <c r="I1310" t="s">
        <v>225</v>
      </c>
      <c r="J1310" t="s">
        <v>44</v>
      </c>
    </row>
    <row r="1311" spans="1:26">
      <c r="A1311" t="s">
        <v>4154</v>
      </c>
      <c r="B1311" t="s">
        <v>692</v>
      </c>
      <c r="C1311" t="str">
        <f>Data_Master[[#This Row],[Uniq-ID]]&amp;"-"&amp;Data_Master[[#This Row],[Period]]</f>
        <v>SE-Site_Engineer-021-M1</v>
      </c>
      <c r="D1311" t="s">
        <v>693</v>
      </c>
      <c r="E1311" t="s">
        <v>76</v>
      </c>
      <c r="F1311" t="s">
        <v>441</v>
      </c>
      <c r="G1311" t="s">
        <v>13</v>
      </c>
      <c r="H1311" t="s">
        <v>392</v>
      </c>
      <c r="I1311" t="s">
        <v>15</v>
      </c>
      <c r="J1311" t="s">
        <v>44</v>
      </c>
      <c r="L1311">
        <v>0.5</v>
      </c>
      <c r="Y1311">
        <v>19</v>
      </c>
      <c r="Z1311">
        <v>4</v>
      </c>
    </row>
    <row r="1312" spans="1:26">
      <c r="A1312" t="s">
        <v>4154</v>
      </c>
      <c r="B1312" t="s">
        <v>692</v>
      </c>
      <c r="C1312" t="str">
        <f>Data_Master[[#This Row],[Uniq-ID]]&amp;"-"&amp;Data_Master[[#This Row],[Period]]</f>
        <v>SE-Site_Engineer-021-M2</v>
      </c>
      <c r="D1312" t="s">
        <v>693</v>
      </c>
      <c r="E1312" t="s">
        <v>76</v>
      </c>
      <c r="F1312" t="s">
        <v>441</v>
      </c>
      <c r="G1312" t="s">
        <v>18</v>
      </c>
      <c r="H1312" t="s">
        <v>393</v>
      </c>
      <c r="I1312" t="s">
        <v>15</v>
      </c>
      <c r="J1312" t="s">
        <v>44</v>
      </c>
      <c r="L1312">
        <v>0.5</v>
      </c>
      <c r="Y1312">
        <v>25</v>
      </c>
      <c r="Z1312">
        <v>4</v>
      </c>
    </row>
    <row r="1313" spans="1:26">
      <c r="A1313" t="s">
        <v>4154</v>
      </c>
      <c r="B1313" t="s">
        <v>692</v>
      </c>
      <c r="C1313" t="str">
        <f>Data_Master[[#This Row],[Uniq-ID]]&amp;"-"&amp;Data_Master[[#This Row],[Period]]</f>
        <v>SE-Site_Engineer-021-M3</v>
      </c>
      <c r="D1313" t="s">
        <v>693</v>
      </c>
      <c r="E1313" t="s">
        <v>76</v>
      </c>
      <c r="F1313" t="s">
        <v>441</v>
      </c>
      <c r="G1313" t="s">
        <v>22</v>
      </c>
      <c r="H1313" t="s">
        <v>395</v>
      </c>
      <c r="I1313" t="s">
        <v>15</v>
      </c>
      <c r="J1313" t="s">
        <v>44</v>
      </c>
      <c r="L1313">
        <v>0.5</v>
      </c>
      <c r="Y1313">
        <v>4</v>
      </c>
      <c r="Z1313">
        <v>6</v>
      </c>
    </row>
    <row r="1314" spans="1:26">
      <c r="A1314" t="s">
        <v>4154</v>
      </c>
      <c r="B1314" t="s">
        <v>692</v>
      </c>
      <c r="C1314" t="str">
        <f>Data_Master[[#This Row],[Uniq-ID]]&amp;"-"&amp;Data_Master[[#This Row],[Period]]</f>
        <v>SE-Site_Engineer-021-M4</v>
      </c>
      <c r="D1314" t="s">
        <v>693</v>
      </c>
      <c r="E1314" t="s">
        <v>76</v>
      </c>
      <c r="F1314" t="s">
        <v>441</v>
      </c>
      <c r="G1314" t="s">
        <v>25</v>
      </c>
      <c r="H1314" t="s">
        <v>348</v>
      </c>
      <c r="I1314" t="s">
        <v>33</v>
      </c>
      <c r="J1314" t="s">
        <v>44</v>
      </c>
      <c r="L1314">
        <v>0.5</v>
      </c>
      <c r="Y1314">
        <v>0</v>
      </c>
      <c r="Z1314">
        <v>2</v>
      </c>
    </row>
    <row r="1315" spans="1:26">
      <c r="A1315" t="s">
        <v>4154</v>
      </c>
      <c r="B1315" t="s">
        <v>692</v>
      </c>
      <c r="C1315" t="str">
        <f>Data_Master[[#This Row],[Uniq-ID]]&amp;"-"&amp;Data_Master[[#This Row],[Period]]</f>
        <v>SE-Site_Engineer-021-M5</v>
      </c>
      <c r="D1315" t="s">
        <v>693</v>
      </c>
      <c r="E1315" t="s">
        <v>76</v>
      </c>
      <c r="F1315" t="s">
        <v>441</v>
      </c>
      <c r="G1315" t="s">
        <v>28</v>
      </c>
      <c r="H1315" t="s">
        <v>4150</v>
      </c>
      <c r="I1315" t="s">
        <v>225</v>
      </c>
      <c r="J1315" t="s">
        <v>44</v>
      </c>
    </row>
    <row r="1316" spans="1:26">
      <c r="A1316" t="s">
        <v>4154</v>
      </c>
      <c r="B1316" t="s">
        <v>700</v>
      </c>
      <c r="C1316" t="str">
        <f>Data_Master[[#This Row],[Uniq-ID]]&amp;"-"&amp;Data_Master[[#This Row],[Period]]</f>
        <v>SE-Site_Engineer-022-M1</v>
      </c>
      <c r="D1316" t="s">
        <v>701</v>
      </c>
      <c r="E1316" t="s">
        <v>76</v>
      </c>
      <c r="F1316" t="s">
        <v>441</v>
      </c>
      <c r="G1316" t="s">
        <v>13</v>
      </c>
      <c r="H1316" t="s">
        <v>392</v>
      </c>
      <c r="I1316" t="s">
        <v>15</v>
      </c>
      <c r="J1316" t="s">
        <v>44</v>
      </c>
      <c r="L1316">
        <v>0.5</v>
      </c>
      <c r="Y1316">
        <v>42</v>
      </c>
      <c r="Z1316">
        <v>14</v>
      </c>
    </row>
    <row r="1317" spans="1:26">
      <c r="A1317" t="s">
        <v>4154</v>
      </c>
      <c r="B1317" t="s">
        <v>700</v>
      </c>
      <c r="C1317" t="str">
        <f>Data_Master[[#This Row],[Uniq-ID]]&amp;"-"&amp;Data_Master[[#This Row],[Period]]</f>
        <v>SE-Site_Engineer-022-M2</v>
      </c>
      <c r="D1317" t="s">
        <v>701</v>
      </c>
      <c r="E1317" t="s">
        <v>76</v>
      </c>
      <c r="F1317" t="s">
        <v>441</v>
      </c>
      <c r="G1317" t="s">
        <v>18</v>
      </c>
      <c r="H1317" t="s">
        <v>393</v>
      </c>
      <c r="I1317" t="s">
        <v>15</v>
      </c>
      <c r="J1317" t="s">
        <v>44</v>
      </c>
      <c r="L1317">
        <v>0.69</v>
      </c>
      <c r="Y1317">
        <v>54</v>
      </c>
      <c r="Z1317">
        <v>22</v>
      </c>
    </row>
    <row r="1318" spans="1:26">
      <c r="A1318" t="s">
        <v>4154</v>
      </c>
      <c r="B1318" t="s">
        <v>700</v>
      </c>
      <c r="C1318" t="str">
        <f>Data_Master[[#This Row],[Uniq-ID]]&amp;"-"&amp;Data_Master[[#This Row],[Period]]</f>
        <v>SE-Site_Engineer-022-M3</v>
      </c>
      <c r="D1318" t="s">
        <v>701</v>
      </c>
      <c r="E1318" t="s">
        <v>76</v>
      </c>
      <c r="F1318" t="s">
        <v>441</v>
      </c>
      <c r="G1318" t="s">
        <v>22</v>
      </c>
      <c r="H1318" t="s">
        <v>395</v>
      </c>
      <c r="I1318" t="s">
        <v>15</v>
      </c>
      <c r="J1318" t="s">
        <v>44</v>
      </c>
      <c r="L1318">
        <v>0.94</v>
      </c>
      <c r="Y1318">
        <v>29</v>
      </c>
      <c r="Z1318">
        <v>30</v>
      </c>
    </row>
    <row r="1319" spans="1:26">
      <c r="A1319" t="s">
        <v>4154</v>
      </c>
      <c r="B1319" t="s">
        <v>700</v>
      </c>
      <c r="C1319" t="str">
        <f>Data_Master[[#This Row],[Uniq-ID]]&amp;"-"&amp;Data_Master[[#This Row],[Period]]</f>
        <v>SE-Site_Engineer-022-M4</v>
      </c>
      <c r="D1319" t="s">
        <v>701</v>
      </c>
      <c r="E1319" t="s">
        <v>76</v>
      </c>
      <c r="F1319" t="s">
        <v>441</v>
      </c>
      <c r="G1319" t="s">
        <v>25</v>
      </c>
      <c r="H1319" t="s">
        <v>348</v>
      </c>
      <c r="I1319" t="s">
        <v>33</v>
      </c>
      <c r="J1319" t="s">
        <v>44</v>
      </c>
      <c r="L1319">
        <v>0.5</v>
      </c>
      <c r="Y1319">
        <v>0</v>
      </c>
      <c r="Z1319">
        <v>2</v>
      </c>
    </row>
    <row r="1320" spans="1:26">
      <c r="A1320" t="s">
        <v>4154</v>
      </c>
      <c r="B1320" t="s">
        <v>700</v>
      </c>
      <c r="C1320" t="str">
        <f>Data_Master[[#This Row],[Uniq-ID]]&amp;"-"&amp;Data_Master[[#This Row],[Period]]</f>
        <v>SE-Site_Engineer-022-M5</v>
      </c>
      <c r="D1320" t="s">
        <v>701</v>
      </c>
      <c r="E1320" t="s">
        <v>76</v>
      </c>
      <c r="F1320" t="s">
        <v>441</v>
      </c>
      <c r="G1320" t="s">
        <v>28</v>
      </c>
      <c r="H1320" t="s">
        <v>4150</v>
      </c>
      <c r="I1320" t="s">
        <v>225</v>
      </c>
      <c r="J1320" t="s">
        <v>44</v>
      </c>
    </row>
    <row r="1321" spans="1:26">
      <c r="A1321" t="s">
        <v>4154</v>
      </c>
      <c r="B1321" t="s">
        <v>708</v>
      </c>
      <c r="C1321" t="str">
        <f>Data_Master[[#This Row],[Uniq-ID]]&amp;"-"&amp;Data_Master[[#This Row],[Period]]</f>
        <v>SE-Site_Engineer-023-M1</v>
      </c>
      <c r="D1321" t="s">
        <v>709</v>
      </c>
      <c r="E1321" t="s">
        <v>76</v>
      </c>
      <c r="F1321" t="s">
        <v>441</v>
      </c>
      <c r="G1321" t="s">
        <v>13</v>
      </c>
      <c r="H1321" t="s">
        <v>336</v>
      </c>
      <c r="I1321" t="s">
        <v>15</v>
      </c>
      <c r="J1321" t="s">
        <v>44</v>
      </c>
    </row>
    <row r="1322" spans="1:26">
      <c r="A1322" t="s">
        <v>4154</v>
      </c>
      <c r="B1322" t="s">
        <v>708</v>
      </c>
      <c r="C1322" t="str">
        <f>Data_Master[[#This Row],[Uniq-ID]]&amp;"-"&amp;Data_Master[[#This Row],[Period]]</f>
        <v>SE-Site_Engineer-023-M2</v>
      </c>
      <c r="D1322" t="s">
        <v>709</v>
      </c>
      <c r="E1322" t="s">
        <v>76</v>
      </c>
      <c r="F1322" t="s">
        <v>441</v>
      </c>
      <c r="G1322" t="s">
        <v>18</v>
      </c>
      <c r="H1322" t="s">
        <v>337</v>
      </c>
      <c r="I1322" t="s">
        <v>15</v>
      </c>
      <c r="J1322" t="s">
        <v>44</v>
      </c>
    </row>
    <row r="1323" spans="1:26">
      <c r="A1323" t="s">
        <v>4154</v>
      </c>
      <c r="B1323" t="s">
        <v>708</v>
      </c>
      <c r="C1323" t="str">
        <f>Data_Master[[#This Row],[Uniq-ID]]&amp;"-"&amp;Data_Master[[#This Row],[Period]]</f>
        <v>SE-Site_Engineer-023-M3</v>
      </c>
      <c r="D1323" t="s">
        <v>709</v>
      </c>
      <c r="E1323" t="s">
        <v>76</v>
      </c>
      <c r="F1323" t="s">
        <v>441</v>
      </c>
      <c r="G1323" t="s">
        <v>22</v>
      </c>
      <c r="H1323" t="s">
        <v>338</v>
      </c>
      <c r="I1323" t="s">
        <v>15</v>
      </c>
      <c r="J1323" t="s">
        <v>44</v>
      </c>
    </row>
    <row r="1324" spans="1:26">
      <c r="A1324" t="s">
        <v>4154</v>
      </c>
      <c r="B1324" t="s">
        <v>708</v>
      </c>
      <c r="C1324" t="str">
        <f>Data_Master[[#This Row],[Uniq-ID]]&amp;"-"&amp;Data_Master[[#This Row],[Period]]</f>
        <v>SE-Site_Engineer-023-M4</v>
      </c>
      <c r="D1324" t="s">
        <v>709</v>
      </c>
      <c r="E1324" t="s">
        <v>76</v>
      </c>
      <c r="F1324" t="s">
        <v>441</v>
      </c>
      <c r="G1324" t="s">
        <v>25</v>
      </c>
      <c r="H1324" t="s">
        <v>339</v>
      </c>
      <c r="I1324" t="s">
        <v>33</v>
      </c>
      <c r="J1324" t="s">
        <v>44</v>
      </c>
    </row>
    <row r="1325" spans="1:26">
      <c r="A1325" t="s">
        <v>4154</v>
      </c>
      <c r="B1325" t="s">
        <v>542</v>
      </c>
      <c r="C1325" t="str">
        <f>Data_Master[[#This Row],[Uniq-ID]]&amp;"-"&amp;Data_Master[[#This Row],[Period]]</f>
        <v>SE-Site_Engineer-025-M1</v>
      </c>
      <c r="D1325" t="s">
        <v>543</v>
      </c>
      <c r="E1325" t="s">
        <v>76</v>
      </c>
      <c r="F1325" t="s">
        <v>446</v>
      </c>
      <c r="G1325" t="s">
        <v>13</v>
      </c>
      <c r="H1325" t="s">
        <v>104</v>
      </c>
      <c r="I1325" t="s">
        <v>15</v>
      </c>
      <c r="J1325" t="s">
        <v>44</v>
      </c>
      <c r="Y1325">
        <v>1</v>
      </c>
    </row>
    <row r="1326" spans="1:26">
      <c r="A1326" t="s">
        <v>4154</v>
      </c>
      <c r="B1326" t="s">
        <v>542</v>
      </c>
      <c r="C1326" t="str">
        <f>Data_Master[[#This Row],[Uniq-ID]]&amp;"-"&amp;Data_Master[[#This Row],[Period]]</f>
        <v>SE-Site_Engineer-025-M2</v>
      </c>
      <c r="D1326" t="s">
        <v>543</v>
      </c>
      <c r="E1326" t="s">
        <v>76</v>
      </c>
      <c r="F1326" t="s">
        <v>446</v>
      </c>
      <c r="G1326" t="s">
        <v>18</v>
      </c>
      <c r="H1326" t="s">
        <v>106</v>
      </c>
      <c r="I1326" t="s">
        <v>15</v>
      </c>
      <c r="J1326" t="s">
        <v>44</v>
      </c>
      <c r="L1326">
        <v>0.56000000000000005</v>
      </c>
      <c r="Y1326">
        <v>38</v>
      </c>
      <c r="Z1326">
        <v>18</v>
      </c>
    </row>
    <row r="1327" spans="1:26">
      <c r="A1327" t="s">
        <v>4154</v>
      </c>
      <c r="B1327" t="s">
        <v>542</v>
      </c>
      <c r="C1327" t="str">
        <f>Data_Master[[#This Row],[Uniq-ID]]&amp;"-"&amp;Data_Master[[#This Row],[Period]]</f>
        <v>SE-Site_Engineer-025-M3</v>
      </c>
      <c r="D1327" t="s">
        <v>543</v>
      </c>
      <c r="E1327" t="s">
        <v>76</v>
      </c>
      <c r="F1327" t="s">
        <v>446</v>
      </c>
      <c r="G1327" t="s">
        <v>22</v>
      </c>
      <c r="H1327" t="s">
        <v>108</v>
      </c>
      <c r="I1327" t="s">
        <v>15</v>
      </c>
      <c r="J1327" t="s">
        <v>44</v>
      </c>
      <c r="L1327">
        <v>0.5</v>
      </c>
      <c r="Y1327">
        <v>33</v>
      </c>
      <c r="Z1327">
        <v>10</v>
      </c>
    </row>
    <row r="1328" spans="1:26">
      <c r="A1328" t="s">
        <v>4154</v>
      </c>
      <c r="B1328" t="s">
        <v>542</v>
      </c>
      <c r="C1328" t="str">
        <f>Data_Master[[#This Row],[Uniq-ID]]&amp;"-"&amp;Data_Master[[#This Row],[Period]]</f>
        <v>SE-Site_Engineer-025-M4</v>
      </c>
      <c r="D1328" t="s">
        <v>543</v>
      </c>
      <c r="E1328" t="s">
        <v>76</v>
      </c>
      <c r="F1328" t="s">
        <v>446</v>
      </c>
      <c r="G1328" t="s">
        <v>25</v>
      </c>
      <c r="H1328" t="s">
        <v>109</v>
      </c>
      <c r="I1328" t="s">
        <v>33</v>
      </c>
      <c r="J1328" t="s">
        <v>44</v>
      </c>
      <c r="L1328">
        <v>0.5</v>
      </c>
      <c r="Y1328">
        <v>0</v>
      </c>
      <c r="Z1328">
        <v>1</v>
      </c>
    </row>
    <row r="1329" spans="1:26">
      <c r="A1329" t="s">
        <v>4154</v>
      </c>
      <c r="B1329" t="s">
        <v>550</v>
      </c>
      <c r="C1329" t="str">
        <f>Data_Master[[#This Row],[Uniq-ID]]&amp;"-"&amp;Data_Master[[#This Row],[Period]]</f>
        <v>SE-Site_Engineer-026-M1</v>
      </c>
      <c r="D1329" t="s">
        <v>551</v>
      </c>
      <c r="E1329" t="s">
        <v>48</v>
      </c>
      <c r="F1329" t="s">
        <v>441</v>
      </c>
      <c r="G1329" t="s">
        <v>13</v>
      </c>
      <c r="H1329" t="s">
        <v>449</v>
      </c>
      <c r="I1329" t="s">
        <v>15</v>
      </c>
      <c r="J1329" t="s">
        <v>44</v>
      </c>
    </row>
    <row r="1330" spans="1:26">
      <c r="A1330" t="s">
        <v>4154</v>
      </c>
      <c r="B1330" t="s">
        <v>550</v>
      </c>
      <c r="C1330" t="str">
        <f>Data_Master[[#This Row],[Uniq-ID]]&amp;"-"&amp;Data_Master[[#This Row],[Period]]</f>
        <v>SE-Site_Engineer-026-M2</v>
      </c>
      <c r="D1330" t="s">
        <v>551</v>
      </c>
      <c r="E1330" t="s">
        <v>48</v>
      </c>
      <c r="F1330" t="s">
        <v>441</v>
      </c>
      <c r="G1330" t="s">
        <v>18</v>
      </c>
      <c r="H1330" t="s">
        <v>450</v>
      </c>
      <c r="I1330" t="s">
        <v>15</v>
      </c>
      <c r="J1330" t="s">
        <v>44</v>
      </c>
    </row>
    <row r="1331" spans="1:26">
      <c r="A1331" t="s">
        <v>4154</v>
      </c>
      <c r="B1331" t="s">
        <v>550</v>
      </c>
      <c r="C1331" t="str">
        <f>Data_Master[[#This Row],[Uniq-ID]]&amp;"-"&amp;Data_Master[[#This Row],[Period]]</f>
        <v>SE-Site_Engineer-026-M3</v>
      </c>
      <c r="D1331" t="s">
        <v>551</v>
      </c>
      <c r="E1331" t="s">
        <v>48</v>
      </c>
      <c r="F1331" t="s">
        <v>441</v>
      </c>
      <c r="G1331" t="s">
        <v>22</v>
      </c>
      <c r="H1331" t="s">
        <v>451</v>
      </c>
      <c r="I1331" t="s">
        <v>15</v>
      </c>
      <c r="J1331" t="s">
        <v>44</v>
      </c>
    </row>
    <row r="1332" spans="1:26">
      <c r="A1332" t="s">
        <v>4154</v>
      </c>
      <c r="B1332" t="s">
        <v>550</v>
      </c>
      <c r="C1332" t="str">
        <f>Data_Master[[#This Row],[Uniq-ID]]&amp;"-"&amp;Data_Master[[#This Row],[Period]]</f>
        <v>SE-Site_Engineer-026-M4</v>
      </c>
      <c r="D1332" t="s">
        <v>551</v>
      </c>
      <c r="E1332" t="s">
        <v>48</v>
      </c>
      <c r="F1332" t="s">
        <v>441</v>
      </c>
      <c r="G1332" t="s">
        <v>25</v>
      </c>
      <c r="H1332" t="s">
        <v>452</v>
      </c>
      <c r="I1332" t="s">
        <v>33</v>
      </c>
      <c r="J1332" t="s">
        <v>44</v>
      </c>
    </row>
    <row r="1333" spans="1:26">
      <c r="A1333" t="s">
        <v>4154</v>
      </c>
      <c r="B1333" t="s">
        <v>558</v>
      </c>
      <c r="C1333" t="str">
        <f>Data_Master[[#This Row],[Uniq-ID]]&amp;"-"&amp;Data_Master[[#This Row],[Period]]</f>
        <v>SE-Site_Engineer-027-M1</v>
      </c>
      <c r="D1333" t="s">
        <v>559</v>
      </c>
      <c r="E1333" t="s">
        <v>76</v>
      </c>
      <c r="F1333" t="s">
        <v>446</v>
      </c>
      <c r="G1333" t="s">
        <v>13</v>
      </c>
      <c r="H1333" t="s">
        <v>336</v>
      </c>
      <c r="I1333" t="s">
        <v>15</v>
      </c>
      <c r="J1333" t="s">
        <v>44</v>
      </c>
      <c r="L1333">
        <v>0.5</v>
      </c>
      <c r="Y1333">
        <v>50</v>
      </c>
      <c r="Z1333">
        <v>14</v>
      </c>
    </row>
    <row r="1334" spans="1:26">
      <c r="A1334" t="s">
        <v>4154</v>
      </c>
      <c r="B1334" t="s">
        <v>558</v>
      </c>
      <c r="C1334" t="str">
        <f>Data_Master[[#This Row],[Uniq-ID]]&amp;"-"&amp;Data_Master[[#This Row],[Period]]</f>
        <v>SE-Site_Engineer-027-M2</v>
      </c>
      <c r="D1334" t="s">
        <v>559</v>
      </c>
      <c r="E1334" t="s">
        <v>76</v>
      </c>
      <c r="F1334" t="s">
        <v>446</v>
      </c>
      <c r="G1334" t="s">
        <v>18</v>
      </c>
      <c r="H1334" t="s">
        <v>337</v>
      </c>
      <c r="I1334" t="s">
        <v>15</v>
      </c>
      <c r="J1334" t="s">
        <v>44</v>
      </c>
      <c r="L1334">
        <v>0.56000000000000005</v>
      </c>
      <c r="Y1334">
        <v>72</v>
      </c>
      <c r="Z1334">
        <v>18</v>
      </c>
    </row>
    <row r="1335" spans="1:26">
      <c r="A1335" t="s">
        <v>4154</v>
      </c>
      <c r="B1335" t="s">
        <v>558</v>
      </c>
      <c r="C1335" t="str">
        <f>Data_Master[[#This Row],[Uniq-ID]]&amp;"-"&amp;Data_Master[[#This Row],[Period]]</f>
        <v>SE-Site_Engineer-027-M3</v>
      </c>
      <c r="D1335" t="s">
        <v>559</v>
      </c>
      <c r="E1335" t="s">
        <v>76</v>
      </c>
      <c r="F1335" t="s">
        <v>446</v>
      </c>
      <c r="G1335" t="s">
        <v>22</v>
      </c>
      <c r="H1335" t="s">
        <v>338</v>
      </c>
      <c r="I1335" t="s">
        <v>15</v>
      </c>
      <c r="J1335" t="s">
        <v>44</v>
      </c>
      <c r="L1335">
        <v>0.5</v>
      </c>
      <c r="Y1335">
        <v>18</v>
      </c>
      <c r="Z1335">
        <v>6</v>
      </c>
    </row>
    <row r="1336" spans="1:26">
      <c r="A1336" t="s">
        <v>4154</v>
      </c>
      <c r="B1336" t="s">
        <v>558</v>
      </c>
      <c r="C1336" t="str">
        <f>Data_Master[[#This Row],[Uniq-ID]]&amp;"-"&amp;Data_Master[[#This Row],[Period]]</f>
        <v>SE-Site_Engineer-027-M4</v>
      </c>
      <c r="D1336" t="s">
        <v>559</v>
      </c>
      <c r="E1336" t="s">
        <v>76</v>
      </c>
      <c r="F1336" t="s">
        <v>446</v>
      </c>
      <c r="G1336" t="s">
        <v>25</v>
      </c>
      <c r="H1336" t="s">
        <v>339</v>
      </c>
      <c r="I1336" t="s">
        <v>33</v>
      </c>
      <c r="J1336" t="s">
        <v>44</v>
      </c>
      <c r="Y1336">
        <v>3</v>
      </c>
    </row>
    <row r="1337" spans="1:26">
      <c r="A1337" t="s">
        <v>4154</v>
      </c>
      <c r="B1337" t="s">
        <v>566</v>
      </c>
      <c r="C1337" t="str">
        <f>Data_Master[[#This Row],[Uniq-ID]]&amp;"-"&amp;Data_Master[[#This Row],[Period]]</f>
        <v>SE-Site_Engineer-028-M1</v>
      </c>
      <c r="D1337" t="s">
        <v>567</v>
      </c>
      <c r="E1337" t="s">
        <v>48</v>
      </c>
      <c r="F1337" t="s">
        <v>457</v>
      </c>
      <c r="G1337" t="s">
        <v>13</v>
      </c>
      <c r="H1337" t="s">
        <v>67</v>
      </c>
      <c r="I1337" t="s">
        <v>15</v>
      </c>
      <c r="J1337" t="s">
        <v>44</v>
      </c>
    </row>
    <row r="1338" spans="1:26">
      <c r="A1338" t="s">
        <v>4154</v>
      </c>
      <c r="B1338" t="s">
        <v>566</v>
      </c>
      <c r="C1338" t="str">
        <f>Data_Master[[#This Row],[Uniq-ID]]&amp;"-"&amp;Data_Master[[#This Row],[Period]]</f>
        <v>SE-Site_Engineer-028-M2</v>
      </c>
      <c r="D1338" t="s">
        <v>567</v>
      </c>
      <c r="E1338" t="s">
        <v>48</v>
      </c>
      <c r="F1338" t="s">
        <v>457</v>
      </c>
      <c r="G1338" t="s">
        <v>18</v>
      </c>
      <c r="H1338" t="s">
        <v>69</v>
      </c>
      <c r="I1338" t="s">
        <v>15</v>
      </c>
      <c r="J1338" t="s">
        <v>44</v>
      </c>
      <c r="L1338">
        <v>0.5</v>
      </c>
      <c r="Y1338">
        <v>10</v>
      </c>
      <c r="Z1338">
        <v>3</v>
      </c>
    </row>
    <row r="1339" spans="1:26">
      <c r="A1339" t="s">
        <v>4154</v>
      </c>
      <c r="B1339" t="s">
        <v>566</v>
      </c>
      <c r="C1339" t="str">
        <f>Data_Master[[#This Row],[Uniq-ID]]&amp;"-"&amp;Data_Master[[#This Row],[Period]]</f>
        <v>SE-Site_Engineer-028-M3</v>
      </c>
      <c r="D1339" t="s">
        <v>567</v>
      </c>
      <c r="E1339" t="s">
        <v>48</v>
      </c>
      <c r="F1339" t="s">
        <v>457</v>
      </c>
      <c r="G1339" t="s">
        <v>22</v>
      </c>
      <c r="H1339" t="s">
        <v>71</v>
      </c>
      <c r="I1339" t="s">
        <v>15</v>
      </c>
      <c r="J1339" t="s">
        <v>44</v>
      </c>
      <c r="L1339">
        <v>0.5</v>
      </c>
      <c r="Y1339">
        <v>5</v>
      </c>
      <c r="Z1339">
        <v>5</v>
      </c>
    </row>
    <row r="1340" spans="1:26">
      <c r="A1340" t="s">
        <v>4154</v>
      </c>
      <c r="B1340" t="s">
        <v>566</v>
      </c>
      <c r="C1340" t="str">
        <f>Data_Master[[#This Row],[Uniq-ID]]&amp;"-"&amp;Data_Master[[#This Row],[Period]]</f>
        <v>SE-Site_Engineer-028-M4</v>
      </c>
      <c r="D1340" t="s">
        <v>567</v>
      </c>
      <c r="E1340" t="s">
        <v>48</v>
      </c>
      <c r="F1340" t="s">
        <v>457</v>
      </c>
      <c r="G1340" t="s">
        <v>25</v>
      </c>
      <c r="H1340" t="s">
        <v>73</v>
      </c>
      <c r="I1340" t="s">
        <v>33</v>
      </c>
      <c r="J1340" t="s">
        <v>44</v>
      </c>
      <c r="L1340">
        <v>0.5</v>
      </c>
      <c r="Y1340">
        <v>0</v>
      </c>
      <c r="Z1340">
        <v>2</v>
      </c>
    </row>
    <row r="1341" spans="1:26">
      <c r="A1341" t="s">
        <v>4154</v>
      </c>
      <c r="B1341" t="s">
        <v>574</v>
      </c>
      <c r="C1341" t="str">
        <f>Data_Master[[#This Row],[Uniq-ID]]&amp;"-"&amp;Data_Master[[#This Row],[Period]]</f>
        <v>SE-Site_Engineer-030-M1</v>
      </c>
      <c r="D1341" t="s">
        <v>575</v>
      </c>
      <c r="E1341" t="s">
        <v>48</v>
      </c>
      <c r="F1341" t="s">
        <v>468</v>
      </c>
      <c r="G1341" t="s">
        <v>13</v>
      </c>
      <c r="H1341" t="s">
        <v>576</v>
      </c>
      <c r="I1341" t="s">
        <v>15</v>
      </c>
      <c r="J1341" t="s">
        <v>44</v>
      </c>
      <c r="L1341">
        <v>0.5</v>
      </c>
      <c r="Y1341">
        <v>6</v>
      </c>
      <c r="Z1341">
        <v>4</v>
      </c>
    </row>
    <row r="1342" spans="1:26">
      <c r="A1342" t="s">
        <v>4154</v>
      </c>
      <c r="B1342" t="s">
        <v>574</v>
      </c>
      <c r="C1342" t="str">
        <f>Data_Master[[#This Row],[Uniq-ID]]&amp;"-"&amp;Data_Master[[#This Row],[Period]]</f>
        <v>SE-Site_Engineer-030-M2</v>
      </c>
      <c r="D1342" t="s">
        <v>575</v>
      </c>
      <c r="E1342" t="s">
        <v>48</v>
      </c>
      <c r="F1342" t="s">
        <v>468</v>
      </c>
      <c r="G1342" t="s">
        <v>18</v>
      </c>
      <c r="H1342" t="s">
        <v>526</v>
      </c>
      <c r="I1342" t="s">
        <v>15</v>
      </c>
      <c r="J1342" t="s">
        <v>44</v>
      </c>
      <c r="L1342">
        <v>0.72</v>
      </c>
      <c r="Y1342">
        <v>48</v>
      </c>
      <c r="Z1342">
        <v>23</v>
      </c>
    </row>
    <row r="1343" spans="1:26">
      <c r="A1343" t="s">
        <v>4154</v>
      </c>
      <c r="B1343" t="s">
        <v>574</v>
      </c>
      <c r="C1343" t="str">
        <f>Data_Master[[#This Row],[Uniq-ID]]&amp;"-"&amp;Data_Master[[#This Row],[Period]]</f>
        <v>SE-Site_Engineer-030-M3</v>
      </c>
      <c r="D1343" t="s">
        <v>575</v>
      </c>
      <c r="E1343" t="s">
        <v>48</v>
      </c>
      <c r="F1343" t="s">
        <v>468</v>
      </c>
      <c r="G1343" t="s">
        <v>22</v>
      </c>
      <c r="H1343" t="s">
        <v>527</v>
      </c>
      <c r="I1343" t="s">
        <v>33</v>
      </c>
      <c r="J1343" t="s">
        <v>44</v>
      </c>
      <c r="L1343">
        <v>0.91</v>
      </c>
      <c r="Y1343">
        <v>27</v>
      </c>
      <c r="Z1343">
        <v>29</v>
      </c>
    </row>
    <row r="1344" spans="1:26">
      <c r="A1344" t="s">
        <v>4154</v>
      </c>
      <c r="B1344" t="s">
        <v>574</v>
      </c>
      <c r="C1344" t="str">
        <f>Data_Master[[#This Row],[Uniq-ID]]&amp;"-"&amp;Data_Master[[#This Row],[Period]]</f>
        <v>SE-Site_Engineer-030-M4</v>
      </c>
      <c r="D1344" t="s">
        <v>575</v>
      </c>
      <c r="E1344" t="s">
        <v>48</v>
      </c>
      <c r="F1344" t="s">
        <v>468</v>
      </c>
      <c r="G1344" t="s">
        <v>25</v>
      </c>
      <c r="H1344" t="s">
        <v>3505</v>
      </c>
      <c r="I1344" t="s">
        <v>225</v>
      </c>
      <c r="J1344" t="s">
        <v>44</v>
      </c>
    </row>
    <row r="1345" spans="1:26">
      <c r="A1345" t="s">
        <v>4154</v>
      </c>
      <c r="B1345" t="s">
        <v>581</v>
      </c>
      <c r="C1345" t="str">
        <f>Data_Master[[#This Row],[Uniq-ID]]&amp;"-"&amp;Data_Master[[#This Row],[Period]]</f>
        <v>SE-Site_Engineer-031-M1</v>
      </c>
      <c r="D1345" t="s">
        <v>582</v>
      </c>
      <c r="E1345" t="s">
        <v>48</v>
      </c>
      <c r="F1345" t="s">
        <v>457</v>
      </c>
      <c r="G1345" t="s">
        <v>13</v>
      </c>
      <c r="H1345" t="s">
        <v>251</v>
      </c>
      <c r="I1345" t="s">
        <v>15</v>
      </c>
      <c r="J1345" t="s">
        <v>44</v>
      </c>
    </row>
    <row r="1346" spans="1:26">
      <c r="A1346" t="s">
        <v>4154</v>
      </c>
      <c r="B1346" t="s">
        <v>581</v>
      </c>
      <c r="C1346" t="str">
        <f>Data_Master[[#This Row],[Uniq-ID]]&amp;"-"&amp;Data_Master[[#This Row],[Period]]</f>
        <v>SE-Site_Engineer-031-M2</v>
      </c>
      <c r="D1346" t="s">
        <v>582</v>
      </c>
      <c r="E1346" t="s">
        <v>48</v>
      </c>
      <c r="F1346" t="s">
        <v>457</v>
      </c>
      <c r="G1346" t="s">
        <v>18</v>
      </c>
      <c r="H1346" t="s">
        <v>253</v>
      </c>
      <c r="I1346" t="s">
        <v>15</v>
      </c>
      <c r="J1346" t="s">
        <v>44</v>
      </c>
      <c r="L1346">
        <v>0.5</v>
      </c>
      <c r="Y1346">
        <v>12</v>
      </c>
      <c r="Z1346">
        <v>5</v>
      </c>
    </row>
    <row r="1347" spans="1:26">
      <c r="A1347" t="s">
        <v>4154</v>
      </c>
      <c r="B1347" t="s">
        <v>581</v>
      </c>
      <c r="C1347" t="str">
        <f>Data_Master[[#This Row],[Uniq-ID]]&amp;"-"&amp;Data_Master[[#This Row],[Period]]</f>
        <v>SE-Site_Engineer-031-M3</v>
      </c>
      <c r="D1347" t="s">
        <v>582</v>
      </c>
      <c r="E1347" t="s">
        <v>48</v>
      </c>
      <c r="F1347" t="s">
        <v>457</v>
      </c>
      <c r="G1347" t="s">
        <v>22</v>
      </c>
      <c r="H1347" t="s">
        <v>255</v>
      </c>
      <c r="I1347" t="s">
        <v>15</v>
      </c>
      <c r="J1347" t="s">
        <v>44</v>
      </c>
    </row>
    <row r="1348" spans="1:26">
      <c r="A1348" t="s">
        <v>4154</v>
      </c>
      <c r="B1348" t="s">
        <v>581</v>
      </c>
      <c r="C1348" t="str">
        <f>Data_Master[[#This Row],[Uniq-ID]]&amp;"-"&amp;Data_Master[[#This Row],[Period]]</f>
        <v>SE-Site_Engineer-031-M4</v>
      </c>
      <c r="D1348" t="s">
        <v>582</v>
      </c>
      <c r="E1348" t="s">
        <v>48</v>
      </c>
      <c r="F1348" t="s">
        <v>457</v>
      </c>
      <c r="G1348" t="s">
        <v>25</v>
      </c>
      <c r="H1348" t="s">
        <v>257</v>
      </c>
      <c r="I1348" t="s">
        <v>33</v>
      </c>
      <c r="J1348" t="s">
        <v>44</v>
      </c>
      <c r="L1348">
        <v>0.5</v>
      </c>
      <c r="Y1348">
        <v>0</v>
      </c>
      <c r="Z1348">
        <v>3</v>
      </c>
    </row>
    <row r="1349" spans="1:26">
      <c r="A1349" t="s">
        <v>4154</v>
      </c>
      <c r="B1349" t="s">
        <v>587</v>
      </c>
      <c r="C1349" t="str">
        <f>Data_Master[[#This Row],[Uniq-ID]]&amp;"-"&amp;Data_Master[[#This Row],[Period]]</f>
        <v>SE-Site_Engineer-033-M1</v>
      </c>
      <c r="D1349" t="s">
        <v>588</v>
      </c>
      <c r="E1349" t="s">
        <v>76</v>
      </c>
      <c r="F1349" t="s">
        <v>441</v>
      </c>
      <c r="G1349" t="s">
        <v>13</v>
      </c>
      <c r="H1349" t="s">
        <v>589</v>
      </c>
      <c r="I1349" t="s">
        <v>15</v>
      </c>
      <c r="J1349" t="s">
        <v>44</v>
      </c>
    </row>
    <row r="1350" spans="1:26">
      <c r="A1350" t="s">
        <v>4154</v>
      </c>
      <c r="B1350" t="s">
        <v>587</v>
      </c>
      <c r="C1350" t="str">
        <f>Data_Master[[#This Row],[Uniq-ID]]&amp;"-"&amp;Data_Master[[#This Row],[Period]]</f>
        <v>SE-Site_Engineer-033-M2</v>
      </c>
      <c r="D1350" t="s">
        <v>588</v>
      </c>
      <c r="E1350" t="s">
        <v>76</v>
      </c>
      <c r="F1350" t="s">
        <v>441</v>
      </c>
      <c r="G1350" t="s">
        <v>18</v>
      </c>
      <c r="H1350" t="s">
        <v>590</v>
      </c>
      <c r="I1350" t="s">
        <v>15</v>
      </c>
      <c r="J1350" t="s">
        <v>44</v>
      </c>
    </row>
    <row r="1351" spans="1:26">
      <c r="A1351" t="s">
        <v>4154</v>
      </c>
      <c r="B1351" t="s">
        <v>587</v>
      </c>
      <c r="C1351" t="str">
        <f>Data_Master[[#This Row],[Uniq-ID]]&amp;"-"&amp;Data_Master[[#This Row],[Period]]</f>
        <v>SE-Site_Engineer-033-M3</v>
      </c>
      <c r="D1351" t="s">
        <v>588</v>
      </c>
      <c r="E1351" t="s">
        <v>76</v>
      </c>
      <c r="F1351" t="s">
        <v>441</v>
      </c>
      <c r="G1351" t="s">
        <v>22</v>
      </c>
      <c r="H1351" t="s">
        <v>376</v>
      </c>
      <c r="I1351" t="s">
        <v>33</v>
      </c>
      <c r="J1351" t="s">
        <v>44</v>
      </c>
    </row>
    <row r="1352" spans="1:26">
      <c r="A1352" t="s">
        <v>4154</v>
      </c>
      <c r="B1352" t="s">
        <v>587</v>
      </c>
      <c r="C1352" t="str">
        <f>Data_Master[[#This Row],[Uniq-ID]]&amp;"-"&amp;Data_Master[[#This Row],[Period]]</f>
        <v>SE-Site_Engineer-033-M4</v>
      </c>
      <c r="D1352" t="s">
        <v>588</v>
      </c>
      <c r="E1352" t="s">
        <v>76</v>
      </c>
      <c r="F1352" t="s">
        <v>441</v>
      </c>
      <c r="G1352" t="s">
        <v>25</v>
      </c>
      <c r="H1352" t="s">
        <v>4151</v>
      </c>
      <c r="I1352" t="s">
        <v>225</v>
      </c>
      <c r="J1352" t="s">
        <v>44</v>
      </c>
    </row>
    <row r="1353" spans="1:26">
      <c r="A1353" t="s">
        <v>4154</v>
      </c>
      <c r="B1353" t="s">
        <v>585</v>
      </c>
      <c r="C1353" t="str">
        <f>Data_Master[[#This Row],[Uniq-ID]]&amp;"-"&amp;Data_Master[[#This Row],[Period]]</f>
        <v>SE-Site_Engineer-034-M1</v>
      </c>
      <c r="D1353" t="s">
        <v>586</v>
      </c>
      <c r="E1353" t="s">
        <v>76</v>
      </c>
      <c r="F1353" t="s">
        <v>441</v>
      </c>
      <c r="G1353" t="s">
        <v>13</v>
      </c>
      <c r="H1353" t="s">
        <v>54</v>
      </c>
      <c r="I1353" t="s">
        <v>15</v>
      </c>
      <c r="J1353" t="s">
        <v>44</v>
      </c>
      <c r="L1353">
        <v>0.5</v>
      </c>
      <c r="Y1353">
        <v>32</v>
      </c>
      <c r="Z1353">
        <v>13</v>
      </c>
    </row>
    <row r="1354" spans="1:26">
      <c r="A1354" t="s">
        <v>4154</v>
      </c>
      <c r="B1354" t="s">
        <v>585</v>
      </c>
      <c r="C1354" t="str">
        <f>Data_Master[[#This Row],[Uniq-ID]]&amp;"-"&amp;Data_Master[[#This Row],[Period]]</f>
        <v>SE-Site_Engineer-034-M2</v>
      </c>
      <c r="D1354" t="s">
        <v>586</v>
      </c>
      <c r="E1354" t="s">
        <v>76</v>
      </c>
      <c r="F1354" t="s">
        <v>441</v>
      </c>
      <c r="G1354" t="s">
        <v>18</v>
      </c>
      <c r="H1354" t="s">
        <v>56</v>
      </c>
      <c r="I1354" t="s">
        <v>15</v>
      </c>
      <c r="J1354" t="s">
        <v>44</v>
      </c>
      <c r="L1354">
        <v>0.5</v>
      </c>
      <c r="Y1354">
        <v>54</v>
      </c>
      <c r="Z1354">
        <v>5</v>
      </c>
    </row>
    <row r="1355" spans="1:26">
      <c r="A1355" t="s">
        <v>4154</v>
      </c>
      <c r="B1355" t="s">
        <v>585</v>
      </c>
      <c r="C1355" t="str">
        <f>Data_Master[[#This Row],[Uniq-ID]]&amp;"-"&amp;Data_Master[[#This Row],[Period]]</f>
        <v>SE-Site_Engineer-034-M3</v>
      </c>
      <c r="D1355" t="s">
        <v>586</v>
      </c>
      <c r="E1355" t="s">
        <v>76</v>
      </c>
      <c r="F1355" t="s">
        <v>441</v>
      </c>
      <c r="G1355" t="s">
        <v>22</v>
      </c>
      <c r="H1355" t="s">
        <v>57</v>
      </c>
      <c r="I1355" t="s">
        <v>33</v>
      </c>
      <c r="J1355" t="s">
        <v>44</v>
      </c>
      <c r="L1355">
        <v>0.5</v>
      </c>
      <c r="Y1355">
        <v>8</v>
      </c>
      <c r="Z1355">
        <v>1</v>
      </c>
    </row>
    <row r="1356" spans="1:26">
      <c r="A1356" t="s">
        <v>4154</v>
      </c>
      <c r="B1356" t="s">
        <v>579</v>
      </c>
      <c r="C1356" t="str">
        <f>Data_Master[[#This Row],[Uniq-ID]]&amp;"-"&amp;Data_Master[[#This Row],[Period]]</f>
        <v>SE-Site_Engineer-035-M1</v>
      </c>
      <c r="D1356" t="s">
        <v>580</v>
      </c>
      <c r="E1356" t="s">
        <v>76</v>
      </c>
      <c r="F1356" t="s">
        <v>441</v>
      </c>
      <c r="G1356" t="s">
        <v>13</v>
      </c>
      <c r="H1356" t="s">
        <v>54</v>
      </c>
      <c r="I1356" t="s">
        <v>15</v>
      </c>
      <c r="J1356" t="s">
        <v>44</v>
      </c>
      <c r="L1356">
        <v>0.5</v>
      </c>
      <c r="Y1356">
        <v>37</v>
      </c>
      <c r="Z1356">
        <v>13</v>
      </c>
    </row>
    <row r="1357" spans="1:26">
      <c r="A1357" t="s">
        <v>4154</v>
      </c>
      <c r="B1357" t="s">
        <v>579</v>
      </c>
      <c r="C1357" t="str">
        <f>Data_Master[[#This Row],[Uniq-ID]]&amp;"-"&amp;Data_Master[[#This Row],[Period]]</f>
        <v>SE-Site_Engineer-035-M2</v>
      </c>
      <c r="D1357" t="s">
        <v>580</v>
      </c>
      <c r="E1357" t="s">
        <v>76</v>
      </c>
      <c r="F1357" t="s">
        <v>441</v>
      </c>
      <c r="G1357" t="s">
        <v>18</v>
      </c>
      <c r="H1357" t="s">
        <v>56</v>
      </c>
      <c r="I1357" t="s">
        <v>15</v>
      </c>
      <c r="J1357" t="s">
        <v>44</v>
      </c>
      <c r="L1357">
        <v>0.5</v>
      </c>
      <c r="Y1357">
        <v>58</v>
      </c>
      <c r="Z1357">
        <v>6</v>
      </c>
    </row>
    <row r="1358" spans="1:26">
      <c r="A1358" t="s">
        <v>4154</v>
      </c>
      <c r="B1358" t="s">
        <v>579</v>
      </c>
      <c r="C1358" t="str">
        <f>Data_Master[[#This Row],[Uniq-ID]]&amp;"-"&amp;Data_Master[[#This Row],[Period]]</f>
        <v>SE-Site_Engineer-035-M3</v>
      </c>
      <c r="D1358" t="s">
        <v>580</v>
      </c>
      <c r="E1358" t="s">
        <v>76</v>
      </c>
      <c r="F1358" t="s">
        <v>441</v>
      </c>
      <c r="G1358" t="s">
        <v>22</v>
      </c>
      <c r="H1358" t="s">
        <v>57</v>
      </c>
      <c r="I1358" t="s">
        <v>33</v>
      </c>
      <c r="J1358" t="s">
        <v>44</v>
      </c>
      <c r="L1358">
        <v>0.5</v>
      </c>
      <c r="Y1358">
        <v>6</v>
      </c>
      <c r="Z1358">
        <v>2</v>
      </c>
    </row>
    <row r="1359" spans="1:26">
      <c r="A1359" t="s">
        <v>4154</v>
      </c>
      <c r="B1359" t="s">
        <v>572</v>
      </c>
      <c r="C1359" t="str">
        <f>Data_Master[[#This Row],[Uniq-ID]]&amp;"-"&amp;Data_Master[[#This Row],[Period]]</f>
        <v>SE-Site_Engineer-036-M1</v>
      </c>
      <c r="D1359" t="s">
        <v>573</v>
      </c>
      <c r="E1359" t="s">
        <v>48</v>
      </c>
      <c r="F1359" t="s">
        <v>441</v>
      </c>
      <c r="G1359" t="s">
        <v>13</v>
      </c>
      <c r="H1359" t="s">
        <v>54</v>
      </c>
      <c r="I1359" t="s">
        <v>15</v>
      </c>
      <c r="J1359" t="s">
        <v>44</v>
      </c>
      <c r="Y1359">
        <v>0</v>
      </c>
    </row>
    <row r="1360" spans="1:26">
      <c r="A1360" t="s">
        <v>4154</v>
      </c>
      <c r="B1360" t="s">
        <v>572</v>
      </c>
      <c r="C1360" t="str">
        <f>Data_Master[[#This Row],[Uniq-ID]]&amp;"-"&amp;Data_Master[[#This Row],[Period]]</f>
        <v>SE-Site_Engineer-036-M2</v>
      </c>
      <c r="D1360" t="s">
        <v>573</v>
      </c>
      <c r="E1360" t="s">
        <v>48</v>
      </c>
      <c r="F1360" t="s">
        <v>441</v>
      </c>
      <c r="G1360" t="s">
        <v>18</v>
      </c>
      <c r="H1360" t="s">
        <v>56</v>
      </c>
      <c r="I1360" t="s">
        <v>15</v>
      </c>
      <c r="J1360" t="s">
        <v>44</v>
      </c>
    </row>
    <row r="1361" spans="1:26">
      <c r="A1361" t="s">
        <v>4154</v>
      </c>
      <c r="B1361" t="s">
        <v>572</v>
      </c>
      <c r="C1361" t="str">
        <f>Data_Master[[#This Row],[Uniq-ID]]&amp;"-"&amp;Data_Master[[#This Row],[Period]]</f>
        <v>SE-Site_Engineer-036-M3</v>
      </c>
      <c r="D1361" t="s">
        <v>573</v>
      </c>
      <c r="E1361" t="s">
        <v>48</v>
      </c>
      <c r="F1361" t="s">
        <v>441</v>
      </c>
      <c r="G1361" t="s">
        <v>22</v>
      </c>
      <c r="H1361" t="s">
        <v>57</v>
      </c>
      <c r="I1361" t="s">
        <v>33</v>
      </c>
      <c r="J1361" t="s">
        <v>44</v>
      </c>
    </row>
    <row r="1362" spans="1:26">
      <c r="A1362" t="s">
        <v>4154</v>
      </c>
      <c r="B1362" t="s">
        <v>570</v>
      </c>
      <c r="C1362" t="str">
        <f>Data_Master[[#This Row],[Uniq-ID]]&amp;"-"&amp;Data_Master[[#This Row],[Period]]</f>
        <v>SE-Site_Engineer-037-M1</v>
      </c>
      <c r="D1362" t="s">
        <v>571</v>
      </c>
      <c r="E1362" t="s">
        <v>48</v>
      </c>
      <c r="F1362" t="s">
        <v>441</v>
      </c>
      <c r="G1362" t="s">
        <v>13</v>
      </c>
      <c r="H1362" t="s">
        <v>54</v>
      </c>
      <c r="I1362" t="s">
        <v>15</v>
      </c>
      <c r="J1362" t="s">
        <v>44</v>
      </c>
      <c r="L1362">
        <v>0.75</v>
      </c>
      <c r="Y1362">
        <v>42</v>
      </c>
      <c r="Z1362">
        <v>24</v>
      </c>
    </row>
    <row r="1363" spans="1:26">
      <c r="A1363" t="s">
        <v>4154</v>
      </c>
      <c r="B1363" t="s">
        <v>570</v>
      </c>
      <c r="C1363" t="str">
        <f>Data_Master[[#This Row],[Uniq-ID]]&amp;"-"&amp;Data_Master[[#This Row],[Period]]</f>
        <v>SE-Site_Engineer-037-M2</v>
      </c>
      <c r="D1363" t="s">
        <v>571</v>
      </c>
      <c r="E1363" t="s">
        <v>48</v>
      </c>
      <c r="F1363" t="s">
        <v>441</v>
      </c>
      <c r="G1363" t="s">
        <v>18</v>
      </c>
      <c r="H1363" t="s">
        <v>56</v>
      </c>
      <c r="I1363" t="s">
        <v>15</v>
      </c>
      <c r="J1363" t="s">
        <v>44</v>
      </c>
      <c r="L1363">
        <v>0.5</v>
      </c>
      <c r="Y1363">
        <v>7</v>
      </c>
      <c r="Z1363">
        <v>4</v>
      </c>
    </row>
    <row r="1364" spans="1:26">
      <c r="A1364" t="s">
        <v>4154</v>
      </c>
      <c r="B1364" t="s">
        <v>570</v>
      </c>
      <c r="C1364" t="str">
        <f>Data_Master[[#This Row],[Uniq-ID]]&amp;"-"&amp;Data_Master[[#This Row],[Period]]</f>
        <v>SE-Site_Engineer-037-M3</v>
      </c>
      <c r="D1364" t="s">
        <v>571</v>
      </c>
      <c r="E1364" t="s">
        <v>48</v>
      </c>
      <c r="F1364" t="s">
        <v>441</v>
      </c>
      <c r="G1364" t="s">
        <v>22</v>
      </c>
      <c r="H1364" t="s">
        <v>57</v>
      </c>
      <c r="I1364" t="s">
        <v>33</v>
      </c>
      <c r="J1364" t="s">
        <v>44</v>
      </c>
    </row>
    <row r="1365" spans="1:26">
      <c r="A1365" t="s">
        <v>4154</v>
      </c>
      <c r="B1365" t="s">
        <v>564</v>
      </c>
      <c r="C1365" t="str">
        <f>Data_Master[[#This Row],[Uniq-ID]]&amp;"-"&amp;Data_Master[[#This Row],[Period]]</f>
        <v>SE-Site_Engineer-038-M1</v>
      </c>
      <c r="D1365" t="s">
        <v>565</v>
      </c>
      <c r="E1365" t="s">
        <v>76</v>
      </c>
      <c r="F1365" t="s">
        <v>441</v>
      </c>
      <c r="G1365" t="s">
        <v>13</v>
      </c>
      <c r="H1365" t="s">
        <v>54</v>
      </c>
      <c r="I1365" t="s">
        <v>15</v>
      </c>
      <c r="J1365" t="s">
        <v>44</v>
      </c>
      <c r="L1365">
        <v>0.5</v>
      </c>
      <c r="Y1365">
        <v>59</v>
      </c>
      <c r="Z1365">
        <v>13</v>
      </c>
    </row>
    <row r="1366" spans="1:26">
      <c r="A1366" t="s">
        <v>4154</v>
      </c>
      <c r="B1366" t="s">
        <v>564</v>
      </c>
      <c r="C1366" t="str">
        <f>Data_Master[[#This Row],[Uniq-ID]]&amp;"-"&amp;Data_Master[[#This Row],[Period]]</f>
        <v>SE-Site_Engineer-038-M2</v>
      </c>
      <c r="D1366" t="s">
        <v>565</v>
      </c>
      <c r="E1366" t="s">
        <v>76</v>
      </c>
      <c r="F1366" t="s">
        <v>441</v>
      </c>
      <c r="G1366" t="s">
        <v>18</v>
      </c>
      <c r="H1366" t="s">
        <v>56</v>
      </c>
      <c r="I1366" t="s">
        <v>15</v>
      </c>
      <c r="J1366" t="s">
        <v>44</v>
      </c>
      <c r="L1366">
        <v>0.5</v>
      </c>
      <c r="Y1366">
        <v>47</v>
      </c>
      <c r="Z1366">
        <v>7</v>
      </c>
    </row>
    <row r="1367" spans="1:26">
      <c r="A1367" t="s">
        <v>4154</v>
      </c>
      <c r="B1367" t="s">
        <v>564</v>
      </c>
      <c r="C1367" t="str">
        <f>Data_Master[[#This Row],[Uniq-ID]]&amp;"-"&amp;Data_Master[[#This Row],[Period]]</f>
        <v>SE-Site_Engineer-038-M3</v>
      </c>
      <c r="D1367" t="s">
        <v>565</v>
      </c>
      <c r="E1367" t="s">
        <v>76</v>
      </c>
      <c r="F1367" t="s">
        <v>441</v>
      </c>
      <c r="G1367" t="s">
        <v>22</v>
      </c>
      <c r="H1367" t="s">
        <v>57</v>
      </c>
      <c r="I1367" t="s">
        <v>33</v>
      </c>
      <c r="J1367" t="s">
        <v>44</v>
      </c>
      <c r="L1367">
        <v>0.5</v>
      </c>
      <c r="Y1367">
        <v>6</v>
      </c>
      <c r="Z1367">
        <v>2</v>
      </c>
    </row>
    <row r="1368" spans="1:26">
      <c r="A1368" t="s">
        <v>4154</v>
      </c>
      <c r="B1368" t="s">
        <v>562</v>
      </c>
      <c r="C1368" t="str">
        <f>Data_Master[[#This Row],[Uniq-ID]]&amp;"-"&amp;Data_Master[[#This Row],[Period]]</f>
        <v>SE-Site_Engineer-039-M1</v>
      </c>
      <c r="D1368" t="s">
        <v>563</v>
      </c>
      <c r="E1368" t="s">
        <v>48</v>
      </c>
      <c r="F1368" t="s">
        <v>441</v>
      </c>
      <c r="G1368" t="s">
        <v>13</v>
      </c>
      <c r="H1368" t="s">
        <v>54</v>
      </c>
      <c r="I1368" t="s">
        <v>15</v>
      </c>
      <c r="J1368" t="s">
        <v>44</v>
      </c>
      <c r="L1368">
        <v>0.5</v>
      </c>
      <c r="Y1368">
        <v>26</v>
      </c>
      <c r="Z1368">
        <v>3</v>
      </c>
    </row>
    <row r="1369" spans="1:26">
      <c r="A1369" t="s">
        <v>4154</v>
      </c>
      <c r="B1369" t="s">
        <v>562</v>
      </c>
      <c r="C1369" t="str">
        <f>Data_Master[[#This Row],[Uniq-ID]]&amp;"-"&amp;Data_Master[[#This Row],[Period]]</f>
        <v>SE-Site_Engineer-039-M2</v>
      </c>
      <c r="D1369" t="s">
        <v>563</v>
      </c>
      <c r="E1369" t="s">
        <v>48</v>
      </c>
      <c r="F1369" t="s">
        <v>441</v>
      </c>
      <c r="G1369" t="s">
        <v>18</v>
      </c>
      <c r="H1369" t="s">
        <v>56</v>
      </c>
      <c r="I1369" t="s">
        <v>15</v>
      </c>
      <c r="J1369" t="s">
        <v>44</v>
      </c>
      <c r="L1369">
        <v>0.5</v>
      </c>
      <c r="Y1369">
        <v>31</v>
      </c>
      <c r="Z1369">
        <v>8</v>
      </c>
    </row>
    <row r="1370" spans="1:26">
      <c r="A1370" t="s">
        <v>4154</v>
      </c>
      <c r="B1370" t="s">
        <v>562</v>
      </c>
      <c r="C1370" t="str">
        <f>Data_Master[[#This Row],[Uniq-ID]]&amp;"-"&amp;Data_Master[[#This Row],[Period]]</f>
        <v>SE-Site_Engineer-039-M3</v>
      </c>
      <c r="D1370" t="s">
        <v>563</v>
      </c>
      <c r="E1370" t="s">
        <v>48</v>
      </c>
      <c r="F1370" t="s">
        <v>441</v>
      </c>
      <c r="G1370" t="s">
        <v>22</v>
      </c>
      <c r="H1370" t="s">
        <v>57</v>
      </c>
      <c r="I1370" t="s">
        <v>33</v>
      </c>
      <c r="J1370" t="s">
        <v>44</v>
      </c>
      <c r="L1370">
        <v>0.5</v>
      </c>
      <c r="Y1370">
        <v>7</v>
      </c>
      <c r="Z1370">
        <v>13</v>
      </c>
    </row>
    <row r="1371" spans="1:26">
      <c r="A1371" t="s">
        <v>4154</v>
      </c>
      <c r="B1371" t="s">
        <v>556</v>
      </c>
      <c r="C1371" t="str">
        <f>Data_Master[[#This Row],[Uniq-ID]]&amp;"-"&amp;Data_Master[[#This Row],[Period]]</f>
        <v>SE-Site_Engineer-040-M1</v>
      </c>
      <c r="D1371" t="s">
        <v>557</v>
      </c>
      <c r="E1371" t="s">
        <v>487</v>
      </c>
      <c r="F1371" t="s">
        <v>488</v>
      </c>
      <c r="G1371" t="s">
        <v>13</v>
      </c>
      <c r="H1371" t="s">
        <v>54</v>
      </c>
      <c r="I1371" t="s">
        <v>15</v>
      </c>
      <c r="J1371" t="s">
        <v>44</v>
      </c>
    </row>
    <row r="1372" spans="1:26">
      <c r="A1372" t="s">
        <v>4154</v>
      </c>
      <c r="B1372" t="s">
        <v>556</v>
      </c>
      <c r="C1372" t="str">
        <f>Data_Master[[#This Row],[Uniq-ID]]&amp;"-"&amp;Data_Master[[#This Row],[Period]]</f>
        <v>SE-Site_Engineer-040-M2</v>
      </c>
      <c r="D1372" t="s">
        <v>557</v>
      </c>
      <c r="E1372" t="s">
        <v>487</v>
      </c>
      <c r="F1372" t="s">
        <v>488</v>
      </c>
      <c r="G1372" t="s">
        <v>18</v>
      </c>
      <c r="H1372" t="s">
        <v>56</v>
      </c>
      <c r="I1372" t="s">
        <v>15</v>
      </c>
      <c r="J1372" t="s">
        <v>44</v>
      </c>
    </row>
    <row r="1373" spans="1:26">
      <c r="A1373" t="s">
        <v>4154</v>
      </c>
      <c r="B1373" t="s">
        <v>556</v>
      </c>
      <c r="C1373" t="str">
        <f>Data_Master[[#This Row],[Uniq-ID]]&amp;"-"&amp;Data_Master[[#This Row],[Period]]</f>
        <v>SE-Site_Engineer-040-M3</v>
      </c>
      <c r="D1373" t="s">
        <v>557</v>
      </c>
      <c r="E1373" t="s">
        <v>487</v>
      </c>
      <c r="F1373" t="s">
        <v>488</v>
      </c>
      <c r="G1373" t="s">
        <v>22</v>
      </c>
      <c r="H1373" t="s">
        <v>57</v>
      </c>
      <c r="I1373" t="s">
        <v>33</v>
      </c>
      <c r="J1373" t="s">
        <v>44</v>
      </c>
    </row>
    <row r="1374" spans="1:26">
      <c r="A1374" t="s">
        <v>4154</v>
      </c>
      <c r="B1374" t="s">
        <v>554</v>
      </c>
      <c r="C1374" t="str">
        <f>Data_Master[[#This Row],[Uniq-ID]]&amp;"-"&amp;Data_Master[[#This Row],[Period]]</f>
        <v>SE-Site_Engineer-041-M1</v>
      </c>
      <c r="D1374" t="s">
        <v>555</v>
      </c>
      <c r="E1374" t="s">
        <v>48</v>
      </c>
      <c r="F1374" t="s">
        <v>441</v>
      </c>
      <c r="G1374" t="s">
        <v>13</v>
      </c>
      <c r="H1374" t="s">
        <v>54</v>
      </c>
      <c r="I1374" t="s">
        <v>15</v>
      </c>
      <c r="J1374" t="s">
        <v>44</v>
      </c>
      <c r="L1374">
        <v>0.5</v>
      </c>
      <c r="Y1374">
        <v>24</v>
      </c>
      <c r="Z1374">
        <v>5</v>
      </c>
    </row>
    <row r="1375" spans="1:26">
      <c r="A1375" t="s">
        <v>4154</v>
      </c>
      <c r="B1375" t="s">
        <v>554</v>
      </c>
      <c r="C1375" t="str">
        <f>Data_Master[[#This Row],[Uniq-ID]]&amp;"-"&amp;Data_Master[[#This Row],[Period]]</f>
        <v>SE-Site_Engineer-041-M2</v>
      </c>
      <c r="D1375" t="s">
        <v>555</v>
      </c>
      <c r="E1375" t="s">
        <v>48</v>
      </c>
      <c r="F1375" t="s">
        <v>441</v>
      </c>
      <c r="G1375" t="s">
        <v>18</v>
      </c>
      <c r="H1375" t="s">
        <v>56</v>
      </c>
      <c r="I1375" t="s">
        <v>15</v>
      </c>
      <c r="J1375" t="s">
        <v>44</v>
      </c>
      <c r="Y1375">
        <v>18</v>
      </c>
    </row>
    <row r="1376" spans="1:26">
      <c r="A1376" t="s">
        <v>4154</v>
      </c>
      <c r="B1376" t="s">
        <v>554</v>
      </c>
      <c r="C1376" t="str">
        <f>Data_Master[[#This Row],[Uniq-ID]]&amp;"-"&amp;Data_Master[[#This Row],[Period]]</f>
        <v>SE-Site_Engineer-041-M3</v>
      </c>
      <c r="D1376" t="s">
        <v>555</v>
      </c>
      <c r="E1376" t="s">
        <v>48</v>
      </c>
      <c r="F1376" t="s">
        <v>441</v>
      </c>
      <c r="G1376" t="s">
        <v>22</v>
      </c>
      <c r="H1376" t="s">
        <v>57</v>
      </c>
      <c r="I1376" t="s">
        <v>33</v>
      </c>
      <c r="J1376" t="s">
        <v>44</v>
      </c>
      <c r="L1376">
        <v>0.5</v>
      </c>
      <c r="Y1376">
        <v>4</v>
      </c>
      <c r="Z1376">
        <v>5</v>
      </c>
    </row>
    <row r="1377" spans="1:26">
      <c r="A1377" t="s">
        <v>4154</v>
      </c>
      <c r="B1377" t="s">
        <v>548</v>
      </c>
      <c r="C1377" t="str">
        <f>Data_Master[[#This Row],[Uniq-ID]]&amp;"-"&amp;Data_Master[[#This Row],[Period]]</f>
        <v>SE-Site_Engineer-042-M1</v>
      </c>
      <c r="D1377" t="s">
        <v>549</v>
      </c>
      <c r="E1377" t="s">
        <v>76</v>
      </c>
      <c r="F1377" t="s">
        <v>441</v>
      </c>
      <c r="G1377" t="s">
        <v>13</v>
      </c>
      <c r="H1377" t="s">
        <v>54</v>
      </c>
      <c r="I1377" t="s">
        <v>15</v>
      </c>
      <c r="J1377" t="s">
        <v>44</v>
      </c>
      <c r="Y1377">
        <v>0</v>
      </c>
    </row>
    <row r="1378" spans="1:26">
      <c r="A1378" t="s">
        <v>4154</v>
      </c>
      <c r="B1378" t="s">
        <v>548</v>
      </c>
      <c r="C1378" t="str">
        <f>Data_Master[[#This Row],[Uniq-ID]]&amp;"-"&amp;Data_Master[[#This Row],[Period]]</f>
        <v>SE-Site_Engineer-042-M2</v>
      </c>
      <c r="D1378" t="s">
        <v>549</v>
      </c>
      <c r="E1378" t="s">
        <v>76</v>
      </c>
      <c r="F1378" t="s">
        <v>441</v>
      </c>
      <c r="G1378" t="s">
        <v>18</v>
      </c>
      <c r="H1378" t="s">
        <v>56</v>
      </c>
      <c r="I1378" t="s">
        <v>15</v>
      </c>
      <c r="J1378" t="s">
        <v>44</v>
      </c>
      <c r="L1378">
        <v>0.5</v>
      </c>
      <c r="Y1378">
        <v>40</v>
      </c>
      <c r="Z1378">
        <v>9</v>
      </c>
    </row>
    <row r="1379" spans="1:26">
      <c r="A1379" t="s">
        <v>4154</v>
      </c>
      <c r="B1379" t="s">
        <v>548</v>
      </c>
      <c r="C1379" t="str">
        <f>Data_Master[[#This Row],[Uniq-ID]]&amp;"-"&amp;Data_Master[[#This Row],[Period]]</f>
        <v>SE-Site_Engineer-042-M3</v>
      </c>
      <c r="D1379" t="s">
        <v>549</v>
      </c>
      <c r="E1379" t="s">
        <v>76</v>
      </c>
      <c r="F1379" t="s">
        <v>441</v>
      </c>
      <c r="G1379" t="s">
        <v>22</v>
      </c>
      <c r="H1379" t="s">
        <v>57</v>
      </c>
      <c r="I1379" t="s">
        <v>33</v>
      </c>
      <c r="J1379" t="s">
        <v>44</v>
      </c>
      <c r="Y1379">
        <v>17</v>
      </c>
    </row>
    <row r="1380" spans="1:26">
      <c r="A1380" t="s">
        <v>4154</v>
      </c>
      <c r="B1380" t="s">
        <v>546</v>
      </c>
      <c r="C1380" t="str">
        <f>Data_Master[[#This Row],[Uniq-ID]]&amp;"-"&amp;Data_Master[[#This Row],[Period]]</f>
        <v>SE-Site_Engineer-043-M1</v>
      </c>
      <c r="D1380" t="s">
        <v>547</v>
      </c>
      <c r="E1380" t="s">
        <v>48</v>
      </c>
      <c r="F1380" t="s">
        <v>441</v>
      </c>
      <c r="G1380" t="s">
        <v>13</v>
      </c>
      <c r="H1380" t="s">
        <v>54</v>
      </c>
      <c r="I1380" t="s">
        <v>15</v>
      </c>
      <c r="J1380" t="s">
        <v>44</v>
      </c>
      <c r="Y1380">
        <v>23</v>
      </c>
    </row>
    <row r="1381" spans="1:26">
      <c r="A1381" t="s">
        <v>4154</v>
      </c>
      <c r="B1381" t="s">
        <v>546</v>
      </c>
      <c r="C1381" t="str">
        <f>Data_Master[[#This Row],[Uniq-ID]]&amp;"-"&amp;Data_Master[[#This Row],[Period]]</f>
        <v>SE-Site_Engineer-043-M2</v>
      </c>
      <c r="D1381" t="s">
        <v>547</v>
      </c>
      <c r="E1381" t="s">
        <v>48</v>
      </c>
      <c r="F1381" t="s">
        <v>441</v>
      </c>
      <c r="G1381" t="s">
        <v>18</v>
      </c>
      <c r="H1381" t="s">
        <v>56</v>
      </c>
      <c r="I1381" t="s">
        <v>15</v>
      </c>
      <c r="J1381" t="s">
        <v>44</v>
      </c>
      <c r="L1381">
        <v>0.5</v>
      </c>
      <c r="Y1381">
        <v>12</v>
      </c>
      <c r="Z1381">
        <v>2</v>
      </c>
    </row>
    <row r="1382" spans="1:26">
      <c r="A1382" t="s">
        <v>4154</v>
      </c>
      <c r="B1382" t="s">
        <v>546</v>
      </c>
      <c r="C1382" t="str">
        <f>Data_Master[[#This Row],[Uniq-ID]]&amp;"-"&amp;Data_Master[[#This Row],[Period]]</f>
        <v>SE-Site_Engineer-043-M3</v>
      </c>
      <c r="D1382" t="s">
        <v>547</v>
      </c>
      <c r="E1382" t="s">
        <v>48</v>
      </c>
      <c r="F1382" t="s">
        <v>441</v>
      </c>
      <c r="G1382" t="s">
        <v>22</v>
      </c>
      <c r="H1382" t="s">
        <v>57</v>
      </c>
      <c r="I1382" t="s">
        <v>33</v>
      </c>
      <c r="J1382" t="s">
        <v>44</v>
      </c>
      <c r="Y1382">
        <v>1</v>
      </c>
    </row>
    <row r="1383" spans="1:26">
      <c r="A1383" t="s">
        <v>4154</v>
      </c>
      <c r="B1383" t="s">
        <v>714</v>
      </c>
      <c r="C1383" t="str">
        <f>Data_Master[[#This Row],[Uniq-ID]]&amp;"-"&amp;Data_Master[[#This Row],[Period]]</f>
        <v>SE-Site_Engineer-044-M1</v>
      </c>
      <c r="D1383" t="s">
        <v>715</v>
      </c>
      <c r="E1383" t="s">
        <v>487</v>
      </c>
      <c r="F1383" t="s">
        <v>488</v>
      </c>
      <c r="G1383" t="s">
        <v>13</v>
      </c>
      <c r="H1383" t="s">
        <v>54</v>
      </c>
      <c r="I1383" t="s">
        <v>15</v>
      </c>
      <c r="J1383" t="s">
        <v>44</v>
      </c>
    </row>
    <row r="1384" spans="1:26">
      <c r="A1384" t="s">
        <v>4154</v>
      </c>
      <c r="B1384" t="s">
        <v>714</v>
      </c>
      <c r="C1384" t="str">
        <f>Data_Master[[#This Row],[Uniq-ID]]&amp;"-"&amp;Data_Master[[#This Row],[Period]]</f>
        <v>SE-Site_Engineer-044-M2</v>
      </c>
      <c r="D1384" t="s">
        <v>715</v>
      </c>
      <c r="E1384" t="s">
        <v>487</v>
      </c>
      <c r="F1384" t="s">
        <v>488</v>
      </c>
      <c r="G1384" t="s">
        <v>18</v>
      </c>
      <c r="H1384" t="s">
        <v>56</v>
      </c>
      <c r="I1384" t="s">
        <v>15</v>
      </c>
      <c r="J1384" t="s">
        <v>44</v>
      </c>
    </row>
    <row r="1385" spans="1:26">
      <c r="A1385" t="s">
        <v>4154</v>
      </c>
      <c r="B1385" t="s">
        <v>714</v>
      </c>
      <c r="C1385" t="str">
        <f>Data_Master[[#This Row],[Uniq-ID]]&amp;"-"&amp;Data_Master[[#This Row],[Period]]</f>
        <v>SE-Site_Engineer-044-M3</v>
      </c>
      <c r="D1385" t="s">
        <v>715</v>
      </c>
      <c r="E1385" t="s">
        <v>487</v>
      </c>
      <c r="F1385" t="s">
        <v>488</v>
      </c>
      <c r="G1385" t="s">
        <v>22</v>
      </c>
      <c r="H1385" t="s">
        <v>57</v>
      </c>
      <c r="I1385" t="s">
        <v>33</v>
      </c>
      <c r="J1385" t="s">
        <v>44</v>
      </c>
    </row>
    <row r="1386" spans="1:26">
      <c r="A1386" t="s">
        <v>4154</v>
      </c>
      <c r="B1386" t="s">
        <v>712</v>
      </c>
      <c r="C1386" t="str">
        <f>Data_Master[[#This Row],[Uniq-ID]]&amp;"-"&amp;Data_Master[[#This Row],[Period]]</f>
        <v>SE-Site_Engineer-045-M1</v>
      </c>
      <c r="D1386" t="s">
        <v>713</v>
      </c>
      <c r="E1386" t="s">
        <v>76</v>
      </c>
      <c r="F1386" t="s">
        <v>441</v>
      </c>
      <c r="G1386" t="s">
        <v>13</v>
      </c>
      <c r="H1386" t="s">
        <v>54</v>
      </c>
      <c r="I1386" t="s">
        <v>15</v>
      </c>
      <c r="J1386" t="s">
        <v>44</v>
      </c>
      <c r="L1386">
        <v>0.5</v>
      </c>
      <c r="Y1386">
        <v>4</v>
      </c>
      <c r="Z1386">
        <v>2</v>
      </c>
    </row>
    <row r="1387" spans="1:26">
      <c r="A1387" t="s">
        <v>4154</v>
      </c>
      <c r="B1387" t="s">
        <v>712</v>
      </c>
      <c r="C1387" t="str">
        <f>Data_Master[[#This Row],[Uniq-ID]]&amp;"-"&amp;Data_Master[[#This Row],[Period]]</f>
        <v>SE-Site_Engineer-045-M2</v>
      </c>
      <c r="D1387" t="s">
        <v>713</v>
      </c>
      <c r="E1387" t="s">
        <v>76</v>
      </c>
      <c r="F1387" t="s">
        <v>441</v>
      </c>
      <c r="G1387" t="s">
        <v>18</v>
      </c>
      <c r="H1387" t="s">
        <v>56</v>
      </c>
      <c r="I1387" t="s">
        <v>15</v>
      </c>
      <c r="J1387" t="s">
        <v>44</v>
      </c>
      <c r="L1387">
        <v>0.72</v>
      </c>
      <c r="Y1387">
        <v>44</v>
      </c>
      <c r="Z1387">
        <v>23</v>
      </c>
    </row>
    <row r="1388" spans="1:26">
      <c r="A1388" t="s">
        <v>4154</v>
      </c>
      <c r="B1388" t="s">
        <v>712</v>
      </c>
      <c r="C1388" t="str">
        <f>Data_Master[[#This Row],[Uniq-ID]]&amp;"-"&amp;Data_Master[[#This Row],[Period]]</f>
        <v>SE-Site_Engineer-045-M3</v>
      </c>
      <c r="D1388" t="s">
        <v>713</v>
      </c>
      <c r="E1388" t="s">
        <v>76</v>
      </c>
      <c r="F1388" t="s">
        <v>441</v>
      </c>
      <c r="G1388" t="s">
        <v>22</v>
      </c>
      <c r="H1388" t="s">
        <v>57</v>
      </c>
      <c r="I1388" t="s">
        <v>33</v>
      </c>
      <c r="J1388" t="s">
        <v>44</v>
      </c>
      <c r="Y1388">
        <v>0</v>
      </c>
    </row>
    <row r="1389" spans="1:26">
      <c r="A1389" t="s">
        <v>4154</v>
      </c>
      <c r="B1389" t="s">
        <v>706</v>
      </c>
      <c r="C1389" t="str">
        <f>Data_Master[[#This Row],[Uniq-ID]]&amp;"-"&amp;Data_Master[[#This Row],[Period]]</f>
        <v>SE-Site_Engineer-046-M1</v>
      </c>
      <c r="D1389" t="s">
        <v>707</v>
      </c>
      <c r="E1389" t="s">
        <v>76</v>
      </c>
      <c r="F1389" t="s">
        <v>441</v>
      </c>
      <c r="G1389" t="s">
        <v>13</v>
      </c>
      <c r="H1389" t="s">
        <v>54</v>
      </c>
      <c r="I1389" t="s">
        <v>15</v>
      </c>
      <c r="J1389" t="s">
        <v>44</v>
      </c>
      <c r="L1389">
        <v>0.53</v>
      </c>
      <c r="Y1389">
        <v>44</v>
      </c>
      <c r="Z1389">
        <v>17</v>
      </c>
    </row>
    <row r="1390" spans="1:26">
      <c r="A1390" t="s">
        <v>4154</v>
      </c>
      <c r="B1390" t="s">
        <v>706</v>
      </c>
      <c r="C1390" t="str">
        <f>Data_Master[[#This Row],[Uniq-ID]]&amp;"-"&amp;Data_Master[[#This Row],[Period]]</f>
        <v>SE-Site_Engineer-046-M2</v>
      </c>
      <c r="D1390" t="s">
        <v>707</v>
      </c>
      <c r="E1390" t="s">
        <v>76</v>
      </c>
      <c r="F1390" t="s">
        <v>441</v>
      </c>
      <c r="G1390" t="s">
        <v>18</v>
      </c>
      <c r="H1390" t="s">
        <v>56</v>
      </c>
      <c r="I1390" t="s">
        <v>15</v>
      </c>
      <c r="J1390" t="s">
        <v>44</v>
      </c>
      <c r="L1390">
        <v>0.5</v>
      </c>
      <c r="Y1390">
        <v>28</v>
      </c>
      <c r="Z1390">
        <v>4</v>
      </c>
    </row>
    <row r="1391" spans="1:26">
      <c r="A1391" t="s">
        <v>4154</v>
      </c>
      <c r="B1391" t="s">
        <v>706</v>
      </c>
      <c r="C1391" t="str">
        <f>Data_Master[[#This Row],[Uniq-ID]]&amp;"-"&amp;Data_Master[[#This Row],[Period]]</f>
        <v>SE-Site_Engineer-046-M3</v>
      </c>
      <c r="D1391" t="s">
        <v>707</v>
      </c>
      <c r="E1391" t="s">
        <v>76</v>
      </c>
      <c r="F1391" t="s">
        <v>441</v>
      </c>
      <c r="G1391" t="s">
        <v>22</v>
      </c>
      <c r="H1391" t="s">
        <v>57</v>
      </c>
      <c r="I1391" t="s">
        <v>33</v>
      </c>
      <c r="J1391" t="s">
        <v>44</v>
      </c>
      <c r="Y1391">
        <v>0</v>
      </c>
    </row>
    <row r="1392" spans="1:26">
      <c r="A1392" t="s">
        <v>4154</v>
      </c>
      <c r="B1392" t="s">
        <v>704</v>
      </c>
      <c r="C1392" t="str">
        <f>Data_Master[[#This Row],[Uniq-ID]]&amp;"-"&amp;Data_Master[[#This Row],[Period]]</f>
        <v>SE-Site_Engineer-047-M1</v>
      </c>
      <c r="D1392" t="s">
        <v>705</v>
      </c>
      <c r="E1392" t="s">
        <v>76</v>
      </c>
      <c r="F1392" t="s">
        <v>441</v>
      </c>
      <c r="G1392" t="s">
        <v>13</v>
      </c>
      <c r="H1392" t="s">
        <v>54</v>
      </c>
      <c r="I1392" t="s">
        <v>15</v>
      </c>
      <c r="J1392" t="s">
        <v>44</v>
      </c>
      <c r="L1392">
        <v>0.5</v>
      </c>
      <c r="Y1392">
        <v>15</v>
      </c>
      <c r="Z1392">
        <v>2</v>
      </c>
    </row>
    <row r="1393" spans="1:26">
      <c r="A1393" t="s">
        <v>4154</v>
      </c>
      <c r="B1393" t="s">
        <v>704</v>
      </c>
      <c r="C1393" t="str">
        <f>Data_Master[[#This Row],[Uniq-ID]]&amp;"-"&amp;Data_Master[[#This Row],[Period]]</f>
        <v>SE-Site_Engineer-047-M2</v>
      </c>
      <c r="D1393" t="s">
        <v>705</v>
      </c>
      <c r="E1393" t="s">
        <v>76</v>
      </c>
      <c r="F1393" t="s">
        <v>441</v>
      </c>
      <c r="G1393" t="s">
        <v>18</v>
      </c>
      <c r="H1393" t="s">
        <v>56</v>
      </c>
      <c r="I1393" t="s">
        <v>15</v>
      </c>
      <c r="J1393" t="s">
        <v>44</v>
      </c>
      <c r="L1393">
        <v>0.5</v>
      </c>
      <c r="Y1393">
        <v>23</v>
      </c>
      <c r="Z1393">
        <v>6</v>
      </c>
    </row>
    <row r="1394" spans="1:26">
      <c r="A1394" t="s">
        <v>4154</v>
      </c>
      <c r="B1394" t="s">
        <v>704</v>
      </c>
      <c r="C1394" t="str">
        <f>Data_Master[[#This Row],[Uniq-ID]]&amp;"-"&amp;Data_Master[[#This Row],[Period]]</f>
        <v>SE-Site_Engineer-047-M3</v>
      </c>
      <c r="D1394" t="s">
        <v>705</v>
      </c>
      <c r="E1394" t="s">
        <v>76</v>
      </c>
      <c r="F1394" t="s">
        <v>441</v>
      </c>
      <c r="G1394" t="s">
        <v>22</v>
      </c>
      <c r="H1394" t="s">
        <v>57</v>
      </c>
      <c r="I1394" t="s">
        <v>33</v>
      </c>
      <c r="J1394" t="s">
        <v>44</v>
      </c>
      <c r="L1394">
        <v>0.5</v>
      </c>
      <c r="Y1394">
        <v>2</v>
      </c>
      <c r="Z1394">
        <v>1</v>
      </c>
    </row>
    <row r="1395" spans="1:26">
      <c r="A1395" t="s">
        <v>4154</v>
      </c>
      <c r="B1395" t="s">
        <v>698</v>
      </c>
      <c r="C1395" t="str">
        <f>Data_Master[[#This Row],[Uniq-ID]]&amp;"-"&amp;Data_Master[[#This Row],[Period]]</f>
        <v>SE-Site_Engineer-048-M1</v>
      </c>
      <c r="D1395" t="s">
        <v>699</v>
      </c>
      <c r="E1395" t="s">
        <v>48</v>
      </c>
      <c r="F1395" t="s">
        <v>441</v>
      </c>
      <c r="G1395" t="s">
        <v>13</v>
      </c>
      <c r="H1395" t="s">
        <v>54</v>
      </c>
      <c r="I1395" t="s">
        <v>15</v>
      </c>
      <c r="J1395" t="s">
        <v>44</v>
      </c>
      <c r="L1395">
        <v>0.63</v>
      </c>
      <c r="Y1395">
        <v>45</v>
      </c>
      <c r="Z1395">
        <v>20</v>
      </c>
    </row>
    <row r="1396" spans="1:26">
      <c r="A1396" t="s">
        <v>4154</v>
      </c>
      <c r="B1396" t="s">
        <v>698</v>
      </c>
      <c r="C1396" t="str">
        <f>Data_Master[[#This Row],[Uniq-ID]]&amp;"-"&amp;Data_Master[[#This Row],[Period]]</f>
        <v>SE-Site_Engineer-048-M2</v>
      </c>
      <c r="D1396" t="s">
        <v>699</v>
      </c>
      <c r="E1396" t="s">
        <v>48</v>
      </c>
      <c r="F1396" t="s">
        <v>441</v>
      </c>
      <c r="G1396" t="s">
        <v>18</v>
      </c>
      <c r="H1396" t="s">
        <v>56</v>
      </c>
      <c r="I1396" t="s">
        <v>15</v>
      </c>
      <c r="J1396" t="s">
        <v>44</v>
      </c>
      <c r="L1396">
        <v>0.5</v>
      </c>
      <c r="Y1396">
        <v>21</v>
      </c>
      <c r="Z1396">
        <v>6</v>
      </c>
    </row>
    <row r="1397" spans="1:26">
      <c r="A1397" t="s">
        <v>4154</v>
      </c>
      <c r="B1397" t="s">
        <v>698</v>
      </c>
      <c r="C1397" t="str">
        <f>Data_Master[[#This Row],[Uniq-ID]]&amp;"-"&amp;Data_Master[[#This Row],[Period]]</f>
        <v>SE-Site_Engineer-048-M3</v>
      </c>
      <c r="D1397" t="s">
        <v>699</v>
      </c>
      <c r="E1397" t="s">
        <v>48</v>
      </c>
      <c r="F1397" t="s">
        <v>441</v>
      </c>
      <c r="G1397" t="s">
        <v>22</v>
      </c>
      <c r="H1397" t="s">
        <v>57</v>
      </c>
      <c r="I1397" t="s">
        <v>33</v>
      </c>
      <c r="J1397" t="s">
        <v>44</v>
      </c>
      <c r="L1397">
        <v>0.5</v>
      </c>
      <c r="Y1397">
        <v>8</v>
      </c>
      <c r="Z1397">
        <v>12</v>
      </c>
    </row>
    <row r="1398" spans="1:26">
      <c r="A1398" t="s">
        <v>4154</v>
      </c>
      <c r="B1398" t="s">
        <v>696</v>
      </c>
      <c r="C1398" t="str">
        <f>Data_Master[[#This Row],[Uniq-ID]]&amp;"-"&amp;Data_Master[[#This Row],[Period]]</f>
        <v>SE-Site_Engineer-049-M1</v>
      </c>
      <c r="D1398" t="s">
        <v>697</v>
      </c>
      <c r="E1398" t="s">
        <v>76</v>
      </c>
      <c r="F1398" t="s">
        <v>441</v>
      </c>
      <c r="G1398" t="s">
        <v>13</v>
      </c>
      <c r="H1398" t="s">
        <v>54</v>
      </c>
      <c r="I1398" t="s">
        <v>15</v>
      </c>
      <c r="J1398" t="s">
        <v>44</v>
      </c>
      <c r="L1398">
        <v>0.5</v>
      </c>
      <c r="Y1398">
        <v>14</v>
      </c>
      <c r="Z1398">
        <v>3</v>
      </c>
    </row>
    <row r="1399" spans="1:26">
      <c r="A1399" t="s">
        <v>4154</v>
      </c>
      <c r="B1399" t="s">
        <v>696</v>
      </c>
      <c r="C1399" t="str">
        <f>Data_Master[[#This Row],[Uniq-ID]]&amp;"-"&amp;Data_Master[[#This Row],[Period]]</f>
        <v>SE-Site_Engineer-049-M2</v>
      </c>
      <c r="D1399" t="s">
        <v>697</v>
      </c>
      <c r="E1399" t="s">
        <v>76</v>
      </c>
      <c r="F1399" t="s">
        <v>441</v>
      </c>
      <c r="G1399" t="s">
        <v>18</v>
      </c>
      <c r="H1399" t="s">
        <v>56</v>
      </c>
      <c r="I1399" t="s">
        <v>15</v>
      </c>
      <c r="J1399" t="s">
        <v>44</v>
      </c>
    </row>
    <row r="1400" spans="1:26">
      <c r="A1400" t="s">
        <v>4154</v>
      </c>
      <c r="B1400" t="s">
        <v>696</v>
      </c>
      <c r="C1400" t="str">
        <f>Data_Master[[#This Row],[Uniq-ID]]&amp;"-"&amp;Data_Master[[#This Row],[Period]]</f>
        <v>SE-Site_Engineer-049-M3</v>
      </c>
      <c r="D1400" t="s">
        <v>697</v>
      </c>
      <c r="E1400" t="s">
        <v>76</v>
      </c>
      <c r="F1400" t="s">
        <v>441</v>
      </c>
      <c r="G1400" t="s">
        <v>22</v>
      </c>
      <c r="H1400" t="s">
        <v>57</v>
      </c>
      <c r="I1400" t="s">
        <v>33</v>
      </c>
      <c r="J1400" t="s">
        <v>44</v>
      </c>
      <c r="Y1400">
        <v>0</v>
      </c>
    </row>
    <row r="1401" spans="1:26">
      <c r="A1401" t="s">
        <v>4154</v>
      </c>
      <c r="B1401" t="s">
        <v>690</v>
      </c>
      <c r="C1401" t="str">
        <f>Data_Master[[#This Row],[Uniq-ID]]&amp;"-"&amp;Data_Master[[#This Row],[Period]]</f>
        <v>SE-Site_Engineer-050-M1</v>
      </c>
      <c r="D1401" t="s">
        <v>691</v>
      </c>
      <c r="E1401" t="s">
        <v>487</v>
      </c>
      <c r="F1401" t="s">
        <v>488</v>
      </c>
      <c r="G1401" t="s">
        <v>13</v>
      </c>
      <c r="H1401" t="s">
        <v>54</v>
      </c>
      <c r="I1401" t="s">
        <v>15</v>
      </c>
      <c r="J1401" t="s">
        <v>44</v>
      </c>
    </row>
    <row r="1402" spans="1:26">
      <c r="A1402" t="s">
        <v>4154</v>
      </c>
      <c r="B1402" t="s">
        <v>690</v>
      </c>
      <c r="C1402" t="str">
        <f>Data_Master[[#This Row],[Uniq-ID]]&amp;"-"&amp;Data_Master[[#This Row],[Period]]</f>
        <v>SE-Site_Engineer-050-M2</v>
      </c>
      <c r="D1402" t="s">
        <v>691</v>
      </c>
      <c r="E1402" t="s">
        <v>487</v>
      </c>
      <c r="F1402" t="s">
        <v>488</v>
      </c>
      <c r="G1402" t="s">
        <v>18</v>
      </c>
      <c r="H1402" t="s">
        <v>56</v>
      </c>
      <c r="I1402" t="s">
        <v>15</v>
      </c>
      <c r="J1402" t="s">
        <v>44</v>
      </c>
    </row>
    <row r="1403" spans="1:26">
      <c r="A1403" t="s">
        <v>4154</v>
      </c>
      <c r="B1403" t="s">
        <v>690</v>
      </c>
      <c r="C1403" t="str">
        <f>Data_Master[[#This Row],[Uniq-ID]]&amp;"-"&amp;Data_Master[[#This Row],[Period]]</f>
        <v>SE-Site_Engineer-050-M3</v>
      </c>
      <c r="D1403" t="s">
        <v>691</v>
      </c>
      <c r="E1403" t="s">
        <v>487</v>
      </c>
      <c r="F1403" t="s">
        <v>488</v>
      </c>
      <c r="G1403" t="s">
        <v>22</v>
      </c>
      <c r="H1403" t="s">
        <v>57</v>
      </c>
      <c r="I1403" t="s">
        <v>33</v>
      </c>
      <c r="J1403" t="s">
        <v>44</v>
      </c>
    </row>
    <row r="1404" spans="1:26">
      <c r="A1404" t="s">
        <v>4154</v>
      </c>
      <c r="B1404" t="s">
        <v>688</v>
      </c>
      <c r="C1404" t="str">
        <f>Data_Master[[#This Row],[Uniq-ID]]&amp;"-"&amp;Data_Master[[#This Row],[Period]]</f>
        <v>SE-Site_Engineer-051-M1</v>
      </c>
      <c r="D1404" t="s">
        <v>689</v>
      </c>
      <c r="E1404" t="s">
        <v>487</v>
      </c>
      <c r="F1404" t="s">
        <v>488</v>
      </c>
      <c r="G1404" t="s">
        <v>13</v>
      </c>
      <c r="H1404" t="s">
        <v>54</v>
      </c>
      <c r="I1404" t="s">
        <v>15</v>
      </c>
      <c r="J1404" t="s">
        <v>44</v>
      </c>
    </row>
    <row r="1405" spans="1:26">
      <c r="A1405" t="s">
        <v>4154</v>
      </c>
      <c r="B1405" t="s">
        <v>688</v>
      </c>
      <c r="C1405" t="str">
        <f>Data_Master[[#This Row],[Uniq-ID]]&amp;"-"&amp;Data_Master[[#This Row],[Period]]</f>
        <v>SE-Site_Engineer-051-M2</v>
      </c>
      <c r="D1405" t="s">
        <v>689</v>
      </c>
      <c r="E1405" t="s">
        <v>487</v>
      </c>
      <c r="F1405" t="s">
        <v>488</v>
      </c>
      <c r="G1405" t="s">
        <v>18</v>
      </c>
      <c r="H1405" t="s">
        <v>56</v>
      </c>
      <c r="I1405" t="s">
        <v>15</v>
      </c>
      <c r="J1405" t="s">
        <v>44</v>
      </c>
    </row>
    <row r="1406" spans="1:26">
      <c r="A1406" t="s">
        <v>4154</v>
      </c>
      <c r="B1406" t="s">
        <v>688</v>
      </c>
      <c r="C1406" t="str">
        <f>Data_Master[[#This Row],[Uniq-ID]]&amp;"-"&amp;Data_Master[[#This Row],[Period]]</f>
        <v>SE-Site_Engineer-051-M3</v>
      </c>
      <c r="D1406" t="s">
        <v>689</v>
      </c>
      <c r="E1406" t="s">
        <v>487</v>
      </c>
      <c r="F1406" t="s">
        <v>488</v>
      </c>
      <c r="G1406" t="s">
        <v>22</v>
      </c>
      <c r="H1406" t="s">
        <v>57</v>
      </c>
      <c r="I1406" t="s">
        <v>33</v>
      </c>
      <c r="J1406" t="s">
        <v>44</v>
      </c>
    </row>
    <row r="1407" spans="1:26">
      <c r="A1407" t="s">
        <v>4154</v>
      </c>
      <c r="B1407" t="s">
        <v>682</v>
      </c>
      <c r="C1407" t="str">
        <f>Data_Master[[#This Row],[Uniq-ID]]&amp;"-"&amp;Data_Master[[#This Row],[Period]]</f>
        <v>SE-Site_Engineer-052-M1</v>
      </c>
      <c r="D1407" t="s">
        <v>683</v>
      </c>
      <c r="E1407" t="s">
        <v>76</v>
      </c>
      <c r="F1407" t="s">
        <v>461</v>
      </c>
      <c r="G1407" t="s">
        <v>13</v>
      </c>
      <c r="H1407" t="s">
        <v>322</v>
      </c>
      <c r="I1407" t="s">
        <v>15</v>
      </c>
      <c r="J1407" t="s">
        <v>44</v>
      </c>
      <c r="Y1407">
        <v>4</v>
      </c>
    </row>
    <row r="1408" spans="1:26">
      <c r="A1408" t="s">
        <v>4154</v>
      </c>
      <c r="B1408" t="s">
        <v>682</v>
      </c>
      <c r="C1408" t="str">
        <f>Data_Master[[#This Row],[Uniq-ID]]&amp;"-"&amp;Data_Master[[#This Row],[Period]]</f>
        <v>SE-Site_Engineer-052-M2</v>
      </c>
      <c r="D1408" t="s">
        <v>683</v>
      </c>
      <c r="E1408" t="s">
        <v>76</v>
      </c>
      <c r="F1408" t="s">
        <v>461</v>
      </c>
      <c r="G1408" t="s">
        <v>18</v>
      </c>
      <c r="H1408" t="s">
        <v>293</v>
      </c>
      <c r="I1408" t="s">
        <v>15</v>
      </c>
      <c r="J1408" t="s">
        <v>44</v>
      </c>
      <c r="Y1408">
        <v>3</v>
      </c>
    </row>
    <row r="1409" spans="1:26">
      <c r="A1409" t="s">
        <v>4154</v>
      </c>
      <c r="B1409" t="s">
        <v>682</v>
      </c>
      <c r="C1409" t="str">
        <f>Data_Master[[#This Row],[Uniq-ID]]&amp;"-"&amp;Data_Master[[#This Row],[Period]]</f>
        <v>SE-Site_Engineer-052-M3</v>
      </c>
      <c r="D1409" t="s">
        <v>683</v>
      </c>
      <c r="E1409" t="s">
        <v>76</v>
      </c>
      <c r="F1409" t="s">
        <v>461</v>
      </c>
      <c r="G1409" t="s">
        <v>22</v>
      </c>
      <c r="H1409" t="s">
        <v>294</v>
      </c>
      <c r="I1409" t="s">
        <v>33</v>
      </c>
      <c r="J1409" t="s">
        <v>44</v>
      </c>
      <c r="L1409">
        <v>0.5</v>
      </c>
      <c r="Y1409">
        <v>1</v>
      </c>
      <c r="Z1409">
        <v>2</v>
      </c>
    </row>
    <row r="1410" spans="1:26">
      <c r="A1410" t="s">
        <v>4154</v>
      </c>
      <c r="B1410" t="s">
        <v>680</v>
      </c>
      <c r="C1410" t="str">
        <f>Data_Master[[#This Row],[Uniq-ID]]&amp;"-"&amp;Data_Master[[#This Row],[Period]]</f>
        <v>SE-Site_Engineer-053-M1</v>
      </c>
      <c r="D1410" t="s">
        <v>681</v>
      </c>
      <c r="E1410" t="s">
        <v>76</v>
      </c>
      <c r="F1410" t="s">
        <v>441</v>
      </c>
      <c r="G1410" t="s">
        <v>13</v>
      </c>
      <c r="H1410" t="s">
        <v>115</v>
      </c>
      <c r="I1410" t="s">
        <v>15</v>
      </c>
      <c r="J1410" t="s">
        <v>44</v>
      </c>
      <c r="L1410">
        <v>0.5</v>
      </c>
      <c r="Y1410">
        <v>1</v>
      </c>
      <c r="Z1410">
        <v>1</v>
      </c>
    </row>
    <row r="1411" spans="1:26">
      <c r="A1411" t="s">
        <v>4154</v>
      </c>
      <c r="B1411" t="s">
        <v>680</v>
      </c>
      <c r="C1411" t="str">
        <f>Data_Master[[#This Row],[Uniq-ID]]&amp;"-"&amp;Data_Master[[#This Row],[Period]]</f>
        <v>SE-Site_Engineer-053-M2</v>
      </c>
      <c r="D1411" t="s">
        <v>681</v>
      </c>
      <c r="E1411" t="s">
        <v>76</v>
      </c>
      <c r="F1411" t="s">
        <v>441</v>
      </c>
      <c r="G1411" t="s">
        <v>18</v>
      </c>
      <c r="H1411" t="s">
        <v>117</v>
      </c>
      <c r="I1411" t="s">
        <v>15</v>
      </c>
      <c r="J1411" t="s">
        <v>44</v>
      </c>
      <c r="L1411">
        <v>0.75</v>
      </c>
      <c r="Y1411">
        <v>34</v>
      </c>
      <c r="Z1411">
        <v>24</v>
      </c>
    </row>
    <row r="1412" spans="1:26">
      <c r="A1412" t="s">
        <v>4154</v>
      </c>
      <c r="B1412" t="s">
        <v>680</v>
      </c>
      <c r="C1412" t="str">
        <f>Data_Master[[#This Row],[Uniq-ID]]&amp;"-"&amp;Data_Master[[#This Row],[Period]]</f>
        <v>SE-Site_Engineer-053-M3</v>
      </c>
      <c r="D1412" t="s">
        <v>681</v>
      </c>
      <c r="E1412" t="s">
        <v>76</v>
      </c>
      <c r="F1412" t="s">
        <v>441</v>
      </c>
      <c r="G1412" t="s">
        <v>22</v>
      </c>
      <c r="H1412" t="s">
        <v>119</v>
      </c>
      <c r="I1412" t="s">
        <v>33</v>
      </c>
      <c r="J1412" t="s">
        <v>44</v>
      </c>
      <c r="L1412">
        <v>0.5</v>
      </c>
      <c r="Y1412">
        <v>6</v>
      </c>
      <c r="Z1412">
        <v>1</v>
      </c>
    </row>
    <row r="1413" spans="1:26">
      <c r="A1413" t="s">
        <v>4154</v>
      </c>
      <c r="B1413" t="s">
        <v>674</v>
      </c>
      <c r="C1413" t="str">
        <f>Data_Master[[#This Row],[Uniq-ID]]&amp;"-"&amp;Data_Master[[#This Row],[Period]]</f>
        <v>SE-Site_Engineer-054-M1</v>
      </c>
      <c r="D1413" t="s">
        <v>675</v>
      </c>
      <c r="E1413" t="s">
        <v>48</v>
      </c>
      <c r="F1413" t="s">
        <v>441</v>
      </c>
      <c r="G1413" t="s">
        <v>13</v>
      </c>
      <c r="H1413" t="s">
        <v>115</v>
      </c>
      <c r="I1413" t="s">
        <v>15</v>
      </c>
      <c r="J1413" t="s">
        <v>44</v>
      </c>
      <c r="L1413">
        <v>0.5</v>
      </c>
      <c r="Y1413">
        <v>9</v>
      </c>
      <c r="Z1413">
        <v>1</v>
      </c>
    </row>
    <row r="1414" spans="1:26">
      <c r="A1414" t="s">
        <v>4154</v>
      </c>
      <c r="B1414" t="s">
        <v>674</v>
      </c>
      <c r="C1414" t="str">
        <f>Data_Master[[#This Row],[Uniq-ID]]&amp;"-"&amp;Data_Master[[#This Row],[Period]]</f>
        <v>SE-Site_Engineer-054-M2</v>
      </c>
      <c r="D1414" t="s">
        <v>675</v>
      </c>
      <c r="E1414" t="s">
        <v>48</v>
      </c>
      <c r="F1414" t="s">
        <v>441</v>
      </c>
      <c r="G1414" t="s">
        <v>18</v>
      </c>
      <c r="H1414" t="s">
        <v>117</v>
      </c>
      <c r="I1414" t="s">
        <v>15</v>
      </c>
      <c r="J1414" t="s">
        <v>44</v>
      </c>
      <c r="L1414">
        <v>0.5</v>
      </c>
      <c r="Y1414">
        <v>25</v>
      </c>
      <c r="Z1414">
        <v>4</v>
      </c>
    </row>
    <row r="1415" spans="1:26">
      <c r="A1415" t="s">
        <v>4154</v>
      </c>
      <c r="B1415" t="s">
        <v>674</v>
      </c>
      <c r="C1415" t="str">
        <f>Data_Master[[#This Row],[Uniq-ID]]&amp;"-"&amp;Data_Master[[#This Row],[Period]]</f>
        <v>SE-Site_Engineer-054-M3</v>
      </c>
      <c r="D1415" t="s">
        <v>675</v>
      </c>
      <c r="E1415" t="s">
        <v>48</v>
      </c>
      <c r="F1415" t="s">
        <v>441</v>
      </c>
      <c r="G1415" t="s">
        <v>22</v>
      </c>
      <c r="H1415" t="s">
        <v>119</v>
      </c>
      <c r="I1415" t="s">
        <v>33</v>
      </c>
      <c r="J1415" t="s">
        <v>44</v>
      </c>
      <c r="L1415">
        <v>0.5</v>
      </c>
      <c r="Y1415">
        <v>5</v>
      </c>
      <c r="Z1415">
        <v>4</v>
      </c>
    </row>
    <row r="1416" spans="1:26">
      <c r="A1416" t="s">
        <v>4154</v>
      </c>
      <c r="B1416" t="s">
        <v>672</v>
      </c>
      <c r="C1416" t="str">
        <f>Data_Master[[#This Row],[Uniq-ID]]&amp;"-"&amp;Data_Master[[#This Row],[Period]]</f>
        <v>SE-Site_Engineer-055-M1</v>
      </c>
      <c r="D1416" t="s">
        <v>673</v>
      </c>
      <c r="E1416" t="s">
        <v>76</v>
      </c>
      <c r="F1416" t="s">
        <v>441</v>
      </c>
      <c r="G1416" t="s">
        <v>13</v>
      </c>
      <c r="H1416" t="s">
        <v>115</v>
      </c>
      <c r="I1416" t="s">
        <v>15</v>
      </c>
      <c r="J1416" t="s">
        <v>44</v>
      </c>
      <c r="L1416">
        <v>0.5</v>
      </c>
      <c r="Y1416">
        <v>41</v>
      </c>
      <c r="Z1416">
        <v>3</v>
      </c>
    </row>
    <row r="1417" spans="1:26">
      <c r="A1417" t="s">
        <v>4154</v>
      </c>
      <c r="B1417" t="s">
        <v>672</v>
      </c>
      <c r="C1417" t="str">
        <f>Data_Master[[#This Row],[Uniq-ID]]&amp;"-"&amp;Data_Master[[#This Row],[Period]]</f>
        <v>SE-Site_Engineer-055-M2</v>
      </c>
      <c r="D1417" t="s">
        <v>673</v>
      </c>
      <c r="E1417" t="s">
        <v>76</v>
      </c>
      <c r="F1417" t="s">
        <v>441</v>
      </c>
      <c r="G1417" t="s">
        <v>18</v>
      </c>
      <c r="H1417" t="s">
        <v>117</v>
      </c>
      <c r="I1417" t="s">
        <v>15</v>
      </c>
      <c r="J1417" t="s">
        <v>44</v>
      </c>
      <c r="L1417">
        <v>0.5</v>
      </c>
      <c r="Y1417">
        <v>30</v>
      </c>
      <c r="Z1417">
        <v>5</v>
      </c>
    </row>
    <row r="1418" spans="1:26">
      <c r="A1418" t="s">
        <v>4154</v>
      </c>
      <c r="B1418" t="s">
        <v>672</v>
      </c>
      <c r="C1418" t="str">
        <f>Data_Master[[#This Row],[Uniq-ID]]&amp;"-"&amp;Data_Master[[#This Row],[Period]]</f>
        <v>SE-Site_Engineer-055-M3</v>
      </c>
      <c r="D1418" t="s">
        <v>673</v>
      </c>
      <c r="E1418" t="s">
        <v>76</v>
      </c>
      <c r="F1418" t="s">
        <v>441</v>
      </c>
      <c r="G1418" t="s">
        <v>22</v>
      </c>
      <c r="H1418" t="s">
        <v>119</v>
      </c>
      <c r="I1418" t="s">
        <v>33</v>
      </c>
      <c r="J1418" t="s">
        <v>44</v>
      </c>
      <c r="L1418">
        <v>0.5</v>
      </c>
      <c r="Y1418">
        <v>1</v>
      </c>
      <c r="Z1418">
        <v>3</v>
      </c>
    </row>
    <row r="1419" spans="1:26">
      <c r="A1419" t="s">
        <v>4154</v>
      </c>
      <c r="B1419" t="s">
        <v>664</v>
      </c>
      <c r="C1419" t="str">
        <f>Data_Master[[#This Row],[Uniq-ID]]&amp;"-"&amp;Data_Master[[#This Row],[Period]]</f>
        <v>SE-Site_Engineer-056-M1</v>
      </c>
      <c r="D1419" t="s">
        <v>665</v>
      </c>
      <c r="E1419" t="s">
        <v>76</v>
      </c>
      <c r="F1419" t="s">
        <v>441</v>
      </c>
      <c r="G1419" t="s">
        <v>13</v>
      </c>
      <c r="H1419" t="s">
        <v>115</v>
      </c>
      <c r="I1419" t="s">
        <v>15</v>
      </c>
      <c r="J1419" t="s">
        <v>44</v>
      </c>
      <c r="L1419">
        <v>0.5</v>
      </c>
      <c r="Y1419">
        <v>1</v>
      </c>
      <c r="Z1419">
        <v>6</v>
      </c>
    </row>
    <row r="1420" spans="1:26">
      <c r="A1420" t="s">
        <v>4154</v>
      </c>
      <c r="B1420" t="s">
        <v>664</v>
      </c>
      <c r="C1420" t="str">
        <f>Data_Master[[#This Row],[Uniq-ID]]&amp;"-"&amp;Data_Master[[#This Row],[Period]]</f>
        <v>SE-Site_Engineer-056-M2</v>
      </c>
      <c r="D1420" t="s">
        <v>665</v>
      </c>
      <c r="E1420" t="s">
        <v>76</v>
      </c>
      <c r="F1420" t="s">
        <v>441</v>
      </c>
      <c r="G1420" t="s">
        <v>18</v>
      </c>
      <c r="H1420" t="s">
        <v>117</v>
      </c>
      <c r="I1420" t="s">
        <v>15</v>
      </c>
      <c r="J1420" t="s">
        <v>44</v>
      </c>
      <c r="L1420">
        <v>0.5</v>
      </c>
      <c r="Y1420">
        <v>3</v>
      </c>
      <c r="Z1420">
        <v>12</v>
      </c>
    </row>
    <row r="1421" spans="1:26">
      <c r="A1421" t="s">
        <v>4154</v>
      </c>
      <c r="B1421" t="s">
        <v>664</v>
      </c>
      <c r="C1421" t="str">
        <f>Data_Master[[#This Row],[Uniq-ID]]&amp;"-"&amp;Data_Master[[#This Row],[Period]]</f>
        <v>SE-Site_Engineer-056-M3</v>
      </c>
      <c r="D1421" t="s">
        <v>665</v>
      </c>
      <c r="E1421" t="s">
        <v>76</v>
      </c>
      <c r="F1421" t="s">
        <v>441</v>
      </c>
      <c r="G1421" t="s">
        <v>22</v>
      </c>
      <c r="H1421" t="s">
        <v>119</v>
      </c>
      <c r="I1421" t="s">
        <v>33</v>
      </c>
      <c r="J1421" t="s">
        <v>44</v>
      </c>
      <c r="Y1421">
        <v>0</v>
      </c>
    </row>
    <row r="1422" spans="1:26">
      <c r="A1422" t="s">
        <v>4154</v>
      </c>
      <c r="B1422" t="s">
        <v>662</v>
      </c>
      <c r="C1422" t="str">
        <f>Data_Master[[#This Row],[Uniq-ID]]&amp;"-"&amp;Data_Master[[#This Row],[Period]]</f>
        <v>SE-Site_Engineer-057-M1</v>
      </c>
      <c r="D1422" t="s">
        <v>663</v>
      </c>
      <c r="E1422" t="s">
        <v>48</v>
      </c>
      <c r="F1422" t="s">
        <v>441</v>
      </c>
      <c r="G1422" t="s">
        <v>13</v>
      </c>
      <c r="H1422" t="s">
        <v>115</v>
      </c>
      <c r="I1422" t="s">
        <v>15</v>
      </c>
      <c r="J1422" t="s">
        <v>44</v>
      </c>
      <c r="L1422">
        <v>0.5</v>
      </c>
      <c r="Y1422">
        <v>25</v>
      </c>
      <c r="Z1422">
        <v>3</v>
      </c>
    </row>
    <row r="1423" spans="1:26">
      <c r="A1423" t="s">
        <v>4154</v>
      </c>
      <c r="B1423" t="s">
        <v>662</v>
      </c>
      <c r="C1423" t="str">
        <f>Data_Master[[#This Row],[Uniq-ID]]&amp;"-"&amp;Data_Master[[#This Row],[Period]]</f>
        <v>SE-Site_Engineer-057-M2</v>
      </c>
      <c r="D1423" t="s">
        <v>663</v>
      </c>
      <c r="E1423" t="s">
        <v>48</v>
      </c>
      <c r="F1423" t="s">
        <v>441</v>
      </c>
      <c r="G1423" t="s">
        <v>18</v>
      </c>
      <c r="H1423" t="s">
        <v>117</v>
      </c>
      <c r="I1423" t="s">
        <v>15</v>
      </c>
      <c r="J1423" t="s">
        <v>44</v>
      </c>
      <c r="L1423">
        <v>0.5</v>
      </c>
      <c r="Y1423">
        <v>34</v>
      </c>
      <c r="Z1423">
        <v>7</v>
      </c>
    </row>
    <row r="1424" spans="1:26">
      <c r="A1424" t="s">
        <v>4154</v>
      </c>
      <c r="B1424" t="s">
        <v>662</v>
      </c>
      <c r="C1424" t="str">
        <f>Data_Master[[#This Row],[Uniq-ID]]&amp;"-"&amp;Data_Master[[#This Row],[Period]]</f>
        <v>SE-Site_Engineer-057-M3</v>
      </c>
      <c r="D1424" t="s">
        <v>663</v>
      </c>
      <c r="E1424" t="s">
        <v>48</v>
      </c>
      <c r="F1424" t="s">
        <v>441</v>
      </c>
      <c r="G1424" t="s">
        <v>22</v>
      </c>
      <c r="H1424" t="s">
        <v>119</v>
      </c>
      <c r="I1424" t="s">
        <v>33</v>
      </c>
      <c r="J1424" t="s">
        <v>44</v>
      </c>
      <c r="L1424">
        <v>0.5</v>
      </c>
      <c r="Y1424">
        <v>6</v>
      </c>
      <c r="Z1424">
        <v>13</v>
      </c>
    </row>
    <row r="1425" spans="1:26">
      <c r="A1425" t="s">
        <v>4154</v>
      </c>
      <c r="B1425" t="s">
        <v>656</v>
      </c>
      <c r="C1425" t="str">
        <f>Data_Master[[#This Row],[Uniq-ID]]&amp;"-"&amp;Data_Master[[#This Row],[Period]]</f>
        <v>SE-Site_Engineer-058-M1</v>
      </c>
      <c r="D1425" t="s">
        <v>657</v>
      </c>
      <c r="E1425" t="s">
        <v>76</v>
      </c>
      <c r="F1425" t="s">
        <v>441</v>
      </c>
      <c r="G1425" t="s">
        <v>13</v>
      </c>
      <c r="H1425" t="s">
        <v>115</v>
      </c>
      <c r="I1425" t="s">
        <v>15</v>
      </c>
      <c r="J1425" t="s">
        <v>44</v>
      </c>
      <c r="L1425">
        <v>0.5</v>
      </c>
      <c r="Y1425">
        <v>43</v>
      </c>
      <c r="Z1425">
        <v>14</v>
      </c>
    </row>
    <row r="1426" spans="1:26">
      <c r="A1426" t="s">
        <v>4154</v>
      </c>
      <c r="B1426" t="s">
        <v>656</v>
      </c>
      <c r="C1426" t="str">
        <f>Data_Master[[#This Row],[Uniq-ID]]&amp;"-"&amp;Data_Master[[#This Row],[Period]]</f>
        <v>SE-Site_Engineer-058-M2</v>
      </c>
      <c r="D1426" t="s">
        <v>657</v>
      </c>
      <c r="E1426" t="s">
        <v>76</v>
      </c>
      <c r="F1426" t="s">
        <v>441</v>
      </c>
      <c r="G1426" t="s">
        <v>18</v>
      </c>
      <c r="H1426" t="s">
        <v>117</v>
      </c>
      <c r="I1426" t="s">
        <v>15</v>
      </c>
      <c r="J1426" t="s">
        <v>44</v>
      </c>
      <c r="L1426">
        <v>0.5</v>
      </c>
      <c r="Y1426">
        <v>23</v>
      </c>
      <c r="Z1426">
        <v>6</v>
      </c>
    </row>
    <row r="1427" spans="1:26">
      <c r="A1427" t="s">
        <v>4154</v>
      </c>
      <c r="B1427" t="s">
        <v>656</v>
      </c>
      <c r="C1427" t="str">
        <f>Data_Master[[#This Row],[Uniq-ID]]&amp;"-"&amp;Data_Master[[#This Row],[Period]]</f>
        <v>SE-Site_Engineer-058-M3</v>
      </c>
      <c r="D1427" t="s">
        <v>657</v>
      </c>
      <c r="E1427" t="s">
        <v>76</v>
      </c>
      <c r="F1427" t="s">
        <v>441</v>
      </c>
      <c r="G1427" t="s">
        <v>22</v>
      </c>
      <c r="H1427" t="s">
        <v>119</v>
      </c>
      <c r="I1427" t="s">
        <v>33</v>
      </c>
      <c r="J1427" t="s">
        <v>44</v>
      </c>
      <c r="Y1427">
        <v>0</v>
      </c>
    </row>
    <row r="1428" spans="1:26">
      <c r="A1428" t="s">
        <v>4154</v>
      </c>
      <c r="B1428" t="s">
        <v>654</v>
      </c>
      <c r="C1428" t="str">
        <f>Data_Master[[#This Row],[Uniq-ID]]&amp;"-"&amp;Data_Master[[#This Row],[Period]]</f>
        <v>SE-Site_Engineer-059-M1</v>
      </c>
      <c r="D1428" t="s">
        <v>655</v>
      </c>
      <c r="E1428" t="s">
        <v>76</v>
      </c>
      <c r="F1428" t="s">
        <v>441</v>
      </c>
      <c r="G1428" t="s">
        <v>13</v>
      </c>
      <c r="H1428" t="s">
        <v>450</v>
      </c>
      <c r="I1428" t="s">
        <v>15</v>
      </c>
      <c r="J1428" t="s">
        <v>44</v>
      </c>
      <c r="L1428">
        <v>0.5</v>
      </c>
      <c r="Y1428">
        <v>13</v>
      </c>
      <c r="Z1428">
        <v>3</v>
      </c>
    </row>
    <row r="1429" spans="1:26">
      <c r="A1429" t="s">
        <v>4154</v>
      </c>
      <c r="B1429" t="s">
        <v>654</v>
      </c>
      <c r="C1429" t="str">
        <f>Data_Master[[#This Row],[Uniq-ID]]&amp;"-"&amp;Data_Master[[#This Row],[Period]]</f>
        <v>SE-Site_Engineer-059-M2</v>
      </c>
      <c r="D1429" t="s">
        <v>655</v>
      </c>
      <c r="E1429" t="s">
        <v>76</v>
      </c>
      <c r="F1429" t="s">
        <v>441</v>
      </c>
      <c r="G1429" t="s">
        <v>18</v>
      </c>
      <c r="H1429" t="s">
        <v>451</v>
      </c>
      <c r="I1429" t="s">
        <v>15</v>
      </c>
      <c r="J1429" t="s">
        <v>44</v>
      </c>
      <c r="L1429">
        <v>0.5</v>
      </c>
      <c r="Y1429">
        <v>54</v>
      </c>
      <c r="Z1429">
        <v>6</v>
      </c>
    </row>
    <row r="1430" spans="1:26">
      <c r="A1430" t="s">
        <v>4154</v>
      </c>
      <c r="B1430" t="s">
        <v>654</v>
      </c>
      <c r="C1430" t="str">
        <f>Data_Master[[#This Row],[Uniq-ID]]&amp;"-"&amp;Data_Master[[#This Row],[Period]]</f>
        <v>SE-Site_Engineer-059-M3</v>
      </c>
      <c r="D1430" t="s">
        <v>655</v>
      </c>
      <c r="E1430" t="s">
        <v>76</v>
      </c>
      <c r="F1430" t="s">
        <v>441</v>
      </c>
      <c r="G1430" t="s">
        <v>22</v>
      </c>
      <c r="H1430" t="s">
        <v>452</v>
      </c>
      <c r="I1430" t="s">
        <v>33</v>
      </c>
      <c r="J1430" t="s">
        <v>44</v>
      </c>
      <c r="L1430">
        <v>0.5</v>
      </c>
      <c r="Y1430">
        <v>28</v>
      </c>
      <c r="Z1430">
        <v>5</v>
      </c>
    </row>
    <row r="1431" spans="1:26">
      <c r="A1431" t="s">
        <v>4154</v>
      </c>
      <c r="B1431" t="s">
        <v>648</v>
      </c>
      <c r="C1431" t="str">
        <f>Data_Master[[#This Row],[Uniq-ID]]&amp;"-"&amp;Data_Master[[#This Row],[Period]]</f>
        <v>SE-Site_Engineer-060-M1</v>
      </c>
      <c r="D1431" t="s">
        <v>649</v>
      </c>
      <c r="E1431" t="s">
        <v>76</v>
      </c>
      <c r="F1431" t="s">
        <v>441</v>
      </c>
      <c r="G1431" t="s">
        <v>13</v>
      </c>
      <c r="H1431" t="s">
        <v>450</v>
      </c>
      <c r="I1431" t="s">
        <v>15</v>
      </c>
      <c r="J1431" t="s">
        <v>44</v>
      </c>
      <c r="L1431">
        <v>0.5</v>
      </c>
      <c r="Y1431">
        <v>25</v>
      </c>
      <c r="Z1431">
        <v>11</v>
      </c>
    </row>
    <row r="1432" spans="1:26">
      <c r="A1432" t="s">
        <v>4154</v>
      </c>
      <c r="B1432" t="s">
        <v>648</v>
      </c>
      <c r="C1432" t="str">
        <f>Data_Master[[#This Row],[Uniq-ID]]&amp;"-"&amp;Data_Master[[#This Row],[Period]]</f>
        <v>SE-Site_Engineer-060-M2</v>
      </c>
      <c r="D1432" t="s">
        <v>649</v>
      </c>
      <c r="E1432" t="s">
        <v>76</v>
      </c>
      <c r="F1432" t="s">
        <v>441</v>
      </c>
      <c r="G1432" t="s">
        <v>18</v>
      </c>
      <c r="H1432" t="s">
        <v>451</v>
      </c>
      <c r="I1432" t="s">
        <v>15</v>
      </c>
      <c r="J1432" t="s">
        <v>44</v>
      </c>
      <c r="L1432">
        <v>0.5</v>
      </c>
      <c r="Y1432">
        <v>45</v>
      </c>
      <c r="Z1432">
        <v>6</v>
      </c>
    </row>
    <row r="1433" spans="1:26">
      <c r="A1433" t="s">
        <v>4154</v>
      </c>
      <c r="B1433" t="s">
        <v>648</v>
      </c>
      <c r="C1433" t="str">
        <f>Data_Master[[#This Row],[Uniq-ID]]&amp;"-"&amp;Data_Master[[#This Row],[Period]]</f>
        <v>SE-Site_Engineer-060-M3</v>
      </c>
      <c r="D1433" t="s">
        <v>649</v>
      </c>
      <c r="E1433" t="s">
        <v>76</v>
      </c>
      <c r="F1433" t="s">
        <v>441</v>
      </c>
      <c r="G1433" t="s">
        <v>22</v>
      </c>
      <c r="H1433" t="s">
        <v>452</v>
      </c>
      <c r="I1433" t="s">
        <v>33</v>
      </c>
      <c r="J1433" t="s">
        <v>44</v>
      </c>
      <c r="Y1433">
        <v>0</v>
      </c>
    </row>
    <row r="1434" spans="1:26">
      <c r="A1434" t="s">
        <v>4154</v>
      </c>
      <c r="B1434" t="s">
        <v>646</v>
      </c>
      <c r="C1434" t="str">
        <f>Data_Master[[#This Row],[Uniq-ID]]&amp;"-"&amp;Data_Master[[#This Row],[Period]]</f>
        <v>SE-Site_Engineer-061-M1</v>
      </c>
      <c r="D1434" t="s">
        <v>647</v>
      </c>
      <c r="E1434" t="s">
        <v>48</v>
      </c>
      <c r="F1434" t="s">
        <v>441</v>
      </c>
      <c r="G1434" t="s">
        <v>13</v>
      </c>
      <c r="H1434" t="s">
        <v>337</v>
      </c>
      <c r="I1434" t="s">
        <v>15</v>
      </c>
      <c r="J1434" t="s">
        <v>44</v>
      </c>
      <c r="Y1434">
        <v>1</v>
      </c>
    </row>
    <row r="1435" spans="1:26">
      <c r="A1435" t="s">
        <v>4154</v>
      </c>
      <c r="B1435" t="s">
        <v>646</v>
      </c>
      <c r="C1435" t="str">
        <f>Data_Master[[#This Row],[Uniq-ID]]&amp;"-"&amp;Data_Master[[#This Row],[Period]]</f>
        <v>SE-Site_Engineer-061-M2</v>
      </c>
      <c r="D1435" t="s">
        <v>647</v>
      </c>
      <c r="E1435" t="s">
        <v>48</v>
      </c>
      <c r="F1435" t="s">
        <v>441</v>
      </c>
      <c r="G1435" t="s">
        <v>18</v>
      </c>
      <c r="H1435" t="s">
        <v>338</v>
      </c>
      <c r="I1435" t="s">
        <v>15</v>
      </c>
      <c r="J1435" t="s">
        <v>44</v>
      </c>
    </row>
    <row r="1436" spans="1:26">
      <c r="A1436" t="s">
        <v>4154</v>
      </c>
      <c r="B1436" t="s">
        <v>646</v>
      </c>
      <c r="C1436" t="str">
        <f>Data_Master[[#This Row],[Uniq-ID]]&amp;"-"&amp;Data_Master[[#This Row],[Period]]</f>
        <v>SE-Site_Engineer-061-M3</v>
      </c>
      <c r="D1436" t="s">
        <v>647</v>
      </c>
      <c r="E1436" t="s">
        <v>48</v>
      </c>
      <c r="F1436" t="s">
        <v>441</v>
      </c>
      <c r="G1436" t="s">
        <v>22</v>
      </c>
      <c r="H1436" t="s">
        <v>339</v>
      </c>
      <c r="I1436" t="s">
        <v>33</v>
      </c>
      <c r="J1436" t="s">
        <v>44</v>
      </c>
    </row>
    <row r="1437" spans="1:26">
      <c r="A1437" t="s">
        <v>4154</v>
      </c>
      <c r="B1437" t="s">
        <v>639</v>
      </c>
      <c r="C1437" t="str">
        <f>Data_Master[[#This Row],[Uniq-ID]]&amp;"-"&amp;Data_Master[[#This Row],[Period]]</f>
        <v>SE-Site_Engineer-062-M1</v>
      </c>
      <c r="D1437" t="s">
        <v>640</v>
      </c>
      <c r="E1437" t="s">
        <v>48</v>
      </c>
      <c r="F1437" t="s">
        <v>441</v>
      </c>
      <c r="G1437" t="s">
        <v>13</v>
      </c>
      <c r="H1437" t="s">
        <v>337</v>
      </c>
      <c r="I1437" t="s">
        <v>15</v>
      </c>
      <c r="J1437" t="s">
        <v>44</v>
      </c>
      <c r="L1437">
        <v>0.5</v>
      </c>
      <c r="Y1437">
        <v>20</v>
      </c>
      <c r="Z1437">
        <v>8</v>
      </c>
    </row>
    <row r="1438" spans="1:26">
      <c r="A1438" t="s">
        <v>4154</v>
      </c>
      <c r="B1438" t="s">
        <v>639</v>
      </c>
      <c r="C1438" t="str">
        <f>Data_Master[[#This Row],[Uniq-ID]]&amp;"-"&amp;Data_Master[[#This Row],[Period]]</f>
        <v>SE-Site_Engineer-062-M2</v>
      </c>
      <c r="D1438" t="s">
        <v>640</v>
      </c>
      <c r="E1438" t="s">
        <v>48</v>
      </c>
      <c r="F1438" t="s">
        <v>441</v>
      </c>
      <c r="G1438" t="s">
        <v>18</v>
      </c>
      <c r="H1438" t="s">
        <v>338</v>
      </c>
      <c r="I1438" t="s">
        <v>15</v>
      </c>
      <c r="J1438" t="s">
        <v>44</v>
      </c>
      <c r="L1438">
        <v>0.5</v>
      </c>
      <c r="Y1438">
        <v>13</v>
      </c>
      <c r="Z1438">
        <v>6</v>
      </c>
    </row>
    <row r="1439" spans="1:26">
      <c r="A1439" t="s">
        <v>4154</v>
      </c>
      <c r="B1439" t="s">
        <v>639</v>
      </c>
      <c r="C1439" t="str">
        <f>Data_Master[[#This Row],[Uniq-ID]]&amp;"-"&amp;Data_Master[[#This Row],[Period]]</f>
        <v>SE-Site_Engineer-062-M3</v>
      </c>
      <c r="D1439" t="s">
        <v>640</v>
      </c>
      <c r="E1439" t="s">
        <v>48</v>
      </c>
      <c r="F1439" t="s">
        <v>441</v>
      </c>
      <c r="G1439" t="s">
        <v>22</v>
      </c>
      <c r="H1439" t="s">
        <v>339</v>
      </c>
      <c r="I1439" t="s">
        <v>33</v>
      </c>
      <c r="J1439" t="s">
        <v>44</v>
      </c>
      <c r="L1439">
        <v>0.5</v>
      </c>
      <c r="Y1439">
        <v>2</v>
      </c>
      <c r="Z1439">
        <v>12</v>
      </c>
    </row>
    <row r="1440" spans="1:26">
      <c r="A1440" t="s">
        <v>4154</v>
      </c>
      <c r="B1440" t="s">
        <v>637</v>
      </c>
      <c r="C1440" t="str">
        <f>Data_Master[[#This Row],[Uniq-ID]]&amp;"-"&amp;Data_Master[[#This Row],[Period]]</f>
        <v>SE-Site_Engineer-063-M1</v>
      </c>
      <c r="D1440" t="s">
        <v>638</v>
      </c>
      <c r="E1440" t="s">
        <v>76</v>
      </c>
      <c r="F1440" t="s">
        <v>441</v>
      </c>
      <c r="G1440" t="s">
        <v>13</v>
      </c>
      <c r="H1440" t="s">
        <v>337</v>
      </c>
      <c r="I1440" t="s">
        <v>15</v>
      </c>
      <c r="J1440" t="s">
        <v>44</v>
      </c>
      <c r="L1440">
        <v>0.5</v>
      </c>
      <c r="Y1440">
        <v>37</v>
      </c>
      <c r="Z1440">
        <v>8</v>
      </c>
    </row>
    <row r="1441" spans="1:26">
      <c r="A1441" t="s">
        <v>4154</v>
      </c>
      <c r="B1441" t="s">
        <v>637</v>
      </c>
      <c r="C1441" t="str">
        <f>Data_Master[[#This Row],[Uniq-ID]]&amp;"-"&amp;Data_Master[[#This Row],[Period]]</f>
        <v>SE-Site_Engineer-063-M2</v>
      </c>
      <c r="D1441" t="s">
        <v>638</v>
      </c>
      <c r="E1441" t="s">
        <v>76</v>
      </c>
      <c r="F1441" t="s">
        <v>441</v>
      </c>
      <c r="G1441" t="s">
        <v>18</v>
      </c>
      <c r="H1441" t="s">
        <v>338</v>
      </c>
      <c r="I1441" t="s">
        <v>15</v>
      </c>
      <c r="J1441" t="s">
        <v>44</v>
      </c>
      <c r="L1441">
        <v>0.5</v>
      </c>
      <c r="Y1441">
        <v>53</v>
      </c>
      <c r="Z1441">
        <v>4</v>
      </c>
    </row>
    <row r="1442" spans="1:26">
      <c r="A1442" t="s">
        <v>4154</v>
      </c>
      <c r="B1442" t="s">
        <v>637</v>
      </c>
      <c r="C1442" t="str">
        <f>Data_Master[[#This Row],[Uniq-ID]]&amp;"-"&amp;Data_Master[[#This Row],[Period]]</f>
        <v>SE-Site_Engineer-063-M3</v>
      </c>
      <c r="D1442" t="s">
        <v>638</v>
      </c>
      <c r="E1442" t="s">
        <v>76</v>
      </c>
      <c r="F1442" t="s">
        <v>441</v>
      </c>
      <c r="G1442" t="s">
        <v>22</v>
      </c>
      <c r="H1442" t="s">
        <v>339</v>
      </c>
      <c r="I1442" t="s">
        <v>33</v>
      </c>
      <c r="J1442" t="s">
        <v>44</v>
      </c>
      <c r="Y1442">
        <v>21</v>
      </c>
    </row>
    <row r="1443" spans="1:26">
      <c r="A1443" t="s">
        <v>4154</v>
      </c>
      <c r="B1443" t="s">
        <v>635</v>
      </c>
      <c r="C1443" t="str">
        <f>Data_Master[[#This Row],[Uniq-ID]]&amp;"-"&amp;Data_Master[[#This Row],[Period]]</f>
        <v>SE-Site_Engineer-064-M1</v>
      </c>
      <c r="D1443" t="s">
        <v>636</v>
      </c>
      <c r="E1443" t="s">
        <v>48</v>
      </c>
      <c r="F1443" t="s">
        <v>441</v>
      </c>
      <c r="G1443" t="s">
        <v>13</v>
      </c>
      <c r="H1443" t="s">
        <v>450</v>
      </c>
      <c r="I1443" t="s">
        <v>15</v>
      </c>
      <c r="J1443" t="s">
        <v>44</v>
      </c>
      <c r="L1443">
        <v>0.5</v>
      </c>
      <c r="Y1443">
        <v>28</v>
      </c>
      <c r="Z1443">
        <v>9</v>
      </c>
    </row>
    <row r="1444" spans="1:26">
      <c r="A1444" t="s">
        <v>4154</v>
      </c>
      <c r="B1444" t="s">
        <v>635</v>
      </c>
      <c r="C1444" t="str">
        <f>Data_Master[[#This Row],[Uniq-ID]]&amp;"-"&amp;Data_Master[[#This Row],[Period]]</f>
        <v>SE-Site_Engineer-064-M2</v>
      </c>
      <c r="D1444" t="s">
        <v>636</v>
      </c>
      <c r="E1444" t="s">
        <v>48</v>
      </c>
      <c r="F1444" t="s">
        <v>441</v>
      </c>
      <c r="G1444" t="s">
        <v>18</v>
      </c>
      <c r="H1444" t="s">
        <v>451</v>
      </c>
      <c r="I1444" t="s">
        <v>15</v>
      </c>
      <c r="J1444" t="s">
        <v>44</v>
      </c>
      <c r="L1444">
        <v>0.5</v>
      </c>
      <c r="Y1444">
        <v>30</v>
      </c>
      <c r="Z1444">
        <v>8</v>
      </c>
    </row>
    <row r="1445" spans="1:26">
      <c r="A1445" t="s">
        <v>4154</v>
      </c>
      <c r="B1445" t="s">
        <v>635</v>
      </c>
      <c r="C1445" t="str">
        <f>Data_Master[[#This Row],[Uniq-ID]]&amp;"-"&amp;Data_Master[[#This Row],[Period]]</f>
        <v>SE-Site_Engineer-064-M3</v>
      </c>
      <c r="D1445" t="s">
        <v>636</v>
      </c>
      <c r="E1445" t="s">
        <v>48</v>
      </c>
      <c r="F1445" t="s">
        <v>441</v>
      </c>
      <c r="G1445" t="s">
        <v>22</v>
      </c>
      <c r="H1445" t="s">
        <v>452</v>
      </c>
      <c r="I1445" t="s">
        <v>33</v>
      </c>
      <c r="J1445" t="s">
        <v>44</v>
      </c>
      <c r="L1445">
        <v>0.5</v>
      </c>
      <c r="Y1445">
        <v>2</v>
      </c>
      <c r="Z1445">
        <v>12</v>
      </c>
    </row>
    <row r="1446" spans="1:26">
      <c r="A1446" t="s">
        <v>4154</v>
      </c>
      <c r="B1446" t="s">
        <v>633</v>
      </c>
      <c r="C1446" t="str">
        <f>Data_Master[[#This Row],[Uniq-ID]]&amp;"-"&amp;Data_Master[[#This Row],[Period]]</f>
        <v>SE-Site_Engineer-065-M1</v>
      </c>
      <c r="D1446" t="s">
        <v>634</v>
      </c>
      <c r="E1446" t="s">
        <v>76</v>
      </c>
      <c r="F1446" t="s">
        <v>441</v>
      </c>
      <c r="G1446" t="s">
        <v>13</v>
      </c>
      <c r="H1446" t="s">
        <v>337</v>
      </c>
      <c r="I1446" t="s">
        <v>15</v>
      </c>
      <c r="J1446" t="s">
        <v>44</v>
      </c>
    </row>
    <row r="1447" spans="1:26">
      <c r="A1447" t="s">
        <v>4154</v>
      </c>
      <c r="B1447" t="s">
        <v>633</v>
      </c>
      <c r="C1447" t="str">
        <f>Data_Master[[#This Row],[Uniq-ID]]&amp;"-"&amp;Data_Master[[#This Row],[Period]]</f>
        <v>SE-Site_Engineer-065-M2</v>
      </c>
      <c r="D1447" t="s">
        <v>634</v>
      </c>
      <c r="E1447" t="s">
        <v>76</v>
      </c>
      <c r="F1447" t="s">
        <v>441</v>
      </c>
      <c r="G1447" t="s">
        <v>18</v>
      </c>
      <c r="H1447" t="s">
        <v>338</v>
      </c>
      <c r="I1447" t="s">
        <v>15</v>
      </c>
      <c r="J1447" t="s">
        <v>44</v>
      </c>
    </row>
    <row r="1448" spans="1:26">
      <c r="A1448" t="s">
        <v>4154</v>
      </c>
      <c r="B1448" t="s">
        <v>633</v>
      </c>
      <c r="C1448" t="str">
        <f>Data_Master[[#This Row],[Uniq-ID]]&amp;"-"&amp;Data_Master[[#This Row],[Period]]</f>
        <v>SE-Site_Engineer-065-M3</v>
      </c>
      <c r="D1448" t="s">
        <v>634</v>
      </c>
      <c r="E1448" t="s">
        <v>76</v>
      </c>
      <c r="F1448" t="s">
        <v>441</v>
      </c>
      <c r="G1448" t="s">
        <v>22</v>
      </c>
      <c r="H1448" t="s">
        <v>339</v>
      </c>
      <c r="I1448" t="s">
        <v>33</v>
      </c>
      <c r="J1448" t="s">
        <v>44</v>
      </c>
    </row>
    <row r="1449" spans="1:26">
      <c r="A1449" t="s">
        <v>4154</v>
      </c>
      <c r="B1449" t="s">
        <v>627</v>
      </c>
      <c r="C1449" t="str">
        <f>Data_Master[[#This Row],[Uniq-ID]]&amp;"-"&amp;Data_Master[[#This Row],[Period]]</f>
        <v>SE-Site_Engineer-066-M1</v>
      </c>
      <c r="D1449" t="s">
        <v>628</v>
      </c>
      <c r="E1449" t="s">
        <v>48</v>
      </c>
      <c r="F1449" t="s">
        <v>441</v>
      </c>
      <c r="G1449" t="s">
        <v>13</v>
      </c>
      <c r="H1449" t="s">
        <v>337</v>
      </c>
      <c r="I1449" t="s">
        <v>15</v>
      </c>
      <c r="J1449" t="s">
        <v>44</v>
      </c>
      <c r="L1449">
        <v>0.5</v>
      </c>
      <c r="Y1449">
        <v>25</v>
      </c>
      <c r="Z1449">
        <v>7</v>
      </c>
    </row>
    <row r="1450" spans="1:26">
      <c r="A1450" t="s">
        <v>4154</v>
      </c>
      <c r="B1450" t="s">
        <v>627</v>
      </c>
      <c r="C1450" t="str">
        <f>Data_Master[[#This Row],[Uniq-ID]]&amp;"-"&amp;Data_Master[[#This Row],[Period]]</f>
        <v>SE-Site_Engineer-066-M2</v>
      </c>
      <c r="D1450" t="s">
        <v>628</v>
      </c>
      <c r="E1450" t="s">
        <v>48</v>
      </c>
      <c r="F1450" t="s">
        <v>441</v>
      </c>
      <c r="G1450" t="s">
        <v>18</v>
      </c>
      <c r="H1450" t="s">
        <v>338</v>
      </c>
      <c r="I1450" t="s">
        <v>15</v>
      </c>
      <c r="J1450" t="s">
        <v>44</v>
      </c>
      <c r="L1450">
        <v>0.5</v>
      </c>
      <c r="Y1450">
        <v>16</v>
      </c>
      <c r="Z1450">
        <v>6</v>
      </c>
    </row>
    <row r="1451" spans="1:26">
      <c r="A1451" t="s">
        <v>4154</v>
      </c>
      <c r="B1451" t="s">
        <v>627</v>
      </c>
      <c r="C1451" t="str">
        <f>Data_Master[[#This Row],[Uniq-ID]]&amp;"-"&amp;Data_Master[[#This Row],[Period]]</f>
        <v>SE-Site_Engineer-066-M3</v>
      </c>
      <c r="D1451" t="s">
        <v>628</v>
      </c>
      <c r="E1451" t="s">
        <v>48</v>
      </c>
      <c r="F1451" t="s">
        <v>441</v>
      </c>
      <c r="G1451" t="s">
        <v>22</v>
      </c>
      <c r="H1451" t="s">
        <v>339</v>
      </c>
      <c r="I1451" t="s">
        <v>33</v>
      </c>
      <c r="J1451" t="s">
        <v>44</v>
      </c>
      <c r="L1451">
        <v>0.5</v>
      </c>
      <c r="Y1451">
        <v>0</v>
      </c>
      <c r="Z1451">
        <v>12</v>
      </c>
    </row>
    <row r="1452" spans="1:26">
      <c r="A1452" t="s">
        <v>4154</v>
      </c>
      <c r="B1452" t="s">
        <v>625</v>
      </c>
      <c r="C1452" t="str">
        <f>Data_Master[[#This Row],[Uniq-ID]]&amp;"-"&amp;Data_Master[[#This Row],[Period]]</f>
        <v>SE-Site_Engineer-067-M1</v>
      </c>
      <c r="D1452" t="s">
        <v>626</v>
      </c>
      <c r="E1452" t="s">
        <v>11</v>
      </c>
      <c r="F1452" t="s">
        <v>441</v>
      </c>
      <c r="G1452" t="s">
        <v>13</v>
      </c>
      <c r="H1452" t="s">
        <v>614</v>
      </c>
      <c r="I1452" t="s">
        <v>15</v>
      </c>
      <c r="J1452" t="s">
        <v>44</v>
      </c>
      <c r="L1452">
        <v>0.5</v>
      </c>
      <c r="Y1452">
        <v>28</v>
      </c>
      <c r="Z1452">
        <v>8</v>
      </c>
    </row>
    <row r="1453" spans="1:26">
      <c r="A1453" t="s">
        <v>4154</v>
      </c>
      <c r="B1453" t="s">
        <v>625</v>
      </c>
      <c r="C1453" t="str">
        <f>Data_Master[[#This Row],[Uniq-ID]]&amp;"-"&amp;Data_Master[[#This Row],[Period]]</f>
        <v>SE-Site_Engineer-067-M2</v>
      </c>
      <c r="D1453" t="s">
        <v>626</v>
      </c>
      <c r="E1453" t="s">
        <v>11</v>
      </c>
      <c r="F1453" t="s">
        <v>441</v>
      </c>
      <c r="G1453" t="s">
        <v>18</v>
      </c>
      <c r="H1453" t="s">
        <v>615</v>
      </c>
      <c r="I1453" t="s">
        <v>15</v>
      </c>
      <c r="J1453" t="s">
        <v>44</v>
      </c>
      <c r="L1453">
        <v>0.63</v>
      </c>
      <c r="Y1453">
        <v>53</v>
      </c>
      <c r="Z1453">
        <v>20</v>
      </c>
    </row>
    <row r="1454" spans="1:26">
      <c r="A1454" t="s">
        <v>4154</v>
      </c>
      <c r="B1454" t="s">
        <v>625</v>
      </c>
      <c r="C1454" t="str">
        <f>Data_Master[[#This Row],[Uniq-ID]]&amp;"-"&amp;Data_Master[[#This Row],[Period]]</f>
        <v>SE-Site_Engineer-067-M3</v>
      </c>
      <c r="D1454" t="s">
        <v>626</v>
      </c>
      <c r="E1454" t="s">
        <v>11</v>
      </c>
      <c r="F1454" t="s">
        <v>441</v>
      </c>
      <c r="G1454" t="s">
        <v>22</v>
      </c>
      <c r="H1454" t="s">
        <v>616</v>
      </c>
      <c r="I1454" t="s">
        <v>33</v>
      </c>
      <c r="J1454" t="s">
        <v>44</v>
      </c>
      <c r="L1454">
        <v>0.5</v>
      </c>
      <c r="Y1454">
        <v>0</v>
      </c>
      <c r="Z1454">
        <v>3</v>
      </c>
    </row>
    <row r="1455" spans="1:26">
      <c r="A1455" t="s">
        <v>4154</v>
      </c>
      <c r="B1455" t="s">
        <v>623</v>
      </c>
      <c r="C1455" t="str">
        <f>Data_Master[[#This Row],[Uniq-ID]]&amp;"-"&amp;Data_Master[[#This Row],[Period]]</f>
        <v>SE-Site_Engineer-068-M1</v>
      </c>
      <c r="D1455" t="s">
        <v>624</v>
      </c>
      <c r="E1455" t="s">
        <v>76</v>
      </c>
      <c r="F1455" t="s">
        <v>441</v>
      </c>
      <c r="G1455" t="s">
        <v>13</v>
      </c>
      <c r="H1455" t="s">
        <v>614</v>
      </c>
      <c r="I1455" t="s">
        <v>15</v>
      </c>
      <c r="J1455" t="s">
        <v>44</v>
      </c>
      <c r="L1455">
        <v>0.5</v>
      </c>
      <c r="Y1455">
        <v>27</v>
      </c>
      <c r="Z1455">
        <v>8</v>
      </c>
    </row>
    <row r="1456" spans="1:26">
      <c r="A1456" t="s">
        <v>4154</v>
      </c>
      <c r="B1456" t="s">
        <v>623</v>
      </c>
      <c r="C1456" t="str">
        <f>Data_Master[[#This Row],[Uniq-ID]]&amp;"-"&amp;Data_Master[[#This Row],[Period]]</f>
        <v>SE-Site_Engineer-068-M2</v>
      </c>
      <c r="D1456" t="s">
        <v>624</v>
      </c>
      <c r="E1456" t="s">
        <v>76</v>
      </c>
      <c r="F1456" t="s">
        <v>441</v>
      </c>
      <c r="G1456" t="s">
        <v>18</v>
      </c>
      <c r="H1456" t="s">
        <v>615</v>
      </c>
      <c r="I1456" t="s">
        <v>15</v>
      </c>
      <c r="J1456" t="s">
        <v>44</v>
      </c>
      <c r="L1456">
        <v>0.5</v>
      </c>
      <c r="Y1456">
        <v>11</v>
      </c>
      <c r="Z1456">
        <v>6</v>
      </c>
    </row>
    <row r="1457" spans="1:26">
      <c r="A1457" t="s">
        <v>4154</v>
      </c>
      <c r="B1457" t="s">
        <v>623</v>
      </c>
      <c r="C1457" t="str">
        <f>Data_Master[[#This Row],[Uniq-ID]]&amp;"-"&amp;Data_Master[[#This Row],[Period]]</f>
        <v>SE-Site_Engineer-068-M3</v>
      </c>
      <c r="D1457" t="s">
        <v>624</v>
      </c>
      <c r="E1457" t="s">
        <v>76</v>
      </c>
      <c r="F1457" t="s">
        <v>441</v>
      </c>
      <c r="G1457" t="s">
        <v>22</v>
      </c>
      <c r="H1457" t="s">
        <v>616</v>
      </c>
      <c r="I1457" t="s">
        <v>33</v>
      </c>
      <c r="J1457" t="s">
        <v>44</v>
      </c>
      <c r="Y1457">
        <v>12</v>
      </c>
    </row>
    <row r="1458" spans="1:26">
      <c r="A1458" t="s">
        <v>4154</v>
      </c>
      <c r="B1458" t="s">
        <v>621</v>
      </c>
      <c r="C1458" t="str">
        <f>Data_Master[[#This Row],[Uniq-ID]]&amp;"-"&amp;Data_Master[[#This Row],[Period]]</f>
        <v>SE-Site_Engineer-069-M1</v>
      </c>
      <c r="D1458" t="s">
        <v>622</v>
      </c>
      <c r="E1458" t="s">
        <v>112</v>
      </c>
      <c r="F1458" t="s">
        <v>475</v>
      </c>
      <c r="G1458" t="s">
        <v>13</v>
      </c>
      <c r="H1458" t="s">
        <v>614</v>
      </c>
      <c r="I1458" t="s">
        <v>15</v>
      </c>
      <c r="J1458" t="s">
        <v>44</v>
      </c>
    </row>
    <row r="1459" spans="1:26">
      <c r="A1459" t="s">
        <v>4154</v>
      </c>
      <c r="B1459" t="s">
        <v>621</v>
      </c>
      <c r="C1459" t="str">
        <f>Data_Master[[#This Row],[Uniq-ID]]&amp;"-"&amp;Data_Master[[#This Row],[Period]]</f>
        <v>SE-Site_Engineer-069-M2</v>
      </c>
      <c r="D1459" t="s">
        <v>622</v>
      </c>
      <c r="E1459" t="s">
        <v>112</v>
      </c>
      <c r="F1459" t="s">
        <v>475</v>
      </c>
      <c r="G1459" t="s">
        <v>18</v>
      </c>
      <c r="H1459" t="s">
        <v>615</v>
      </c>
      <c r="I1459" t="s">
        <v>15</v>
      </c>
      <c r="J1459" t="s">
        <v>44</v>
      </c>
    </row>
    <row r="1460" spans="1:26">
      <c r="A1460" t="s">
        <v>4154</v>
      </c>
      <c r="B1460" t="s">
        <v>621</v>
      </c>
      <c r="C1460" t="str">
        <f>Data_Master[[#This Row],[Uniq-ID]]&amp;"-"&amp;Data_Master[[#This Row],[Period]]</f>
        <v>SE-Site_Engineer-069-M3</v>
      </c>
      <c r="D1460" t="s">
        <v>622</v>
      </c>
      <c r="E1460" t="s">
        <v>112</v>
      </c>
      <c r="F1460" t="s">
        <v>475</v>
      </c>
      <c r="G1460" t="s">
        <v>22</v>
      </c>
      <c r="H1460" t="s">
        <v>616</v>
      </c>
      <c r="I1460" t="s">
        <v>33</v>
      </c>
      <c r="J1460" t="s">
        <v>44</v>
      </c>
      <c r="L1460">
        <v>0.5</v>
      </c>
      <c r="Y1460">
        <v>0</v>
      </c>
      <c r="Z1460">
        <v>2</v>
      </c>
    </row>
    <row r="1461" spans="1:26">
      <c r="A1461" t="s">
        <v>4154</v>
      </c>
      <c r="B1461" t="s">
        <v>612</v>
      </c>
      <c r="C1461" t="str">
        <f>Data_Master[[#This Row],[Uniq-ID]]&amp;"-"&amp;Data_Master[[#This Row],[Period]]</f>
        <v>SE-Site_Engineer-070-M1</v>
      </c>
      <c r="D1461" t="s">
        <v>613</v>
      </c>
      <c r="E1461" t="s">
        <v>76</v>
      </c>
      <c r="F1461" t="s">
        <v>441</v>
      </c>
      <c r="G1461" t="s">
        <v>13</v>
      </c>
      <c r="H1461" t="s">
        <v>614</v>
      </c>
      <c r="I1461" t="s">
        <v>15</v>
      </c>
      <c r="J1461" t="s">
        <v>44</v>
      </c>
      <c r="L1461">
        <v>0.5</v>
      </c>
      <c r="Y1461">
        <v>28</v>
      </c>
      <c r="Z1461">
        <v>5</v>
      </c>
    </row>
    <row r="1462" spans="1:26">
      <c r="A1462" t="s">
        <v>4154</v>
      </c>
      <c r="B1462" t="s">
        <v>612</v>
      </c>
      <c r="C1462" t="str">
        <f>Data_Master[[#This Row],[Uniq-ID]]&amp;"-"&amp;Data_Master[[#This Row],[Period]]</f>
        <v>SE-Site_Engineer-070-M2</v>
      </c>
      <c r="D1462" t="s">
        <v>613</v>
      </c>
      <c r="E1462" t="s">
        <v>76</v>
      </c>
      <c r="F1462" t="s">
        <v>441</v>
      </c>
      <c r="G1462" t="s">
        <v>18</v>
      </c>
      <c r="H1462" t="s">
        <v>615</v>
      </c>
      <c r="I1462" t="s">
        <v>15</v>
      </c>
      <c r="J1462" t="s">
        <v>44</v>
      </c>
      <c r="L1462">
        <v>0.5</v>
      </c>
      <c r="Y1462">
        <v>41</v>
      </c>
      <c r="Z1462">
        <v>6</v>
      </c>
    </row>
    <row r="1463" spans="1:26">
      <c r="A1463" t="s">
        <v>4154</v>
      </c>
      <c r="B1463" t="s">
        <v>612</v>
      </c>
      <c r="C1463" t="str">
        <f>Data_Master[[#This Row],[Uniq-ID]]&amp;"-"&amp;Data_Master[[#This Row],[Period]]</f>
        <v>SE-Site_Engineer-070-M3</v>
      </c>
      <c r="D1463" t="s">
        <v>613</v>
      </c>
      <c r="E1463" t="s">
        <v>76</v>
      </c>
      <c r="F1463" t="s">
        <v>441</v>
      </c>
      <c r="G1463" t="s">
        <v>22</v>
      </c>
      <c r="H1463" t="s">
        <v>616</v>
      </c>
      <c r="I1463" t="s">
        <v>33</v>
      </c>
      <c r="J1463" t="s">
        <v>44</v>
      </c>
      <c r="L1463">
        <v>0.5</v>
      </c>
      <c r="Y1463">
        <v>21</v>
      </c>
      <c r="Z1463">
        <v>1</v>
      </c>
    </row>
    <row r="1464" spans="1:26">
      <c r="A1464" t="s">
        <v>4154</v>
      </c>
      <c r="B1464" t="s">
        <v>610</v>
      </c>
      <c r="C1464" t="str">
        <f>Data_Master[[#This Row],[Uniq-ID]]&amp;"-"&amp;Data_Master[[#This Row],[Period]]</f>
        <v>SE-Site_Engineer-071-M1</v>
      </c>
      <c r="D1464" t="s">
        <v>611</v>
      </c>
      <c r="E1464" t="s">
        <v>76</v>
      </c>
      <c r="F1464" t="s">
        <v>441</v>
      </c>
      <c r="G1464" t="s">
        <v>13</v>
      </c>
      <c r="H1464" t="s">
        <v>69</v>
      </c>
      <c r="I1464" t="s">
        <v>15</v>
      </c>
      <c r="J1464" t="s">
        <v>44</v>
      </c>
    </row>
    <row r="1465" spans="1:26">
      <c r="A1465" t="s">
        <v>4154</v>
      </c>
      <c r="B1465" t="s">
        <v>610</v>
      </c>
      <c r="C1465" t="str">
        <f>Data_Master[[#This Row],[Uniq-ID]]&amp;"-"&amp;Data_Master[[#This Row],[Period]]</f>
        <v>SE-Site_Engineer-071-M2</v>
      </c>
      <c r="D1465" t="s">
        <v>611</v>
      </c>
      <c r="E1465" t="s">
        <v>76</v>
      </c>
      <c r="F1465" t="s">
        <v>441</v>
      </c>
      <c r="G1465" t="s">
        <v>18</v>
      </c>
      <c r="H1465" t="s">
        <v>71</v>
      </c>
      <c r="I1465" t="s">
        <v>15</v>
      </c>
      <c r="J1465" t="s">
        <v>44</v>
      </c>
    </row>
    <row r="1466" spans="1:26">
      <c r="A1466" t="s">
        <v>4154</v>
      </c>
      <c r="B1466" t="s">
        <v>610</v>
      </c>
      <c r="C1466" t="str">
        <f>Data_Master[[#This Row],[Uniq-ID]]&amp;"-"&amp;Data_Master[[#This Row],[Period]]</f>
        <v>SE-Site_Engineer-071-M3</v>
      </c>
      <c r="D1466" t="s">
        <v>611</v>
      </c>
      <c r="E1466" t="s">
        <v>76</v>
      </c>
      <c r="F1466" t="s">
        <v>441</v>
      </c>
      <c r="G1466" t="s">
        <v>22</v>
      </c>
      <c r="H1466" t="s">
        <v>73</v>
      </c>
      <c r="I1466" t="s">
        <v>33</v>
      </c>
      <c r="J1466" t="s">
        <v>44</v>
      </c>
    </row>
    <row r="1467" spans="1:26">
      <c r="A1467" t="s">
        <v>4154</v>
      </c>
      <c r="B1467" t="s">
        <v>608</v>
      </c>
      <c r="C1467" t="str">
        <f>Data_Master[[#This Row],[Uniq-ID]]&amp;"-"&amp;Data_Master[[#This Row],[Period]]</f>
        <v>SE-Site_Engineer-085-M1</v>
      </c>
      <c r="D1467" t="s">
        <v>609</v>
      </c>
      <c r="E1467" t="s">
        <v>48</v>
      </c>
      <c r="F1467" t="s">
        <v>441</v>
      </c>
      <c r="G1467" t="s">
        <v>13</v>
      </c>
      <c r="H1467" t="s">
        <v>220</v>
      </c>
      <c r="I1467" t="s">
        <v>15</v>
      </c>
      <c r="J1467" t="s">
        <v>44</v>
      </c>
      <c r="L1467">
        <v>0.5</v>
      </c>
      <c r="Y1467">
        <v>30</v>
      </c>
      <c r="Z1467">
        <v>3</v>
      </c>
    </row>
    <row r="1468" spans="1:26">
      <c r="A1468" t="s">
        <v>4154</v>
      </c>
      <c r="B1468" t="s">
        <v>608</v>
      </c>
      <c r="C1468" t="str">
        <f>Data_Master[[#This Row],[Uniq-ID]]&amp;"-"&amp;Data_Master[[#This Row],[Period]]</f>
        <v>SE-Site_Engineer-085-M2</v>
      </c>
      <c r="D1468" t="s">
        <v>609</v>
      </c>
      <c r="E1468" t="s">
        <v>48</v>
      </c>
      <c r="F1468" t="s">
        <v>441</v>
      </c>
      <c r="G1468" t="s">
        <v>18</v>
      </c>
      <c r="H1468" t="s">
        <v>222</v>
      </c>
      <c r="I1468" t="s">
        <v>15</v>
      </c>
      <c r="J1468" t="s">
        <v>44</v>
      </c>
      <c r="L1468">
        <v>0.56000000000000005</v>
      </c>
      <c r="Y1468">
        <v>32</v>
      </c>
      <c r="Z1468">
        <v>18</v>
      </c>
    </row>
    <row r="1469" spans="1:26">
      <c r="A1469" t="s">
        <v>4154</v>
      </c>
      <c r="B1469" t="s">
        <v>608</v>
      </c>
      <c r="C1469" t="str">
        <f>Data_Master[[#This Row],[Uniq-ID]]&amp;"-"&amp;Data_Master[[#This Row],[Period]]</f>
        <v>SE-Site_Engineer-085-M3</v>
      </c>
      <c r="D1469" t="s">
        <v>609</v>
      </c>
      <c r="E1469" t="s">
        <v>48</v>
      </c>
      <c r="F1469" t="s">
        <v>441</v>
      </c>
      <c r="G1469" t="s">
        <v>22</v>
      </c>
      <c r="H1469" t="s">
        <v>224</v>
      </c>
      <c r="I1469" t="s">
        <v>33</v>
      </c>
      <c r="J1469" t="s">
        <v>44</v>
      </c>
      <c r="L1469">
        <v>0.5</v>
      </c>
      <c r="Y1469">
        <v>0</v>
      </c>
      <c r="Z1469">
        <v>7</v>
      </c>
    </row>
    <row r="1470" spans="1:26">
      <c r="A1470" t="s">
        <v>4154</v>
      </c>
      <c r="B1470" t="s">
        <v>606</v>
      </c>
      <c r="C1470" t="str">
        <f>Data_Master[[#This Row],[Uniq-ID]]&amp;"-"&amp;Data_Master[[#This Row],[Period]]</f>
        <v>SE-Site_Engineer-086-M1</v>
      </c>
      <c r="D1470" t="s">
        <v>607</v>
      </c>
      <c r="E1470" t="s">
        <v>48</v>
      </c>
      <c r="F1470" t="s">
        <v>441</v>
      </c>
      <c r="G1470" t="s">
        <v>13</v>
      </c>
      <c r="H1470" t="s">
        <v>268</v>
      </c>
      <c r="I1470" t="s">
        <v>15</v>
      </c>
      <c r="J1470" t="s">
        <v>44</v>
      </c>
    </row>
    <row r="1471" spans="1:26">
      <c r="A1471" t="s">
        <v>4154</v>
      </c>
      <c r="B1471" t="s">
        <v>606</v>
      </c>
      <c r="C1471" t="str">
        <f>Data_Master[[#This Row],[Uniq-ID]]&amp;"-"&amp;Data_Master[[#This Row],[Period]]</f>
        <v>SE-Site_Engineer-086-M2</v>
      </c>
      <c r="D1471" t="s">
        <v>607</v>
      </c>
      <c r="E1471" t="s">
        <v>48</v>
      </c>
      <c r="F1471" t="s">
        <v>441</v>
      </c>
      <c r="G1471" t="s">
        <v>18</v>
      </c>
      <c r="H1471" t="s">
        <v>270</v>
      </c>
      <c r="I1471" t="s">
        <v>15</v>
      </c>
      <c r="J1471" t="s">
        <v>44</v>
      </c>
      <c r="L1471">
        <v>0.5</v>
      </c>
      <c r="Y1471">
        <v>12</v>
      </c>
      <c r="Z1471">
        <v>3</v>
      </c>
    </row>
    <row r="1472" spans="1:26">
      <c r="A1472" t="s">
        <v>4154</v>
      </c>
      <c r="B1472" t="s">
        <v>606</v>
      </c>
      <c r="C1472" t="str">
        <f>Data_Master[[#This Row],[Uniq-ID]]&amp;"-"&amp;Data_Master[[#This Row],[Period]]</f>
        <v>SE-Site_Engineer-086-M3</v>
      </c>
      <c r="D1472" t="s">
        <v>607</v>
      </c>
      <c r="E1472" t="s">
        <v>48</v>
      </c>
      <c r="F1472" t="s">
        <v>441</v>
      </c>
      <c r="G1472" t="s">
        <v>22</v>
      </c>
      <c r="H1472" t="s">
        <v>272</v>
      </c>
      <c r="I1472" t="s">
        <v>15</v>
      </c>
      <c r="J1472" t="s">
        <v>44</v>
      </c>
      <c r="L1472">
        <v>0.5</v>
      </c>
      <c r="Y1472">
        <v>32</v>
      </c>
      <c r="Z1472">
        <v>11</v>
      </c>
    </row>
    <row r="1473" spans="1:26">
      <c r="A1473" t="s">
        <v>4154</v>
      </c>
      <c r="B1473" t="s">
        <v>606</v>
      </c>
      <c r="C1473" t="str">
        <f>Data_Master[[#This Row],[Uniq-ID]]&amp;"-"&amp;Data_Master[[#This Row],[Period]]</f>
        <v>SE-Site_Engineer-086-M4</v>
      </c>
      <c r="D1473" t="s">
        <v>607</v>
      </c>
      <c r="E1473" t="s">
        <v>48</v>
      </c>
      <c r="F1473" t="s">
        <v>441</v>
      </c>
      <c r="G1473" t="s">
        <v>25</v>
      </c>
      <c r="H1473" t="s">
        <v>274</v>
      </c>
      <c r="I1473" t="s">
        <v>33</v>
      </c>
      <c r="J1473" t="s">
        <v>44</v>
      </c>
      <c r="L1473">
        <v>0.5</v>
      </c>
      <c r="Y1473">
        <v>0</v>
      </c>
      <c r="Z1473">
        <v>3</v>
      </c>
    </row>
    <row r="1474" spans="1:26">
      <c r="A1474" t="s">
        <v>4154</v>
      </c>
      <c r="B1474" t="s">
        <v>599</v>
      </c>
      <c r="C1474" t="str">
        <f>Data_Master[[#This Row],[Uniq-ID]]&amp;"-"&amp;Data_Master[[#This Row],[Period]]</f>
        <v>SE-Site_Engineer-087-M1</v>
      </c>
      <c r="D1474" t="s">
        <v>600</v>
      </c>
      <c r="E1474" t="s">
        <v>76</v>
      </c>
      <c r="F1474" t="s">
        <v>441</v>
      </c>
      <c r="G1474" t="s">
        <v>13</v>
      </c>
      <c r="H1474" t="s">
        <v>128</v>
      </c>
      <c r="I1474" t="s">
        <v>15</v>
      </c>
      <c r="J1474" t="s">
        <v>44</v>
      </c>
      <c r="L1474">
        <v>0.5</v>
      </c>
      <c r="Y1474">
        <v>1</v>
      </c>
      <c r="Z1474">
        <v>4</v>
      </c>
    </row>
    <row r="1475" spans="1:26">
      <c r="A1475" t="s">
        <v>4154</v>
      </c>
      <c r="B1475" t="s">
        <v>599</v>
      </c>
      <c r="C1475" t="str">
        <f>Data_Master[[#This Row],[Uniq-ID]]&amp;"-"&amp;Data_Master[[#This Row],[Period]]</f>
        <v>SE-Site_Engineer-087-M2</v>
      </c>
      <c r="D1475" t="s">
        <v>600</v>
      </c>
      <c r="E1475" t="s">
        <v>76</v>
      </c>
      <c r="F1475" t="s">
        <v>441</v>
      </c>
      <c r="G1475" t="s">
        <v>18</v>
      </c>
      <c r="H1475" t="s">
        <v>130</v>
      </c>
      <c r="I1475" t="s">
        <v>15</v>
      </c>
      <c r="J1475" t="s">
        <v>44</v>
      </c>
      <c r="L1475">
        <v>0.5</v>
      </c>
      <c r="Y1475">
        <v>17</v>
      </c>
      <c r="Z1475">
        <v>1</v>
      </c>
    </row>
    <row r="1476" spans="1:26">
      <c r="A1476" t="s">
        <v>4154</v>
      </c>
      <c r="B1476" t="s">
        <v>599</v>
      </c>
      <c r="C1476" t="str">
        <f>Data_Master[[#This Row],[Uniq-ID]]&amp;"-"&amp;Data_Master[[#This Row],[Period]]</f>
        <v>SE-Site_Engineer-087-M3</v>
      </c>
      <c r="D1476" t="s">
        <v>600</v>
      </c>
      <c r="E1476" t="s">
        <v>76</v>
      </c>
      <c r="F1476" t="s">
        <v>441</v>
      </c>
      <c r="G1476" t="s">
        <v>22</v>
      </c>
      <c r="H1476" t="s">
        <v>132</v>
      </c>
      <c r="I1476" t="s">
        <v>33</v>
      </c>
      <c r="J1476" t="s">
        <v>44</v>
      </c>
      <c r="Y1476">
        <v>0</v>
      </c>
    </row>
    <row r="1477" spans="1:26">
      <c r="A1477" t="s">
        <v>4154</v>
      </c>
      <c r="B1477" t="s">
        <v>597</v>
      </c>
      <c r="C1477" t="str">
        <f>Data_Master[[#This Row],[Uniq-ID]]&amp;"-"&amp;Data_Master[[#This Row],[Period]]</f>
        <v>SE-Site_Engineer-088-M1</v>
      </c>
      <c r="D1477" t="s">
        <v>598</v>
      </c>
      <c r="E1477" t="s">
        <v>48</v>
      </c>
      <c r="F1477" t="s">
        <v>441</v>
      </c>
      <c r="G1477" t="s">
        <v>13</v>
      </c>
      <c r="H1477" t="s">
        <v>128</v>
      </c>
      <c r="I1477" t="s">
        <v>15</v>
      </c>
      <c r="J1477" t="s">
        <v>44</v>
      </c>
      <c r="L1477">
        <v>0.5</v>
      </c>
      <c r="Y1477">
        <v>24</v>
      </c>
      <c r="Z1477">
        <v>14</v>
      </c>
    </row>
    <row r="1478" spans="1:26">
      <c r="A1478" t="s">
        <v>4154</v>
      </c>
      <c r="B1478" t="s">
        <v>597</v>
      </c>
      <c r="C1478" t="str">
        <f>Data_Master[[#This Row],[Uniq-ID]]&amp;"-"&amp;Data_Master[[#This Row],[Period]]</f>
        <v>SE-Site_Engineer-088-M2</v>
      </c>
      <c r="D1478" t="s">
        <v>598</v>
      </c>
      <c r="E1478" t="s">
        <v>48</v>
      </c>
      <c r="F1478" t="s">
        <v>441</v>
      </c>
      <c r="G1478" t="s">
        <v>18</v>
      </c>
      <c r="H1478" t="s">
        <v>130</v>
      </c>
      <c r="I1478" t="s">
        <v>15</v>
      </c>
      <c r="J1478" t="s">
        <v>44</v>
      </c>
      <c r="L1478">
        <v>0.5</v>
      </c>
      <c r="Y1478">
        <v>31</v>
      </c>
      <c r="Z1478">
        <v>11</v>
      </c>
    </row>
    <row r="1479" spans="1:26">
      <c r="A1479" t="s">
        <v>4154</v>
      </c>
      <c r="B1479" t="s">
        <v>597</v>
      </c>
      <c r="C1479" t="str">
        <f>Data_Master[[#This Row],[Uniq-ID]]&amp;"-"&amp;Data_Master[[#This Row],[Period]]</f>
        <v>SE-Site_Engineer-088-M3</v>
      </c>
      <c r="D1479" t="s">
        <v>598</v>
      </c>
      <c r="E1479" t="s">
        <v>48</v>
      </c>
      <c r="F1479" t="s">
        <v>441</v>
      </c>
      <c r="G1479" t="s">
        <v>22</v>
      </c>
      <c r="H1479" t="s">
        <v>132</v>
      </c>
      <c r="I1479" t="s">
        <v>33</v>
      </c>
      <c r="J1479" t="s">
        <v>44</v>
      </c>
      <c r="L1479">
        <v>0.5</v>
      </c>
      <c r="Y1479">
        <v>0</v>
      </c>
      <c r="Z1479">
        <v>7</v>
      </c>
    </row>
    <row r="1480" spans="1:26">
      <c r="A1480" t="s">
        <v>4154</v>
      </c>
      <c r="B1480" t="s">
        <v>595</v>
      </c>
      <c r="C1480" t="str">
        <f>Data_Master[[#This Row],[Uniq-ID]]&amp;"-"&amp;Data_Master[[#This Row],[Period]]</f>
        <v>SE-Site_Engineer-089-M1</v>
      </c>
      <c r="D1480" t="s">
        <v>596</v>
      </c>
      <c r="E1480" t="s">
        <v>76</v>
      </c>
      <c r="F1480" t="s">
        <v>441</v>
      </c>
      <c r="G1480" t="s">
        <v>13</v>
      </c>
      <c r="H1480" t="s">
        <v>26</v>
      </c>
      <c r="I1480" t="s">
        <v>15</v>
      </c>
      <c r="J1480" t="s">
        <v>44</v>
      </c>
      <c r="L1480">
        <v>0.5</v>
      </c>
      <c r="Y1480">
        <v>29</v>
      </c>
      <c r="Z1480">
        <v>11</v>
      </c>
    </row>
    <row r="1481" spans="1:26">
      <c r="A1481" t="s">
        <v>4154</v>
      </c>
      <c r="B1481" t="s">
        <v>595</v>
      </c>
      <c r="C1481" t="str">
        <f>Data_Master[[#This Row],[Uniq-ID]]&amp;"-"&amp;Data_Master[[#This Row],[Period]]</f>
        <v>SE-Site_Engineer-089-M2</v>
      </c>
      <c r="D1481" t="s">
        <v>596</v>
      </c>
      <c r="E1481" t="s">
        <v>76</v>
      </c>
      <c r="F1481" t="s">
        <v>441</v>
      </c>
      <c r="G1481" t="s">
        <v>18</v>
      </c>
      <c r="H1481" t="s">
        <v>29</v>
      </c>
      <c r="I1481" t="s">
        <v>15</v>
      </c>
      <c r="J1481" t="s">
        <v>44</v>
      </c>
      <c r="L1481">
        <v>0.5</v>
      </c>
      <c r="Y1481">
        <v>29</v>
      </c>
      <c r="Z1481">
        <v>1</v>
      </c>
    </row>
    <row r="1482" spans="1:26">
      <c r="A1482" t="s">
        <v>4154</v>
      </c>
      <c r="B1482" t="s">
        <v>595</v>
      </c>
      <c r="C1482" t="str">
        <f>Data_Master[[#This Row],[Uniq-ID]]&amp;"-"&amp;Data_Master[[#This Row],[Period]]</f>
        <v>SE-Site_Engineer-089-M3</v>
      </c>
      <c r="D1482" t="s">
        <v>596</v>
      </c>
      <c r="E1482" t="s">
        <v>76</v>
      </c>
      <c r="F1482" t="s">
        <v>441</v>
      </c>
      <c r="G1482" t="s">
        <v>22</v>
      </c>
      <c r="H1482" t="s">
        <v>32</v>
      </c>
      <c r="I1482" t="s">
        <v>33</v>
      </c>
      <c r="J1482" t="s">
        <v>44</v>
      </c>
      <c r="Y1482">
        <v>32</v>
      </c>
    </row>
    <row r="1483" spans="1:26">
      <c r="A1483" t="s">
        <v>4154</v>
      </c>
      <c r="B1483" t="s">
        <v>593</v>
      </c>
      <c r="C1483" t="str">
        <f>Data_Master[[#This Row],[Uniq-ID]]&amp;"-"&amp;Data_Master[[#This Row],[Period]]</f>
        <v>SE-Site_Engineer-090-M1</v>
      </c>
      <c r="D1483" t="s">
        <v>594</v>
      </c>
      <c r="E1483" t="s">
        <v>76</v>
      </c>
      <c r="F1483" t="s">
        <v>441</v>
      </c>
      <c r="G1483" t="s">
        <v>13</v>
      </c>
      <c r="H1483" t="s">
        <v>26</v>
      </c>
      <c r="I1483" t="s">
        <v>15</v>
      </c>
      <c r="J1483" t="s">
        <v>44</v>
      </c>
      <c r="L1483">
        <v>0.69</v>
      </c>
      <c r="Y1483">
        <v>48</v>
      </c>
      <c r="Z1483">
        <v>22</v>
      </c>
    </row>
    <row r="1484" spans="1:26">
      <c r="A1484" t="s">
        <v>4154</v>
      </c>
      <c r="B1484" t="s">
        <v>593</v>
      </c>
      <c r="C1484" t="str">
        <f>Data_Master[[#This Row],[Uniq-ID]]&amp;"-"&amp;Data_Master[[#This Row],[Period]]</f>
        <v>SE-Site_Engineer-090-M2</v>
      </c>
      <c r="D1484" t="s">
        <v>594</v>
      </c>
      <c r="E1484" t="s">
        <v>76</v>
      </c>
      <c r="F1484" t="s">
        <v>441</v>
      </c>
      <c r="G1484" t="s">
        <v>18</v>
      </c>
      <c r="H1484" t="s">
        <v>29</v>
      </c>
      <c r="I1484" t="s">
        <v>15</v>
      </c>
      <c r="J1484" t="s">
        <v>44</v>
      </c>
      <c r="L1484">
        <v>0.5</v>
      </c>
      <c r="Y1484">
        <v>52</v>
      </c>
      <c r="Z1484">
        <v>7</v>
      </c>
    </row>
    <row r="1485" spans="1:26">
      <c r="A1485" t="s">
        <v>4154</v>
      </c>
      <c r="B1485" t="s">
        <v>593</v>
      </c>
      <c r="C1485" t="str">
        <f>Data_Master[[#This Row],[Uniq-ID]]&amp;"-"&amp;Data_Master[[#This Row],[Period]]</f>
        <v>SE-Site_Engineer-090-M3</v>
      </c>
      <c r="D1485" t="s">
        <v>594</v>
      </c>
      <c r="E1485" t="s">
        <v>76</v>
      </c>
      <c r="F1485" t="s">
        <v>441</v>
      </c>
      <c r="G1485" t="s">
        <v>22</v>
      </c>
      <c r="H1485" t="s">
        <v>32</v>
      </c>
      <c r="I1485" t="s">
        <v>33</v>
      </c>
      <c r="J1485" t="s">
        <v>44</v>
      </c>
      <c r="L1485">
        <v>0.5</v>
      </c>
      <c r="Y1485">
        <v>21</v>
      </c>
      <c r="Z1485">
        <v>1</v>
      </c>
    </row>
    <row r="1486" spans="1:26">
      <c r="A1486" t="s">
        <v>4154</v>
      </c>
      <c r="B1486" t="s">
        <v>568</v>
      </c>
      <c r="C1486" t="str">
        <f>Data_Master[[#This Row],[Uniq-ID]]&amp;"-"&amp;Data_Master[[#This Row],[Period]]</f>
        <v>SE-Site_Engineer-091-M1</v>
      </c>
      <c r="D1486" t="s">
        <v>569</v>
      </c>
      <c r="E1486" t="s">
        <v>48</v>
      </c>
      <c r="F1486" t="s">
        <v>441</v>
      </c>
      <c r="G1486" t="s">
        <v>13</v>
      </c>
      <c r="H1486" t="s">
        <v>26</v>
      </c>
      <c r="I1486" t="s">
        <v>15</v>
      </c>
      <c r="J1486" t="s">
        <v>44</v>
      </c>
      <c r="L1486">
        <v>0.5</v>
      </c>
      <c r="Y1486">
        <v>23</v>
      </c>
      <c r="Z1486">
        <v>2</v>
      </c>
    </row>
    <row r="1487" spans="1:26">
      <c r="A1487" t="s">
        <v>4154</v>
      </c>
      <c r="B1487" t="s">
        <v>568</v>
      </c>
      <c r="C1487" t="str">
        <f>Data_Master[[#This Row],[Uniq-ID]]&amp;"-"&amp;Data_Master[[#This Row],[Period]]</f>
        <v>SE-Site_Engineer-091-M2</v>
      </c>
      <c r="D1487" t="s">
        <v>569</v>
      </c>
      <c r="E1487" t="s">
        <v>48</v>
      </c>
      <c r="F1487" t="s">
        <v>441</v>
      </c>
      <c r="G1487" t="s">
        <v>18</v>
      </c>
      <c r="H1487" t="s">
        <v>29</v>
      </c>
      <c r="I1487" t="s">
        <v>15</v>
      </c>
      <c r="J1487" t="s">
        <v>44</v>
      </c>
      <c r="L1487">
        <v>0.5</v>
      </c>
      <c r="Y1487">
        <v>35</v>
      </c>
      <c r="Z1487">
        <v>13</v>
      </c>
    </row>
    <row r="1488" spans="1:26">
      <c r="A1488" t="s">
        <v>4154</v>
      </c>
      <c r="B1488" t="s">
        <v>568</v>
      </c>
      <c r="C1488" t="str">
        <f>Data_Master[[#This Row],[Uniq-ID]]&amp;"-"&amp;Data_Master[[#This Row],[Period]]</f>
        <v>SE-Site_Engineer-091-M3</v>
      </c>
      <c r="D1488" t="s">
        <v>569</v>
      </c>
      <c r="E1488" t="s">
        <v>48</v>
      </c>
      <c r="F1488" t="s">
        <v>441</v>
      </c>
      <c r="G1488" t="s">
        <v>22</v>
      </c>
      <c r="H1488" t="s">
        <v>32</v>
      </c>
      <c r="I1488" t="s">
        <v>33</v>
      </c>
      <c r="J1488" t="s">
        <v>44</v>
      </c>
      <c r="L1488">
        <v>0.5</v>
      </c>
      <c r="Y1488">
        <v>0</v>
      </c>
      <c r="Z1488">
        <v>5</v>
      </c>
    </row>
    <row r="1489" spans="1:26">
      <c r="A1489" t="s">
        <v>4154</v>
      </c>
      <c r="B1489" t="s">
        <v>560</v>
      </c>
      <c r="C1489" t="str">
        <f>Data_Master[[#This Row],[Uniq-ID]]&amp;"-"&amp;Data_Master[[#This Row],[Period]]</f>
        <v>SE-Site_Engineer-092-M1</v>
      </c>
      <c r="D1489" t="s">
        <v>561</v>
      </c>
      <c r="E1489" t="s">
        <v>76</v>
      </c>
      <c r="F1489" t="s">
        <v>441</v>
      </c>
      <c r="G1489" t="s">
        <v>13</v>
      </c>
      <c r="H1489" t="s">
        <v>26</v>
      </c>
      <c r="I1489" t="s">
        <v>15</v>
      </c>
      <c r="J1489" t="s">
        <v>44</v>
      </c>
      <c r="L1489">
        <v>0.5</v>
      </c>
      <c r="Y1489">
        <v>54</v>
      </c>
      <c r="Z1489">
        <v>5</v>
      </c>
    </row>
    <row r="1490" spans="1:26">
      <c r="A1490" t="s">
        <v>4154</v>
      </c>
      <c r="B1490" t="s">
        <v>560</v>
      </c>
      <c r="C1490" t="str">
        <f>Data_Master[[#This Row],[Uniq-ID]]&amp;"-"&amp;Data_Master[[#This Row],[Period]]</f>
        <v>SE-Site_Engineer-092-M2</v>
      </c>
      <c r="D1490" t="s">
        <v>561</v>
      </c>
      <c r="E1490" t="s">
        <v>76</v>
      </c>
      <c r="F1490" t="s">
        <v>441</v>
      </c>
      <c r="G1490" t="s">
        <v>18</v>
      </c>
      <c r="H1490" t="s">
        <v>29</v>
      </c>
      <c r="I1490" t="s">
        <v>15</v>
      </c>
      <c r="J1490" t="s">
        <v>44</v>
      </c>
      <c r="L1490">
        <v>0.5</v>
      </c>
      <c r="Y1490">
        <v>8</v>
      </c>
      <c r="Z1490">
        <v>5</v>
      </c>
    </row>
    <row r="1491" spans="1:26">
      <c r="A1491" t="s">
        <v>4154</v>
      </c>
      <c r="B1491" t="s">
        <v>560</v>
      </c>
      <c r="C1491" t="str">
        <f>Data_Master[[#This Row],[Uniq-ID]]&amp;"-"&amp;Data_Master[[#This Row],[Period]]</f>
        <v>SE-Site_Engineer-092-M3</v>
      </c>
      <c r="D1491" t="s">
        <v>561</v>
      </c>
      <c r="E1491" t="s">
        <v>76</v>
      </c>
      <c r="F1491" t="s">
        <v>441</v>
      </c>
      <c r="G1491" t="s">
        <v>22</v>
      </c>
      <c r="H1491" t="s">
        <v>32</v>
      </c>
      <c r="I1491" t="s">
        <v>33</v>
      </c>
      <c r="J1491" t="s">
        <v>44</v>
      </c>
      <c r="Y1491">
        <v>0</v>
      </c>
    </row>
    <row r="1492" spans="1:26">
      <c r="A1492" t="s">
        <v>4154</v>
      </c>
      <c r="B1492" t="s">
        <v>552</v>
      </c>
      <c r="C1492" t="str">
        <f>Data_Master[[#This Row],[Uniq-ID]]&amp;"-"&amp;Data_Master[[#This Row],[Period]]</f>
        <v>SE-Site_Engineer-093-M1</v>
      </c>
      <c r="D1492" t="s">
        <v>553</v>
      </c>
      <c r="E1492" t="s">
        <v>76</v>
      </c>
      <c r="F1492" t="s">
        <v>441</v>
      </c>
      <c r="G1492" t="s">
        <v>13</v>
      </c>
      <c r="H1492" t="s">
        <v>26</v>
      </c>
      <c r="I1492" t="s">
        <v>15</v>
      </c>
      <c r="J1492" t="s">
        <v>44</v>
      </c>
      <c r="L1492">
        <v>0.56000000000000005</v>
      </c>
      <c r="Y1492">
        <v>52</v>
      </c>
      <c r="Z1492">
        <v>18</v>
      </c>
    </row>
    <row r="1493" spans="1:26">
      <c r="A1493" t="s">
        <v>4154</v>
      </c>
      <c r="B1493" t="s">
        <v>552</v>
      </c>
      <c r="C1493" t="str">
        <f>Data_Master[[#This Row],[Uniq-ID]]&amp;"-"&amp;Data_Master[[#This Row],[Period]]</f>
        <v>SE-Site_Engineer-093-M2</v>
      </c>
      <c r="D1493" t="s">
        <v>553</v>
      </c>
      <c r="E1493" t="s">
        <v>76</v>
      </c>
      <c r="F1493" t="s">
        <v>441</v>
      </c>
      <c r="G1493" t="s">
        <v>18</v>
      </c>
      <c r="H1493" t="s">
        <v>29</v>
      </c>
      <c r="I1493" t="s">
        <v>15</v>
      </c>
      <c r="J1493" t="s">
        <v>44</v>
      </c>
      <c r="L1493">
        <v>0.5</v>
      </c>
      <c r="Y1493">
        <v>25</v>
      </c>
      <c r="Z1493">
        <v>4</v>
      </c>
    </row>
    <row r="1494" spans="1:26">
      <c r="A1494" t="s">
        <v>4154</v>
      </c>
      <c r="B1494" t="s">
        <v>552</v>
      </c>
      <c r="C1494" t="str">
        <f>Data_Master[[#This Row],[Uniq-ID]]&amp;"-"&amp;Data_Master[[#This Row],[Period]]</f>
        <v>SE-Site_Engineer-093-M3</v>
      </c>
      <c r="D1494" t="s">
        <v>553</v>
      </c>
      <c r="E1494" t="s">
        <v>76</v>
      </c>
      <c r="F1494" t="s">
        <v>441</v>
      </c>
      <c r="G1494" t="s">
        <v>22</v>
      </c>
      <c r="H1494" t="s">
        <v>32</v>
      </c>
      <c r="I1494" t="s">
        <v>33</v>
      </c>
      <c r="J1494" t="s">
        <v>44</v>
      </c>
      <c r="L1494">
        <v>0.5</v>
      </c>
      <c r="Y1494">
        <v>0</v>
      </c>
      <c r="Z1494">
        <v>2</v>
      </c>
    </row>
    <row r="1495" spans="1:26">
      <c r="A1495" t="s">
        <v>4154</v>
      </c>
      <c r="B1495" t="s">
        <v>544</v>
      </c>
      <c r="C1495" t="str">
        <f>Data_Master[[#This Row],[Uniq-ID]]&amp;"-"&amp;Data_Master[[#This Row],[Period]]</f>
        <v>SE-Site_Engineer-094-M1</v>
      </c>
      <c r="D1495" t="s">
        <v>545</v>
      </c>
      <c r="E1495" t="s">
        <v>48</v>
      </c>
      <c r="F1495" t="s">
        <v>441</v>
      </c>
      <c r="G1495" t="s">
        <v>13</v>
      </c>
      <c r="H1495" t="s">
        <v>39</v>
      </c>
      <c r="I1495" t="s">
        <v>15</v>
      </c>
      <c r="J1495" t="s">
        <v>44</v>
      </c>
      <c r="L1495">
        <v>0.5</v>
      </c>
      <c r="Y1495">
        <v>21</v>
      </c>
      <c r="Z1495">
        <v>9</v>
      </c>
    </row>
    <row r="1496" spans="1:26">
      <c r="A1496" t="s">
        <v>4154</v>
      </c>
      <c r="B1496" t="s">
        <v>544</v>
      </c>
      <c r="C1496" t="str">
        <f>Data_Master[[#This Row],[Uniq-ID]]&amp;"-"&amp;Data_Master[[#This Row],[Period]]</f>
        <v>SE-Site_Engineer-094-M2</v>
      </c>
      <c r="D1496" t="s">
        <v>545</v>
      </c>
      <c r="E1496" t="s">
        <v>48</v>
      </c>
      <c r="F1496" t="s">
        <v>441</v>
      </c>
      <c r="G1496" t="s">
        <v>18</v>
      </c>
      <c r="H1496" t="s">
        <v>41</v>
      </c>
      <c r="I1496" t="s">
        <v>15</v>
      </c>
      <c r="J1496" t="s">
        <v>44</v>
      </c>
      <c r="L1496">
        <v>0.5</v>
      </c>
      <c r="Y1496">
        <v>35</v>
      </c>
      <c r="Z1496">
        <v>10</v>
      </c>
    </row>
    <row r="1497" spans="1:26">
      <c r="A1497" t="s">
        <v>4154</v>
      </c>
      <c r="B1497" t="s">
        <v>544</v>
      </c>
      <c r="C1497" t="str">
        <f>Data_Master[[#This Row],[Uniq-ID]]&amp;"-"&amp;Data_Master[[#This Row],[Period]]</f>
        <v>SE-Site_Engineer-094-M3</v>
      </c>
      <c r="D1497" t="s">
        <v>545</v>
      </c>
      <c r="E1497" t="s">
        <v>48</v>
      </c>
      <c r="F1497" t="s">
        <v>441</v>
      </c>
      <c r="G1497" t="s">
        <v>22</v>
      </c>
      <c r="H1497" t="s">
        <v>43</v>
      </c>
      <c r="I1497" t="s">
        <v>33</v>
      </c>
      <c r="J1497" t="s">
        <v>44</v>
      </c>
      <c r="L1497">
        <v>0.5</v>
      </c>
      <c r="Y1497">
        <v>0</v>
      </c>
      <c r="Z1497">
        <v>5</v>
      </c>
    </row>
    <row r="1498" spans="1:26">
      <c r="A1498" t="s">
        <v>4154</v>
      </c>
      <c r="B1498" t="s">
        <v>694</v>
      </c>
      <c r="C1498" t="str">
        <f>Data_Master[[#This Row],[Uniq-ID]]&amp;"-"&amp;Data_Master[[#This Row],[Period]]</f>
        <v>SE-Site_Engineer-095-M1</v>
      </c>
      <c r="D1498" t="s">
        <v>695</v>
      </c>
      <c r="E1498" t="s">
        <v>48</v>
      </c>
      <c r="F1498" t="s">
        <v>441</v>
      </c>
      <c r="G1498" t="s">
        <v>13</v>
      </c>
      <c r="H1498" t="s">
        <v>39</v>
      </c>
      <c r="I1498" t="s">
        <v>15</v>
      </c>
      <c r="J1498" t="s">
        <v>44</v>
      </c>
      <c r="L1498">
        <v>0.5</v>
      </c>
      <c r="Y1498">
        <v>23</v>
      </c>
      <c r="Z1498">
        <v>5</v>
      </c>
    </row>
    <row r="1499" spans="1:26">
      <c r="A1499" t="s">
        <v>4154</v>
      </c>
      <c r="B1499" t="s">
        <v>694</v>
      </c>
      <c r="C1499" t="str">
        <f>Data_Master[[#This Row],[Uniq-ID]]&amp;"-"&amp;Data_Master[[#This Row],[Period]]</f>
        <v>SE-Site_Engineer-095-M2</v>
      </c>
      <c r="D1499" t="s">
        <v>695</v>
      </c>
      <c r="E1499" t="s">
        <v>48</v>
      </c>
      <c r="F1499" t="s">
        <v>441</v>
      </c>
      <c r="G1499" t="s">
        <v>18</v>
      </c>
      <c r="H1499" t="s">
        <v>41</v>
      </c>
      <c r="I1499" t="s">
        <v>15</v>
      </c>
      <c r="J1499" t="s">
        <v>44</v>
      </c>
      <c r="L1499">
        <v>0.5</v>
      </c>
      <c r="Y1499">
        <v>15</v>
      </c>
      <c r="Z1499">
        <v>5</v>
      </c>
    </row>
    <row r="1500" spans="1:26">
      <c r="A1500" t="s">
        <v>4154</v>
      </c>
      <c r="B1500" t="s">
        <v>694</v>
      </c>
      <c r="C1500" t="str">
        <f>Data_Master[[#This Row],[Uniq-ID]]&amp;"-"&amp;Data_Master[[#This Row],[Period]]</f>
        <v>SE-Site_Engineer-095-M3</v>
      </c>
      <c r="D1500" t="s">
        <v>695</v>
      </c>
      <c r="E1500" t="s">
        <v>48</v>
      </c>
      <c r="F1500" t="s">
        <v>441</v>
      </c>
      <c r="G1500" t="s">
        <v>22</v>
      </c>
      <c r="H1500" t="s">
        <v>43</v>
      </c>
      <c r="I1500" t="s">
        <v>33</v>
      </c>
      <c r="J1500" t="s">
        <v>44</v>
      </c>
      <c r="L1500">
        <v>0.5</v>
      </c>
      <c r="Y1500">
        <v>0</v>
      </c>
      <c r="Z1500">
        <v>8</v>
      </c>
    </row>
    <row r="1501" spans="1:26">
      <c r="A1501" t="s">
        <v>4154</v>
      </c>
      <c r="B1501" t="s">
        <v>686</v>
      </c>
      <c r="C1501" t="str">
        <f>Data_Master[[#This Row],[Uniq-ID]]&amp;"-"&amp;Data_Master[[#This Row],[Period]]</f>
        <v>SE-Site_Engineer-096-M1</v>
      </c>
      <c r="D1501" t="s">
        <v>687</v>
      </c>
      <c r="E1501" t="s">
        <v>76</v>
      </c>
      <c r="F1501" t="s">
        <v>441</v>
      </c>
      <c r="G1501" t="s">
        <v>13</v>
      </c>
      <c r="H1501" t="s">
        <v>39</v>
      </c>
      <c r="I1501" t="s">
        <v>15</v>
      </c>
      <c r="J1501" t="s">
        <v>44</v>
      </c>
      <c r="L1501">
        <v>0.5</v>
      </c>
      <c r="Y1501">
        <v>23</v>
      </c>
      <c r="Z1501">
        <v>7</v>
      </c>
    </row>
    <row r="1502" spans="1:26">
      <c r="A1502" t="s">
        <v>4154</v>
      </c>
      <c r="B1502" t="s">
        <v>686</v>
      </c>
      <c r="C1502" t="str">
        <f>Data_Master[[#This Row],[Uniq-ID]]&amp;"-"&amp;Data_Master[[#This Row],[Period]]</f>
        <v>SE-Site_Engineer-096-M2</v>
      </c>
      <c r="D1502" t="s">
        <v>687</v>
      </c>
      <c r="E1502" t="s">
        <v>76</v>
      </c>
      <c r="F1502" t="s">
        <v>441</v>
      </c>
      <c r="G1502" t="s">
        <v>18</v>
      </c>
      <c r="H1502" t="s">
        <v>41</v>
      </c>
      <c r="I1502" t="s">
        <v>15</v>
      </c>
      <c r="J1502" t="s">
        <v>44</v>
      </c>
      <c r="L1502">
        <v>0.5</v>
      </c>
      <c r="Y1502">
        <v>45</v>
      </c>
      <c r="Z1502">
        <v>3</v>
      </c>
    </row>
    <row r="1503" spans="1:26">
      <c r="A1503" t="s">
        <v>4154</v>
      </c>
      <c r="B1503" t="s">
        <v>686</v>
      </c>
      <c r="C1503" t="str">
        <f>Data_Master[[#This Row],[Uniq-ID]]&amp;"-"&amp;Data_Master[[#This Row],[Period]]</f>
        <v>SE-Site_Engineer-096-M3</v>
      </c>
      <c r="D1503" t="s">
        <v>687</v>
      </c>
      <c r="E1503" t="s">
        <v>76</v>
      </c>
      <c r="F1503" t="s">
        <v>441</v>
      </c>
      <c r="G1503" t="s">
        <v>22</v>
      </c>
      <c r="H1503" t="s">
        <v>43</v>
      </c>
      <c r="I1503" t="s">
        <v>33</v>
      </c>
      <c r="J1503" t="s">
        <v>44</v>
      </c>
      <c r="Y1503">
        <v>19</v>
      </c>
    </row>
    <row r="1504" spans="1:26">
      <c r="A1504" t="s">
        <v>4154</v>
      </c>
      <c r="B1504" t="s">
        <v>678</v>
      </c>
      <c r="C1504" t="str">
        <f>Data_Master[[#This Row],[Uniq-ID]]&amp;"-"&amp;Data_Master[[#This Row],[Period]]</f>
        <v>SE-Site_Engineer-097-M1</v>
      </c>
      <c r="D1504" t="s">
        <v>679</v>
      </c>
      <c r="E1504" t="s">
        <v>48</v>
      </c>
      <c r="F1504" t="s">
        <v>441</v>
      </c>
      <c r="G1504" t="s">
        <v>13</v>
      </c>
      <c r="H1504" t="s">
        <v>69</v>
      </c>
      <c r="I1504" t="s">
        <v>15</v>
      </c>
      <c r="J1504" t="s">
        <v>44</v>
      </c>
      <c r="L1504">
        <v>0.5</v>
      </c>
      <c r="Y1504">
        <v>13</v>
      </c>
      <c r="Z1504">
        <v>1</v>
      </c>
    </row>
    <row r="1505" spans="1:26">
      <c r="A1505" t="s">
        <v>4154</v>
      </c>
      <c r="B1505" t="s">
        <v>678</v>
      </c>
      <c r="C1505" t="str">
        <f>Data_Master[[#This Row],[Uniq-ID]]&amp;"-"&amp;Data_Master[[#This Row],[Period]]</f>
        <v>SE-Site_Engineer-097-M2</v>
      </c>
      <c r="D1505" t="s">
        <v>679</v>
      </c>
      <c r="E1505" t="s">
        <v>48</v>
      </c>
      <c r="F1505" t="s">
        <v>441</v>
      </c>
      <c r="G1505" t="s">
        <v>18</v>
      </c>
      <c r="H1505" t="s">
        <v>71</v>
      </c>
      <c r="I1505" t="s">
        <v>15</v>
      </c>
      <c r="J1505" t="s">
        <v>44</v>
      </c>
      <c r="L1505">
        <v>0.5</v>
      </c>
      <c r="Y1505">
        <v>19</v>
      </c>
      <c r="Z1505">
        <v>6</v>
      </c>
    </row>
    <row r="1506" spans="1:26">
      <c r="A1506" t="s">
        <v>4154</v>
      </c>
      <c r="B1506" t="s">
        <v>678</v>
      </c>
      <c r="C1506" t="str">
        <f>Data_Master[[#This Row],[Uniq-ID]]&amp;"-"&amp;Data_Master[[#This Row],[Period]]</f>
        <v>SE-Site_Engineer-097-M3</v>
      </c>
      <c r="D1506" t="s">
        <v>679</v>
      </c>
      <c r="E1506" t="s">
        <v>48</v>
      </c>
      <c r="F1506" t="s">
        <v>441</v>
      </c>
      <c r="G1506" t="s">
        <v>22</v>
      </c>
      <c r="H1506" t="s">
        <v>73</v>
      </c>
      <c r="I1506" t="s">
        <v>33</v>
      </c>
      <c r="J1506" t="s">
        <v>44</v>
      </c>
      <c r="L1506">
        <v>0.5</v>
      </c>
      <c r="Y1506">
        <v>0</v>
      </c>
      <c r="Z1506">
        <v>4</v>
      </c>
    </row>
    <row r="1507" spans="1:26">
      <c r="A1507" t="s">
        <v>4154</v>
      </c>
      <c r="B1507" t="s">
        <v>668</v>
      </c>
      <c r="C1507" t="str">
        <f>Data_Master[[#This Row],[Uniq-ID]]&amp;"-"&amp;Data_Master[[#This Row],[Period]]</f>
        <v>SE-Site_Engineer-098-M1</v>
      </c>
      <c r="D1507" t="s">
        <v>669</v>
      </c>
      <c r="E1507" t="s">
        <v>76</v>
      </c>
      <c r="F1507" t="s">
        <v>493</v>
      </c>
      <c r="G1507" t="s">
        <v>13</v>
      </c>
      <c r="H1507" t="s">
        <v>670</v>
      </c>
      <c r="I1507" t="s">
        <v>15</v>
      </c>
      <c r="J1507" t="s">
        <v>44</v>
      </c>
      <c r="L1507">
        <v>0.5</v>
      </c>
      <c r="Y1507">
        <v>9</v>
      </c>
      <c r="Z1507">
        <v>7</v>
      </c>
    </row>
    <row r="1508" spans="1:26">
      <c r="A1508" t="s">
        <v>4154</v>
      </c>
      <c r="B1508" t="s">
        <v>668</v>
      </c>
      <c r="C1508" t="str">
        <f>Data_Master[[#This Row],[Uniq-ID]]&amp;"-"&amp;Data_Master[[#This Row],[Period]]</f>
        <v>SE-Site_Engineer-098-M2</v>
      </c>
      <c r="D1508" t="s">
        <v>669</v>
      </c>
      <c r="E1508" t="s">
        <v>76</v>
      </c>
      <c r="F1508" t="s">
        <v>493</v>
      </c>
      <c r="G1508" t="s">
        <v>18</v>
      </c>
      <c r="H1508" t="s">
        <v>671</v>
      </c>
      <c r="I1508" t="s">
        <v>33</v>
      </c>
      <c r="J1508" t="s">
        <v>44</v>
      </c>
    </row>
    <row r="1509" spans="1:26">
      <c r="A1509" t="s">
        <v>4154</v>
      </c>
      <c r="B1509" t="s">
        <v>644</v>
      </c>
      <c r="C1509" t="str">
        <f>Data_Master[[#This Row],[Uniq-ID]]&amp;"-"&amp;Data_Master[[#This Row],[Period]]</f>
        <v>SE-Site_Engineer-099-M1</v>
      </c>
      <c r="D1509" t="s">
        <v>645</v>
      </c>
      <c r="E1509" t="s">
        <v>11</v>
      </c>
      <c r="F1509" t="s">
        <v>461</v>
      </c>
      <c r="G1509" t="s">
        <v>13</v>
      </c>
      <c r="H1509" t="s">
        <v>531</v>
      </c>
      <c r="I1509" t="s">
        <v>15</v>
      </c>
      <c r="J1509" t="s">
        <v>44</v>
      </c>
      <c r="L1509">
        <v>0.5</v>
      </c>
      <c r="Y1509">
        <v>6</v>
      </c>
      <c r="Z1509">
        <v>2</v>
      </c>
    </row>
    <row r="1510" spans="1:26">
      <c r="A1510" t="s">
        <v>4154</v>
      </c>
      <c r="B1510" t="s">
        <v>644</v>
      </c>
      <c r="C1510" t="str">
        <f>Data_Master[[#This Row],[Uniq-ID]]&amp;"-"&amp;Data_Master[[#This Row],[Period]]</f>
        <v>SE-Site_Engineer-099-M2</v>
      </c>
      <c r="D1510" t="s">
        <v>645</v>
      </c>
      <c r="E1510" t="s">
        <v>11</v>
      </c>
      <c r="F1510" t="s">
        <v>461</v>
      </c>
      <c r="G1510" t="s">
        <v>18</v>
      </c>
      <c r="H1510" t="s">
        <v>302</v>
      </c>
      <c r="I1510" t="s">
        <v>15</v>
      </c>
      <c r="J1510" t="s">
        <v>44</v>
      </c>
      <c r="L1510">
        <v>0.5</v>
      </c>
      <c r="Y1510">
        <v>2</v>
      </c>
      <c r="Z1510">
        <v>1</v>
      </c>
    </row>
    <row r="1511" spans="1:26">
      <c r="A1511" t="s">
        <v>4154</v>
      </c>
      <c r="B1511" t="s">
        <v>644</v>
      </c>
      <c r="C1511" t="str">
        <f>Data_Master[[#This Row],[Uniq-ID]]&amp;"-"&amp;Data_Master[[#This Row],[Period]]</f>
        <v>SE-Site_Engineer-099-M3</v>
      </c>
      <c r="D1511" t="s">
        <v>645</v>
      </c>
      <c r="E1511" t="s">
        <v>11</v>
      </c>
      <c r="F1511" t="s">
        <v>461</v>
      </c>
      <c r="G1511" t="s">
        <v>22</v>
      </c>
      <c r="H1511" t="s">
        <v>303</v>
      </c>
      <c r="I1511" t="s">
        <v>33</v>
      </c>
      <c r="J1511" t="s">
        <v>44</v>
      </c>
    </row>
    <row r="1512" spans="1:26">
      <c r="A1512" t="s">
        <v>4154</v>
      </c>
      <c r="B1512" t="s">
        <v>631</v>
      </c>
      <c r="C1512" t="str">
        <f>Data_Master[[#This Row],[Uniq-ID]]&amp;"-"&amp;Data_Master[[#This Row],[Period]]</f>
        <v>SE-Site_Engineer-102-M1</v>
      </c>
      <c r="D1512" t="s">
        <v>632</v>
      </c>
      <c r="E1512" t="s">
        <v>48</v>
      </c>
      <c r="F1512" t="s">
        <v>441</v>
      </c>
      <c r="G1512" t="s">
        <v>13</v>
      </c>
      <c r="H1512" t="s">
        <v>404</v>
      </c>
      <c r="I1512" t="s">
        <v>15</v>
      </c>
      <c r="J1512" t="s">
        <v>44</v>
      </c>
      <c r="L1512">
        <v>0.5</v>
      </c>
      <c r="Y1512">
        <v>0</v>
      </c>
      <c r="Z1512">
        <v>3</v>
      </c>
    </row>
    <row r="1513" spans="1:26">
      <c r="A1513" t="s">
        <v>4154</v>
      </c>
      <c r="B1513" t="s">
        <v>631</v>
      </c>
      <c r="C1513" t="str">
        <f>Data_Master[[#This Row],[Uniq-ID]]&amp;"-"&amp;Data_Master[[#This Row],[Period]]</f>
        <v>SE-Site_Engineer-102-M2</v>
      </c>
      <c r="D1513" t="s">
        <v>632</v>
      </c>
      <c r="E1513" t="s">
        <v>48</v>
      </c>
      <c r="F1513" t="s">
        <v>441</v>
      </c>
      <c r="G1513" t="s">
        <v>18</v>
      </c>
      <c r="H1513" t="s">
        <v>3405</v>
      </c>
      <c r="I1513" t="s">
        <v>33</v>
      </c>
      <c r="J1513" t="s">
        <v>44</v>
      </c>
      <c r="Y1513">
        <v>0</v>
      </c>
    </row>
    <row r="1514" spans="1:26">
      <c r="A1514" t="s">
        <v>4154</v>
      </c>
      <c r="B1514" t="s">
        <v>591</v>
      </c>
      <c r="C1514" t="str">
        <f>Data_Master[[#This Row],[Uniq-ID]]&amp;"-"&amp;Data_Master[[#This Row],[Period]]</f>
        <v>SE-Site_Engineer-103-M1</v>
      </c>
      <c r="D1514" t="s">
        <v>592</v>
      </c>
      <c r="E1514" t="s">
        <v>48</v>
      </c>
      <c r="F1514" t="s">
        <v>441</v>
      </c>
      <c r="G1514" t="s">
        <v>13</v>
      </c>
      <c r="H1514" t="s">
        <v>404</v>
      </c>
      <c r="I1514" t="s">
        <v>15</v>
      </c>
      <c r="J1514" t="s">
        <v>44</v>
      </c>
      <c r="L1514">
        <v>0.5</v>
      </c>
      <c r="Y1514">
        <v>4</v>
      </c>
      <c r="Z1514">
        <v>6</v>
      </c>
    </row>
    <row r="1515" spans="1:26">
      <c r="A1515" t="s">
        <v>4154</v>
      </c>
      <c r="B1515" t="s">
        <v>591</v>
      </c>
      <c r="C1515" t="str">
        <f>Data_Master[[#This Row],[Uniq-ID]]&amp;"-"&amp;Data_Master[[#This Row],[Period]]</f>
        <v>SE-Site_Engineer-103-M2</v>
      </c>
      <c r="D1515" t="s">
        <v>592</v>
      </c>
      <c r="E1515" t="s">
        <v>48</v>
      </c>
      <c r="F1515" t="s">
        <v>441</v>
      </c>
      <c r="G1515" t="s">
        <v>18</v>
      </c>
      <c r="H1515" t="s">
        <v>3405</v>
      </c>
      <c r="I1515" t="s">
        <v>33</v>
      </c>
      <c r="J1515" t="s">
        <v>44</v>
      </c>
    </row>
    <row r="1516" spans="1:26">
      <c r="A1516" t="s">
        <v>4154</v>
      </c>
      <c r="B1516" t="s">
        <v>710</v>
      </c>
      <c r="C1516" t="str">
        <f>Data_Master[[#This Row],[Uniq-ID]]&amp;"-"&amp;Data_Master[[#This Row],[Period]]</f>
        <v>SE-Site_Engineer-104-M1</v>
      </c>
      <c r="D1516" t="s">
        <v>711</v>
      </c>
      <c r="E1516" t="s">
        <v>76</v>
      </c>
      <c r="F1516" t="s">
        <v>475</v>
      </c>
      <c r="G1516" t="s">
        <v>13</v>
      </c>
      <c r="H1516" t="s">
        <v>465</v>
      </c>
      <c r="I1516" t="s">
        <v>15</v>
      </c>
      <c r="J1516" t="s">
        <v>44</v>
      </c>
      <c r="L1516">
        <v>0.5</v>
      </c>
      <c r="Y1516">
        <v>4</v>
      </c>
      <c r="Z1516">
        <v>1</v>
      </c>
    </row>
    <row r="1517" spans="1:26">
      <c r="A1517" t="s">
        <v>4154</v>
      </c>
      <c r="B1517" t="s">
        <v>710</v>
      </c>
      <c r="C1517" t="str">
        <f>Data_Master[[#This Row],[Uniq-ID]]&amp;"-"&amp;Data_Master[[#This Row],[Period]]</f>
        <v>SE-Site_Engineer-104-M2</v>
      </c>
      <c r="D1517" t="s">
        <v>711</v>
      </c>
      <c r="E1517" t="s">
        <v>76</v>
      </c>
      <c r="F1517" t="s">
        <v>475</v>
      </c>
      <c r="G1517" t="s">
        <v>18</v>
      </c>
      <c r="H1517" t="s">
        <v>3448</v>
      </c>
      <c r="I1517" t="s">
        <v>33</v>
      </c>
      <c r="J1517" t="s">
        <v>44</v>
      </c>
      <c r="Y1517">
        <v>0</v>
      </c>
    </row>
    <row r="1518" spans="1:26">
      <c r="A1518" t="s">
        <v>4154</v>
      </c>
      <c r="B1518" t="s">
        <v>660</v>
      </c>
      <c r="C1518" t="str">
        <f>Data_Master[[#This Row],[Uniq-ID]]&amp;"-"&amp;Data_Master[[#This Row],[Period]]</f>
        <v>SE-Site_Engineer-105-M1</v>
      </c>
      <c r="D1518" t="s">
        <v>661</v>
      </c>
      <c r="E1518" t="s">
        <v>76</v>
      </c>
      <c r="F1518" t="s">
        <v>475</v>
      </c>
      <c r="G1518" t="s">
        <v>13</v>
      </c>
      <c r="H1518" t="s">
        <v>465</v>
      </c>
      <c r="I1518" t="s">
        <v>15</v>
      </c>
      <c r="J1518" t="s">
        <v>44</v>
      </c>
      <c r="L1518">
        <v>0.5</v>
      </c>
      <c r="Y1518">
        <v>3</v>
      </c>
      <c r="Z1518">
        <v>3</v>
      </c>
    </row>
    <row r="1519" spans="1:26">
      <c r="A1519" t="s">
        <v>4154</v>
      </c>
      <c r="B1519" t="s">
        <v>660</v>
      </c>
      <c r="C1519" t="str">
        <f>Data_Master[[#This Row],[Uniq-ID]]&amp;"-"&amp;Data_Master[[#This Row],[Period]]</f>
        <v>SE-Site_Engineer-105-M2</v>
      </c>
      <c r="D1519" t="s">
        <v>661</v>
      </c>
      <c r="E1519" t="s">
        <v>76</v>
      </c>
      <c r="F1519" t="s">
        <v>475</v>
      </c>
      <c r="G1519" t="s">
        <v>18</v>
      </c>
      <c r="H1519" t="s">
        <v>3448</v>
      </c>
      <c r="I1519" t="s">
        <v>33</v>
      </c>
      <c r="J1519" t="s">
        <v>44</v>
      </c>
      <c r="Y1519">
        <v>0</v>
      </c>
    </row>
    <row r="1520" spans="1:26">
      <c r="A1520" t="s">
        <v>4154</v>
      </c>
      <c r="B1520" t="s">
        <v>619</v>
      </c>
      <c r="C1520" t="str">
        <f>Data_Master[[#This Row],[Uniq-ID]]&amp;"-"&amp;Data_Master[[#This Row],[Period]]</f>
        <v>SE-Site_Engineer-106-M1</v>
      </c>
      <c r="D1520" t="s">
        <v>620</v>
      </c>
      <c r="E1520" t="s">
        <v>76</v>
      </c>
      <c r="F1520" t="s">
        <v>475</v>
      </c>
      <c r="G1520" t="s">
        <v>13</v>
      </c>
      <c r="H1520" t="s">
        <v>465</v>
      </c>
      <c r="I1520" t="s">
        <v>15</v>
      </c>
      <c r="J1520" t="s">
        <v>44</v>
      </c>
    </row>
    <row r="1521" spans="1:10">
      <c r="A1521" t="s">
        <v>4154</v>
      </c>
      <c r="B1521" t="s">
        <v>619</v>
      </c>
      <c r="C1521" t="str">
        <f>Data_Master[[#This Row],[Uniq-ID]]&amp;"-"&amp;Data_Master[[#This Row],[Period]]</f>
        <v>SE-Site_Engineer-106-M2</v>
      </c>
      <c r="D1521" t="s">
        <v>620</v>
      </c>
      <c r="E1521" t="s">
        <v>76</v>
      </c>
      <c r="F1521" t="s">
        <v>475</v>
      </c>
      <c r="G1521" t="s">
        <v>18</v>
      </c>
      <c r="H1521" t="s">
        <v>3448</v>
      </c>
      <c r="I1521" t="s">
        <v>33</v>
      </c>
      <c r="J1521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1166"/>
  <sheetViews>
    <sheetView tabSelected="1" topLeftCell="Q1" zoomScale="70" zoomScaleNormal="70" workbookViewId="0">
      <pane ySplit="2" topLeftCell="A3" activePane="bottomLeft" state="frozen"/>
      <selection pane="bottomLeft" activeCell="AG142" sqref="AG142"/>
    </sheetView>
  </sheetViews>
  <sheetFormatPr defaultColWidth="10" defaultRowHeight="12.75"/>
  <cols>
    <col min="1" max="1" width="31.7109375" style="4" customWidth="1"/>
    <col min="2" max="2" width="26.140625" style="4" customWidth="1"/>
    <col min="3" max="3" width="30.140625" style="4" hidden="1" customWidth="1"/>
    <col min="4" max="4" width="18.5703125" style="4" customWidth="1"/>
    <col min="5" max="5" width="10.5703125" style="4" customWidth="1"/>
    <col min="6" max="6" width="18.7109375" style="4" hidden="1" customWidth="1"/>
    <col min="7" max="7" width="17" style="4" customWidth="1"/>
    <col min="8" max="8" width="26.7109375" style="4" bestFit="1" customWidth="1"/>
    <col min="9" max="9" width="16" style="4" bestFit="1" customWidth="1"/>
    <col min="10" max="10" width="33" style="4" customWidth="1"/>
    <col min="11" max="11" width="35.5703125" style="4" hidden="1" customWidth="1"/>
    <col min="12" max="12" width="12.140625" style="5" customWidth="1"/>
    <col min="13" max="13" width="17.42578125" style="5" hidden="1" customWidth="1"/>
    <col min="14" max="14" width="28" style="4" hidden="1" customWidth="1"/>
    <col min="15" max="15" width="20.85546875" style="4" hidden="1" customWidth="1"/>
    <col min="16" max="16" width="20" style="4" customWidth="1"/>
    <col min="17" max="17" width="11.28515625" style="6" customWidth="1"/>
    <col min="18" max="18" width="12.5703125" style="6" hidden="1" customWidth="1"/>
    <col min="19" max="19" width="14.42578125" style="4" hidden="1" customWidth="1"/>
    <col min="20" max="20" width="50.85546875" style="7" hidden="1" customWidth="1"/>
    <col min="21" max="21" width="10.7109375" style="8" hidden="1" customWidth="1"/>
    <col min="22" max="22" width="13.42578125" style="9" hidden="1" customWidth="1"/>
    <col min="23" max="23" width="12.5703125" style="9" customWidth="1"/>
    <col min="24" max="24" width="16.42578125" style="4" bestFit="1" customWidth="1"/>
    <col min="25" max="25" width="11" style="4" hidden="1" customWidth="1"/>
    <col min="26" max="26" width="15.140625" style="4" customWidth="1"/>
    <col min="27" max="27" width="18" style="4" bestFit="1" customWidth="1"/>
    <col min="28" max="28" width="25.7109375" style="4" customWidth="1"/>
    <col min="29" max="29" width="60.140625" style="10" hidden="1" customWidth="1"/>
    <col min="30" max="30" width="16" style="4" customWidth="1"/>
    <col min="31" max="31" width="33.5703125" style="4" bestFit="1" customWidth="1"/>
    <col min="32" max="32" width="36.140625" style="11" bestFit="1" customWidth="1"/>
    <col min="33" max="33" width="24.140625" style="39" customWidth="1"/>
    <col min="34" max="34" width="20.42578125" style="64" customWidth="1"/>
    <col min="35" max="35" width="13.5703125" style="4" customWidth="1"/>
    <col min="36" max="16384" width="10" style="4"/>
  </cols>
  <sheetData>
    <row r="1" spans="1:35">
      <c r="X1" s="20">
        <f>SUBTOTAL(9,X3:X1149)</f>
        <v>1938556000</v>
      </c>
      <c r="AC1" s="4"/>
      <c r="AD1" s="10"/>
      <c r="AF1" s="4"/>
      <c r="AG1" s="46"/>
    </row>
    <row r="2" spans="1:35" s="3" customFormat="1" ht="12.75" customHeight="1">
      <c r="A2" s="12" t="s">
        <v>890</v>
      </c>
      <c r="B2" s="12" t="s">
        <v>891</v>
      </c>
      <c r="C2" s="12" t="s">
        <v>892</v>
      </c>
      <c r="D2" s="12" t="s">
        <v>893</v>
      </c>
      <c r="E2" s="12" t="s">
        <v>894</v>
      </c>
      <c r="F2" s="12"/>
      <c r="G2" s="12" t="s">
        <v>895</v>
      </c>
      <c r="H2" s="12" t="s">
        <v>896</v>
      </c>
      <c r="I2" s="12" t="s">
        <v>897</v>
      </c>
      <c r="J2" s="12" t="s">
        <v>898</v>
      </c>
      <c r="K2" s="12" t="s">
        <v>899</v>
      </c>
      <c r="L2" s="12" t="s">
        <v>900</v>
      </c>
      <c r="M2" s="14" t="s">
        <v>901</v>
      </c>
      <c r="N2" s="12" t="s">
        <v>902</v>
      </c>
      <c r="O2" s="12" t="s">
        <v>903</v>
      </c>
      <c r="P2" s="12" t="s">
        <v>904</v>
      </c>
      <c r="Q2" s="12" t="s">
        <v>905</v>
      </c>
      <c r="R2" s="12" t="s">
        <v>906</v>
      </c>
      <c r="S2" s="12" t="s">
        <v>907</v>
      </c>
      <c r="T2" s="12" t="s">
        <v>908</v>
      </c>
      <c r="U2" s="17" t="s">
        <v>909</v>
      </c>
      <c r="V2" s="12" t="s">
        <v>910</v>
      </c>
      <c r="W2" s="12" t="s">
        <v>911</v>
      </c>
      <c r="X2" s="21" t="s">
        <v>912</v>
      </c>
      <c r="Y2" s="12" t="s">
        <v>913</v>
      </c>
      <c r="Z2" s="61" t="s">
        <v>4162</v>
      </c>
      <c r="AA2" s="12" t="s">
        <v>914</v>
      </c>
      <c r="AB2" s="12" t="s">
        <v>915</v>
      </c>
      <c r="AC2" s="12" t="s">
        <v>916</v>
      </c>
      <c r="AD2" s="12" t="s">
        <v>917</v>
      </c>
      <c r="AE2" s="22" t="s">
        <v>918</v>
      </c>
      <c r="AF2" s="12" t="s">
        <v>919</v>
      </c>
      <c r="AG2" s="12" t="s">
        <v>920</v>
      </c>
      <c r="AH2" s="25" t="s">
        <v>921</v>
      </c>
      <c r="AI2" s="26" t="s">
        <v>922</v>
      </c>
    </row>
    <row r="3" spans="1:35" hidden="1">
      <c r="A3" s="13" t="s">
        <v>845</v>
      </c>
      <c r="B3" s="13" t="str">
        <f>_xlfn.XLOOKUP(J3,'Master Data 14-9-2026'!C:C,'Master Data 14-9-2026'!D:D)</f>
        <v>Viona Yose Ariani wx1504713</v>
      </c>
      <c r="C3" s="13"/>
      <c r="D3" s="13" t="str">
        <f>_xlfn.XLOOKUP(J3,'Master Data 14-9-2026'!C:C,'Master Data 14-9-2026'!E:E)</f>
        <v>Enterprise</v>
      </c>
      <c r="E3" s="13"/>
      <c r="F3" s="13"/>
      <c r="G3" s="13" t="s">
        <v>13</v>
      </c>
      <c r="H3" s="13" t="str">
        <f>_xlfn.XLOOKUP(J3,'Master Data 14-9-2026'!C:C,'Master Data 14-9-2026'!H:H)</f>
        <v>2026-03-26 - 2026-04-25</v>
      </c>
      <c r="I3" s="13" t="str">
        <f t="shared" ref="I3:I66" si="0">TEXT(DATEVALUE(LEFT(H3,10)),"mmmm")</f>
        <v>March</v>
      </c>
      <c r="J3" s="13" t="s">
        <v>923</v>
      </c>
      <c r="K3" s="13" t="s">
        <v>923</v>
      </c>
      <c r="L3" s="13" t="s">
        <v>441</v>
      </c>
      <c r="M3" s="15">
        <v>200003104075020</v>
      </c>
      <c r="N3" s="13" t="s">
        <v>924</v>
      </c>
      <c r="O3" s="13">
        <v>1.0912026050600099E+17</v>
      </c>
      <c r="P3" s="13" t="s">
        <v>925</v>
      </c>
      <c r="Q3" s="18">
        <v>1</v>
      </c>
      <c r="R3" s="18">
        <v>1</v>
      </c>
      <c r="S3" s="13">
        <v>8828132635</v>
      </c>
      <c r="T3" s="13" t="s">
        <v>926</v>
      </c>
      <c r="U3" s="19">
        <v>34220600</v>
      </c>
      <c r="V3" s="18">
        <v>1</v>
      </c>
      <c r="W3" s="18">
        <f>_xlfn.XLOOKUP(J3,'Master Data 14-9-2026'!C:C,'Master Data 14-9-2026'!L:L)</f>
        <v>0</v>
      </c>
      <c r="X3" s="23">
        <v>34220600</v>
      </c>
      <c r="Y3" s="13" t="s">
        <v>927</v>
      </c>
      <c r="Z3" s="24" t="s">
        <v>15</v>
      </c>
      <c r="AA3" s="4" t="s">
        <v>928</v>
      </c>
      <c r="AB3" s="13" t="s">
        <v>929</v>
      </c>
      <c r="AC3" s="13"/>
      <c r="AD3" s="13"/>
      <c r="AE3" s="13" t="str">
        <f>_xlfn.XLOOKUP(L3,'[1]ID PROJECT'!E:E,'[1]ID PROJECT'!F:F)</f>
        <v xml:space="preserve">PRJ-KUT-KPU-TPED-2026-04-00071 </v>
      </c>
      <c r="AF3" s="13"/>
      <c r="AG3" s="13"/>
      <c r="AH3" s="65"/>
      <c r="AI3" s="27"/>
    </row>
    <row r="4" spans="1:35" hidden="1">
      <c r="A4" s="13" t="s">
        <v>510</v>
      </c>
      <c r="B4" s="13" t="str">
        <f>_xlfn.XLOOKUP(J4,'Master Data 14-9-2026'!C:C,'Master Data 14-9-2026'!D:D)</f>
        <v>Arsetyo wx1507094</v>
      </c>
      <c r="C4" s="13"/>
      <c r="D4" s="13" t="str">
        <f>_xlfn.XLOOKUP(J4,'Master Data 14-9-2026'!C:C,'Master Data 14-9-2026'!E:E)</f>
        <v>TELKOM</v>
      </c>
      <c r="E4" s="13"/>
      <c r="F4" s="13"/>
      <c r="G4" s="13" t="s">
        <v>13</v>
      </c>
      <c r="H4" s="13" t="str">
        <f>_xlfn.XLOOKUP(J4,'Master Data 14-9-2026'!C:C,'Master Data 14-9-2026'!H:H)</f>
        <v>2026-04-01 - 2026-04-30</v>
      </c>
      <c r="I4" s="13" t="str">
        <f t="shared" si="0"/>
        <v>April</v>
      </c>
      <c r="J4" s="13" t="s">
        <v>930</v>
      </c>
      <c r="K4" s="13" t="s">
        <v>931</v>
      </c>
      <c r="L4" s="13" t="s">
        <v>441</v>
      </c>
      <c r="M4" s="15">
        <v>200003102755020</v>
      </c>
      <c r="N4" s="13" t="s">
        <v>924</v>
      </c>
      <c r="O4" s="13">
        <v>1.09120260507002E+17</v>
      </c>
      <c r="P4" s="13" t="s">
        <v>932</v>
      </c>
      <c r="Q4" s="18">
        <v>1</v>
      </c>
      <c r="R4" s="18">
        <v>1</v>
      </c>
      <c r="S4" s="13">
        <v>8828132636</v>
      </c>
      <c r="T4" s="13" t="s">
        <v>933</v>
      </c>
      <c r="U4" s="19">
        <v>36992000</v>
      </c>
      <c r="V4" s="18">
        <v>1</v>
      </c>
      <c r="W4" s="18">
        <f>_xlfn.XLOOKUP(J4,'Master Data 14-9-2026'!C:C,'Master Data 14-9-2026'!L:L)</f>
        <v>1.1000000000000001</v>
      </c>
      <c r="X4" s="23">
        <v>36992000</v>
      </c>
      <c r="Y4" s="13" t="s">
        <v>927</v>
      </c>
      <c r="Z4" s="24" t="s">
        <v>15</v>
      </c>
      <c r="AA4" s="4" t="s">
        <v>934</v>
      </c>
      <c r="AB4" s="13"/>
      <c r="AC4" s="13"/>
      <c r="AD4" s="13" t="s">
        <v>935</v>
      </c>
      <c r="AE4" s="13" t="str">
        <f>_xlfn.XLOOKUP(L4,'[1]ID PROJECT'!E:E,'[1]ID PROJECT'!F:F)</f>
        <v xml:space="preserve">PRJ-KUT-KPU-TPED-2026-04-00071 </v>
      </c>
      <c r="AF4" s="4" t="s">
        <v>936</v>
      </c>
      <c r="AG4" s="13" t="s">
        <v>937</v>
      </c>
      <c r="AH4" s="65">
        <v>46230</v>
      </c>
      <c r="AI4" s="27" t="s">
        <v>938</v>
      </c>
    </row>
    <row r="5" spans="1:35" hidden="1">
      <c r="A5" s="13" t="s">
        <v>536</v>
      </c>
      <c r="B5" s="13" t="str">
        <f>_xlfn.XLOOKUP(J5,'Master Data 14-9-2026'!C:C,'Master Data 14-9-2026'!D:D)</f>
        <v>Rifqi Adytia Fauzan wx1507719</v>
      </c>
      <c r="C5" s="13"/>
      <c r="D5" s="13" t="str">
        <f>_xlfn.XLOOKUP(J5,'Master Data 14-9-2026'!C:C,'Master Data 14-9-2026'!E:E)</f>
        <v>TELKOM</v>
      </c>
      <c r="E5" s="13"/>
      <c r="F5" s="13"/>
      <c r="G5" s="13" t="s">
        <v>13</v>
      </c>
      <c r="H5" s="13" t="str">
        <f>_xlfn.XLOOKUP(J5,'Master Data 14-9-2026'!C:C,'Master Data 14-9-2026'!H:H)</f>
        <v>2026-04-01 - 2026-04-30</v>
      </c>
      <c r="I5" s="13" t="str">
        <f t="shared" si="0"/>
        <v>April</v>
      </c>
      <c r="J5" s="13" t="s">
        <v>939</v>
      </c>
      <c r="K5" s="13" t="s">
        <v>931</v>
      </c>
      <c r="L5" s="13" t="s">
        <v>441</v>
      </c>
      <c r="M5" s="15">
        <v>200003102756020</v>
      </c>
      <c r="N5" s="13" t="s">
        <v>924</v>
      </c>
      <c r="O5" s="13">
        <v>1.09120260507002E+17</v>
      </c>
      <c r="P5" s="13" t="s">
        <v>932</v>
      </c>
      <c r="Q5" s="18">
        <v>2</v>
      </c>
      <c r="R5" s="18">
        <v>1</v>
      </c>
      <c r="S5" s="13">
        <v>8828132636</v>
      </c>
      <c r="T5" s="13" t="s">
        <v>933</v>
      </c>
      <c r="U5" s="19">
        <v>36992000</v>
      </c>
      <c r="V5" s="18">
        <v>1</v>
      </c>
      <c r="W5" s="18">
        <f>_xlfn.XLOOKUP(J5,'Master Data 14-9-2026'!C:C,'Master Data 14-9-2026'!L:L)</f>
        <v>0.65</v>
      </c>
      <c r="X5" s="23">
        <v>36992000</v>
      </c>
      <c r="Y5" s="13" t="s">
        <v>927</v>
      </c>
      <c r="Z5" s="24" t="s">
        <v>15</v>
      </c>
      <c r="AA5" s="4" t="s">
        <v>934</v>
      </c>
      <c r="AB5" s="13"/>
      <c r="AC5" s="13"/>
      <c r="AD5" s="13" t="s">
        <v>935</v>
      </c>
      <c r="AE5" s="13" t="str">
        <f>_xlfn.XLOOKUP(L5,'[1]ID PROJECT'!E:E,'[1]ID PROJECT'!F:F)</f>
        <v xml:space="preserve">PRJ-KUT-KPU-TPED-2026-04-00071 </v>
      </c>
      <c r="AF5" s="4" t="s">
        <v>936</v>
      </c>
      <c r="AG5" s="13" t="s">
        <v>937</v>
      </c>
      <c r="AH5" s="65">
        <v>46230</v>
      </c>
      <c r="AI5" s="27" t="s">
        <v>938</v>
      </c>
    </row>
    <row r="6" spans="1:35" hidden="1">
      <c r="A6" s="13" t="s">
        <v>728</v>
      </c>
      <c r="B6" s="13" t="str">
        <f>_xlfn.XLOOKUP(J6,'Master Data 14-9-2026'!C:C,'Master Data 14-9-2026'!D:D)</f>
        <v>Qudsiyah Zahra Ilham Naseela wx1507281</v>
      </c>
      <c r="C6" s="13"/>
      <c r="D6" s="13" t="str">
        <f>_xlfn.XLOOKUP(J6,'Master Data 14-9-2026'!C:C,'Master Data 14-9-2026'!E:E)</f>
        <v>XLSMART</v>
      </c>
      <c r="E6" s="13"/>
      <c r="F6" s="13"/>
      <c r="G6" s="13" t="s">
        <v>13</v>
      </c>
      <c r="H6" s="13" t="str">
        <f>_xlfn.XLOOKUP(J6,'Master Data 14-9-2026'!C:C,'Master Data 14-9-2026'!H:H)</f>
        <v>2026-04-01 - 2026-04-30</v>
      </c>
      <c r="I6" s="13" t="str">
        <f t="shared" si="0"/>
        <v>April</v>
      </c>
      <c r="J6" s="13" t="s">
        <v>940</v>
      </c>
      <c r="K6" s="13" t="s">
        <v>941</v>
      </c>
      <c r="L6" s="13" t="s">
        <v>441</v>
      </c>
      <c r="M6" s="15">
        <v>200003104094020</v>
      </c>
      <c r="N6" s="13" t="s">
        <v>924</v>
      </c>
      <c r="O6" s="13">
        <v>1.0912026050700301E+17</v>
      </c>
      <c r="P6" s="13" t="s">
        <v>942</v>
      </c>
      <c r="Q6" s="18">
        <v>1</v>
      </c>
      <c r="R6" s="18">
        <v>1</v>
      </c>
      <c r="S6" s="13">
        <v>8828132635</v>
      </c>
      <c r="T6" s="13" t="s">
        <v>926</v>
      </c>
      <c r="U6" s="19">
        <v>34220600</v>
      </c>
      <c r="V6" s="18">
        <v>1</v>
      </c>
      <c r="W6" s="18">
        <f>_xlfn.XLOOKUP(J6,'Master Data 14-9-2026'!C:C,'Master Data 14-9-2026'!L:L)</f>
        <v>1.32</v>
      </c>
      <c r="X6" s="23">
        <v>34220600</v>
      </c>
      <c r="Y6" s="13" t="s">
        <v>927</v>
      </c>
      <c r="Z6" s="24" t="s">
        <v>15</v>
      </c>
      <c r="AA6" s="13" t="s">
        <v>934</v>
      </c>
      <c r="AC6" s="4"/>
      <c r="AD6" s="13" t="s">
        <v>935</v>
      </c>
      <c r="AE6" s="13" t="str">
        <f>_xlfn.XLOOKUP(L6,'[1]ID PROJECT'!E:E,'[1]ID PROJECT'!F:F)</f>
        <v xml:space="preserve">PRJ-KUT-KPU-TPED-2026-04-00071 </v>
      </c>
      <c r="AF6" s="13" t="s">
        <v>943</v>
      </c>
      <c r="AG6" s="13" t="s">
        <v>944</v>
      </c>
      <c r="AH6" s="65">
        <v>46197</v>
      </c>
      <c r="AI6" s="27" t="s">
        <v>945</v>
      </c>
    </row>
    <row r="7" spans="1:35" hidden="1">
      <c r="A7" s="13" t="s">
        <v>792</v>
      </c>
      <c r="B7" s="13" t="str">
        <f>_xlfn.XLOOKUP(J7,'Master Data 14-9-2026'!C:C,'Master Data 14-9-2026'!D:D)</f>
        <v>Agus Hendra wx1506946</v>
      </c>
      <c r="C7" s="13"/>
      <c r="D7" s="13" t="str">
        <f>_xlfn.XLOOKUP(J7,'Master Data 14-9-2026'!C:C,'Master Data 14-9-2026'!E:E)</f>
        <v>XLSMART</v>
      </c>
      <c r="E7" s="13"/>
      <c r="F7" s="13"/>
      <c r="G7" s="13" t="s">
        <v>13</v>
      </c>
      <c r="H7" s="13" t="str">
        <f>_xlfn.XLOOKUP(J7,'Master Data 14-9-2026'!C:C,'Master Data 14-9-2026'!H:H)</f>
        <v>2026-04-01 - 2026-04-30</v>
      </c>
      <c r="I7" s="13" t="str">
        <f t="shared" si="0"/>
        <v>April</v>
      </c>
      <c r="J7" s="13" t="s">
        <v>946</v>
      </c>
      <c r="K7" s="13" t="s">
        <v>941</v>
      </c>
      <c r="L7" s="13" t="s">
        <v>441</v>
      </c>
      <c r="M7" s="15">
        <v>200003104095020</v>
      </c>
      <c r="N7" s="13" t="s">
        <v>924</v>
      </c>
      <c r="O7" s="13">
        <v>1.0912026050700301E+17</v>
      </c>
      <c r="P7" s="13" t="s">
        <v>942</v>
      </c>
      <c r="Q7" s="18">
        <v>2</v>
      </c>
      <c r="R7" s="18">
        <v>1</v>
      </c>
      <c r="S7" s="13">
        <v>8828132635</v>
      </c>
      <c r="T7" s="13" t="s">
        <v>926</v>
      </c>
      <c r="U7" s="19">
        <v>34220600</v>
      </c>
      <c r="V7" s="18">
        <v>1</v>
      </c>
      <c r="W7" s="18">
        <f>_xlfn.XLOOKUP(J7,'Master Data 14-9-2026'!C:C,'Master Data 14-9-2026'!L:L)</f>
        <v>1</v>
      </c>
      <c r="X7" s="23">
        <v>34220600</v>
      </c>
      <c r="Y7" s="13" t="s">
        <v>927</v>
      </c>
      <c r="Z7" s="24" t="str">
        <f>_xlfn.XLOOKUP(J7,'Master Data 14-9-2026'!C:C,'Master Data 14-9-2026'!I:I)</f>
        <v>Ended</v>
      </c>
      <c r="AA7" s="13" t="s">
        <v>934</v>
      </c>
      <c r="AC7" s="4"/>
      <c r="AD7" s="13" t="s">
        <v>935</v>
      </c>
      <c r="AE7" s="13" t="str">
        <f>_xlfn.XLOOKUP(L7,'[1]ID PROJECT'!E:E,'[1]ID PROJECT'!F:F)</f>
        <v xml:space="preserve">PRJ-KUT-KPU-TPED-2026-04-00071 </v>
      </c>
      <c r="AF7" s="13" t="s">
        <v>943</v>
      </c>
      <c r="AG7" s="13" t="s">
        <v>944</v>
      </c>
      <c r="AH7" s="65">
        <v>46197</v>
      </c>
      <c r="AI7" s="27" t="s">
        <v>945</v>
      </c>
    </row>
    <row r="8" spans="1:35" hidden="1">
      <c r="A8" s="13" t="s">
        <v>459</v>
      </c>
      <c r="B8" s="13" t="str">
        <f>_xlfn.XLOOKUP(J8,'Master Data 14-9-2026'!C:C,'Master Data 14-9-2026'!D:D)</f>
        <v>Leonard Ricardo Hutabarat wx1503633</v>
      </c>
      <c r="C8" s="13"/>
      <c r="D8" s="13" t="str">
        <f>_xlfn.XLOOKUP(J8,'Master Data 14-9-2026'!C:C,'Master Data 14-9-2026'!E:E)</f>
        <v>XLSMART</v>
      </c>
      <c r="E8" s="13"/>
      <c r="F8" s="13"/>
      <c r="G8" s="13" t="s">
        <v>13</v>
      </c>
      <c r="H8" s="13" t="str">
        <f>_xlfn.XLOOKUP(J8,'Master Data 14-9-2026'!C:C,'Master Data 14-9-2026'!H:H)</f>
        <v>2026-03-23 - 2026-04-22</v>
      </c>
      <c r="I8" s="13" t="str">
        <f t="shared" si="0"/>
        <v>March</v>
      </c>
      <c r="J8" s="13" t="s">
        <v>947</v>
      </c>
      <c r="K8" s="13" t="s">
        <v>941</v>
      </c>
      <c r="L8" s="13" t="s">
        <v>461</v>
      </c>
      <c r="M8" s="15">
        <v>200003104096020</v>
      </c>
      <c r="N8" s="13" t="s">
        <v>924</v>
      </c>
      <c r="O8" s="13">
        <v>1.0912026050700301E+17</v>
      </c>
      <c r="P8" s="13" t="s">
        <v>942</v>
      </c>
      <c r="Q8" s="18">
        <v>3</v>
      </c>
      <c r="R8" s="18">
        <v>1</v>
      </c>
      <c r="S8" s="13">
        <v>8828132636</v>
      </c>
      <c r="T8" s="13" t="s">
        <v>933</v>
      </c>
      <c r="U8" s="19">
        <v>36992000</v>
      </c>
      <c r="V8" s="18">
        <v>1</v>
      </c>
      <c r="W8" s="18">
        <f>_xlfn.XLOOKUP(J8,'Master Data 14-9-2026'!C:C,'Master Data 14-9-2026'!L:L)</f>
        <v>1.5</v>
      </c>
      <c r="X8" s="23">
        <v>36992000</v>
      </c>
      <c r="Y8" s="13" t="s">
        <v>927</v>
      </c>
      <c r="Z8" s="24" t="s">
        <v>15</v>
      </c>
      <c r="AA8" s="13" t="s">
        <v>934</v>
      </c>
      <c r="AC8" s="4"/>
      <c r="AD8" s="13" t="s">
        <v>935</v>
      </c>
      <c r="AE8" s="13" t="str">
        <f>_xlfn.XLOOKUP(L8,'[1]ID PROJECT'!E:E,'[1]ID PROJECT'!F:F)</f>
        <v>PRJ-KUT-KPU-TPED-2026-04-00078</v>
      </c>
      <c r="AF8" s="13" t="s">
        <v>943</v>
      </c>
      <c r="AG8" s="13" t="s">
        <v>944</v>
      </c>
      <c r="AH8" s="65">
        <v>46197</v>
      </c>
      <c r="AI8" s="27" t="s">
        <v>945</v>
      </c>
    </row>
    <row r="9" spans="1:35" hidden="1">
      <c r="A9" s="13" t="s">
        <v>473</v>
      </c>
      <c r="B9" s="13" t="str">
        <f>_xlfn.XLOOKUP(J9,'Master Data 14-9-2026'!C:C,'Master Data 14-9-2026'!D:D)</f>
        <v>Risman Nurjaman wx1503969</v>
      </c>
      <c r="C9" s="13"/>
      <c r="D9" s="13" t="str">
        <f>_xlfn.XLOOKUP(J9,'Master Data 14-9-2026'!C:C,'Master Data 14-9-2026'!E:E)</f>
        <v>XLSMART</v>
      </c>
      <c r="E9" s="13"/>
      <c r="F9" s="13"/>
      <c r="G9" s="13" t="s">
        <v>13</v>
      </c>
      <c r="H9" s="13" t="str">
        <f>_xlfn.XLOOKUP(J9,'Master Data 14-9-2026'!C:C,'Master Data 14-9-2026'!H:H)</f>
        <v>2026-03-23 - 2026-04-22</v>
      </c>
      <c r="I9" s="13" t="str">
        <f t="shared" si="0"/>
        <v>March</v>
      </c>
      <c r="J9" s="13" t="s">
        <v>948</v>
      </c>
      <c r="K9" s="13" t="s">
        <v>941</v>
      </c>
      <c r="L9" s="13" t="s">
        <v>475</v>
      </c>
      <c r="M9" s="15">
        <v>200003104097020</v>
      </c>
      <c r="N9" s="13" t="s">
        <v>924</v>
      </c>
      <c r="O9" s="13">
        <v>1.0912026050700301E+17</v>
      </c>
      <c r="P9" s="13" t="s">
        <v>942</v>
      </c>
      <c r="Q9" s="18">
        <v>4</v>
      </c>
      <c r="R9" s="18">
        <v>1</v>
      </c>
      <c r="S9" s="13">
        <v>8828132636</v>
      </c>
      <c r="T9" s="13" t="s">
        <v>933</v>
      </c>
      <c r="U9" s="19">
        <v>36992000</v>
      </c>
      <c r="V9" s="18">
        <v>1</v>
      </c>
      <c r="W9" s="18">
        <f>_xlfn.XLOOKUP(J9,'Master Data 14-9-2026'!C:C,'Master Data 14-9-2026'!L:L)</f>
        <v>1.5</v>
      </c>
      <c r="X9" s="23">
        <v>36992000</v>
      </c>
      <c r="Y9" s="13" t="s">
        <v>927</v>
      </c>
      <c r="Z9" s="24" t="s">
        <v>15</v>
      </c>
      <c r="AA9" s="13" t="s">
        <v>934</v>
      </c>
      <c r="AC9" s="4"/>
      <c r="AD9" s="13" t="s">
        <v>935</v>
      </c>
      <c r="AE9" s="13" t="str">
        <f>_xlfn.XLOOKUP(L9,'[1]ID PROJECT'!E:E,'[1]ID PROJECT'!F:F)</f>
        <v>PRJ-KUT-KPU-TPED-2026-04-00074</v>
      </c>
      <c r="AF9" s="13" t="s">
        <v>943</v>
      </c>
      <c r="AG9" s="13" t="s">
        <v>944</v>
      </c>
      <c r="AH9" s="65">
        <v>46197</v>
      </c>
      <c r="AI9" s="27" t="s">
        <v>945</v>
      </c>
    </row>
    <row r="10" spans="1:35" hidden="1">
      <c r="A10" s="13" t="s">
        <v>286</v>
      </c>
      <c r="B10" s="13" t="str">
        <f>_xlfn.XLOOKUP(J10,'Master Data 14-9-2026'!C:C,'Master Data 14-9-2026'!D:D)</f>
        <v>Rifan Azkia wx1504665</v>
      </c>
      <c r="C10" s="13"/>
      <c r="D10" s="13" t="str">
        <f>_xlfn.XLOOKUP(J10,'Master Data 14-9-2026'!C:C,'Master Data 14-9-2026'!E:E)</f>
        <v>XLSMART</v>
      </c>
      <c r="E10" s="13"/>
      <c r="F10" s="13"/>
      <c r="G10" s="13" t="s">
        <v>13</v>
      </c>
      <c r="H10" s="13" t="str">
        <f>_xlfn.XLOOKUP(J10,'Master Data 14-9-2026'!C:C,'Master Data 14-9-2026'!H:H)</f>
        <v>2026-03-23 - 2026-04-22</v>
      </c>
      <c r="I10" s="13" t="str">
        <f t="shared" si="0"/>
        <v>March</v>
      </c>
      <c r="J10" s="13" t="s">
        <v>949</v>
      </c>
      <c r="K10" s="13" t="s">
        <v>941</v>
      </c>
      <c r="L10" s="13" t="s">
        <v>950</v>
      </c>
      <c r="M10" s="15">
        <v>200003104079020</v>
      </c>
      <c r="N10" s="13" t="s">
        <v>924</v>
      </c>
      <c r="O10" s="13">
        <v>1.0912026050700301E+17</v>
      </c>
      <c r="P10" s="13" t="s">
        <v>942</v>
      </c>
      <c r="Q10" s="18">
        <v>5</v>
      </c>
      <c r="R10" s="18">
        <v>1</v>
      </c>
      <c r="S10" s="13">
        <v>8828132633</v>
      </c>
      <c r="T10" s="13" t="s">
        <v>951</v>
      </c>
      <c r="U10" s="19">
        <v>28881900</v>
      </c>
      <c r="V10" s="18">
        <v>1</v>
      </c>
      <c r="W10" s="18">
        <f>_xlfn.XLOOKUP(J10,'Master Data 14-9-2026'!C:C,'Master Data 14-9-2026'!L:L)</f>
        <v>0</v>
      </c>
      <c r="X10" s="23">
        <v>28881900</v>
      </c>
      <c r="Y10" s="13" t="s">
        <v>927</v>
      </c>
      <c r="Z10" s="24" t="s">
        <v>15</v>
      </c>
      <c r="AA10" s="13" t="s">
        <v>934</v>
      </c>
      <c r="AC10" s="4"/>
      <c r="AD10" s="13" t="s">
        <v>935</v>
      </c>
      <c r="AE10" s="13" t="str">
        <f>_xlfn.XLOOKUP(L10,'[1]ID PROJECT'!E:E,'[1]ID PROJECT'!F:F)</f>
        <v>PRJ-KUT-KPU-TPED-2026-04-00078</v>
      </c>
      <c r="AF10" s="13" t="s">
        <v>943</v>
      </c>
      <c r="AG10" s="13" t="s">
        <v>944</v>
      </c>
      <c r="AH10" s="65">
        <v>46197</v>
      </c>
      <c r="AI10" s="27" t="s">
        <v>945</v>
      </c>
    </row>
    <row r="11" spans="1:35" hidden="1">
      <c r="A11" s="13" t="s">
        <v>388</v>
      </c>
      <c r="B11" s="13" t="str">
        <f>_xlfn.XLOOKUP(J11,'Master Data 14-9-2026'!C:C,'Master Data 14-9-2026'!D:D)</f>
        <v>Devi Dyah Palupi wx1503645</v>
      </c>
      <c r="C11" s="13"/>
      <c r="D11" s="13" t="str">
        <f>_xlfn.XLOOKUP(J11,'Master Data 14-9-2026'!C:C,'Master Data 14-9-2026'!E:E)</f>
        <v>IOH</v>
      </c>
      <c r="E11" s="13"/>
      <c r="F11" s="13"/>
      <c r="G11" s="13" t="s">
        <v>13</v>
      </c>
      <c r="H11" s="13" t="str">
        <f>_xlfn.XLOOKUP(J11,'Master Data 14-9-2026'!C:C,'Master Data 14-9-2026'!H:H)</f>
        <v>2026-03-23 - 2026-04-22</v>
      </c>
      <c r="I11" s="13" t="str">
        <f t="shared" si="0"/>
        <v>March</v>
      </c>
      <c r="J11" s="40" t="s">
        <v>952</v>
      </c>
      <c r="K11" s="13" t="s">
        <v>941</v>
      </c>
      <c r="L11" s="13" t="s">
        <v>520</v>
      </c>
      <c r="M11" s="15">
        <v>200003104080020</v>
      </c>
      <c r="N11" s="13" t="s">
        <v>924</v>
      </c>
      <c r="O11" s="13">
        <v>1.0912026050700301E+17</v>
      </c>
      <c r="P11" s="13" t="s">
        <v>942</v>
      </c>
      <c r="Q11" s="18">
        <v>6</v>
      </c>
      <c r="R11" s="18">
        <v>1</v>
      </c>
      <c r="S11" s="13">
        <v>8828132633</v>
      </c>
      <c r="T11" s="13" t="s">
        <v>951</v>
      </c>
      <c r="U11" s="19">
        <v>28881900</v>
      </c>
      <c r="V11" s="18">
        <v>1</v>
      </c>
      <c r="W11" s="18">
        <f>_xlfn.XLOOKUP(J11,'Master Data 14-9-2026'!C:C,'Master Data 14-9-2026'!L:L)</f>
        <v>0</v>
      </c>
      <c r="X11" s="23">
        <v>28881900</v>
      </c>
      <c r="Y11" s="13" t="s">
        <v>927</v>
      </c>
      <c r="Z11" s="24" t="s">
        <v>15</v>
      </c>
      <c r="AA11" s="13" t="s">
        <v>934</v>
      </c>
      <c r="AC11" s="4"/>
      <c r="AD11" s="13" t="s">
        <v>935</v>
      </c>
      <c r="AE11" s="13" t="str">
        <f>_xlfn.XLOOKUP(L11,'[1]ID PROJECT'!E:E,'[1]ID PROJECT'!F:F)</f>
        <v>PRJ-KUT-KPU-TPED-2026-04-00077</v>
      </c>
      <c r="AF11" s="13" t="s">
        <v>943</v>
      </c>
      <c r="AG11" s="13" t="s">
        <v>944</v>
      </c>
      <c r="AH11" s="65">
        <v>46197</v>
      </c>
      <c r="AI11" s="27" t="s">
        <v>945</v>
      </c>
    </row>
    <row r="12" spans="1:35" hidden="1">
      <c r="A12" s="13" t="s">
        <v>330</v>
      </c>
      <c r="B12" s="13" t="str">
        <f>_xlfn.XLOOKUP(J12,'Master Data 14-9-2026'!C:C,'Master Data 14-9-2026'!D:D)</f>
        <v>Mauli Rizki Amelia wx1504666</v>
      </c>
      <c r="C12" s="13"/>
      <c r="D12" s="13" t="str">
        <f>_xlfn.XLOOKUP(J12,'Master Data 14-9-2026'!C:C,'Master Data 14-9-2026'!E:E)</f>
        <v>XLSMART</v>
      </c>
      <c r="E12" s="13"/>
      <c r="F12" s="13"/>
      <c r="G12" s="13" t="s">
        <v>13</v>
      </c>
      <c r="H12" s="13" t="str">
        <f>_xlfn.XLOOKUP(J12,'Master Data 14-9-2026'!C:C,'Master Data 14-9-2026'!H:H)</f>
        <v>2026-03-26 - 2026-04-25</v>
      </c>
      <c r="I12" s="13" t="str">
        <f t="shared" si="0"/>
        <v>March</v>
      </c>
      <c r="J12" s="13" t="s">
        <v>953</v>
      </c>
      <c r="K12" s="13" t="s">
        <v>941</v>
      </c>
      <c r="L12" s="13" t="s">
        <v>950</v>
      </c>
      <c r="M12" s="15">
        <v>200003104081020</v>
      </c>
      <c r="N12" s="13" t="s">
        <v>924</v>
      </c>
      <c r="O12" s="13">
        <v>1.0912026050700301E+17</v>
      </c>
      <c r="P12" s="13" t="s">
        <v>942</v>
      </c>
      <c r="Q12" s="18">
        <v>7</v>
      </c>
      <c r="R12" s="18">
        <v>1</v>
      </c>
      <c r="S12" s="13">
        <v>8828132633</v>
      </c>
      <c r="T12" s="13" t="s">
        <v>951</v>
      </c>
      <c r="U12" s="19">
        <v>28881900</v>
      </c>
      <c r="V12" s="18">
        <v>1</v>
      </c>
      <c r="W12" s="18">
        <f>_xlfn.XLOOKUP(J12,'Master Data 14-9-2026'!C:C,'Master Data 14-9-2026'!L:L)</f>
        <v>0.5</v>
      </c>
      <c r="X12" s="23">
        <v>28881900</v>
      </c>
      <c r="Y12" s="13" t="s">
        <v>927</v>
      </c>
      <c r="Z12" s="24" t="s">
        <v>15</v>
      </c>
      <c r="AA12" s="13" t="s">
        <v>934</v>
      </c>
      <c r="AC12" s="4"/>
      <c r="AD12" s="13" t="s">
        <v>935</v>
      </c>
      <c r="AE12" s="13" t="str">
        <f>_xlfn.XLOOKUP(L12,'[1]ID PROJECT'!E:E,'[1]ID PROJECT'!F:F)</f>
        <v>PRJ-KUT-KPU-TPED-2026-04-00078</v>
      </c>
      <c r="AF12" s="13" t="s">
        <v>943</v>
      </c>
      <c r="AG12" s="13" t="s">
        <v>944</v>
      </c>
      <c r="AH12" s="65">
        <v>46197</v>
      </c>
      <c r="AI12" s="27" t="s">
        <v>945</v>
      </c>
    </row>
    <row r="13" spans="1:35" hidden="1">
      <c r="A13" s="13" t="s">
        <v>98</v>
      </c>
      <c r="B13" s="13" t="str">
        <f>_xlfn.XLOOKUP(J13,'Master Data 14-9-2026'!C:C,'Master Data 14-9-2026'!D:D)</f>
        <v>Nurmawaty wx1504714</v>
      </c>
      <c r="C13" s="13"/>
      <c r="D13" s="13" t="str">
        <f>_xlfn.XLOOKUP(J13,'Master Data 14-9-2026'!C:C,'Master Data 14-9-2026'!E:E)</f>
        <v>XLSMART</v>
      </c>
      <c r="E13" s="13"/>
      <c r="F13" s="13"/>
      <c r="G13" s="13" t="s">
        <v>13</v>
      </c>
      <c r="H13" s="13" t="str">
        <f>_xlfn.XLOOKUP(J13,'Master Data 14-9-2026'!C:C,'Master Data 14-9-2026'!H:H)</f>
        <v>2026-03-28 - 2026-04-27</v>
      </c>
      <c r="I13" s="13" t="str">
        <f t="shared" si="0"/>
        <v>March</v>
      </c>
      <c r="J13" s="13" t="s">
        <v>954</v>
      </c>
      <c r="K13" s="13" t="s">
        <v>941</v>
      </c>
      <c r="L13" s="13" t="s">
        <v>441</v>
      </c>
      <c r="M13" s="15">
        <v>200003104082020</v>
      </c>
      <c r="N13" s="13" t="s">
        <v>924</v>
      </c>
      <c r="O13" s="13">
        <v>1.0912026050700301E+17</v>
      </c>
      <c r="P13" s="13" t="s">
        <v>942</v>
      </c>
      <c r="Q13" s="18">
        <v>8</v>
      </c>
      <c r="R13" s="18">
        <v>1</v>
      </c>
      <c r="S13" s="13">
        <v>8828132633</v>
      </c>
      <c r="T13" s="13" t="s">
        <v>951</v>
      </c>
      <c r="U13" s="19">
        <v>28881900</v>
      </c>
      <c r="V13" s="18">
        <v>1</v>
      </c>
      <c r="W13" s="18">
        <f>_xlfn.XLOOKUP(J13,'Master Data 14-9-2026'!C:C,'Master Data 14-9-2026'!L:L)</f>
        <v>1.5</v>
      </c>
      <c r="X13" s="23">
        <v>28881900</v>
      </c>
      <c r="Y13" s="13" t="s">
        <v>927</v>
      </c>
      <c r="Z13" s="24" t="s">
        <v>15</v>
      </c>
      <c r="AA13" s="13" t="s">
        <v>934</v>
      </c>
      <c r="AC13" s="4"/>
      <c r="AD13" s="13" t="s">
        <v>935</v>
      </c>
      <c r="AE13" s="13" t="str">
        <f>_xlfn.XLOOKUP(L13,'[1]ID PROJECT'!E:E,'[1]ID PROJECT'!F:F)</f>
        <v xml:space="preserve">PRJ-KUT-KPU-TPED-2026-04-00071 </v>
      </c>
      <c r="AF13" s="13" t="s">
        <v>943</v>
      </c>
      <c r="AG13" s="13" t="s">
        <v>944</v>
      </c>
      <c r="AH13" s="65">
        <v>46197</v>
      </c>
      <c r="AI13" s="27" t="s">
        <v>945</v>
      </c>
    </row>
    <row r="14" spans="1:35" hidden="1">
      <c r="A14" s="13" t="s">
        <v>419</v>
      </c>
      <c r="B14" s="13" t="str">
        <f>_xlfn.XLOOKUP(J14,'Master Data 14-9-2026'!C:C,'Master Data 14-9-2026'!D:D)</f>
        <v>Didit Irawan wx1504645</v>
      </c>
      <c r="C14" s="13"/>
      <c r="D14" s="13" t="str">
        <f>_xlfn.XLOOKUP(J14,'Master Data 14-9-2026'!C:C,'Master Data 14-9-2026'!E:E)</f>
        <v>XLSMART</v>
      </c>
      <c r="E14" s="13"/>
      <c r="F14" s="13"/>
      <c r="G14" s="13" t="s">
        <v>13</v>
      </c>
      <c r="H14" s="13" t="str">
        <f>_xlfn.XLOOKUP(J14,'Master Data 14-9-2026'!C:C,'Master Data 14-9-2026'!H:H)</f>
        <v>2026-03-30 - 2026-04-29</v>
      </c>
      <c r="I14" s="13" t="str">
        <f t="shared" si="0"/>
        <v>March</v>
      </c>
      <c r="J14" s="13" t="s">
        <v>955</v>
      </c>
      <c r="K14" s="13" t="s">
        <v>941</v>
      </c>
      <c r="L14" s="13" t="s">
        <v>441</v>
      </c>
      <c r="M14" s="15">
        <v>200003104083020</v>
      </c>
      <c r="N14" s="13" t="s">
        <v>924</v>
      </c>
      <c r="O14" s="13">
        <v>1.0912026050700301E+17</v>
      </c>
      <c r="P14" s="13" t="s">
        <v>942</v>
      </c>
      <c r="Q14" s="18">
        <v>9</v>
      </c>
      <c r="R14" s="18">
        <v>1</v>
      </c>
      <c r="S14" s="13">
        <v>8828132633</v>
      </c>
      <c r="T14" s="13" t="s">
        <v>951</v>
      </c>
      <c r="U14" s="19">
        <v>28881900</v>
      </c>
      <c r="V14" s="18">
        <v>1</v>
      </c>
      <c r="W14" s="18">
        <f>_xlfn.XLOOKUP(J14,'Master Data 14-9-2026'!C:C,'Master Data 14-9-2026'!L:L)</f>
        <v>0.5</v>
      </c>
      <c r="X14" s="23">
        <v>28881900</v>
      </c>
      <c r="Y14" s="13" t="s">
        <v>927</v>
      </c>
      <c r="Z14" s="24" t="s">
        <v>15</v>
      </c>
      <c r="AA14" s="13" t="s">
        <v>934</v>
      </c>
      <c r="AC14" s="4"/>
      <c r="AD14" s="13" t="s">
        <v>935</v>
      </c>
      <c r="AE14" s="13" t="str">
        <f>_xlfn.XLOOKUP(L14,'[1]ID PROJECT'!E:E,'[1]ID PROJECT'!F:F)</f>
        <v xml:space="preserve">PRJ-KUT-KPU-TPED-2026-04-00071 </v>
      </c>
      <c r="AF14" s="13" t="s">
        <v>943</v>
      </c>
      <c r="AG14" s="13" t="s">
        <v>944</v>
      </c>
      <c r="AH14" s="65">
        <v>46197</v>
      </c>
      <c r="AI14" s="27" t="s">
        <v>945</v>
      </c>
    </row>
    <row r="15" spans="1:35" hidden="1">
      <c r="A15" s="13" t="s">
        <v>856</v>
      </c>
      <c r="B15" s="13" t="str">
        <f>_xlfn.XLOOKUP(J15,'Master Data 14-9-2026'!C:C,'Master Data 14-9-2026'!D:D)</f>
        <v>Rizqy Ramadhan Pramono wx1503632</v>
      </c>
      <c r="C15" s="13"/>
      <c r="D15" s="13" t="str">
        <f>_xlfn.XLOOKUP(J15,'Master Data 14-9-2026'!C:C,'Master Data 14-9-2026'!E:E)</f>
        <v>XLSMART</v>
      </c>
      <c r="E15" s="13"/>
      <c r="F15" s="13"/>
      <c r="G15" s="13" t="s">
        <v>13</v>
      </c>
      <c r="H15" s="13" t="str">
        <f>_xlfn.XLOOKUP(J15,'Master Data 14-9-2026'!C:C,'Master Data 14-9-2026'!H:H)</f>
        <v>2026-03-23 - 2026-04-22</v>
      </c>
      <c r="I15" s="13" t="str">
        <f t="shared" si="0"/>
        <v>March</v>
      </c>
      <c r="J15" s="13" t="s">
        <v>956</v>
      </c>
      <c r="K15" s="13" t="s">
        <v>941</v>
      </c>
      <c r="L15" s="13" t="s">
        <v>461</v>
      </c>
      <c r="M15" s="15">
        <v>200003104088020</v>
      </c>
      <c r="N15" s="13" t="s">
        <v>924</v>
      </c>
      <c r="O15" s="13">
        <v>1.0912026050700301E+17</v>
      </c>
      <c r="P15" s="13" t="s">
        <v>942</v>
      </c>
      <c r="Q15" s="18">
        <v>10</v>
      </c>
      <c r="R15" s="18">
        <v>1</v>
      </c>
      <c r="S15" s="13">
        <v>8828132635</v>
      </c>
      <c r="T15" s="13" t="s">
        <v>926</v>
      </c>
      <c r="U15" s="19">
        <v>34220600</v>
      </c>
      <c r="V15" s="18">
        <v>1</v>
      </c>
      <c r="W15" s="18">
        <f>_xlfn.XLOOKUP(J15,'Master Data 14-9-2026'!C:C,'Master Data 14-9-2026'!L:L)</f>
        <v>1</v>
      </c>
      <c r="X15" s="23">
        <v>34220600</v>
      </c>
      <c r="Y15" s="13" t="s">
        <v>927</v>
      </c>
      <c r="Z15" s="24" t="str">
        <f>_xlfn.XLOOKUP(J15,'Master Data 14-9-2026'!C:C,'Master Data 14-9-2026'!I:I)</f>
        <v>Ended</v>
      </c>
      <c r="AA15" s="13" t="s">
        <v>934</v>
      </c>
      <c r="AC15" s="4"/>
      <c r="AD15" s="13" t="s">
        <v>935</v>
      </c>
      <c r="AE15" s="13" t="str">
        <f>_xlfn.XLOOKUP(L15,'[1]ID PROJECT'!E:E,'[1]ID PROJECT'!F:F)</f>
        <v>PRJ-KUT-KPU-TPED-2026-04-00078</v>
      </c>
      <c r="AF15" s="13" t="s">
        <v>943</v>
      </c>
      <c r="AG15" s="13" t="s">
        <v>944</v>
      </c>
      <c r="AH15" s="65">
        <v>46197</v>
      </c>
      <c r="AI15" s="27" t="s">
        <v>945</v>
      </c>
    </row>
    <row r="16" spans="1:35" hidden="1">
      <c r="A16" s="13" t="s">
        <v>185</v>
      </c>
      <c r="B16" s="13" t="str">
        <f>_xlfn.XLOOKUP(J16,'Master Data 14-9-2026'!C:C,'Master Data 14-9-2026'!D:D)</f>
        <v>Ika Setianingsih wx1507364</v>
      </c>
      <c r="C16" s="13"/>
      <c r="D16" s="13" t="str">
        <f>_xlfn.XLOOKUP(J16,'Master Data 14-9-2026'!C:C,'Master Data 14-9-2026'!E:E)</f>
        <v>XLSMART</v>
      </c>
      <c r="E16" s="13"/>
      <c r="F16" s="13"/>
      <c r="G16" s="13" t="s">
        <v>13</v>
      </c>
      <c r="H16" s="13" t="str">
        <f>_xlfn.XLOOKUP(J16,'Master Data 14-9-2026'!C:C,'Master Data 14-9-2026'!H:H)</f>
        <v>2026-04-01 - 2026-04-30</v>
      </c>
      <c r="I16" s="13" t="str">
        <f t="shared" si="0"/>
        <v>April</v>
      </c>
      <c r="J16" s="13" t="s">
        <v>957</v>
      </c>
      <c r="K16" s="13" t="s">
        <v>941</v>
      </c>
      <c r="L16" s="13" t="s">
        <v>441</v>
      </c>
      <c r="M16" s="15">
        <v>200003104084020</v>
      </c>
      <c r="N16" s="13" t="s">
        <v>924</v>
      </c>
      <c r="O16" s="13">
        <v>1.0912026050700301E+17</v>
      </c>
      <c r="P16" s="13" t="s">
        <v>942</v>
      </c>
      <c r="Q16" s="18">
        <v>11</v>
      </c>
      <c r="R16" s="18">
        <v>1</v>
      </c>
      <c r="S16" s="13">
        <v>8828132633</v>
      </c>
      <c r="T16" s="13" t="s">
        <v>951</v>
      </c>
      <c r="U16" s="19">
        <v>28881900</v>
      </c>
      <c r="V16" s="18">
        <v>1</v>
      </c>
      <c r="W16" s="18">
        <f>_xlfn.XLOOKUP(J16,'Master Data 14-9-2026'!C:C,'Master Data 14-9-2026'!L:L)</f>
        <v>1.5</v>
      </c>
      <c r="X16" s="23">
        <v>28881900</v>
      </c>
      <c r="Y16" s="13" t="s">
        <v>927</v>
      </c>
      <c r="Z16" s="24" t="s">
        <v>15</v>
      </c>
      <c r="AA16" s="13" t="s">
        <v>934</v>
      </c>
      <c r="AC16" s="4"/>
      <c r="AD16" s="13" t="s">
        <v>935</v>
      </c>
      <c r="AE16" s="13" t="str">
        <f>_xlfn.XLOOKUP(L16,'[1]ID PROJECT'!E:E,'[1]ID PROJECT'!F:F)</f>
        <v xml:space="preserve">PRJ-KUT-KPU-TPED-2026-04-00071 </v>
      </c>
      <c r="AF16" s="13" t="s">
        <v>943</v>
      </c>
      <c r="AG16" s="13" t="s">
        <v>944</v>
      </c>
      <c r="AH16" s="65">
        <v>46197</v>
      </c>
      <c r="AI16" s="27" t="s">
        <v>945</v>
      </c>
    </row>
    <row r="17" spans="1:36" hidden="1">
      <c r="A17" s="13" t="s">
        <v>177</v>
      </c>
      <c r="B17" s="13" t="str">
        <f>_xlfn.XLOOKUP(J17,'Master Data 14-9-2026'!C:C,'Master Data 14-9-2026'!D:D)</f>
        <v>Aliyah wx1507137</v>
      </c>
      <c r="C17" s="13"/>
      <c r="D17" s="13" t="str">
        <f>_xlfn.XLOOKUP(J17,'Master Data 14-9-2026'!C:C,'Master Data 14-9-2026'!E:E)</f>
        <v>XLSMART</v>
      </c>
      <c r="E17" s="13"/>
      <c r="F17" s="13"/>
      <c r="G17" s="13" t="s">
        <v>13</v>
      </c>
      <c r="H17" s="13" t="str">
        <f>_xlfn.XLOOKUP(J17,'Master Data 14-9-2026'!C:C,'Master Data 14-9-2026'!H:H)</f>
        <v>2026-04-01 - 2026-04-30</v>
      </c>
      <c r="I17" s="13" t="str">
        <f t="shared" si="0"/>
        <v>April</v>
      </c>
      <c r="J17" s="13" t="s">
        <v>958</v>
      </c>
      <c r="K17" s="13" t="s">
        <v>941</v>
      </c>
      <c r="L17" s="13" t="s">
        <v>493</v>
      </c>
      <c r="M17" s="15">
        <v>200003104085020</v>
      </c>
      <c r="N17" s="13" t="s">
        <v>924</v>
      </c>
      <c r="O17" s="13">
        <v>1.0912026050700301E+17</v>
      </c>
      <c r="P17" s="13" t="s">
        <v>942</v>
      </c>
      <c r="Q17" s="18">
        <v>12</v>
      </c>
      <c r="R17" s="18">
        <v>1</v>
      </c>
      <c r="S17" s="13">
        <v>8828132633</v>
      </c>
      <c r="T17" s="13" t="s">
        <v>951</v>
      </c>
      <c r="U17" s="19">
        <v>28881900</v>
      </c>
      <c r="V17" s="18">
        <v>1</v>
      </c>
      <c r="W17" s="18">
        <f>_xlfn.XLOOKUP(J17,'Master Data 14-9-2026'!C:C,'Master Data 14-9-2026'!L:L)</f>
        <v>1.05</v>
      </c>
      <c r="X17" s="23">
        <v>28881900</v>
      </c>
      <c r="Y17" s="13" t="s">
        <v>927</v>
      </c>
      <c r="Z17" s="24" t="s">
        <v>15</v>
      </c>
      <c r="AA17" s="13" t="s">
        <v>934</v>
      </c>
      <c r="AC17" s="4"/>
      <c r="AD17" s="13" t="s">
        <v>935</v>
      </c>
      <c r="AE17" s="13" t="str">
        <f>_xlfn.XLOOKUP(L17,'[1]ID PROJECT'!E:E,'[1]ID PROJECT'!F:F)</f>
        <v>PRJ-KUT-KPU-TPED-2026-04-00079</v>
      </c>
      <c r="AF17" s="13" t="s">
        <v>943</v>
      </c>
      <c r="AG17" s="13" t="s">
        <v>944</v>
      </c>
      <c r="AH17" s="65">
        <v>46197</v>
      </c>
      <c r="AI17" s="27" t="s">
        <v>945</v>
      </c>
    </row>
    <row r="18" spans="1:36" hidden="1">
      <c r="A18" s="13" t="s">
        <v>734</v>
      </c>
      <c r="B18" s="13" t="str">
        <f>_xlfn.XLOOKUP(J18,'Master Data 14-9-2026'!C:C,'Master Data 14-9-2026'!D:D)</f>
        <v>Rayza Mayga Pratama wx1504644</v>
      </c>
      <c r="C18" s="13"/>
      <c r="D18" s="13" t="str">
        <f>_xlfn.XLOOKUP(J18,'Master Data 14-9-2026'!C:C,'Master Data 14-9-2026'!E:E)</f>
        <v>XLSMART</v>
      </c>
      <c r="E18" s="13"/>
      <c r="F18" s="13"/>
      <c r="G18" s="13" t="s">
        <v>13</v>
      </c>
      <c r="H18" s="13" t="str">
        <f>_xlfn.XLOOKUP(J18,'Master Data 14-9-2026'!C:C,'Master Data 14-9-2026'!H:H)</f>
        <v>2026-03-23 - 2026-04-22</v>
      </c>
      <c r="I18" s="13" t="str">
        <f t="shared" si="0"/>
        <v>March</v>
      </c>
      <c r="J18" s="13" t="s">
        <v>959</v>
      </c>
      <c r="K18" s="13" t="s">
        <v>941</v>
      </c>
      <c r="L18" s="13" t="s">
        <v>441</v>
      </c>
      <c r="M18" s="15">
        <v>200003104089020</v>
      </c>
      <c r="N18" s="13" t="s">
        <v>924</v>
      </c>
      <c r="O18" s="13">
        <v>1.0912026050700301E+17</v>
      </c>
      <c r="P18" s="13" t="s">
        <v>942</v>
      </c>
      <c r="Q18" s="18">
        <v>13</v>
      </c>
      <c r="R18" s="18">
        <v>1</v>
      </c>
      <c r="S18" s="13">
        <v>8828132635</v>
      </c>
      <c r="T18" s="13" t="s">
        <v>926</v>
      </c>
      <c r="U18" s="19">
        <v>34220600</v>
      </c>
      <c r="V18" s="18">
        <v>1</v>
      </c>
      <c r="W18" s="18">
        <f>_xlfn.XLOOKUP(J18,'Master Data 14-9-2026'!C:C,'Master Data 14-9-2026'!L:L)</f>
        <v>1.01</v>
      </c>
      <c r="X18" s="23">
        <v>34220600</v>
      </c>
      <c r="Y18" s="13" t="s">
        <v>927</v>
      </c>
      <c r="Z18" s="24" t="s">
        <v>15</v>
      </c>
      <c r="AA18" s="13" t="s">
        <v>934</v>
      </c>
      <c r="AC18" s="4"/>
      <c r="AD18" s="13" t="s">
        <v>935</v>
      </c>
      <c r="AE18" s="13" t="str">
        <f>_xlfn.XLOOKUP(L18,'[1]ID PROJECT'!E:E,'[1]ID PROJECT'!F:F)</f>
        <v xml:space="preserve">PRJ-KUT-KPU-TPED-2026-04-00071 </v>
      </c>
      <c r="AF18" s="13" t="s">
        <v>943</v>
      </c>
      <c r="AG18" s="13" t="s">
        <v>944</v>
      </c>
      <c r="AH18" s="65">
        <v>46197</v>
      </c>
      <c r="AI18" s="27" t="s">
        <v>945</v>
      </c>
    </row>
    <row r="19" spans="1:36" hidden="1">
      <c r="A19" s="13" t="s">
        <v>304</v>
      </c>
      <c r="B19" s="13" t="str">
        <f>_xlfn.XLOOKUP(J19,'Master Data 14-9-2026'!C:C,'Master Data 14-9-2026'!D:D)</f>
        <v>Salsabila Ulya Nabilah Fuad wx1507138</v>
      </c>
      <c r="C19" s="13"/>
      <c r="D19" s="13" t="str">
        <f>_xlfn.XLOOKUP(J19,'Master Data 14-9-2026'!C:C,'Master Data 14-9-2026'!E:E)</f>
        <v>XLSMART</v>
      </c>
      <c r="E19" s="13"/>
      <c r="F19" s="13"/>
      <c r="G19" s="13" t="s">
        <v>13</v>
      </c>
      <c r="H19" s="13" t="str">
        <f>_xlfn.XLOOKUP(J19,'Master Data 14-9-2026'!C:C,'Master Data 14-9-2026'!H:H)</f>
        <v>2026-04-01 - 2026-04-30</v>
      </c>
      <c r="I19" s="13" t="str">
        <f t="shared" si="0"/>
        <v>April</v>
      </c>
      <c r="J19" s="13" t="s">
        <v>960</v>
      </c>
      <c r="K19" s="13" t="s">
        <v>941</v>
      </c>
      <c r="L19" s="13" t="s">
        <v>493</v>
      </c>
      <c r="M19" s="15">
        <v>200003104086020</v>
      </c>
      <c r="N19" s="13" t="s">
        <v>924</v>
      </c>
      <c r="O19" s="13">
        <v>1.0912026050700301E+17</v>
      </c>
      <c r="P19" s="13" t="s">
        <v>942</v>
      </c>
      <c r="Q19" s="18">
        <v>14</v>
      </c>
      <c r="R19" s="18">
        <v>1</v>
      </c>
      <c r="S19" s="13">
        <v>8828132633</v>
      </c>
      <c r="T19" s="13" t="s">
        <v>951</v>
      </c>
      <c r="U19" s="19">
        <v>28881900</v>
      </c>
      <c r="V19" s="18">
        <v>1</v>
      </c>
      <c r="W19" s="18">
        <f>_xlfn.XLOOKUP(J19,'Master Data 14-9-2026'!C:C,'Master Data 14-9-2026'!L:L)</f>
        <v>0.5</v>
      </c>
      <c r="X19" s="23">
        <v>28881900</v>
      </c>
      <c r="Y19" s="13" t="s">
        <v>927</v>
      </c>
      <c r="Z19" s="24" t="s">
        <v>15</v>
      </c>
      <c r="AA19" s="13" t="s">
        <v>934</v>
      </c>
      <c r="AC19" s="4"/>
      <c r="AD19" s="13" t="s">
        <v>935</v>
      </c>
      <c r="AE19" s="13" t="str">
        <f>_xlfn.XLOOKUP(L19,'[1]ID PROJECT'!E:E,'[1]ID PROJECT'!F:F)</f>
        <v>PRJ-KUT-KPU-TPED-2026-04-00079</v>
      </c>
      <c r="AF19" s="40" t="s">
        <v>943</v>
      </c>
      <c r="AG19" s="13" t="s">
        <v>944</v>
      </c>
      <c r="AH19" s="65">
        <v>46197</v>
      </c>
      <c r="AI19" s="27" t="s">
        <v>945</v>
      </c>
    </row>
    <row r="20" spans="1:36" hidden="1">
      <c r="A20" s="13" t="s">
        <v>433</v>
      </c>
      <c r="B20" s="13" t="str">
        <f>_xlfn.XLOOKUP(J20,'Master Data 14-9-2026'!C:C,'Master Data 14-9-2026'!D:D)</f>
        <v>Cahyo Suryo Bhuwono Winarso wx1507283</v>
      </c>
      <c r="C20" s="13"/>
      <c r="D20" s="13" t="str">
        <f>_xlfn.XLOOKUP(J20,'Master Data 14-9-2026'!C:C,'Master Data 14-9-2026'!E:E)</f>
        <v>XLSMART</v>
      </c>
      <c r="E20" s="13"/>
      <c r="F20" s="13"/>
      <c r="G20" s="13" t="s">
        <v>13</v>
      </c>
      <c r="H20" s="13" t="str">
        <f>_xlfn.XLOOKUP(J20,'Master Data 14-9-2026'!C:C,'Master Data 14-9-2026'!H:H)</f>
        <v>2026-04-01 - 2026-04-30</v>
      </c>
      <c r="I20" s="13" t="str">
        <f t="shared" si="0"/>
        <v>April</v>
      </c>
      <c r="J20" s="13" t="s">
        <v>961</v>
      </c>
      <c r="K20" s="13" t="s">
        <v>941</v>
      </c>
      <c r="L20" s="13" t="s">
        <v>475</v>
      </c>
      <c r="M20" s="15">
        <v>200003104087020</v>
      </c>
      <c r="N20" s="13" t="s">
        <v>924</v>
      </c>
      <c r="O20" s="13">
        <v>1.0912026050700301E+17</v>
      </c>
      <c r="P20" s="13" t="s">
        <v>942</v>
      </c>
      <c r="Q20" s="18">
        <v>15</v>
      </c>
      <c r="R20" s="18">
        <v>1</v>
      </c>
      <c r="S20" s="13">
        <v>8828132633</v>
      </c>
      <c r="T20" s="13" t="s">
        <v>951</v>
      </c>
      <c r="U20" s="19">
        <v>28881900</v>
      </c>
      <c r="V20" s="18">
        <v>1</v>
      </c>
      <c r="W20" s="18">
        <f>_xlfn.XLOOKUP(J20,'Master Data 14-9-2026'!C:C,'Master Data 14-9-2026'!L:L)</f>
        <v>0</v>
      </c>
      <c r="X20" s="23">
        <v>28881900</v>
      </c>
      <c r="Y20" s="13" t="s">
        <v>927</v>
      </c>
      <c r="Z20" s="24" t="s">
        <v>15</v>
      </c>
      <c r="AA20" s="13" t="s">
        <v>934</v>
      </c>
      <c r="AC20" s="4"/>
      <c r="AD20" s="13" t="s">
        <v>935</v>
      </c>
      <c r="AE20" s="13" t="str">
        <f>_xlfn.XLOOKUP(L20,'[1]ID PROJECT'!E:E,'[1]ID PROJECT'!F:F)</f>
        <v>PRJ-KUT-KPU-TPED-2026-04-00074</v>
      </c>
      <c r="AF20" s="13" t="s">
        <v>943</v>
      </c>
      <c r="AG20" s="13" t="s">
        <v>944</v>
      </c>
      <c r="AH20" s="65">
        <v>46197</v>
      </c>
      <c r="AI20" s="27" t="s">
        <v>945</v>
      </c>
    </row>
    <row r="21" spans="1:36" hidden="1">
      <c r="A21" s="13" t="s">
        <v>862</v>
      </c>
      <c r="B21" s="13" t="str">
        <f>_xlfn.XLOOKUP(J21,'Master Data 14-9-2026'!C:C,'Master Data 14-9-2026'!D:D)</f>
        <v>Sugeng Andrianto wx1504668</v>
      </c>
      <c r="C21" s="13"/>
      <c r="D21" s="13" t="str">
        <f>_xlfn.XLOOKUP(J21,'Master Data 14-9-2026'!C:C,'Master Data 14-9-2026'!E:E)</f>
        <v>XLSMART</v>
      </c>
      <c r="E21" s="13"/>
      <c r="F21" s="13"/>
      <c r="G21" s="13" t="s">
        <v>13</v>
      </c>
      <c r="H21" s="13" t="str">
        <f>_xlfn.XLOOKUP(J21,'Master Data 14-9-2026'!C:C,'Master Data 14-9-2026'!H:H)</f>
        <v>2026-03-30 - 2026-04-29</v>
      </c>
      <c r="I21" s="13" t="str">
        <f t="shared" si="0"/>
        <v>March</v>
      </c>
      <c r="J21" s="13" t="s">
        <v>962</v>
      </c>
      <c r="K21" s="13" t="s">
        <v>941</v>
      </c>
      <c r="L21" s="13" t="s">
        <v>461</v>
      </c>
      <c r="M21" s="15">
        <v>200003104090020</v>
      </c>
      <c r="N21" s="13" t="s">
        <v>924</v>
      </c>
      <c r="O21" s="13">
        <v>1.0912026050700301E+17</v>
      </c>
      <c r="P21" s="13" t="s">
        <v>942</v>
      </c>
      <c r="Q21" s="18">
        <v>16</v>
      </c>
      <c r="R21" s="18">
        <v>1</v>
      </c>
      <c r="S21" s="13">
        <v>8828132635</v>
      </c>
      <c r="T21" s="13" t="s">
        <v>926</v>
      </c>
      <c r="U21" s="19">
        <v>34220600</v>
      </c>
      <c r="V21" s="18">
        <v>1</v>
      </c>
      <c r="W21" s="18">
        <f>_xlfn.XLOOKUP(J21,'Master Data 14-9-2026'!C:C,'Master Data 14-9-2026'!L:L)</f>
        <v>1.05</v>
      </c>
      <c r="X21" s="23">
        <v>34220600</v>
      </c>
      <c r="Y21" s="13" t="s">
        <v>927</v>
      </c>
      <c r="Z21" s="24" t="s">
        <v>15</v>
      </c>
      <c r="AA21" s="13" t="s">
        <v>934</v>
      </c>
      <c r="AC21" s="4"/>
      <c r="AD21" s="13" t="s">
        <v>935</v>
      </c>
      <c r="AE21" s="13" t="str">
        <f>_xlfn.XLOOKUP(L21,'[1]ID PROJECT'!E:E,'[1]ID PROJECT'!F:F)</f>
        <v>PRJ-KUT-KPU-TPED-2026-04-00078</v>
      </c>
      <c r="AF21" s="13" t="s">
        <v>943</v>
      </c>
      <c r="AG21" s="13" t="s">
        <v>944</v>
      </c>
      <c r="AH21" s="65">
        <v>46197</v>
      </c>
      <c r="AI21" s="27" t="s">
        <v>945</v>
      </c>
    </row>
    <row r="22" spans="1:36">
      <c r="A22" s="13" t="s">
        <v>145</v>
      </c>
      <c r="B22" s="13" t="str">
        <f>_xlfn.XLOOKUP(J22,'Master Data 14-9-2026'!C:C,'Master Data 14-9-2026'!D:D)</f>
        <v>Gema Marhayen wx1506940</v>
      </c>
      <c r="C22" s="13"/>
      <c r="D22" s="13" t="str">
        <f>_xlfn.XLOOKUP(J22,'Master Data 14-9-2026'!C:C,'Master Data 14-9-2026'!E:E)</f>
        <v>XLSMART</v>
      </c>
      <c r="E22" s="13" t="s">
        <v>963</v>
      </c>
      <c r="F22" s="13"/>
      <c r="G22" s="13" t="s">
        <v>13</v>
      </c>
      <c r="H22" s="13" t="str">
        <f>_xlfn.XLOOKUP(J22,'Master Data 14-9-2026'!C:C,'Master Data 14-9-2026'!H:H)</f>
        <v>2026-04-01 - 2026-04-30</v>
      </c>
      <c r="I22" s="13" t="str">
        <f t="shared" si="0"/>
        <v>April</v>
      </c>
      <c r="J22" s="13" t="s">
        <v>964</v>
      </c>
      <c r="K22" s="13" t="s">
        <v>941</v>
      </c>
      <c r="L22" s="13" t="s">
        <v>441</v>
      </c>
      <c r="M22" s="15">
        <v>200003104077020</v>
      </c>
      <c r="N22" s="13" t="s">
        <v>924</v>
      </c>
      <c r="O22" s="13">
        <v>1.0912026050700301E+17</v>
      </c>
      <c r="P22" s="13" t="s">
        <v>942</v>
      </c>
      <c r="Q22" s="18">
        <v>17</v>
      </c>
      <c r="R22" s="18">
        <v>1</v>
      </c>
      <c r="S22" s="13">
        <v>8828132633</v>
      </c>
      <c r="T22" s="13" t="s">
        <v>951</v>
      </c>
      <c r="U22" s="19">
        <v>28881900</v>
      </c>
      <c r="V22" s="18">
        <v>1</v>
      </c>
      <c r="W22" s="18">
        <f>_xlfn.XLOOKUP(J22,'Master Data 14-9-2026'!C:C,'Master Data 14-9-2026'!L:L)</f>
        <v>1.06</v>
      </c>
      <c r="X22" s="23">
        <v>28881900</v>
      </c>
      <c r="Y22" s="13" t="s">
        <v>927</v>
      </c>
      <c r="Z22" s="24" t="s">
        <v>15</v>
      </c>
      <c r="AA22" s="4" t="s">
        <v>934</v>
      </c>
      <c r="AB22" s="13"/>
      <c r="AC22" s="13" t="s">
        <v>965</v>
      </c>
      <c r="AD22" s="13" t="s">
        <v>935</v>
      </c>
      <c r="AE22" s="13" t="str">
        <f>_xlfn.XLOOKUP(L22,'[1]ID PROJECT'!E:E,'[1]ID PROJECT'!F:F)</f>
        <v xml:space="preserve">PRJ-KUT-KPU-TPED-2026-04-00071 </v>
      </c>
      <c r="AF22" s="4" t="s">
        <v>966</v>
      </c>
      <c r="AG22" s="40" t="s">
        <v>3391</v>
      </c>
      <c r="AH22" s="65">
        <v>46267</v>
      </c>
      <c r="AI22" s="27" t="s">
        <v>967</v>
      </c>
    </row>
    <row r="23" spans="1:36" hidden="1">
      <c r="A23" s="13" t="s">
        <v>478</v>
      </c>
      <c r="B23" s="13" t="str">
        <f>_xlfn.XLOOKUP(J23,'Master Data 14-9-2026'!C:C,'Master Data 14-9-2026'!D:D)</f>
        <v>Dewi Nur Annisa wx1503631</v>
      </c>
      <c r="C23" s="13"/>
      <c r="D23" s="13" t="str">
        <f>_xlfn.XLOOKUP(J23,'Master Data 14-9-2026'!C:C,'Master Data 14-9-2026'!E:E)</f>
        <v>XLSMART</v>
      </c>
      <c r="E23" s="13"/>
      <c r="F23" s="13"/>
      <c r="G23" s="13" t="s">
        <v>13</v>
      </c>
      <c r="H23" s="13" t="str">
        <f>_xlfn.XLOOKUP(J23,'Master Data 14-9-2026'!C:C,'Master Data 14-9-2026'!H:H)</f>
        <v>2026-03-25 - 2026-04-24</v>
      </c>
      <c r="I23" s="13" t="str">
        <f t="shared" si="0"/>
        <v>March</v>
      </c>
      <c r="J23" s="13" t="s">
        <v>968</v>
      </c>
      <c r="K23" s="13" t="s">
        <v>941</v>
      </c>
      <c r="L23" s="13" t="s">
        <v>461</v>
      </c>
      <c r="M23" s="15">
        <v>200003104098020</v>
      </c>
      <c r="N23" s="13" t="s">
        <v>924</v>
      </c>
      <c r="O23" s="13">
        <v>1.0912026050700301E+17</v>
      </c>
      <c r="P23" s="13" t="s">
        <v>942</v>
      </c>
      <c r="Q23" s="18">
        <v>18</v>
      </c>
      <c r="R23" s="18">
        <v>1</v>
      </c>
      <c r="S23" s="13">
        <v>8828132636</v>
      </c>
      <c r="T23" s="13" t="s">
        <v>933</v>
      </c>
      <c r="U23" s="19">
        <v>36992000</v>
      </c>
      <c r="V23" s="18">
        <v>1</v>
      </c>
      <c r="W23" s="18">
        <f>_xlfn.XLOOKUP(J23,'Master Data 14-9-2026'!C:C,'Master Data 14-9-2026'!L:L)</f>
        <v>1.3</v>
      </c>
      <c r="X23" s="23">
        <v>36992000</v>
      </c>
      <c r="Y23" s="13" t="s">
        <v>927</v>
      </c>
      <c r="Z23" s="24" t="s">
        <v>15</v>
      </c>
      <c r="AA23" s="13" t="s">
        <v>934</v>
      </c>
      <c r="AC23" s="4"/>
      <c r="AD23" s="13" t="s">
        <v>935</v>
      </c>
      <c r="AE23" s="13" t="str">
        <f>_xlfn.XLOOKUP(L23,'[1]ID PROJECT'!E:E,'[1]ID PROJECT'!F:F)</f>
        <v>PRJ-KUT-KPU-TPED-2026-04-00078</v>
      </c>
      <c r="AF23" s="13" t="s">
        <v>943</v>
      </c>
      <c r="AG23" s="13" t="s">
        <v>944</v>
      </c>
      <c r="AH23" s="65">
        <v>46197</v>
      </c>
      <c r="AI23" s="27" t="s">
        <v>945</v>
      </c>
    </row>
    <row r="24" spans="1:36" hidden="1">
      <c r="A24" s="13" t="s">
        <v>742</v>
      </c>
      <c r="B24" s="13" t="str">
        <f>_xlfn.XLOOKUP(J24,'Master Data 14-9-2026'!C:C,'Master Data 14-9-2026'!D:D)</f>
        <v>Fauzan Fathoni wx1504667</v>
      </c>
      <c r="C24" s="13"/>
      <c r="D24" s="13" t="str">
        <f>_xlfn.XLOOKUP(J24,'Master Data 14-9-2026'!C:C,'Master Data 14-9-2026'!E:E)</f>
        <v>XLSMART</v>
      </c>
      <c r="E24" s="13"/>
      <c r="F24" s="13"/>
      <c r="G24" s="13" t="s">
        <v>13</v>
      </c>
      <c r="H24" s="13" t="str">
        <f>_xlfn.XLOOKUP(J24,'Master Data 14-9-2026'!C:C,'Master Data 14-9-2026'!H:H)</f>
        <v>2026-03-30 - 2026-04-29</v>
      </c>
      <c r="I24" s="13" t="str">
        <f t="shared" si="0"/>
        <v>March</v>
      </c>
      <c r="J24" s="13" t="s">
        <v>969</v>
      </c>
      <c r="K24" s="13" t="s">
        <v>941</v>
      </c>
      <c r="L24" s="13" t="s">
        <v>461</v>
      </c>
      <c r="M24" s="15">
        <v>200003104091020</v>
      </c>
      <c r="N24" s="13" t="s">
        <v>924</v>
      </c>
      <c r="O24" s="13">
        <v>1.0912026050700301E+17</v>
      </c>
      <c r="P24" s="13" t="s">
        <v>942</v>
      </c>
      <c r="Q24" s="18">
        <v>19</v>
      </c>
      <c r="R24" s="18">
        <v>1</v>
      </c>
      <c r="S24" s="13">
        <v>8828132635</v>
      </c>
      <c r="T24" s="13" t="s">
        <v>926</v>
      </c>
      <c r="U24" s="19">
        <v>34220600</v>
      </c>
      <c r="V24" s="18">
        <v>1</v>
      </c>
      <c r="W24" s="18">
        <f>_xlfn.XLOOKUP(J24,'Master Data 14-9-2026'!C:C,'Master Data 14-9-2026'!L:L)</f>
        <v>1.5</v>
      </c>
      <c r="X24" s="23">
        <v>34220600</v>
      </c>
      <c r="Y24" s="13" t="s">
        <v>927</v>
      </c>
      <c r="Z24" s="24" t="s">
        <v>15</v>
      </c>
      <c r="AA24" s="13" t="s">
        <v>934</v>
      </c>
      <c r="AC24" s="4"/>
      <c r="AD24" s="13" t="s">
        <v>935</v>
      </c>
      <c r="AE24" s="13" t="str">
        <f>_xlfn.XLOOKUP(L24,'[1]ID PROJECT'!E:E,'[1]ID PROJECT'!F:F)</f>
        <v>PRJ-KUT-KPU-TPED-2026-04-00078</v>
      </c>
      <c r="AF24" s="13" t="s">
        <v>943</v>
      </c>
      <c r="AG24" s="13" t="s">
        <v>944</v>
      </c>
      <c r="AH24" s="65">
        <v>46197</v>
      </c>
      <c r="AI24" s="27" t="s">
        <v>945</v>
      </c>
    </row>
    <row r="25" spans="1:36" hidden="1">
      <c r="A25" s="13" t="s">
        <v>444</v>
      </c>
      <c r="B25" s="13" t="str">
        <f>_xlfn.XLOOKUP(J25,'Master Data 14-9-2026'!C:C,'Master Data 14-9-2026'!D:D)</f>
        <v>Febby Ramadhan Ahmad Suhandi wx1503968</v>
      </c>
      <c r="C25" s="13"/>
      <c r="D25" s="13" t="str">
        <f>_xlfn.XLOOKUP(J25,'Master Data 14-9-2026'!C:C,'Master Data 14-9-2026'!E:E)</f>
        <v>XLSMART</v>
      </c>
      <c r="E25" s="13"/>
      <c r="F25" s="13"/>
      <c r="G25" s="13" t="s">
        <v>13</v>
      </c>
      <c r="H25" s="13" t="str">
        <f>_xlfn.XLOOKUP(J25,'Master Data 14-9-2026'!C:C,'Master Data 14-9-2026'!H:H)</f>
        <v>2026-03-25 - 2026-04-24</v>
      </c>
      <c r="I25" s="13" t="str">
        <f t="shared" si="0"/>
        <v>March</v>
      </c>
      <c r="J25" s="13" t="s">
        <v>970</v>
      </c>
      <c r="K25" s="13" t="s">
        <v>941</v>
      </c>
      <c r="L25" s="13" t="s">
        <v>441</v>
      </c>
      <c r="M25" s="15">
        <v>200003104099020</v>
      </c>
      <c r="N25" s="13" t="s">
        <v>924</v>
      </c>
      <c r="O25" s="13">
        <v>1.0912026050700301E+17</v>
      </c>
      <c r="P25" s="13" t="s">
        <v>942</v>
      </c>
      <c r="Q25" s="18">
        <v>20</v>
      </c>
      <c r="R25" s="18">
        <v>1</v>
      </c>
      <c r="S25" s="13">
        <v>8828132636</v>
      </c>
      <c r="T25" s="13" t="s">
        <v>933</v>
      </c>
      <c r="U25" s="19">
        <v>36992000</v>
      </c>
      <c r="V25" s="18">
        <v>1</v>
      </c>
      <c r="W25" s="18">
        <f>_xlfn.XLOOKUP(J25,'Master Data 14-9-2026'!C:C,'Master Data 14-9-2026'!L:L)</f>
        <v>1.5</v>
      </c>
      <c r="X25" s="23">
        <v>36992000</v>
      </c>
      <c r="Y25" s="13" t="s">
        <v>927</v>
      </c>
      <c r="Z25" s="24" t="s">
        <v>15</v>
      </c>
      <c r="AA25" s="13" t="s">
        <v>934</v>
      </c>
      <c r="AC25" s="4"/>
      <c r="AD25" s="13" t="s">
        <v>935</v>
      </c>
      <c r="AE25" s="13" t="str">
        <f>_xlfn.XLOOKUP(L25,'[1]ID PROJECT'!E:E,'[1]ID PROJECT'!F:F)</f>
        <v xml:space="preserve">PRJ-KUT-KPU-TPED-2026-04-00071 </v>
      </c>
      <c r="AF25" s="13" t="s">
        <v>943</v>
      </c>
      <c r="AG25" s="13" t="s">
        <v>944</v>
      </c>
      <c r="AH25" s="65">
        <v>46197</v>
      </c>
      <c r="AI25" s="27" t="s">
        <v>945</v>
      </c>
      <c r="AJ25" s="4" t="s">
        <v>971</v>
      </c>
    </row>
    <row r="26" spans="1:36" hidden="1">
      <c r="A26" s="13" t="s">
        <v>732</v>
      </c>
      <c r="B26" s="13" t="str">
        <f>_xlfn.XLOOKUP(J26,'Master Data 14-9-2026'!C:C,'Master Data 14-9-2026'!D:D)</f>
        <v>Yonathan Janmorga wx1507284</v>
      </c>
      <c r="C26" s="13"/>
      <c r="D26" s="13" t="str">
        <f>_xlfn.XLOOKUP(J26,'Master Data 14-9-2026'!C:C,'Master Data 14-9-2026'!E:E)</f>
        <v>XLSMART</v>
      </c>
      <c r="E26" s="13"/>
      <c r="F26" s="13"/>
      <c r="G26" s="13" t="s">
        <v>13</v>
      </c>
      <c r="H26" s="13" t="str">
        <f>_xlfn.XLOOKUP(J26,'Master Data 14-9-2026'!C:C,'Master Data 14-9-2026'!H:H)</f>
        <v>2026-04-01 - 2026-04-30</v>
      </c>
      <c r="I26" s="13" t="str">
        <f t="shared" si="0"/>
        <v>April</v>
      </c>
      <c r="J26" s="13" t="s">
        <v>972</v>
      </c>
      <c r="K26" s="13" t="s">
        <v>941</v>
      </c>
      <c r="L26" s="13" t="s">
        <v>475</v>
      </c>
      <c r="M26" s="15">
        <v>200003104092020</v>
      </c>
      <c r="N26" s="13" t="s">
        <v>924</v>
      </c>
      <c r="O26" s="13">
        <v>1.0912026050700301E+17</v>
      </c>
      <c r="P26" s="13" t="s">
        <v>942</v>
      </c>
      <c r="Q26" s="18">
        <v>21</v>
      </c>
      <c r="R26" s="18">
        <v>1</v>
      </c>
      <c r="S26" s="13">
        <v>8828132635</v>
      </c>
      <c r="T26" s="13" t="s">
        <v>926</v>
      </c>
      <c r="U26" s="19">
        <v>34220600</v>
      </c>
      <c r="V26" s="18">
        <v>1</v>
      </c>
      <c r="W26" s="18">
        <f>_xlfn.XLOOKUP(J26,'Master Data 14-9-2026'!C:C,'Master Data 14-9-2026'!L:L)</f>
        <v>1.5</v>
      </c>
      <c r="X26" s="23">
        <v>34220600</v>
      </c>
      <c r="Y26" s="13" t="s">
        <v>927</v>
      </c>
      <c r="Z26" s="24" t="s">
        <v>15</v>
      </c>
      <c r="AA26" s="13" t="s">
        <v>934</v>
      </c>
      <c r="AC26" s="4"/>
      <c r="AD26" s="13" t="s">
        <v>935</v>
      </c>
      <c r="AE26" s="13" t="str">
        <f>_xlfn.XLOOKUP(L26,'[1]ID PROJECT'!E:E,'[1]ID PROJECT'!F:F)</f>
        <v>PRJ-KUT-KPU-TPED-2026-04-00074</v>
      </c>
      <c r="AF26" s="13" t="s">
        <v>943</v>
      </c>
      <c r="AG26" s="13" t="s">
        <v>944</v>
      </c>
      <c r="AH26" s="65">
        <v>46197</v>
      </c>
      <c r="AI26" s="27" t="s">
        <v>945</v>
      </c>
    </row>
    <row r="27" spans="1:36" hidden="1">
      <c r="A27" s="13" t="s">
        <v>469</v>
      </c>
      <c r="B27" s="13" t="str">
        <f>_xlfn.XLOOKUP(J27,'Master Data 14-9-2026'!C:C,'Master Data 14-9-2026'!D:D)</f>
        <v>Heri Kusnanto wx1503971</v>
      </c>
      <c r="C27" s="13"/>
      <c r="D27" s="13" t="str">
        <f>_xlfn.XLOOKUP(J27,'Master Data 14-9-2026'!C:C,'Master Data 14-9-2026'!E:E)</f>
        <v>XLSMART</v>
      </c>
      <c r="E27" s="13"/>
      <c r="F27" s="13"/>
      <c r="G27" s="13" t="s">
        <v>13</v>
      </c>
      <c r="H27" s="13" t="str">
        <f>_xlfn.XLOOKUP(J27,'Master Data 14-9-2026'!C:C,'Master Data 14-9-2026'!H:H)</f>
        <v>2026-03-26 - 2026-04-25</v>
      </c>
      <c r="I27" s="13" t="str">
        <f t="shared" si="0"/>
        <v>March</v>
      </c>
      <c r="J27" s="13" t="s">
        <v>973</v>
      </c>
      <c r="K27" s="13" t="s">
        <v>941</v>
      </c>
      <c r="L27" s="13" t="s">
        <v>441</v>
      </c>
      <c r="M27" s="15">
        <v>200003104100020</v>
      </c>
      <c r="N27" s="13" t="s">
        <v>924</v>
      </c>
      <c r="O27" s="13">
        <v>1.0912026050700301E+17</v>
      </c>
      <c r="P27" s="13" t="s">
        <v>942</v>
      </c>
      <c r="Q27" s="18">
        <v>22</v>
      </c>
      <c r="R27" s="18">
        <v>1</v>
      </c>
      <c r="S27" s="13">
        <v>8828132636</v>
      </c>
      <c r="T27" s="13" t="s">
        <v>933</v>
      </c>
      <c r="U27" s="19">
        <v>36992000</v>
      </c>
      <c r="V27" s="18">
        <v>1</v>
      </c>
      <c r="W27" s="18">
        <f>_xlfn.XLOOKUP(J27,'Master Data 14-9-2026'!C:C,'Master Data 14-9-2026'!L:L)</f>
        <v>1.5</v>
      </c>
      <c r="X27" s="23">
        <v>36992000</v>
      </c>
      <c r="Y27" s="13" t="s">
        <v>927</v>
      </c>
      <c r="Z27" s="24" t="s">
        <v>15</v>
      </c>
      <c r="AA27" s="13" t="s">
        <v>934</v>
      </c>
      <c r="AC27" s="4"/>
      <c r="AD27" s="13" t="s">
        <v>935</v>
      </c>
      <c r="AE27" s="13" t="str">
        <f>_xlfn.XLOOKUP(L27,'[1]ID PROJECT'!E:E,'[1]ID PROJECT'!F:F)</f>
        <v xml:space="preserve">PRJ-KUT-KPU-TPED-2026-04-00071 </v>
      </c>
      <c r="AF27" s="13" t="s">
        <v>943</v>
      </c>
      <c r="AG27" s="13" t="s">
        <v>944</v>
      </c>
      <c r="AH27" s="65">
        <v>46197</v>
      </c>
      <c r="AI27" s="27" t="s">
        <v>945</v>
      </c>
    </row>
    <row r="28" spans="1:36" hidden="1">
      <c r="A28" s="13" t="s">
        <v>508</v>
      </c>
      <c r="B28" s="13" t="str">
        <f>_xlfn.XLOOKUP(J28,'Master Data 14-9-2026'!C:C,'Master Data 14-9-2026'!D:D)</f>
        <v>Herni Peruzi wx1503973</v>
      </c>
      <c r="C28" s="13"/>
      <c r="D28" s="13" t="str">
        <f>_xlfn.XLOOKUP(J28,'Master Data 14-9-2026'!C:C,'Master Data 14-9-2026'!E:E)</f>
        <v>XLSMART</v>
      </c>
      <c r="E28" s="13"/>
      <c r="F28" s="13"/>
      <c r="G28" s="13" t="s">
        <v>13</v>
      </c>
      <c r="H28" s="13" t="str">
        <f>_xlfn.XLOOKUP(J28,'Master Data 14-9-2026'!C:C,'Master Data 14-9-2026'!H:H)</f>
        <v>2026-03-30 - 2026-04-29</v>
      </c>
      <c r="I28" s="13" t="str">
        <f t="shared" si="0"/>
        <v>March</v>
      </c>
      <c r="J28" s="13" t="s">
        <v>974</v>
      </c>
      <c r="K28" s="13" t="s">
        <v>941</v>
      </c>
      <c r="L28" s="13" t="s">
        <v>441</v>
      </c>
      <c r="M28" s="15">
        <v>200003104101020</v>
      </c>
      <c r="N28" s="13" t="s">
        <v>924</v>
      </c>
      <c r="O28" s="13">
        <v>1.0912026050700301E+17</v>
      </c>
      <c r="P28" s="13" t="s">
        <v>942</v>
      </c>
      <c r="Q28" s="18">
        <v>23</v>
      </c>
      <c r="R28" s="18">
        <v>1</v>
      </c>
      <c r="S28" s="13">
        <v>8828132636</v>
      </c>
      <c r="T28" s="13" t="s">
        <v>933</v>
      </c>
      <c r="U28" s="19">
        <v>36992000</v>
      </c>
      <c r="V28" s="18">
        <v>1</v>
      </c>
      <c r="W28" s="18">
        <f>_xlfn.XLOOKUP(J28,'Master Data 14-9-2026'!C:C,'Master Data 14-9-2026'!L:L)</f>
        <v>1.5</v>
      </c>
      <c r="X28" s="23">
        <v>36992000</v>
      </c>
      <c r="Y28" s="13" t="s">
        <v>927</v>
      </c>
      <c r="Z28" s="24" t="s">
        <v>15</v>
      </c>
      <c r="AA28" s="13" t="s">
        <v>934</v>
      </c>
      <c r="AC28" s="4"/>
      <c r="AD28" s="13" t="s">
        <v>935</v>
      </c>
      <c r="AE28" s="13" t="str">
        <f>_xlfn.XLOOKUP(L28,'[1]ID PROJECT'!E:E,'[1]ID PROJECT'!F:F)</f>
        <v xml:space="preserve">PRJ-KUT-KPU-TPED-2026-04-00071 </v>
      </c>
      <c r="AF28" s="13" t="s">
        <v>943</v>
      </c>
      <c r="AG28" s="13" t="s">
        <v>944</v>
      </c>
      <c r="AH28" s="65">
        <v>46197</v>
      </c>
      <c r="AI28" s="27" t="s">
        <v>945</v>
      </c>
    </row>
    <row r="29" spans="1:36" hidden="1">
      <c r="A29" s="13" t="s">
        <v>498</v>
      </c>
      <c r="B29" s="13" t="str">
        <f>_xlfn.XLOOKUP(J29,'Master Data 14-9-2026'!C:C,'Master Data 14-9-2026'!D:D)</f>
        <v>Julham Hamid wx1507139</v>
      </c>
      <c r="C29" s="13"/>
      <c r="D29" s="13" t="str">
        <f>_xlfn.XLOOKUP(J29,'Master Data 14-9-2026'!C:C,'Master Data 14-9-2026'!E:E)</f>
        <v>XLSMART</v>
      </c>
      <c r="E29" s="13"/>
      <c r="F29" s="13"/>
      <c r="G29" s="13" t="s">
        <v>13</v>
      </c>
      <c r="H29" s="13" t="str">
        <f>_xlfn.XLOOKUP(J29,'Master Data 14-9-2026'!C:C,'Master Data 14-9-2026'!H:H)</f>
        <v>2026-04-01 - 2026-04-30</v>
      </c>
      <c r="I29" s="13" t="str">
        <f t="shared" si="0"/>
        <v>April</v>
      </c>
      <c r="J29" s="13" t="s">
        <v>975</v>
      </c>
      <c r="K29" s="13" t="s">
        <v>941</v>
      </c>
      <c r="L29" s="13" t="s">
        <v>500</v>
      </c>
      <c r="M29" s="15">
        <v>200003104102020</v>
      </c>
      <c r="N29" s="13" t="s">
        <v>924</v>
      </c>
      <c r="O29" s="13">
        <v>1.0912026050700301E+17</v>
      </c>
      <c r="P29" s="13" t="s">
        <v>942</v>
      </c>
      <c r="Q29" s="18">
        <v>24</v>
      </c>
      <c r="R29" s="18">
        <v>1</v>
      </c>
      <c r="S29" s="13">
        <v>8828132636</v>
      </c>
      <c r="T29" s="13" t="s">
        <v>933</v>
      </c>
      <c r="U29" s="19">
        <v>36992000</v>
      </c>
      <c r="V29" s="18">
        <v>1</v>
      </c>
      <c r="W29" s="18">
        <f>_xlfn.XLOOKUP(J29,'Master Data 14-9-2026'!C:C,'Master Data 14-9-2026'!L:L)</f>
        <v>1.5</v>
      </c>
      <c r="X29" s="23">
        <v>36992000</v>
      </c>
      <c r="Y29" s="13" t="s">
        <v>927</v>
      </c>
      <c r="Z29" s="24" t="s">
        <v>15</v>
      </c>
      <c r="AA29" s="13" t="s">
        <v>934</v>
      </c>
      <c r="AC29" s="4"/>
      <c r="AD29" s="13" t="s">
        <v>935</v>
      </c>
      <c r="AE29" s="13" t="str">
        <f>_xlfn.XLOOKUP(L29,'[1]ID PROJECT'!E:E,'[1]ID PROJECT'!F:F)</f>
        <v>PRJ-KUT-KPU-TPED-2026-04-00080</v>
      </c>
      <c r="AF29" s="13" t="s">
        <v>943</v>
      </c>
      <c r="AG29" s="13" t="s">
        <v>944</v>
      </c>
      <c r="AH29" s="65">
        <v>46197</v>
      </c>
      <c r="AI29" s="27" t="s">
        <v>945</v>
      </c>
    </row>
    <row r="30" spans="1:36" hidden="1">
      <c r="A30" s="13" t="s">
        <v>491</v>
      </c>
      <c r="B30" s="13" t="str">
        <f>_xlfn.XLOOKUP(J30,'Master Data 14-9-2026'!C:C,'Master Data 14-9-2026'!D:D)</f>
        <v>Muh Haidir Haswan wx1507136</v>
      </c>
      <c r="C30" s="13"/>
      <c r="D30" s="13" t="str">
        <f>_xlfn.XLOOKUP(J30,'Master Data 14-9-2026'!C:C,'Master Data 14-9-2026'!E:E)</f>
        <v>XLSMART</v>
      </c>
      <c r="E30" s="13"/>
      <c r="F30" s="13"/>
      <c r="G30" s="13" t="s">
        <v>13</v>
      </c>
      <c r="H30" s="13" t="str">
        <f>_xlfn.XLOOKUP(J30,'Master Data 14-9-2026'!C:C,'Master Data 14-9-2026'!H:H)</f>
        <v>2026-04-01 - 2026-04-30</v>
      </c>
      <c r="I30" s="13" t="str">
        <f t="shared" si="0"/>
        <v>April</v>
      </c>
      <c r="J30" s="13" t="s">
        <v>976</v>
      </c>
      <c r="K30" s="13" t="s">
        <v>941</v>
      </c>
      <c r="L30" s="13" t="s">
        <v>493</v>
      </c>
      <c r="M30" s="15">
        <v>200003104103020</v>
      </c>
      <c r="N30" s="13" t="s">
        <v>924</v>
      </c>
      <c r="O30" s="13">
        <v>1.0912026050700301E+17</v>
      </c>
      <c r="P30" s="13" t="s">
        <v>942</v>
      </c>
      <c r="Q30" s="18">
        <v>25</v>
      </c>
      <c r="R30" s="18">
        <v>1</v>
      </c>
      <c r="S30" s="13">
        <v>8828132636</v>
      </c>
      <c r="T30" s="13" t="s">
        <v>933</v>
      </c>
      <c r="U30" s="19">
        <v>36992000</v>
      </c>
      <c r="V30" s="18">
        <v>1</v>
      </c>
      <c r="W30" s="18">
        <f>_xlfn.XLOOKUP(J30,'Master Data 14-9-2026'!C:C,'Master Data 14-9-2026'!L:L)</f>
        <v>1.5</v>
      </c>
      <c r="X30" s="23">
        <v>36992000</v>
      </c>
      <c r="Y30" s="13" t="s">
        <v>927</v>
      </c>
      <c r="Z30" s="24" t="s">
        <v>15</v>
      </c>
      <c r="AA30" s="13" t="s">
        <v>934</v>
      </c>
      <c r="AC30" s="4"/>
      <c r="AD30" s="13" t="s">
        <v>935</v>
      </c>
      <c r="AE30" s="13" t="str">
        <f>_xlfn.XLOOKUP(L30,'[1]ID PROJECT'!E:E,'[1]ID PROJECT'!F:F)</f>
        <v>PRJ-KUT-KPU-TPED-2026-04-00079</v>
      </c>
      <c r="AF30" s="13" t="s">
        <v>943</v>
      </c>
      <c r="AG30" s="13" t="s">
        <v>944</v>
      </c>
      <c r="AH30" s="65">
        <v>46197</v>
      </c>
      <c r="AI30" s="27" t="s">
        <v>945</v>
      </c>
    </row>
    <row r="31" spans="1:36" hidden="1">
      <c r="A31" s="13" t="s">
        <v>583</v>
      </c>
      <c r="B31" s="13" t="str">
        <f>_xlfn.XLOOKUP(J31,'Master Data 14-9-2026'!C:C,'Master Data 14-9-2026'!D:D)</f>
        <v>Jepri Hamonangan Saragih wx1504646</v>
      </c>
      <c r="C31" s="13"/>
      <c r="D31" s="13" t="str">
        <f>_xlfn.XLOOKUP(J31,'Master Data 14-9-2026'!C:C,'Master Data 14-9-2026'!E:E)</f>
        <v>XLSMART</v>
      </c>
      <c r="E31" s="13"/>
      <c r="F31" s="13"/>
      <c r="G31" s="13" t="s">
        <v>13</v>
      </c>
      <c r="H31" s="13" t="str">
        <f>_xlfn.XLOOKUP(J31,'Master Data 14-9-2026'!C:C,'Master Data 14-9-2026'!H:H)</f>
        <v>2026-03-23 - 2026-04-22</v>
      </c>
      <c r="I31" s="13" t="str">
        <f t="shared" si="0"/>
        <v>March</v>
      </c>
      <c r="J31" s="13" t="s">
        <v>977</v>
      </c>
      <c r="K31" s="13" t="s">
        <v>941</v>
      </c>
      <c r="L31" s="13" t="s">
        <v>461</v>
      </c>
      <c r="M31" s="15">
        <v>200003104104020</v>
      </c>
      <c r="N31" s="13" t="s">
        <v>924</v>
      </c>
      <c r="O31" s="13">
        <v>1.0912026050700301E+17</v>
      </c>
      <c r="P31" s="13" t="s">
        <v>942</v>
      </c>
      <c r="Q31" s="18">
        <v>26</v>
      </c>
      <c r="R31" s="18">
        <v>1</v>
      </c>
      <c r="S31" s="13">
        <v>8828132634</v>
      </c>
      <c r="T31" s="13" t="s">
        <v>978</v>
      </c>
      <c r="U31" s="19">
        <v>32542400</v>
      </c>
      <c r="V31" s="18">
        <v>1</v>
      </c>
      <c r="W31" s="18">
        <f>_xlfn.XLOOKUP(J31,'Master Data 14-9-2026'!C:C,'Master Data 14-9-2026'!L:L)</f>
        <v>0</v>
      </c>
      <c r="X31" s="23">
        <v>32542400</v>
      </c>
      <c r="Y31" s="13" t="s">
        <v>927</v>
      </c>
      <c r="Z31" s="24" t="s">
        <v>15</v>
      </c>
      <c r="AA31" s="13" t="s">
        <v>934</v>
      </c>
      <c r="AC31" s="4"/>
      <c r="AD31" s="13" t="s">
        <v>935</v>
      </c>
      <c r="AE31" s="13" t="str">
        <f>_xlfn.XLOOKUP(L31,'[1]ID PROJECT'!E:E,'[1]ID PROJECT'!F:F)</f>
        <v>PRJ-KUT-KPU-TPED-2026-04-00078</v>
      </c>
      <c r="AF31" s="13" t="s">
        <v>943</v>
      </c>
      <c r="AG31" s="13" t="s">
        <v>944</v>
      </c>
      <c r="AH31" s="65">
        <v>46197</v>
      </c>
      <c r="AI31" s="27" t="s">
        <v>945</v>
      </c>
    </row>
    <row r="32" spans="1:36" hidden="1">
      <c r="A32" s="13" t="s">
        <v>603</v>
      </c>
      <c r="B32" s="13" t="str">
        <f>_xlfn.XLOOKUP(J32,'Master Data 14-9-2026'!C:C,'Master Data 14-9-2026'!D:D)</f>
        <v>Anggie Bayu Setyawan wx1503644</v>
      </c>
      <c r="C32" s="13"/>
      <c r="D32" s="13" t="str">
        <f>_xlfn.XLOOKUP(J32,'Master Data 14-9-2026'!C:C,'Master Data 14-9-2026'!E:E)</f>
        <v>XLSMART</v>
      </c>
      <c r="E32" s="13"/>
      <c r="F32" s="13"/>
      <c r="G32" s="13" t="s">
        <v>13</v>
      </c>
      <c r="H32" s="13" t="str">
        <f>_xlfn.XLOOKUP(J32,'Master Data 14-9-2026'!C:C,'Master Data 14-9-2026'!H:H)</f>
        <v>2026-03-23 - 2026-04-22</v>
      </c>
      <c r="I32" s="13" t="str">
        <f t="shared" si="0"/>
        <v>March</v>
      </c>
      <c r="J32" s="13" t="s">
        <v>979</v>
      </c>
      <c r="K32" s="13" t="s">
        <v>941</v>
      </c>
      <c r="L32" s="13" t="s">
        <v>520</v>
      </c>
      <c r="M32" s="15">
        <v>200003104105020</v>
      </c>
      <c r="N32" s="13" t="s">
        <v>924</v>
      </c>
      <c r="O32" s="13">
        <v>1.0912026050700301E+17</v>
      </c>
      <c r="P32" s="13" t="s">
        <v>942</v>
      </c>
      <c r="Q32" s="18">
        <v>27</v>
      </c>
      <c r="R32" s="18">
        <v>1</v>
      </c>
      <c r="S32" s="13">
        <v>8828132634</v>
      </c>
      <c r="T32" s="13" t="s">
        <v>978</v>
      </c>
      <c r="U32" s="19">
        <v>32542400</v>
      </c>
      <c r="V32" s="18">
        <v>1</v>
      </c>
      <c r="W32" s="18">
        <f>_xlfn.XLOOKUP(J32,'Master Data 14-9-2026'!C:C,'Master Data 14-9-2026'!L:L)</f>
        <v>0</v>
      </c>
      <c r="X32" s="23">
        <v>32542400</v>
      </c>
      <c r="Y32" s="13" t="s">
        <v>927</v>
      </c>
      <c r="Z32" s="24" t="s">
        <v>15</v>
      </c>
      <c r="AA32" s="13" t="s">
        <v>934</v>
      </c>
      <c r="AC32" s="4"/>
      <c r="AD32" s="13" t="s">
        <v>935</v>
      </c>
      <c r="AE32" s="13" t="str">
        <f>_xlfn.XLOOKUP(L32,'[1]ID PROJECT'!E:E,'[1]ID PROJECT'!F:F)</f>
        <v>PRJ-KUT-KPU-TPED-2026-04-00077</v>
      </c>
      <c r="AF32" s="13" t="s">
        <v>943</v>
      </c>
      <c r="AG32" s="13" t="s">
        <v>944</v>
      </c>
      <c r="AH32" s="65">
        <v>46197</v>
      </c>
      <c r="AI32" s="27" t="s">
        <v>945</v>
      </c>
    </row>
    <row r="33" spans="1:36" hidden="1">
      <c r="A33" s="13" t="s">
        <v>702</v>
      </c>
      <c r="B33" s="13" t="str">
        <f>_xlfn.XLOOKUP(J33,'Master Data 14-9-2026'!C:C,'Master Data 14-9-2026'!D:D)</f>
        <v>I Nyoman Satriya Wibawa wx1503651</v>
      </c>
      <c r="C33" s="13"/>
      <c r="D33" s="13" t="str">
        <f>_xlfn.XLOOKUP(J33,'Master Data 14-9-2026'!C:C,'Master Data 14-9-2026'!E:E)</f>
        <v>IOH</v>
      </c>
      <c r="E33" s="13"/>
      <c r="F33" s="13"/>
      <c r="G33" s="13" t="s">
        <v>13</v>
      </c>
      <c r="H33" s="13" t="str">
        <f>_xlfn.XLOOKUP(J33,'Master Data 14-9-2026'!C:C,'Master Data 14-9-2026'!H:H)</f>
        <v>2026-03-30 - 2026-04-29</v>
      </c>
      <c r="I33" s="13" t="str">
        <f t="shared" si="0"/>
        <v>March</v>
      </c>
      <c r="J33" s="13" t="s">
        <v>980</v>
      </c>
      <c r="K33" s="13" t="s">
        <v>941</v>
      </c>
      <c r="L33" s="13" t="s">
        <v>520</v>
      </c>
      <c r="M33" s="15">
        <v>200003104106020</v>
      </c>
      <c r="N33" s="13" t="s">
        <v>924</v>
      </c>
      <c r="O33" s="13">
        <v>1.0912026050700301E+17</v>
      </c>
      <c r="P33" s="13" t="s">
        <v>942</v>
      </c>
      <c r="Q33" s="18">
        <v>28</v>
      </c>
      <c r="R33" s="18">
        <v>1</v>
      </c>
      <c r="S33" s="13">
        <v>8828132634</v>
      </c>
      <c r="T33" s="13" t="s">
        <v>978</v>
      </c>
      <c r="U33" s="19">
        <v>32542400</v>
      </c>
      <c r="V33" s="18">
        <v>1</v>
      </c>
      <c r="W33" s="18">
        <f>_xlfn.XLOOKUP(J33,'Master Data 14-9-2026'!C:C,'Master Data 14-9-2026'!L:L)</f>
        <v>0</v>
      </c>
      <c r="X33" s="23">
        <v>32542400</v>
      </c>
      <c r="Y33" s="13" t="s">
        <v>927</v>
      </c>
      <c r="Z33" s="24" t="s">
        <v>15</v>
      </c>
      <c r="AA33" s="13" t="s">
        <v>934</v>
      </c>
      <c r="AC33" s="4"/>
      <c r="AD33" s="13" t="s">
        <v>935</v>
      </c>
      <c r="AE33" s="13" t="str">
        <f>_xlfn.XLOOKUP(L33,'[1]ID PROJECT'!E:E,'[1]ID PROJECT'!F:F)</f>
        <v>PRJ-KUT-KPU-TPED-2026-04-00077</v>
      </c>
      <c r="AF33" s="13" t="s">
        <v>943</v>
      </c>
      <c r="AG33" s="13" t="s">
        <v>944</v>
      </c>
      <c r="AH33" s="65">
        <v>46197</v>
      </c>
      <c r="AI33" s="27" t="s">
        <v>945</v>
      </c>
    </row>
    <row r="34" spans="1:36" hidden="1">
      <c r="A34" s="13" t="s">
        <v>577</v>
      </c>
      <c r="B34" s="13" t="str">
        <f>_xlfn.XLOOKUP(J34,'Master Data 14-9-2026'!C:C,'Master Data 14-9-2026'!D:D)</f>
        <v>Ferry Anggriawan wx1503648</v>
      </c>
      <c r="C34" s="13"/>
      <c r="D34" s="13" t="str">
        <f>_xlfn.XLOOKUP(J34,'Master Data 14-9-2026'!C:C,'Master Data 14-9-2026'!E:E)</f>
        <v>XLSMART</v>
      </c>
      <c r="E34" s="13"/>
      <c r="F34" s="13"/>
      <c r="G34" s="13" t="s">
        <v>13</v>
      </c>
      <c r="H34" s="13" t="str">
        <f>_xlfn.XLOOKUP(J34,'Master Data 14-9-2026'!C:C,'Master Data 14-9-2026'!H:H)</f>
        <v>2026-03-31 - 2026-04-29</v>
      </c>
      <c r="I34" s="13" t="str">
        <f t="shared" si="0"/>
        <v>March</v>
      </c>
      <c r="J34" s="13" t="s">
        <v>981</v>
      </c>
      <c r="K34" s="13" t="s">
        <v>941</v>
      </c>
      <c r="L34" s="13" t="s">
        <v>520</v>
      </c>
      <c r="M34" s="15">
        <v>200003104107020</v>
      </c>
      <c r="N34" s="13" t="s">
        <v>924</v>
      </c>
      <c r="O34" s="13">
        <v>1.0912026050700301E+17</v>
      </c>
      <c r="P34" s="13" t="s">
        <v>942</v>
      </c>
      <c r="Q34" s="18">
        <v>29</v>
      </c>
      <c r="R34" s="18">
        <v>1</v>
      </c>
      <c r="S34" s="13">
        <v>8828132634</v>
      </c>
      <c r="T34" s="13" t="s">
        <v>978</v>
      </c>
      <c r="U34" s="19">
        <v>32542400</v>
      </c>
      <c r="V34" s="18">
        <v>1</v>
      </c>
      <c r="W34" s="18">
        <f>_xlfn.XLOOKUP(J34,'Master Data 14-9-2026'!C:C,'Master Data 14-9-2026'!L:L)</f>
        <v>0</v>
      </c>
      <c r="X34" s="23">
        <v>32542400</v>
      </c>
      <c r="Y34" s="13" t="s">
        <v>927</v>
      </c>
      <c r="Z34" s="24" t="s">
        <v>15</v>
      </c>
      <c r="AA34" s="13" t="s">
        <v>934</v>
      </c>
      <c r="AC34" s="4"/>
      <c r="AD34" s="13" t="s">
        <v>935</v>
      </c>
      <c r="AE34" s="13" t="str">
        <f>_xlfn.XLOOKUP(L34,'[1]ID PROJECT'!E:E,'[1]ID PROJECT'!F:F)</f>
        <v>PRJ-KUT-KPU-TPED-2026-04-00077</v>
      </c>
      <c r="AF34" s="13" t="s">
        <v>943</v>
      </c>
      <c r="AG34" s="13" t="s">
        <v>944</v>
      </c>
      <c r="AH34" s="65">
        <v>46197</v>
      </c>
      <c r="AI34" s="27" t="s">
        <v>945</v>
      </c>
    </row>
    <row r="35" spans="1:36" hidden="1">
      <c r="A35" s="13" t="s">
        <v>982</v>
      </c>
      <c r="B35" s="13" t="e">
        <f>_xlfn.XLOOKUP(J35,'Master Data 14-9-2026'!C:C,'Master Data 14-9-2026'!D:D)</f>
        <v>#N/A</v>
      </c>
      <c r="C35" s="13"/>
      <c r="D35" s="13" t="e">
        <f>_xlfn.XLOOKUP(J35,'Master Data 14-9-2026'!C:C,'Master Data 14-9-2026'!E:E)</f>
        <v>#N/A</v>
      </c>
      <c r="E35" s="13"/>
      <c r="F35" s="13"/>
      <c r="G35" s="13" t="s">
        <v>13</v>
      </c>
      <c r="H35" s="13" t="e">
        <f>_xlfn.XLOOKUP(J35,'Master Data 14-9-2026'!C:C,'Master Data 14-9-2026'!H:H)</f>
        <v>#N/A</v>
      </c>
      <c r="I35" s="13" t="e">
        <f t="shared" si="0"/>
        <v>#N/A</v>
      </c>
      <c r="J35" s="13" t="s">
        <v>983</v>
      </c>
      <c r="K35" s="13" t="s">
        <v>941</v>
      </c>
      <c r="L35" s="13"/>
      <c r="M35" s="15">
        <v>200003104108020</v>
      </c>
      <c r="N35" s="13" t="s">
        <v>924</v>
      </c>
      <c r="O35" s="13">
        <v>1.0912026050700301E+17</v>
      </c>
      <c r="P35" s="13" t="s">
        <v>942</v>
      </c>
      <c r="Q35" s="18">
        <v>30</v>
      </c>
      <c r="R35" s="18">
        <v>1</v>
      </c>
      <c r="S35" s="13">
        <v>8828132634</v>
      </c>
      <c r="T35" s="13" t="s">
        <v>978</v>
      </c>
      <c r="U35" s="19">
        <v>32542400</v>
      </c>
      <c r="V35" s="18">
        <v>0</v>
      </c>
      <c r="W35" s="18" t="e">
        <f>_xlfn.XLOOKUP(J35,'Master Data 14-9-2026'!C:C,'Master Data 14-9-2026'!L:L)</f>
        <v>#N/A</v>
      </c>
      <c r="X35" s="23">
        <v>0</v>
      </c>
      <c r="Y35" s="13" t="s">
        <v>927</v>
      </c>
      <c r="Z35" s="24" t="s">
        <v>984</v>
      </c>
      <c r="AA35" s="4" t="s">
        <v>928</v>
      </c>
      <c r="AB35" s="13" t="s">
        <v>985</v>
      </c>
      <c r="AC35" s="13"/>
      <c r="AD35" s="13"/>
      <c r="AE35" s="13" t="e">
        <f>_xlfn.XLOOKUP(L35,'[1]ID PROJECT'!E:E,'[1]ID PROJECT'!F:F)</f>
        <v>#N/A</v>
      </c>
      <c r="AF35" s="13"/>
      <c r="AG35" s="13"/>
      <c r="AH35" s="65"/>
      <c r="AI35" s="27"/>
    </row>
    <row r="36" spans="1:36" hidden="1">
      <c r="A36" s="13" t="s">
        <v>617</v>
      </c>
      <c r="B36" s="13" t="str">
        <f>_xlfn.XLOOKUP(J36,'Master Data 14-9-2026'!C:C,'Master Data 14-9-2026'!D:D)</f>
        <v>Eko Syambudi Deviyanto wx1507285</v>
      </c>
      <c r="C36" s="13" t="s">
        <v>986</v>
      </c>
      <c r="D36" s="13" t="str">
        <f>_xlfn.XLOOKUP(J36,'Master Data 14-9-2026'!C:C,'Master Data 14-9-2026'!E:E)</f>
        <v>XL-FTTH</v>
      </c>
      <c r="E36" s="13" t="s">
        <v>987</v>
      </c>
      <c r="F36" s="13"/>
      <c r="G36" s="13" t="s">
        <v>13</v>
      </c>
      <c r="H36" s="13" t="str">
        <f>_xlfn.XLOOKUP(J36,'Master Data 14-9-2026'!C:C,'Master Data 14-9-2026'!H:H)</f>
        <v>2026-04-01 - 2026-04-30</v>
      </c>
      <c r="I36" s="13" t="str">
        <f t="shared" si="0"/>
        <v>April</v>
      </c>
      <c r="J36" s="13" t="s">
        <v>988</v>
      </c>
      <c r="K36" s="13" t="s">
        <v>941</v>
      </c>
      <c r="L36" s="13" t="s">
        <v>441</v>
      </c>
      <c r="M36" s="15">
        <v>200003104078020</v>
      </c>
      <c r="N36" s="13" t="s">
        <v>924</v>
      </c>
      <c r="O36" s="13">
        <v>1.0912026050700301E+17</v>
      </c>
      <c r="P36" s="13" t="s">
        <v>942</v>
      </c>
      <c r="Q36" s="18">
        <v>31</v>
      </c>
      <c r="R36" s="18">
        <v>1</v>
      </c>
      <c r="S36" s="13">
        <v>8828132634</v>
      </c>
      <c r="T36" s="13" t="s">
        <v>978</v>
      </c>
      <c r="U36" s="19">
        <v>32542400</v>
      </c>
      <c r="V36" s="18">
        <v>1</v>
      </c>
      <c r="W36" s="18">
        <f>_xlfn.XLOOKUP(J36,'Master Data 14-9-2026'!C:C,'Master Data 14-9-2026'!L:L)</f>
        <v>0</v>
      </c>
      <c r="X36" s="23">
        <v>32542400</v>
      </c>
      <c r="Y36" s="13" t="s">
        <v>927</v>
      </c>
      <c r="Z36" s="24" t="s">
        <v>15</v>
      </c>
      <c r="AA36" s="4" t="s">
        <v>928</v>
      </c>
      <c r="AB36" s="13" t="s">
        <v>989</v>
      </c>
      <c r="AC36" s="13" t="s">
        <v>965</v>
      </c>
      <c r="AD36" s="13"/>
      <c r="AE36" s="13" t="str">
        <f>_xlfn.XLOOKUP(L36,'[1]ID PROJECT'!E:E,'[1]ID PROJECT'!F:F)</f>
        <v xml:space="preserve">PRJ-KUT-KPU-TPED-2026-04-00071 </v>
      </c>
      <c r="AF36" s="13"/>
      <c r="AG36" s="13"/>
      <c r="AH36" s="65"/>
      <c r="AI36" s="27"/>
    </row>
    <row r="37" spans="1:36" hidden="1">
      <c r="A37" s="13" t="s">
        <v>736</v>
      </c>
      <c r="B37" s="13" t="str">
        <f>_xlfn.XLOOKUP(J37,'Master Data 14-9-2026'!C:C,'Master Data 14-9-2026'!D:D)</f>
        <v>Dheanera Fairuz Hasna wx1507280</v>
      </c>
      <c r="C37" s="13"/>
      <c r="D37" s="13" t="str">
        <f>_xlfn.XLOOKUP(J37,'Master Data 14-9-2026'!C:C,'Master Data 14-9-2026'!E:E)</f>
        <v>XLSMART</v>
      </c>
      <c r="E37" s="13"/>
      <c r="F37" s="13"/>
      <c r="G37" s="13" t="s">
        <v>13</v>
      </c>
      <c r="H37" s="13" t="str">
        <f>_xlfn.XLOOKUP(J37,'Master Data 14-9-2026'!C:C,'Master Data 14-9-2026'!H:H)</f>
        <v>2026-04-01 - 2026-04-30</v>
      </c>
      <c r="I37" s="13" t="str">
        <f t="shared" si="0"/>
        <v>April</v>
      </c>
      <c r="J37" s="13" t="s">
        <v>990</v>
      </c>
      <c r="K37" s="13" t="s">
        <v>941</v>
      </c>
      <c r="L37" s="13" t="s">
        <v>441</v>
      </c>
      <c r="M37" s="15">
        <v>200003104093020</v>
      </c>
      <c r="N37" s="13" t="s">
        <v>924</v>
      </c>
      <c r="O37" s="13">
        <v>1.0912026050700301E+17</v>
      </c>
      <c r="P37" s="13" t="s">
        <v>942</v>
      </c>
      <c r="Q37" s="18">
        <v>32</v>
      </c>
      <c r="R37" s="18">
        <v>1</v>
      </c>
      <c r="S37" s="13">
        <v>8828132635</v>
      </c>
      <c r="T37" s="13" t="s">
        <v>926</v>
      </c>
      <c r="U37" s="19">
        <v>34220600</v>
      </c>
      <c r="V37" s="18">
        <v>1</v>
      </c>
      <c r="W37" s="18">
        <f>_xlfn.XLOOKUP(J37,'Master Data 14-9-2026'!C:C,'Master Data 14-9-2026'!L:L)</f>
        <v>1.5</v>
      </c>
      <c r="X37" s="23">
        <v>34220600</v>
      </c>
      <c r="Y37" s="13" t="s">
        <v>927</v>
      </c>
      <c r="Z37" s="24" t="s">
        <v>15</v>
      </c>
      <c r="AA37" s="13" t="s">
        <v>934</v>
      </c>
      <c r="AC37" s="4"/>
      <c r="AD37" s="13" t="s">
        <v>935</v>
      </c>
      <c r="AE37" s="13" t="str">
        <f>_xlfn.XLOOKUP(L37,'[1]ID PROJECT'!E:E,'[1]ID PROJECT'!F:F)</f>
        <v xml:space="preserve">PRJ-KUT-KPU-TPED-2026-04-00071 </v>
      </c>
      <c r="AF37" s="13" t="s">
        <v>943</v>
      </c>
      <c r="AG37" s="13" t="s">
        <v>944</v>
      </c>
      <c r="AH37" s="65">
        <v>46197</v>
      </c>
      <c r="AI37" s="27" t="s">
        <v>945</v>
      </c>
    </row>
    <row r="38" spans="1:36" hidden="1">
      <c r="A38" s="13" t="s">
        <v>138</v>
      </c>
      <c r="B38" s="13" t="str">
        <f>_xlfn.XLOOKUP(J38,'Master Data 14-9-2026'!C:C,'Master Data 14-9-2026'!D:D)</f>
        <v>Raden Inna Rachmasetia wx1506939</v>
      </c>
      <c r="C38" s="13"/>
      <c r="D38" s="13" t="str">
        <f>_xlfn.XLOOKUP(J38,'Master Data 14-9-2026'!C:C,'Master Data 14-9-2026'!E:E)</f>
        <v>XL-FTTH</v>
      </c>
      <c r="E38" s="13"/>
      <c r="F38" s="13"/>
      <c r="G38" s="13" t="s">
        <v>13</v>
      </c>
      <c r="H38" s="13" t="str">
        <f>_xlfn.XLOOKUP(J38,'Master Data 14-9-2026'!C:C,'Master Data 14-9-2026'!H:H)</f>
        <v>2026-04-01 - 2026-04-30</v>
      </c>
      <c r="I38" s="13" t="str">
        <f t="shared" si="0"/>
        <v>April</v>
      </c>
      <c r="J38" s="13" t="s">
        <v>991</v>
      </c>
      <c r="K38" s="13" t="s">
        <v>991</v>
      </c>
      <c r="L38" s="13" t="s">
        <v>441</v>
      </c>
      <c r="M38" s="15">
        <v>200003103307020</v>
      </c>
      <c r="N38" s="13" t="s">
        <v>924</v>
      </c>
      <c r="O38" s="13">
        <v>1.0912026050900301E+17</v>
      </c>
      <c r="P38" s="13" t="s">
        <v>992</v>
      </c>
      <c r="Q38" s="18">
        <v>1</v>
      </c>
      <c r="R38" s="18">
        <v>1</v>
      </c>
      <c r="S38" s="13">
        <v>8828132633</v>
      </c>
      <c r="T38" s="13" t="s">
        <v>951</v>
      </c>
      <c r="U38" s="19">
        <v>28881900</v>
      </c>
      <c r="V38" s="18">
        <v>1</v>
      </c>
      <c r="W38" s="18">
        <f>_xlfn.XLOOKUP(J38,'Master Data 14-9-2026'!C:C,'Master Data 14-9-2026'!L:L)</f>
        <v>1.5</v>
      </c>
      <c r="X38" s="23">
        <v>28881900</v>
      </c>
      <c r="Y38" s="13" t="s">
        <v>993</v>
      </c>
      <c r="Z38" s="24" t="s">
        <v>15</v>
      </c>
      <c r="AA38" s="4" t="s">
        <v>934</v>
      </c>
      <c r="AB38" s="13"/>
      <c r="AC38" s="13"/>
      <c r="AD38" s="13" t="s">
        <v>935</v>
      </c>
      <c r="AE38" s="13" t="str">
        <f>_xlfn.XLOOKUP(L38,'[1]ID PROJECT'!E:E,'[1]ID PROJECT'!F:F)</f>
        <v xml:space="preserve">PRJ-KUT-KPU-TPED-2026-04-00071 </v>
      </c>
      <c r="AF38" s="4" t="s">
        <v>994</v>
      </c>
      <c r="AG38" s="13" t="s">
        <v>995</v>
      </c>
      <c r="AH38" s="65">
        <v>46221</v>
      </c>
      <c r="AI38" s="27" t="s">
        <v>938</v>
      </c>
    </row>
    <row r="39" spans="1:36" hidden="1">
      <c r="A39" s="13" t="s">
        <v>192</v>
      </c>
      <c r="B39" s="13" t="str">
        <f>_xlfn.XLOOKUP(J39,'Master Data 14-9-2026'!C:C,'Master Data 14-9-2026'!D:D)</f>
        <v>Alifya Rahma Asy Syaffa wx1504637</v>
      </c>
      <c r="C39" s="13"/>
      <c r="D39" s="13" t="str">
        <f>_xlfn.XLOOKUP(J39,'Master Data 14-9-2026'!C:C,'Master Data 14-9-2026'!E:E)</f>
        <v>Surge</v>
      </c>
      <c r="E39" s="13"/>
      <c r="F39" s="13"/>
      <c r="G39" s="13" t="s">
        <v>13</v>
      </c>
      <c r="H39" s="13" t="str">
        <f>_xlfn.XLOOKUP(J39,'Master Data 14-9-2026'!C:C,'Master Data 14-9-2026'!H:H)</f>
        <v>2026-04-01 - 2026-04-30</v>
      </c>
      <c r="I39" s="13" t="str">
        <f t="shared" si="0"/>
        <v>April</v>
      </c>
      <c r="J39" s="13" t="s">
        <v>996</v>
      </c>
      <c r="K39" s="13" t="s">
        <v>996</v>
      </c>
      <c r="L39" s="13" t="s">
        <v>441</v>
      </c>
      <c r="M39" s="15">
        <v>200003106222020</v>
      </c>
      <c r="N39" s="13" t="s">
        <v>924</v>
      </c>
      <c r="O39" s="13">
        <v>1.09120260511002E+17</v>
      </c>
      <c r="P39" s="13" t="s">
        <v>997</v>
      </c>
      <c r="Q39" s="18">
        <v>1</v>
      </c>
      <c r="R39" s="18">
        <v>1</v>
      </c>
      <c r="S39" s="13">
        <v>8828132633</v>
      </c>
      <c r="T39" s="13" t="s">
        <v>951</v>
      </c>
      <c r="U39" s="19">
        <v>28881900</v>
      </c>
      <c r="V39" s="18">
        <v>1</v>
      </c>
      <c r="W39" s="18">
        <f>_xlfn.XLOOKUP(J39,'Master Data 14-9-2026'!C:C,'Master Data 14-9-2026'!L:L)</f>
        <v>1.01</v>
      </c>
      <c r="X39" s="23">
        <v>28881900</v>
      </c>
      <c r="Y39" s="13" t="s">
        <v>998</v>
      </c>
      <c r="Z39" s="24" t="s">
        <v>15</v>
      </c>
      <c r="AA39" s="13" t="s">
        <v>934</v>
      </c>
      <c r="AC39" s="4"/>
      <c r="AD39" s="13" t="s">
        <v>935</v>
      </c>
      <c r="AE39" s="13" t="str">
        <f>_xlfn.XLOOKUP(L39,'[1]ID PROJECT'!E:E,'[1]ID PROJECT'!F:F)</f>
        <v xml:space="preserve">PRJ-KUT-KPU-TPED-2026-04-00071 </v>
      </c>
      <c r="AF39" s="13" t="s">
        <v>999</v>
      </c>
      <c r="AG39" s="13" t="s">
        <v>1000</v>
      </c>
      <c r="AH39" s="65">
        <v>46216</v>
      </c>
      <c r="AI39" s="27" t="s">
        <v>938</v>
      </c>
    </row>
    <row r="40" spans="1:36" hidden="1">
      <c r="A40" s="13" t="s">
        <v>455</v>
      </c>
      <c r="B40" s="13" t="str">
        <f>_xlfn.XLOOKUP(J40,'Master Data 14-9-2026'!C:C,'Master Data 14-9-2026'!D:D)</f>
        <v>Kamiludin Hartanto wx1517183</v>
      </c>
      <c r="C40" s="13"/>
      <c r="D40" s="13" t="str">
        <f>_xlfn.XLOOKUP(J40,'Master Data 14-9-2026'!C:C,'Master Data 14-9-2026'!E:E)</f>
        <v>Surge</v>
      </c>
      <c r="E40" s="13"/>
      <c r="F40" s="13"/>
      <c r="G40" s="13" t="s">
        <v>13</v>
      </c>
      <c r="H40" s="13" t="str">
        <f>_xlfn.XLOOKUP(J40,'Master Data 14-9-2026'!C:C,'Master Data 14-9-2026'!H:H)</f>
        <v>2026-05-05 - 2026-06-04</v>
      </c>
      <c r="I40" s="13" t="str">
        <f t="shared" si="0"/>
        <v>May</v>
      </c>
      <c r="J40" s="13" t="s">
        <v>1001</v>
      </c>
      <c r="K40" s="13" t="s">
        <v>1001</v>
      </c>
      <c r="L40" s="13" t="s">
        <v>457</v>
      </c>
      <c r="M40" s="15">
        <v>200003106224020</v>
      </c>
      <c r="N40" s="13" t="s">
        <v>924</v>
      </c>
      <c r="O40" s="13">
        <v>1.09120260511002E+17</v>
      </c>
      <c r="P40" s="13" t="s">
        <v>997</v>
      </c>
      <c r="Q40" s="18">
        <v>2</v>
      </c>
      <c r="R40" s="18">
        <v>1</v>
      </c>
      <c r="S40" s="13">
        <v>8828132636</v>
      </c>
      <c r="T40" s="13" t="s">
        <v>933</v>
      </c>
      <c r="U40" s="19">
        <v>36992000</v>
      </c>
      <c r="V40" s="18">
        <v>1</v>
      </c>
      <c r="W40" s="18">
        <f>_xlfn.XLOOKUP(J40,'Master Data 14-9-2026'!C:C,'Master Data 14-9-2026'!L:L)</f>
        <v>1.5</v>
      </c>
      <c r="X40" s="23">
        <v>36992000</v>
      </c>
      <c r="Y40" s="13" t="s">
        <v>998</v>
      </c>
      <c r="Z40" s="24" t="s">
        <v>15</v>
      </c>
      <c r="AA40" s="13" t="s">
        <v>934</v>
      </c>
      <c r="AC40" s="4"/>
      <c r="AD40" s="13" t="s">
        <v>935</v>
      </c>
      <c r="AE40" s="13" t="str">
        <f>_xlfn.XLOOKUP(L40,'[1]ID PROJECT'!E:E,'[1]ID PROJECT'!F:F)</f>
        <v>PRJ-KUT-KPU-TPED-2026-04-00076</v>
      </c>
      <c r="AF40" s="13" t="s">
        <v>999</v>
      </c>
      <c r="AG40" s="13" t="s">
        <v>1000</v>
      </c>
      <c r="AH40" s="65">
        <v>46216</v>
      </c>
      <c r="AI40" s="27" t="s">
        <v>938</v>
      </c>
    </row>
    <row r="41" spans="1:36" hidden="1">
      <c r="A41" s="13" t="s">
        <v>829</v>
      </c>
      <c r="B41" s="13" t="str">
        <f>_xlfn.XLOOKUP(J41,'Master Data 14-9-2026'!C:C,'Master Data 14-9-2026'!D:D)</f>
        <v>Wayan Gde Krisna wx1516087</v>
      </c>
      <c r="C41" s="13"/>
      <c r="D41" s="13" t="str">
        <f>_xlfn.XLOOKUP(J41,'Master Data 14-9-2026'!C:C,'Master Data 14-9-2026'!E:E)</f>
        <v>Surge</v>
      </c>
      <c r="E41" s="13"/>
      <c r="F41" s="13"/>
      <c r="G41" s="13" t="s">
        <v>13</v>
      </c>
      <c r="H41" s="13" t="str">
        <f>_xlfn.XLOOKUP(J41,'Master Data 14-9-2026'!C:C,'Master Data 14-9-2026'!H:H)</f>
        <v>2026-04-27 - 2026-05-26</v>
      </c>
      <c r="I41" s="13" t="str">
        <f t="shared" si="0"/>
        <v>April</v>
      </c>
      <c r="J41" s="13" t="s">
        <v>1002</v>
      </c>
      <c r="K41" s="13" t="s">
        <v>1002</v>
      </c>
      <c r="L41" s="13" t="s">
        <v>441</v>
      </c>
      <c r="M41" s="15">
        <v>200003106223020</v>
      </c>
      <c r="N41" s="13" t="s">
        <v>924</v>
      </c>
      <c r="O41" s="13">
        <v>1.09120260511002E+17</v>
      </c>
      <c r="P41" s="13" t="s">
        <v>997</v>
      </c>
      <c r="Q41" s="18">
        <v>3</v>
      </c>
      <c r="R41" s="18">
        <v>1</v>
      </c>
      <c r="S41" s="13">
        <v>8828132635</v>
      </c>
      <c r="T41" s="13" t="s">
        <v>926</v>
      </c>
      <c r="U41" s="19">
        <v>34220600</v>
      </c>
      <c r="V41" s="18">
        <v>1</v>
      </c>
      <c r="W41" s="18">
        <f>_xlfn.XLOOKUP(J41,'Master Data 14-9-2026'!C:C,'Master Data 14-9-2026'!L:L)</f>
        <v>0.5</v>
      </c>
      <c r="X41" s="23">
        <v>34220600</v>
      </c>
      <c r="Y41" s="13" t="s">
        <v>998</v>
      </c>
      <c r="Z41" s="24" t="s">
        <v>15</v>
      </c>
      <c r="AA41" s="13" t="s">
        <v>934</v>
      </c>
      <c r="AC41" s="4"/>
      <c r="AD41" s="13" t="s">
        <v>935</v>
      </c>
      <c r="AE41" s="13" t="str">
        <f>_xlfn.XLOOKUP(L41,'[1]ID PROJECT'!E:E,'[1]ID PROJECT'!F:F)</f>
        <v xml:space="preserve">PRJ-KUT-KPU-TPED-2026-04-00071 </v>
      </c>
      <c r="AF41" s="13" t="s">
        <v>999</v>
      </c>
      <c r="AG41" s="13" t="s">
        <v>1000</v>
      </c>
      <c r="AH41" s="65">
        <v>46216</v>
      </c>
      <c r="AI41" s="27" t="s">
        <v>938</v>
      </c>
    </row>
    <row r="42" spans="1:36" hidden="1">
      <c r="A42" s="13" t="s">
        <v>797</v>
      </c>
      <c r="B42" s="13" t="str">
        <f>_xlfn.XLOOKUP(J42,'Master Data 14-9-2026'!C:C,'Master Data 14-9-2026'!D:D)</f>
        <v>Robby Awaludin wx1503642</v>
      </c>
      <c r="C42" s="13"/>
      <c r="D42" s="13" t="str">
        <f>_xlfn.XLOOKUP(J42,'Master Data 14-9-2026'!C:C,'Master Data 14-9-2026'!E:E)</f>
        <v>XLSMART-NWL</v>
      </c>
      <c r="E42" s="13"/>
      <c r="F42" s="13"/>
      <c r="G42" s="13" t="s">
        <v>13</v>
      </c>
      <c r="H42" s="13" t="str">
        <f>_xlfn.XLOOKUP(J42,'Master Data 14-9-2026'!C:C,'Master Data 14-9-2026'!H:H)</f>
        <v>2026-03-30 - 2026-04-29</v>
      </c>
      <c r="I42" s="13" t="str">
        <f t="shared" si="0"/>
        <v>March</v>
      </c>
      <c r="J42" s="13" t="s">
        <v>1003</v>
      </c>
      <c r="K42" s="13" t="s">
        <v>1004</v>
      </c>
      <c r="L42" s="13" t="s">
        <v>457</v>
      </c>
      <c r="M42" s="15">
        <v>200003103271020</v>
      </c>
      <c r="N42" s="13" t="s">
        <v>924</v>
      </c>
      <c r="O42" s="13">
        <v>1.0912026051200301E+17</v>
      </c>
      <c r="P42" s="13" t="s">
        <v>1005</v>
      </c>
      <c r="Q42" s="18">
        <v>2</v>
      </c>
      <c r="R42" s="18">
        <v>1</v>
      </c>
      <c r="S42" s="13">
        <v>8828132635</v>
      </c>
      <c r="T42" s="13" t="s">
        <v>926</v>
      </c>
      <c r="U42" s="19">
        <v>34220600</v>
      </c>
      <c r="V42" s="18">
        <v>1</v>
      </c>
      <c r="W42" s="18">
        <f>_xlfn.XLOOKUP(J42,'Master Data 14-9-2026'!C:C,'Master Data 14-9-2026'!L:L)</f>
        <v>1</v>
      </c>
      <c r="X42" s="23">
        <v>34220600</v>
      </c>
      <c r="Y42" s="13" t="s">
        <v>998</v>
      </c>
      <c r="Z42" s="24" t="str">
        <f>_xlfn.XLOOKUP(J42,'Master Data 14-9-2026'!C:C,'Master Data 14-9-2026'!I:I)</f>
        <v>Ended</v>
      </c>
      <c r="AA42" s="13" t="s">
        <v>934</v>
      </c>
      <c r="AC42" s="4"/>
      <c r="AD42" s="13" t="s">
        <v>935</v>
      </c>
      <c r="AE42" s="13" t="str">
        <f>_xlfn.XLOOKUP(L42,'[1]ID PROJECT'!E:E,'[1]ID PROJECT'!F:F)</f>
        <v>PRJ-KUT-KPU-TPED-2026-04-00076</v>
      </c>
      <c r="AF42" s="13" t="s">
        <v>1006</v>
      </c>
      <c r="AG42" s="13" t="s">
        <v>1007</v>
      </c>
      <c r="AH42" s="65">
        <v>46202</v>
      </c>
      <c r="AI42" s="27" t="s">
        <v>945</v>
      </c>
    </row>
    <row r="43" spans="1:36" hidden="1">
      <c r="A43" s="13" t="s">
        <v>601</v>
      </c>
      <c r="B43" s="13" t="str">
        <f>_xlfn.XLOOKUP(J43,'Master Data 14-9-2026'!C:C,'Master Data 14-9-2026'!D:D)</f>
        <v>Aktortifan Ridno Prabu Pratama wx1507287</v>
      </c>
      <c r="C43" s="13"/>
      <c r="D43" s="13" t="str">
        <f>_xlfn.XLOOKUP(J43,'Master Data 14-9-2026'!C:C,'Master Data 14-9-2026'!E:E)</f>
        <v>XLSMART-NWL</v>
      </c>
      <c r="E43" s="13"/>
      <c r="F43" s="13"/>
      <c r="G43" s="13" t="s">
        <v>13</v>
      </c>
      <c r="H43" s="13" t="str">
        <f>_xlfn.XLOOKUP(J43,'Master Data 14-9-2026'!C:C,'Master Data 14-9-2026'!H:H)</f>
        <v>2026-04-01 - 2026-04-30</v>
      </c>
      <c r="I43" s="13" t="str">
        <f t="shared" si="0"/>
        <v>April</v>
      </c>
      <c r="J43" s="13" t="s">
        <v>1008</v>
      </c>
      <c r="K43" s="13" t="s">
        <v>1004</v>
      </c>
      <c r="L43" s="13" t="s">
        <v>475</v>
      </c>
      <c r="M43" s="15">
        <v>200003103272020</v>
      </c>
      <c r="N43" s="13" t="s">
        <v>924</v>
      </c>
      <c r="O43" s="13">
        <v>1.0912026051200301E+17</v>
      </c>
      <c r="P43" s="13" t="s">
        <v>1005</v>
      </c>
      <c r="Q43" s="18">
        <v>3</v>
      </c>
      <c r="R43" s="18">
        <v>1</v>
      </c>
      <c r="S43" s="13">
        <v>8828132634</v>
      </c>
      <c r="T43" s="13" t="s">
        <v>978</v>
      </c>
      <c r="U43" s="19">
        <v>32542400</v>
      </c>
      <c r="V43" s="18">
        <v>1</v>
      </c>
      <c r="W43" s="18">
        <f>_xlfn.XLOOKUP(J43,'Master Data 14-9-2026'!C:C,'Master Data 14-9-2026'!L:L)</f>
        <v>0</v>
      </c>
      <c r="X43" s="23">
        <v>32542400</v>
      </c>
      <c r="Y43" s="13" t="s">
        <v>998</v>
      </c>
      <c r="Z43" s="24" t="s">
        <v>15</v>
      </c>
      <c r="AA43" s="13" t="s">
        <v>934</v>
      </c>
      <c r="AC43" s="4"/>
      <c r="AD43" s="13" t="s">
        <v>935</v>
      </c>
      <c r="AE43" s="13" t="str">
        <f>_xlfn.XLOOKUP(L43,'[1]ID PROJECT'!E:E,'[1]ID PROJECT'!F:F)</f>
        <v>PRJ-KUT-KPU-TPED-2026-04-00074</v>
      </c>
      <c r="AF43" s="13" t="s">
        <v>1006</v>
      </c>
      <c r="AG43" s="13" t="s">
        <v>1007</v>
      </c>
      <c r="AH43" s="65">
        <v>46202</v>
      </c>
      <c r="AI43" s="27" t="s">
        <v>945</v>
      </c>
    </row>
    <row r="44" spans="1:36" hidden="1">
      <c r="A44" s="13" t="s">
        <v>629</v>
      </c>
      <c r="B44" s="13" t="str">
        <f>_xlfn.XLOOKUP(J44,'Master Data 14-9-2026'!C:C,'Master Data 14-9-2026'!D:D)</f>
        <v>Ahmad Faqih wx1507096</v>
      </c>
      <c r="C44" s="13"/>
      <c r="D44" s="13" t="str">
        <f>_xlfn.XLOOKUP(J44,'Master Data 14-9-2026'!C:C,'Master Data 14-9-2026'!E:E)</f>
        <v>XLSMART</v>
      </c>
      <c r="E44" s="13"/>
      <c r="F44" s="13"/>
      <c r="G44" s="13" t="s">
        <v>13</v>
      </c>
      <c r="H44" s="13" t="str">
        <f>_xlfn.XLOOKUP(J44,'Master Data 14-9-2026'!C:C,'Master Data 14-9-2026'!H:H)</f>
        <v>2026-04-01 - 2026-04-30</v>
      </c>
      <c r="I44" s="13" t="str">
        <f t="shared" si="0"/>
        <v>April</v>
      </c>
      <c r="J44" s="13" t="s">
        <v>1009</v>
      </c>
      <c r="K44" s="13" t="s">
        <v>1004</v>
      </c>
      <c r="L44" s="13" t="s">
        <v>441</v>
      </c>
      <c r="M44" s="15">
        <v>200003103273020</v>
      </c>
      <c r="N44" s="13" t="s">
        <v>924</v>
      </c>
      <c r="O44" s="13">
        <v>1.0912026051200301E+17</v>
      </c>
      <c r="P44" s="13" t="s">
        <v>1005</v>
      </c>
      <c r="Q44" s="18">
        <v>4</v>
      </c>
      <c r="R44" s="18">
        <v>1</v>
      </c>
      <c r="S44" s="13">
        <v>8828132634</v>
      </c>
      <c r="T44" s="13" t="s">
        <v>978</v>
      </c>
      <c r="U44" s="19">
        <v>32542400</v>
      </c>
      <c r="V44" s="18">
        <v>1</v>
      </c>
      <c r="W44" s="18">
        <f>_xlfn.XLOOKUP(J44,'Master Data 14-9-2026'!C:C,'Master Data 14-9-2026'!L:L)</f>
        <v>0</v>
      </c>
      <c r="X44" s="23">
        <v>32542400</v>
      </c>
      <c r="Y44" s="13" t="s">
        <v>998</v>
      </c>
      <c r="Z44" s="24" t="s">
        <v>15</v>
      </c>
      <c r="AA44" s="4" t="s">
        <v>928</v>
      </c>
      <c r="AB44" s="13" t="s">
        <v>1010</v>
      </c>
      <c r="AC44" s="13"/>
      <c r="AD44" s="13"/>
      <c r="AE44" s="13" t="str">
        <f>_xlfn.XLOOKUP(L44,'[1]ID PROJECT'!E:E,'[1]ID PROJECT'!F:F)</f>
        <v xml:space="preserve">PRJ-KUT-KPU-TPED-2026-04-00071 </v>
      </c>
      <c r="AF44" s="13"/>
      <c r="AG44" s="13"/>
      <c r="AH44" s="65"/>
      <c r="AI44" s="27"/>
    </row>
    <row r="45" spans="1:36" hidden="1">
      <c r="A45" s="13" t="s">
        <v>1011</v>
      </c>
      <c r="B45" s="13" t="e">
        <f>_xlfn.XLOOKUP(J45,'Master Data 14-9-2026'!C:C,'Master Data 14-9-2026'!D:D)</f>
        <v>#N/A</v>
      </c>
      <c r="C45" s="13"/>
      <c r="D45" s="13" t="e">
        <f>_xlfn.XLOOKUP(J45,'Master Data 14-9-2026'!C:C,'Master Data 14-9-2026'!E:E)</f>
        <v>#N/A</v>
      </c>
      <c r="E45" s="13"/>
      <c r="F45" s="13"/>
      <c r="G45" s="13" t="s">
        <v>13</v>
      </c>
      <c r="H45" s="13" t="e">
        <f>_xlfn.XLOOKUP(J45,'Master Data 14-9-2026'!C:C,'Master Data 14-9-2026'!H:H)</f>
        <v>#N/A</v>
      </c>
      <c r="I45" s="13" t="e">
        <f t="shared" si="0"/>
        <v>#N/A</v>
      </c>
      <c r="J45" s="13" t="s">
        <v>1012</v>
      </c>
      <c r="K45" s="13" t="s">
        <v>1004</v>
      </c>
      <c r="L45" s="13" t="s">
        <v>441</v>
      </c>
      <c r="M45" s="15">
        <v>200003103274020</v>
      </c>
      <c r="N45" s="13" t="s">
        <v>924</v>
      </c>
      <c r="O45" s="13">
        <v>1.0912026051200301E+17</v>
      </c>
      <c r="P45" s="13" t="s">
        <v>1005</v>
      </c>
      <c r="Q45" s="18">
        <v>5</v>
      </c>
      <c r="R45" s="18">
        <v>1</v>
      </c>
      <c r="S45" s="13">
        <v>8828132634</v>
      </c>
      <c r="T45" s="13" t="s">
        <v>978</v>
      </c>
      <c r="U45" s="19">
        <v>32542400</v>
      </c>
      <c r="V45" s="18">
        <v>1</v>
      </c>
      <c r="W45" s="18" t="e">
        <f>_xlfn.XLOOKUP(J45,'Master Data 14-9-2026'!C:C,'Master Data 14-9-2026'!L:L)</f>
        <v>#N/A</v>
      </c>
      <c r="X45" s="23">
        <v>32542400</v>
      </c>
      <c r="Y45" s="13" t="s">
        <v>998</v>
      </c>
      <c r="Z45" s="24" t="s">
        <v>15</v>
      </c>
      <c r="AA45" s="13" t="s">
        <v>934</v>
      </c>
      <c r="AC45" s="4"/>
      <c r="AD45" s="13" t="s">
        <v>935</v>
      </c>
      <c r="AE45" s="13" t="str">
        <f>_xlfn.XLOOKUP(L45,'[1]ID PROJECT'!E:E,'[1]ID PROJECT'!F:F)</f>
        <v xml:space="preserve">PRJ-KUT-KPU-TPED-2026-04-00071 </v>
      </c>
      <c r="AF45" s="13" t="s">
        <v>1006</v>
      </c>
      <c r="AG45" s="13" t="s">
        <v>1007</v>
      </c>
      <c r="AH45" s="65">
        <v>46202</v>
      </c>
      <c r="AI45" s="27" t="s">
        <v>945</v>
      </c>
    </row>
    <row r="46" spans="1:36" hidden="1">
      <c r="A46" s="13" t="s">
        <v>1013</v>
      </c>
      <c r="B46" s="13" t="e">
        <f>_xlfn.XLOOKUP(J46,'Master Data 14-9-2026'!C:C,'Master Data 14-9-2026'!D:D)</f>
        <v>#N/A</v>
      </c>
      <c r="C46" s="13"/>
      <c r="D46" s="13" t="e">
        <f>_xlfn.XLOOKUP(J46,'Master Data 14-9-2026'!C:C,'Master Data 14-9-2026'!E:E)</f>
        <v>#N/A</v>
      </c>
      <c r="E46" s="13"/>
      <c r="F46" s="13"/>
      <c r="G46" s="13" t="s">
        <v>13</v>
      </c>
      <c r="H46" s="13" t="e">
        <f>_xlfn.XLOOKUP(J46,'Master Data 14-9-2026'!C:C,'Master Data 14-9-2026'!H:H)</f>
        <v>#N/A</v>
      </c>
      <c r="I46" s="13" t="e">
        <f t="shared" si="0"/>
        <v>#N/A</v>
      </c>
      <c r="J46" s="13" t="s">
        <v>1014</v>
      </c>
      <c r="K46" s="13" t="s">
        <v>1004</v>
      </c>
      <c r="L46" s="13" t="s">
        <v>441</v>
      </c>
      <c r="M46" s="15">
        <v>200003103275020</v>
      </c>
      <c r="N46" s="13" t="s">
        <v>924</v>
      </c>
      <c r="O46" s="13">
        <v>1.0912026051200301E+17</v>
      </c>
      <c r="P46" s="13" t="s">
        <v>1005</v>
      </c>
      <c r="Q46" s="18">
        <v>6</v>
      </c>
      <c r="R46" s="18">
        <v>1</v>
      </c>
      <c r="S46" s="13">
        <v>8828132634</v>
      </c>
      <c r="T46" s="13" t="s">
        <v>978</v>
      </c>
      <c r="U46" s="19">
        <v>32542400</v>
      </c>
      <c r="V46" s="18">
        <v>1</v>
      </c>
      <c r="W46" s="18" t="e">
        <f>_xlfn.XLOOKUP(J46,'Master Data 14-9-2026'!C:C,'Master Data 14-9-2026'!L:L)</f>
        <v>#N/A</v>
      </c>
      <c r="X46" s="23">
        <v>32542400</v>
      </c>
      <c r="Y46" s="13" t="s">
        <v>998</v>
      </c>
      <c r="Z46" s="24" t="s">
        <v>15</v>
      </c>
      <c r="AA46" s="13" t="s">
        <v>934</v>
      </c>
      <c r="AC46" s="4"/>
      <c r="AD46" s="13" t="s">
        <v>935</v>
      </c>
      <c r="AE46" s="13" t="str">
        <f>_xlfn.XLOOKUP(L46,'[1]ID PROJECT'!E:E,'[1]ID PROJECT'!F:F)</f>
        <v xml:space="preserve">PRJ-KUT-KPU-TPED-2026-04-00071 </v>
      </c>
      <c r="AF46" s="13" t="s">
        <v>1006</v>
      </c>
      <c r="AG46" s="13" t="s">
        <v>1007</v>
      </c>
      <c r="AH46" s="65">
        <v>46202</v>
      </c>
      <c r="AI46" s="27" t="s">
        <v>945</v>
      </c>
    </row>
    <row r="47" spans="1:36" ht="14.25" hidden="1" customHeight="1">
      <c r="A47" s="13" t="s">
        <v>766</v>
      </c>
      <c r="B47" s="13" t="str">
        <f>_xlfn.XLOOKUP(J47,'Master Data 14-9-2026'!C:C,'Master Data 14-9-2026'!D:D)</f>
        <v>Slamet Riyanto wx1503652</v>
      </c>
      <c r="C47" s="13" t="s">
        <v>1015</v>
      </c>
      <c r="D47" s="13" t="str">
        <f>_xlfn.XLOOKUP(J47,'Master Data 14-9-2026'!C:C,'Master Data 14-9-2026'!E:E)</f>
        <v>TELKOMSEL</v>
      </c>
      <c r="E47" s="13" t="s">
        <v>1016</v>
      </c>
      <c r="F47" s="13"/>
      <c r="G47" s="13" t="s">
        <v>13</v>
      </c>
      <c r="H47" s="13" t="str">
        <f>_xlfn.XLOOKUP(J47,'Master Data 14-9-2026'!C:C,'Master Data 14-9-2026'!H:H)</f>
        <v>2026-04-01 - 2026-04-30</v>
      </c>
      <c r="I47" s="13" t="str">
        <f t="shared" si="0"/>
        <v>April</v>
      </c>
      <c r="J47" s="13" t="s">
        <v>1017</v>
      </c>
      <c r="K47" s="16" t="s">
        <v>1004</v>
      </c>
      <c r="L47" s="13" t="s">
        <v>468</v>
      </c>
      <c r="M47" s="15">
        <v>200003106221020</v>
      </c>
      <c r="N47" s="13" t="s">
        <v>924</v>
      </c>
      <c r="O47" s="13">
        <v>1.0912026051200301E+17</v>
      </c>
      <c r="P47" s="13" t="s">
        <v>1005</v>
      </c>
      <c r="Q47" s="18">
        <v>7</v>
      </c>
      <c r="R47" s="18">
        <v>1</v>
      </c>
      <c r="S47" s="13">
        <v>8828132635</v>
      </c>
      <c r="T47" s="13" t="s">
        <v>926</v>
      </c>
      <c r="U47" s="19">
        <v>34220600</v>
      </c>
      <c r="V47" s="18">
        <v>1</v>
      </c>
      <c r="W47" s="18">
        <f>_xlfn.XLOOKUP(J47,'Master Data 14-9-2026'!C:C,'Master Data 14-9-2026'!L:L)</f>
        <v>1</v>
      </c>
      <c r="X47" s="23">
        <v>34220600</v>
      </c>
      <c r="Y47" s="13" t="s">
        <v>998</v>
      </c>
      <c r="Z47" s="24" t="str">
        <f>_xlfn.XLOOKUP(J47,'Master Data 14-9-2026'!C:C,'Master Data 14-9-2026'!I:I)</f>
        <v>Ended</v>
      </c>
      <c r="AA47" s="13" t="s">
        <v>934</v>
      </c>
      <c r="AB47" s="13" t="s">
        <v>1018</v>
      </c>
      <c r="AC47" s="4"/>
      <c r="AE47" s="13" t="str">
        <f>_xlfn.XLOOKUP(L47,'[1]ID PROJECT'!E:E,'[1]ID PROJECT'!F:F)</f>
        <v>PRJ-KUT-KPU-TPED-2026-04-00075</v>
      </c>
      <c r="AF47" s="4" t="s">
        <v>1019</v>
      </c>
      <c r="AG47" s="4"/>
      <c r="AH47" s="65"/>
      <c r="AI47" s="27"/>
      <c r="AJ47" s="4" t="s">
        <v>1020</v>
      </c>
    </row>
    <row r="48" spans="1:36" hidden="1">
      <c r="A48" s="13" t="s">
        <v>377</v>
      </c>
      <c r="B48" s="13" t="str">
        <f>_xlfn.XLOOKUP(J48,'Master Data 14-9-2026'!C:C,'Master Data 14-9-2026'!D:D)</f>
        <v>Youlanda wx1506944</v>
      </c>
      <c r="C48" s="13"/>
      <c r="D48" s="13" t="str">
        <f>_xlfn.XLOOKUP(J48,'Master Data 14-9-2026'!C:C,'Master Data 14-9-2026'!E:E)</f>
        <v>TELKOM</v>
      </c>
      <c r="E48" s="13"/>
      <c r="F48" s="13"/>
      <c r="G48" s="13" t="s">
        <v>13</v>
      </c>
      <c r="H48" s="13" t="str">
        <f>_xlfn.XLOOKUP(J48,'Master Data 14-9-2026'!C:C,'Master Data 14-9-2026'!H:H)</f>
        <v>2026-04-01 - 2026-04-30</v>
      </c>
      <c r="I48" s="13" t="str">
        <f t="shared" si="0"/>
        <v>April</v>
      </c>
      <c r="J48" s="13" t="s">
        <v>1021</v>
      </c>
      <c r="K48" s="13" t="s">
        <v>1022</v>
      </c>
      <c r="L48" s="13" t="s">
        <v>441</v>
      </c>
      <c r="M48" s="15">
        <v>200003106348020</v>
      </c>
      <c r="N48" s="13" t="s">
        <v>924</v>
      </c>
      <c r="O48" s="13">
        <v>1.0912026051200301E+17</v>
      </c>
      <c r="P48" s="13" t="s">
        <v>1023</v>
      </c>
      <c r="Q48" s="18">
        <v>1</v>
      </c>
      <c r="R48" s="18">
        <v>1</v>
      </c>
      <c r="S48" s="13">
        <v>8828132633</v>
      </c>
      <c r="T48" s="13" t="s">
        <v>951</v>
      </c>
      <c r="U48" s="19">
        <v>28881900</v>
      </c>
      <c r="V48" s="18">
        <v>1</v>
      </c>
      <c r="W48" s="18">
        <f>_xlfn.XLOOKUP(J48,'Master Data 14-9-2026'!C:C,'Master Data 14-9-2026'!L:L)</f>
        <v>0</v>
      </c>
      <c r="X48" s="23">
        <v>28881900</v>
      </c>
      <c r="Y48" s="13" t="s">
        <v>998</v>
      </c>
      <c r="Z48" s="24" t="s">
        <v>15</v>
      </c>
      <c r="AA48" s="13" t="s">
        <v>934</v>
      </c>
      <c r="AC48" s="4"/>
      <c r="AD48" s="13" t="s">
        <v>935</v>
      </c>
      <c r="AE48" s="13" t="str">
        <f>_xlfn.XLOOKUP(L48,'[1]ID PROJECT'!E:E,'[1]ID PROJECT'!F:F)</f>
        <v xml:space="preserve">PRJ-KUT-KPU-TPED-2026-04-00071 </v>
      </c>
      <c r="AF48" s="13" t="s">
        <v>1024</v>
      </c>
      <c r="AG48" s="13" t="s">
        <v>1025</v>
      </c>
      <c r="AH48" s="65">
        <v>46197</v>
      </c>
      <c r="AI48" s="27" t="s">
        <v>945</v>
      </c>
    </row>
    <row r="49" spans="1:35" hidden="1">
      <c r="A49" s="13" t="s">
        <v>435</v>
      </c>
      <c r="B49" s="13" t="str">
        <f>_xlfn.XLOOKUP(J49,'Master Data 14-9-2026'!C:C,'Master Data 14-9-2026'!D:D)</f>
        <v>Fasya Fatimma Azzhra wx1504711</v>
      </c>
      <c r="C49" s="13"/>
      <c r="D49" s="13" t="str">
        <f>_xlfn.XLOOKUP(J49,'Master Data 14-9-2026'!C:C,'Master Data 14-9-2026'!E:E)</f>
        <v>IOH</v>
      </c>
      <c r="E49" s="13"/>
      <c r="F49" s="13"/>
      <c r="G49" s="13" t="s">
        <v>13</v>
      </c>
      <c r="H49" s="13" t="str">
        <f>_xlfn.XLOOKUP(J49,'Master Data 14-9-2026'!C:C,'Master Data 14-9-2026'!H:H)</f>
        <v>2026-03-31 - 2026-04-29</v>
      </c>
      <c r="I49" s="13" t="str">
        <f t="shared" si="0"/>
        <v>March</v>
      </c>
      <c r="J49" s="13" t="s">
        <v>1026</v>
      </c>
      <c r="K49" s="13" t="s">
        <v>1026</v>
      </c>
      <c r="L49" s="13" t="s">
        <v>441</v>
      </c>
      <c r="M49" s="15">
        <v>200003102317020</v>
      </c>
      <c r="N49" s="13" t="s">
        <v>924</v>
      </c>
      <c r="O49" s="13">
        <v>1.09120260518004E+17</v>
      </c>
      <c r="P49" s="13" t="s">
        <v>1027</v>
      </c>
      <c r="Q49" s="18">
        <v>1</v>
      </c>
      <c r="R49" s="18">
        <v>1</v>
      </c>
      <c r="S49" s="13">
        <v>8828132633</v>
      </c>
      <c r="T49" s="13" t="s">
        <v>951</v>
      </c>
      <c r="U49" s="19">
        <v>28881900</v>
      </c>
      <c r="V49" s="18">
        <v>1</v>
      </c>
      <c r="W49" s="18">
        <f>_xlfn.XLOOKUP(J49,'Master Data 14-9-2026'!C:C,'Master Data 14-9-2026'!L:L)</f>
        <v>0</v>
      </c>
      <c r="X49" s="23">
        <v>28881900</v>
      </c>
      <c r="Y49" s="13" t="s">
        <v>1028</v>
      </c>
      <c r="Z49" s="24" t="s">
        <v>15</v>
      </c>
      <c r="AA49" s="13" t="s">
        <v>934</v>
      </c>
      <c r="AC49" s="4"/>
      <c r="AD49" s="13" t="s">
        <v>935</v>
      </c>
      <c r="AE49" s="13" t="str">
        <f>_xlfn.XLOOKUP(L49,'[1]ID PROJECT'!E:E,'[1]ID PROJECT'!F:F)</f>
        <v xml:space="preserve">PRJ-KUT-KPU-TPED-2026-04-00071 </v>
      </c>
      <c r="AF49" s="13" t="s">
        <v>1029</v>
      </c>
      <c r="AG49" s="13" t="s">
        <v>1030</v>
      </c>
      <c r="AH49" s="65">
        <v>46197</v>
      </c>
      <c r="AI49" s="27" t="s">
        <v>945</v>
      </c>
    </row>
    <row r="50" spans="1:35" hidden="1">
      <c r="A50" s="13" t="s">
        <v>777</v>
      </c>
      <c r="B50" s="13" t="str">
        <f>_xlfn.XLOOKUP(J50,'Master Data 14-9-2026'!C:C,'Master Data 14-9-2026'!D:D)</f>
        <v>Chaerul Oky Suryatin wx1503975</v>
      </c>
      <c r="C50" s="13"/>
      <c r="D50" s="13" t="str">
        <f>_xlfn.XLOOKUP(J50,'Master Data 14-9-2026'!C:C,'Master Data 14-9-2026'!E:E)</f>
        <v>IOH</v>
      </c>
      <c r="E50" s="13"/>
      <c r="F50" s="13"/>
      <c r="G50" s="13" t="s">
        <v>13</v>
      </c>
      <c r="H50" s="13" t="str">
        <f>_xlfn.XLOOKUP(J50,'Master Data 14-9-2026'!C:C,'Master Data 14-9-2026'!H:H)</f>
        <v>2026-03-23 - 2026-04-22</v>
      </c>
      <c r="I50" s="13" t="str">
        <f t="shared" si="0"/>
        <v>March</v>
      </c>
      <c r="J50" s="13" t="s">
        <v>1031</v>
      </c>
      <c r="K50" s="13" t="s">
        <v>1031</v>
      </c>
      <c r="L50" s="13" t="s">
        <v>475</v>
      </c>
      <c r="M50" s="15">
        <v>200003102323020</v>
      </c>
      <c r="N50" s="13" t="s">
        <v>924</v>
      </c>
      <c r="O50" s="13">
        <v>1.09120260518004E+17</v>
      </c>
      <c r="P50" s="13" t="s">
        <v>1027</v>
      </c>
      <c r="Q50" s="18">
        <v>2</v>
      </c>
      <c r="R50" s="18">
        <v>1</v>
      </c>
      <c r="S50" s="13">
        <v>8828132635</v>
      </c>
      <c r="T50" s="13" t="s">
        <v>926</v>
      </c>
      <c r="U50" s="19">
        <v>34220600</v>
      </c>
      <c r="V50" s="18">
        <v>1</v>
      </c>
      <c r="W50" s="18">
        <f>_xlfn.XLOOKUP(J50,'Master Data 14-9-2026'!C:C,'Master Data 14-9-2026'!L:L)</f>
        <v>1</v>
      </c>
      <c r="X50" s="23">
        <v>34220600</v>
      </c>
      <c r="Y50" s="13" t="s">
        <v>1028</v>
      </c>
      <c r="Z50" s="24" t="str">
        <f>_xlfn.XLOOKUP(J50,'Master Data 14-9-2026'!C:C,'Master Data 14-9-2026'!I:I)</f>
        <v>Ended</v>
      </c>
      <c r="AA50" s="13" t="s">
        <v>934</v>
      </c>
      <c r="AC50" s="4"/>
      <c r="AD50" s="13" t="s">
        <v>935</v>
      </c>
      <c r="AE50" s="13" t="str">
        <f>_xlfn.XLOOKUP(L50,'[1]ID PROJECT'!E:E,'[1]ID PROJECT'!F:F)</f>
        <v>PRJ-KUT-KPU-TPED-2026-04-00074</v>
      </c>
      <c r="AF50" s="13" t="s">
        <v>1029</v>
      </c>
      <c r="AG50" s="13" t="s">
        <v>1030</v>
      </c>
      <c r="AH50" s="65">
        <v>46197</v>
      </c>
      <c r="AI50" s="27" t="s">
        <v>945</v>
      </c>
    </row>
    <row r="51" spans="1:35" hidden="1">
      <c r="A51" s="13" t="s">
        <v>666</v>
      </c>
      <c r="B51" s="13" t="str">
        <f>_xlfn.XLOOKUP(J51,'Master Data 14-9-2026'!C:C,'Master Data 14-9-2026'!D:D)</f>
        <v>Amar Aditia Wilujeng wx1520521</v>
      </c>
      <c r="C51" s="13"/>
      <c r="D51" s="13" t="str">
        <f>_xlfn.XLOOKUP(J51,'Master Data 14-9-2026'!C:C,'Master Data 14-9-2026'!E:E)</f>
        <v>IOH</v>
      </c>
      <c r="E51" s="13"/>
      <c r="F51" s="13"/>
      <c r="G51" s="13" t="s">
        <v>13</v>
      </c>
      <c r="H51" s="13" t="str">
        <f>_xlfn.XLOOKUP(J51,'Master Data 14-9-2026'!C:C,'Master Data 14-9-2026'!H:H)</f>
        <v>2026-05-15 - 2026-06-14</v>
      </c>
      <c r="I51" s="13" t="str">
        <f t="shared" si="0"/>
        <v>May</v>
      </c>
      <c r="J51" s="13" t="s">
        <v>1032</v>
      </c>
      <c r="K51" s="13" t="s">
        <v>1032</v>
      </c>
      <c r="L51" s="13" t="s">
        <v>441</v>
      </c>
      <c r="M51" s="15">
        <v>200003120936020</v>
      </c>
      <c r="N51" s="13" t="s">
        <v>924</v>
      </c>
      <c r="O51" s="13">
        <v>1.09120260518004E+17</v>
      </c>
      <c r="P51" s="13" t="s">
        <v>1027</v>
      </c>
      <c r="Q51" s="18">
        <v>3</v>
      </c>
      <c r="R51" s="18">
        <v>1</v>
      </c>
      <c r="S51" s="13">
        <v>8828132634</v>
      </c>
      <c r="T51" s="13" t="s">
        <v>978</v>
      </c>
      <c r="U51" s="19">
        <v>32542400</v>
      </c>
      <c r="V51" s="18">
        <v>1</v>
      </c>
      <c r="W51" s="18">
        <f>_xlfn.XLOOKUP(J51,'Master Data 14-9-2026'!C:C,'Master Data 14-9-2026'!L:L)</f>
        <v>0</v>
      </c>
      <c r="X51" s="23">
        <v>32542400</v>
      </c>
      <c r="Y51" s="13" t="s">
        <v>1028</v>
      </c>
      <c r="Z51" s="24" t="s">
        <v>15</v>
      </c>
      <c r="AA51" s="13" t="s">
        <v>934</v>
      </c>
      <c r="AC51" s="4"/>
      <c r="AD51" s="13" t="s">
        <v>935</v>
      </c>
      <c r="AE51" s="13" t="str">
        <f>_xlfn.XLOOKUP(L51,'[1]ID PROJECT'!E:E,'[1]ID PROJECT'!F:F)</f>
        <v xml:space="preserve">PRJ-KUT-KPU-TPED-2026-04-00071 </v>
      </c>
      <c r="AF51" s="13" t="s">
        <v>1029</v>
      </c>
      <c r="AG51" s="13" t="s">
        <v>1030</v>
      </c>
      <c r="AH51" s="65">
        <v>46197</v>
      </c>
      <c r="AI51" s="27" t="s">
        <v>945</v>
      </c>
    </row>
    <row r="52" spans="1:35" hidden="1">
      <c r="A52" s="13" t="s">
        <v>46</v>
      </c>
      <c r="B52" s="13" t="str">
        <f>_xlfn.XLOOKUP(J52,'Master Data 14-9-2026'!C:C,'Master Data 14-9-2026'!D:D)</f>
        <v>Hyang Iman Kinasih Gusti wx1503650</v>
      </c>
      <c r="C52" s="13"/>
      <c r="D52" s="13" t="str">
        <f>_xlfn.XLOOKUP(J52,'Master Data 14-9-2026'!C:C,'Master Data 14-9-2026'!E:E)</f>
        <v>IOH</v>
      </c>
      <c r="E52" s="13" t="s">
        <v>1033</v>
      </c>
      <c r="F52" s="13"/>
      <c r="G52" s="13" t="s">
        <v>13</v>
      </c>
      <c r="H52" s="13" t="str">
        <f>_xlfn.XLOOKUP(J52,'Master Data 14-9-2026'!C:C,'Master Data 14-9-2026'!H:H)</f>
        <v>2026-03-23 - 2026-04-22</v>
      </c>
      <c r="I52" s="13" t="str">
        <f t="shared" si="0"/>
        <v>March</v>
      </c>
      <c r="J52" s="13" t="s">
        <v>1034</v>
      </c>
      <c r="K52" s="13" t="s">
        <v>1034</v>
      </c>
      <c r="L52" s="13" t="s">
        <v>457</v>
      </c>
      <c r="M52" s="15">
        <v>200003102331020</v>
      </c>
      <c r="N52" s="13" t="s">
        <v>924</v>
      </c>
      <c r="O52" s="13">
        <v>1.09120260518004E+17</v>
      </c>
      <c r="P52" s="13" t="s">
        <v>1027</v>
      </c>
      <c r="Q52" s="18">
        <v>4</v>
      </c>
      <c r="R52" s="18">
        <v>1</v>
      </c>
      <c r="S52" s="13">
        <v>8828132633</v>
      </c>
      <c r="T52" s="13" t="s">
        <v>951</v>
      </c>
      <c r="U52" s="19">
        <v>28881900</v>
      </c>
      <c r="V52" s="18">
        <v>1</v>
      </c>
      <c r="W52" s="18">
        <f>_xlfn.XLOOKUP(J52,'Master Data 14-9-2026'!C:C,'Master Data 14-9-2026'!L:L)</f>
        <v>1.5</v>
      </c>
      <c r="X52" s="23">
        <v>28881900</v>
      </c>
      <c r="Y52" s="13" t="s">
        <v>1028</v>
      </c>
      <c r="Z52" s="24" t="s">
        <v>15</v>
      </c>
      <c r="AB52" s="13" t="s">
        <v>1035</v>
      </c>
      <c r="AC52" s="13" t="s">
        <v>965</v>
      </c>
      <c r="AD52" s="13"/>
      <c r="AE52" s="13" t="str">
        <f>_xlfn.XLOOKUP(L52,'[1]ID PROJECT'!E:E,'[1]ID PROJECT'!F:F)</f>
        <v>PRJ-KUT-KPU-TPED-2026-04-00076</v>
      </c>
      <c r="AF52" s="13"/>
      <c r="AG52" s="13"/>
      <c r="AH52" s="65"/>
      <c r="AI52" s="27"/>
    </row>
    <row r="53" spans="1:35" hidden="1">
      <c r="A53" s="13" t="s">
        <v>717</v>
      </c>
      <c r="B53" s="13" t="str">
        <f>_xlfn.XLOOKUP(J53,'Master Data 14-9-2026'!C:C,'Master Data 14-9-2026'!D:D)</f>
        <v>Johannes Julfery Damanik wx1504705</v>
      </c>
      <c r="C53" s="13"/>
      <c r="D53" s="13" t="str">
        <f>_xlfn.XLOOKUP(J53,'Master Data 14-9-2026'!C:C,'Master Data 14-9-2026'!E:E)</f>
        <v>IOH</v>
      </c>
      <c r="E53" s="13"/>
      <c r="F53" s="13"/>
      <c r="G53" s="13" t="s">
        <v>13</v>
      </c>
      <c r="H53" s="13" t="str">
        <f>_xlfn.XLOOKUP(J53,'Master Data 14-9-2026'!C:C,'Master Data 14-9-2026'!H:H)</f>
        <v>2026-03-23 - 2026-04-22</v>
      </c>
      <c r="I53" s="13" t="str">
        <f t="shared" si="0"/>
        <v>March</v>
      </c>
      <c r="J53" s="13" t="s">
        <v>1036</v>
      </c>
      <c r="K53" s="13" t="s">
        <v>1036</v>
      </c>
      <c r="L53" s="13" t="s">
        <v>493</v>
      </c>
      <c r="M53" s="15">
        <v>200003102322020</v>
      </c>
      <c r="N53" s="13" t="s">
        <v>924</v>
      </c>
      <c r="O53" s="13">
        <v>1.09120260518004E+17</v>
      </c>
      <c r="P53" s="13" t="s">
        <v>1027</v>
      </c>
      <c r="Q53" s="18">
        <v>5</v>
      </c>
      <c r="R53" s="18">
        <v>1</v>
      </c>
      <c r="S53" s="13">
        <v>8828132635</v>
      </c>
      <c r="T53" s="13" t="s">
        <v>926</v>
      </c>
      <c r="U53" s="19">
        <v>34220600</v>
      </c>
      <c r="V53" s="18">
        <v>1</v>
      </c>
      <c r="W53" s="18">
        <f>_xlfn.XLOOKUP(J53,'Master Data 14-9-2026'!C:C,'Master Data 14-9-2026'!L:L)</f>
        <v>1.5</v>
      </c>
      <c r="X53" s="23">
        <v>34220600</v>
      </c>
      <c r="Y53" s="13" t="s">
        <v>1028</v>
      </c>
      <c r="Z53" s="24" t="s">
        <v>15</v>
      </c>
      <c r="AA53" s="13" t="s">
        <v>934</v>
      </c>
      <c r="AC53" s="4"/>
      <c r="AD53" s="13" t="s">
        <v>935</v>
      </c>
      <c r="AE53" s="13" t="str">
        <f>_xlfn.XLOOKUP(L53,'[1]ID PROJECT'!E:E,'[1]ID PROJECT'!F:F)</f>
        <v>PRJ-KUT-KPU-TPED-2026-04-00079</v>
      </c>
      <c r="AF53" s="13" t="s">
        <v>1029</v>
      </c>
      <c r="AG53" s="13" t="s">
        <v>1030</v>
      </c>
      <c r="AH53" s="65">
        <v>46197</v>
      </c>
      <c r="AI53" s="27" t="s">
        <v>945</v>
      </c>
    </row>
    <row r="54" spans="1:35" ht="13.5" hidden="1" customHeight="1">
      <c r="A54" s="13" t="s">
        <v>427</v>
      </c>
      <c r="B54" s="13" t="str">
        <f>_xlfn.XLOOKUP(J54,'Master Data 14-9-2026'!C:C,'Master Data 14-9-2026'!D:D)</f>
        <v>Wahyuni wx1504701</v>
      </c>
      <c r="C54" s="13"/>
      <c r="D54" s="13" t="str">
        <f>_xlfn.XLOOKUP(J54,'Master Data 14-9-2026'!C:C,'Master Data 14-9-2026'!E:E)</f>
        <v>Platform Region</v>
      </c>
      <c r="E54" s="13"/>
      <c r="F54" s="13"/>
      <c r="G54" s="13" t="s">
        <v>13</v>
      </c>
      <c r="H54" s="13" t="str">
        <f>_xlfn.XLOOKUP(J54,'Master Data 14-9-2026'!C:C,'Master Data 14-9-2026'!H:H)</f>
        <v>2026-03-30 - 2026-04-29</v>
      </c>
      <c r="I54" s="13" t="str">
        <f t="shared" si="0"/>
        <v>March</v>
      </c>
      <c r="J54" s="13" t="s">
        <v>1037</v>
      </c>
      <c r="K54" s="13" t="s">
        <v>1037</v>
      </c>
      <c r="L54" s="13" t="s">
        <v>500</v>
      </c>
      <c r="M54" s="15">
        <v>200003102332020</v>
      </c>
      <c r="N54" s="13" t="s">
        <v>924</v>
      </c>
      <c r="O54" s="13">
        <v>1.09120260518004E+17</v>
      </c>
      <c r="P54" s="13" t="s">
        <v>1027</v>
      </c>
      <c r="Q54" s="18">
        <v>6</v>
      </c>
      <c r="R54" s="18">
        <v>1</v>
      </c>
      <c r="S54" s="13">
        <v>8828132633</v>
      </c>
      <c r="T54" s="13" t="s">
        <v>951</v>
      </c>
      <c r="U54" s="19">
        <v>28881900</v>
      </c>
      <c r="V54" s="18">
        <v>1</v>
      </c>
      <c r="W54" s="18">
        <f>_xlfn.XLOOKUP(J54,'Master Data 14-9-2026'!C:C,'Master Data 14-9-2026'!L:L)</f>
        <v>0.5</v>
      </c>
      <c r="X54" s="23">
        <v>28881900</v>
      </c>
      <c r="Y54" s="13" t="s">
        <v>1028</v>
      </c>
      <c r="Z54" s="24" t="s">
        <v>15</v>
      </c>
      <c r="AA54" s="13" t="s">
        <v>934</v>
      </c>
      <c r="AC54" s="4"/>
      <c r="AD54" s="13" t="s">
        <v>935</v>
      </c>
      <c r="AE54" s="13" t="str">
        <f>_xlfn.XLOOKUP(L54,'[1]ID PROJECT'!E:E,'[1]ID PROJECT'!F:F)</f>
        <v>PRJ-KUT-KPU-TPED-2026-04-00080</v>
      </c>
      <c r="AF54" s="13" t="s">
        <v>1029</v>
      </c>
      <c r="AG54" s="13" t="s">
        <v>1030</v>
      </c>
      <c r="AH54" s="65">
        <v>46197</v>
      </c>
      <c r="AI54" s="27" t="s">
        <v>945</v>
      </c>
    </row>
    <row r="55" spans="1:35" hidden="1">
      <c r="A55" s="13" t="s">
        <v>658</v>
      </c>
      <c r="B55" s="13" t="str">
        <f>_xlfn.XLOOKUP(J55,'Master Data 14-9-2026'!C:C,'Master Data 14-9-2026'!D:D)</f>
        <v>Sergius Paulus Sinaga wx1520524</v>
      </c>
      <c r="C55" s="13"/>
      <c r="D55" s="13" t="str">
        <f>_xlfn.XLOOKUP(J55,'Master Data 14-9-2026'!C:C,'Master Data 14-9-2026'!E:E)</f>
        <v>IOH</v>
      </c>
      <c r="E55" s="13"/>
      <c r="F55" s="13"/>
      <c r="G55" s="13" t="s">
        <v>13</v>
      </c>
      <c r="H55" s="13" t="str">
        <f>_xlfn.XLOOKUP(J55,'Master Data 14-9-2026'!C:C,'Master Data 14-9-2026'!H:H)</f>
        <v>2026-05-15 - 2026-06-14</v>
      </c>
      <c r="I55" s="13" t="str">
        <f t="shared" si="0"/>
        <v>May</v>
      </c>
      <c r="J55" s="13" t="s">
        <v>1038</v>
      </c>
      <c r="K55" s="13" t="s">
        <v>1038</v>
      </c>
      <c r="L55" s="13" t="s">
        <v>441</v>
      </c>
      <c r="M55" s="15">
        <v>200003120935020</v>
      </c>
      <c r="N55" s="13" t="s">
        <v>924</v>
      </c>
      <c r="O55" s="13">
        <v>1.09120260518004E+17</v>
      </c>
      <c r="P55" s="13" t="s">
        <v>1027</v>
      </c>
      <c r="Q55" s="18">
        <v>7</v>
      </c>
      <c r="R55" s="18">
        <v>1</v>
      </c>
      <c r="S55" s="13">
        <v>8828132634</v>
      </c>
      <c r="T55" s="13" t="s">
        <v>978</v>
      </c>
      <c r="U55" s="19">
        <v>32542400</v>
      </c>
      <c r="V55" s="18">
        <v>1</v>
      </c>
      <c r="W55" s="18">
        <f>_xlfn.XLOOKUP(J55,'Master Data 14-9-2026'!C:C,'Master Data 14-9-2026'!L:L)</f>
        <v>0</v>
      </c>
      <c r="X55" s="23">
        <v>32542400</v>
      </c>
      <c r="Y55" s="13" t="s">
        <v>1028</v>
      </c>
      <c r="Z55" s="24" t="s">
        <v>15</v>
      </c>
      <c r="AA55" s="13" t="s">
        <v>934</v>
      </c>
      <c r="AC55" s="4"/>
      <c r="AD55" s="13" t="s">
        <v>935</v>
      </c>
      <c r="AE55" s="13" t="str">
        <f>_xlfn.XLOOKUP(L55,'[1]ID PROJECT'!E:E,'[1]ID PROJECT'!F:F)</f>
        <v xml:space="preserve">PRJ-KUT-KPU-TPED-2026-04-00071 </v>
      </c>
      <c r="AF55" s="13" t="s">
        <v>1029</v>
      </c>
      <c r="AG55" s="13" t="s">
        <v>1030</v>
      </c>
      <c r="AH55" s="65">
        <v>46197</v>
      </c>
      <c r="AI55" s="27" t="s">
        <v>945</v>
      </c>
    </row>
    <row r="56" spans="1:35" hidden="1">
      <c r="A56" s="13" t="s">
        <v>232</v>
      </c>
      <c r="B56" s="13" t="str">
        <f>_xlfn.XLOOKUP(J56,'Master Data 14-9-2026'!C:C,'Master Data 14-9-2026'!D:D)</f>
        <v>Fitra Faradilla wx1504702</v>
      </c>
      <c r="C56" s="13"/>
      <c r="D56" s="13" t="str">
        <f>_xlfn.XLOOKUP(J56,'Master Data 14-9-2026'!C:C,'Master Data 14-9-2026'!E:E)</f>
        <v>IOH</v>
      </c>
      <c r="E56" s="13"/>
      <c r="F56" s="13"/>
      <c r="G56" s="13" t="s">
        <v>13</v>
      </c>
      <c r="H56" s="13" t="str">
        <f>_xlfn.XLOOKUP(J56,'Master Data 14-9-2026'!C:C,'Master Data 14-9-2026'!H:H)</f>
        <v>2026-03-30 - 2026-04-29</v>
      </c>
      <c r="I56" s="13" t="str">
        <f t="shared" si="0"/>
        <v>March</v>
      </c>
      <c r="J56" s="13" t="s">
        <v>1039</v>
      </c>
      <c r="K56" s="13" t="s">
        <v>1039</v>
      </c>
      <c r="L56" s="13" t="s">
        <v>500</v>
      </c>
      <c r="M56" s="15">
        <v>200003102314020</v>
      </c>
      <c r="N56" s="13" t="s">
        <v>924</v>
      </c>
      <c r="O56" s="13">
        <v>1.09120260518004E+17</v>
      </c>
      <c r="P56" s="13" t="s">
        <v>1027</v>
      </c>
      <c r="Q56" s="18">
        <v>8</v>
      </c>
      <c r="R56" s="18">
        <v>1</v>
      </c>
      <c r="S56" s="13">
        <v>8828132633</v>
      </c>
      <c r="T56" s="13" t="s">
        <v>951</v>
      </c>
      <c r="U56" s="19">
        <v>28881900</v>
      </c>
      <c r="V56" s="18">
        <v>1</v>
      </c>
      <c r="W56" s="18">
        <f>_xlfn.XLOOKUP(J56,'Master Data 14-9-2026'!C:C,'Master Data 14-9-2026'!L:L)</f>
        <v>1</v>
      </c>
      <c r="X56" s="23">
        <v>28881900</v>
      </c>
      <c r="Y56" s="13" t="s">
        <v>1028</v>
      </c>
      <c r="Z56" s="24" t="str">
        <f>_xlfn.XLOOKUP(J56,'Master Data 14-9-2026'!C:C,'Master Data 14-9-2026'!I:I)</f>
        <v>Ended</v>
      </c>
      <c r="AA56" s="13" t="s">
        <v>934</v>
      </c>
      <c r="AC56" s="4"/>
      <c r="AD56" s="13" t="s">
        <v>935</v>
      </c>
      <c r="AE56" s="13" t="str">
        <f>_xlfn.XLOOKUP(L56,'[1]ID PROJECT'!E:E,'[1]ID PROJECT'!F:F)</f>
        <v>PRJ-KUT-KPU-TPED-2026-04-00080</v>
      </c>
      <c r="AF56" s="13" t="s">
        <v>1029</v>
      </c>
      <c r="AG56" s="13" t="s">
        <v>1030</v>
      </c>
      <c r="AH56" s="65">
        <v>46197</v>
      </c>
      <c r="AI56" s="27" t="s">
        <v>945</v>
      </c>
    </row>
    <row r="57" spans="1:35" hidden="1">
      <c r="A57" s="13" t="s">
        <v>400</v>
      </c>
      <c r="B57" s="13" t="str">
        <f>_xlfn.XLOOKUP(J57,'Master Data 14-9-2026'!C:C,'Master Data 14-9-2026'!D:D)</f>
        <v>Eka Maudyna Isdyanti wx1504640</v>
      </c>
      <c r="C57" s="13"/>
      <c r="D57" s="13" t="str">
        <f>_xlfn.XLOOKUP(J57,'Master Data 14-9-2026'!C:C,'Master Data 14-9-2026'!E:E)</f>
        <v>IOH</v>
      </c>
      <c r="E57" s="13"/>
      <c r="F57" s="13"/>
      <c r="G57" s="13" t="s">
        <v>13</v>
      </c>
      <c r="H57" s="13" t="str">
        <f>_xlfn.XLOOKUP(J57,'Master Data 14-9-2026'!C:C,'Master Data 14-9-2026'!H:H)</f>
        <v>2026-03-30 - 2026-04-29</v>
      </c>
      <c r="I57" s="13" t="str">
        <f t="shared" si="0"/>
        <v>March</v>
      </c>
      <c r="J57" s="13" t="s">
        <v>1040</v>
      </c>
      <c r="K57" s="13" t="s">
        <v>1040</v>
      </c>
      <c r="L57" s="13" t="s">
        <v>441</v>
      </c>
      <c r="M57" s="15">
        <v>200003102315020</v>
      </c>
      <c r="N57" s="13" t="s">
        <v>924</v>
      </c>
      <c r="O57" s="13">
        <v>1.09120260518004E+17</v>
      </c>
      <c r="P57" s="13" t="s">
        <v>1027</v>
      </c>
      <c r="Q57" s="18">
        <v>9</v>
      </c>
      <c r="R57" s="18">
        <v>1</v>
      </c>
      <c r="S57" s="13">
        <v>8828132633</v>
      </c>
      <c r="T57" s="13" t="s">
        <v>951</v>
      </c>
      <c r="U57" s="19">
        <v>28881900</v>
      </c>
      <c r="V57" s="18">
        <v>1</v>
      </c>
      <c r="W57" s="18">
        <f>_xlfn.XLOOKUP(J57,'Master Data 14-9-2026'!C:C,'Master Data 14-9-2026'!L:L)</f>
        <v>0</v>
      </c>
      <c r="X57" s="23">
        <v>28881900</v>
      </c>
      <c r="Y57" s="13" t="s">
        <v>1028</v>
      </c>
      <c r="Z57" s="24" t="s">
        <v>15</v>
      </c>
      <c r="AA57" s="13" t="s">
        <v>934</v>
      </c>
      <c r="AC57" s="4"/>
      <c r="AD57" s="13" t="s">
        <v>935</v>
      </c>
      <c r="AE57" s="13" t="str">
        <f>_xlfn.XLOOKUP(L57,'[1]ID PROJECT'!E:E,'[1]ID PROJECT'!F:F)</f>
        <v xml:space="preserve">PRJ-KUT-KPU-TPED-2026-04-00071 </v>
      </c>
      <c r="AF57" s="13" t="s">
        <v>1029</v>
      </c>
      <c r="AG57" s="13" t="s">
        <v>1030</v>
      </c>
      <c r="AH57" s="65">
        <v>46197</v>
      </c>
      <c r="AI57" s="27" t="s">
        <v>945</v>
      </c>
    </row>
    <row r="58" spans="1:35" hidden="1">
      <c r="A58" s="13" t="s">
        <v>275</v>
      </c>
      <c r="B58" s="13" t="str">
        <f>_xlfn.XLOOKUP(J58,'Master Data 14-9-2026'!C:C,'Master Data 14-9-2026'!D:D)</f>
        <v>Silvana Anindya wx1504712</v>
      </c>
      <c r="C58" s="13"/>
      <c r="D58" s="13" t="str">
        <f>_xlfn.XLOOKUP(J58,'Master Data 14-9-2026'!C:C,'Master Data 14-9-2026'!E:E)</f>
        <v>IOH</v>
      </c>
      <c r="E58" s="13"/>
      <c r="F58" s="13"/>
      <c r="G58" s="13" t="s">
        <v>13</v>
      </c>
      <c r="H58" s="13" t="str">
        <f>_xlfn.XLOOKUP(J58,'Master Data 14-9-2026'!C:C,'Master Data 14-9-2026'!H:H)</f>
        <v>2026-03-31 - 2026-04-29</v>
      </c>
      <c r="I58" s="13" t="str">
        <f t="shared" si="0"/>
        <v>March</v>
      </c>
      <c r="J58" s="13" t="s">
        <v>1041</v>
      </c>
      <c r="K58" s="13" t="s">
        <v>1041</v>
      </c>
      <c r="L58" s="13" t="s">
        <v>441</v>
      </c>
      <c r="M58" s="15">
        <v>200003102316020</v>
      </c>
      <c r="N58" s="13" t="s">
        <v>924</v>
      </c>
      <c r="O58" s="13">
        <v>1.09120260518004E+17</v>
      </c>
      <c r="P58" s="13" t="s">
        <v>1027</v>
      </c>
      <c r="Q58" s="18">
        <v>10</v>
      </c>
      <c r="R58" s="18">
        <v>1</v>
      </c>
      <c r="S58" s="13">
        <v>8828132633</v>
      </c>
      <c r="T58" s="13" t="s">
        <v>951</v>
      </c>
      <c r="U58" s="19">
        <v>28881900</v>
      </c>
      <c r="V58" s="18">
        <v>1</v>
      </c>
      <c r="W58" s="18">
        <f>_xlfn.XLOOKUP(J58,'Master Data 14-9-2026'!C:C,'Master Data 14-9-2026'!L:L)</f>
        <v>1</v>
      </c>
      <c r="X58" s="23">
        <v>28881900</v>
      </c>
      <c r="Y58" s="13" t="s">
        <v>1028</v>
      </c>
      <c r="Z58" s="24" t="str">
        <f>_xlfn.XLOOKUP(J58,'Master Data 14-9-2026'!C:C,'Master Data 14-9-2026'!I:I)</f>
        <v>Ended</v>
      </c>
      <c r="AA58" s="13" t="s">
        <v>934</v>
      </c>
      <c r="AC58" s="4"/>
      <c r="AD58" s="13" t="s">
        <v>935</v>
      </c>
      <c r="AE58" s="13" t="str">
        <f>_xlfn.XLOOKUP(L58,'[1]ID PROJECT'!E:E,'[1]ID PROJECT'!F:F)</f>
        <v xml:space="preserve">PRJ-KUT-KPU-TPED-2026-04-00071 </v>
      </c>
      <c r="AF58" s="13" t="s">
        <v>1029</v>
      </c>
      <c r="AG58" s="13" t="s">
        <v>1030</v>
      </c>
      <c r="AH58" s="65">
        <v>46197</v>
      </c>
      <c r="AI58" s="27" t="s">
        <v>945</v>
      </c>
    </row>
    <row r="59" spans="1:35" hidden="1">
      <c r="A59" s="13" t="s">
        <v>833</v>
      </c>
      <c r="B59" s="13" t="str">
        <f>_xlfn.XLOOKUP(J59,'Master Data 14-9-2026'!C:C,'Master Data 14-9-2026'!D:D)</f>
        <v>Yusup wx1504641</v>
      </c>
      <c r="C59" s="13"/>
      <c r="D59" s="13" t="str">
        <f>_xlfn.XLOOKUP(J59,'Master Data 14-9-2026'!C:C,'Master Data 14-9-2026'!E:E)</f>
        <v>IOH</v>
      </c>
      <c r="E59" s="13"/>
      <c r="F59" s="13"/>
      <c r="G59" s="13" t="s">
        <v>13</v>
      </c>
      <c r="H59" s="13" t="str">
        <f>_xlfn.XLOOKUP(J59,'Master Data 14-9-2026'!C:C,'Master Data 14-9-2026'!H:H)</f>
        <v>2026-03-24 - 2026-04-23</v>
      </c>
      <c r="I59" s="13" t="str">
        <f t="shared" si="0"/>
        <v>March</v>
      </c>
      <c r="J59" s="13" t="s">
        <v>1042</v>
      </c>
      <c r="K59" s="13" t="s">
        <v>1042</v>
      </c>
      <c r="L59" s="13" t="s">
        <v>441</v>
      </c>
      <c r="M59" s="15">
        <v>200003102324020</v>
      </c>
      <c r="N59" s="13" t="s">
        <v>924</v>
      </c>
      <c r="O59" s="13">
        <v>1.09120260518004E+17</v>
      </c>
      <c r="P59" s="13" t="s">
        <v>1027</v>
      </c>
      <c r="Q59" s="18">
        <v>11</v>
      </c>
      <c r="R59" s="18">
        <v>1</v>
      </c>
      <c r="S59" s="13">
        <v>8828132635</v>
      </c>
      <c r="T59" s="13" t="s">
        <v>926</v>
      </c>
      <c r="U59" s="19">
        <v>34220600</v>
      </c>
      <c r="V59" s="18">
        <v>1</v>
      </c>
      <c r="W59" s="18">
        <f>_xlfn.XLOOKUP(J59,'Master Data 14-9-2026'!C:C,'Master Data 14-9-2026'!L:L)</f>
        <v>0</v>
      </c>
      <c r="X59" s="23">
        <v>34220600</v>
      </c>
      <c r="Y59" s="13" t="s">
        <v>1028</v>
      </c>
      <c r="Z59" s="24" t="s">
        <v>15</v>
      </c>
      <c r="AA59" s="13" t="s">
        <v>934</v>
      </c>
      <c r="AC59" s="4"/>
      <c r="AD59" s="13" t="s">
        <v>935</v>
      </c>
      <c r="AE59" s="13" t="str">
        <f>_xlfn.XLOOKUP(L59,'[1]ID PROJECT'!E:E,'[1]ID PROJECT'!F:F)</f>
        <v xml:space="preserve">PRJ-KUT-KPU-TPED-2026-04-00071 </v>
      </c>
      <c r="AF59" s="13" t="s">
        <v>1029</v>
      </c>
      <c r="AG59" s="13" t="s">
        <v>1030</v>
      </c>
      <c r="AH59" s="65">
        <v>46197</v>
      </c>
      <c r="AI59" s="27" t="s">
        <v>945</v>
      </c>
    </row>
    <row r="60" spans="1:35" hidden="1">
      <c r="A60" s="13" t="s">
        <v>676</v>
      </c>
      <c r="B60" s="13" t="str">
        <f>_xlfn.XLOOKUP(J60,'Master Data 14-9-2026'!C:C,'Master Data 14-9-2026'!D:D)</f>
        <v>DENI MUHAMMAD ARIF FRIMALDI WX1521787</v>
      </c>
      <c r="C60" s="13"/>
      <c r="D60" s="13" t="str">
        <f>_xlfn.XLOOKUP(J60,'Master Data 14-9-2026'!C:C,'Master Data 14-9-2026'!E:E)</f>
        <v>XLSMART</v>
      </c>
      <c r="E60" s="13"/>
      <c r="F60" s="13"/>
      <c r="G60" s="13" t="s">
        <v>13</v>
      </c>
      <c r="H60" s="13" t="str">
        <f>_xlfn.XLOOKUP(J60,'Master Data 14-9-2026'!C:C,'Master Data 14-9-2026'!H:H)</f>
        <v>2026-05-20 - 2026-06-19</v>
      </c>
      <c r="I60" s="13" t="str">
        <f t="shared" si="0"/>
        <v>May</v>
      </c>
      <c r="J60" s="13" t="s">
        <v>1043</v>
      </c>
      <c r="K60" s="13" t="s">
        <v>1043</v>
      </c>
      <c r="L60" s="13" t="s">
        <v>441</v>
      </c>
      <c r="M60" s="15">
        <v>200003120937020</v>
      </c>
      <c r="N60" s="13" t="s">
        <v>924</v>
      </c>
      <c r="O60" s="13">
        <v>1.09120260518004E+17</v>
      </c>
      <c r="P60" s="13" t="s">
        <v>1027</v>
      </c>
      <c r="Q60" s="18">
        <v>12</v>
      </c>
      <c r="R60" s="18">
        <v>1</v>
      </c>
      <c r="S60" s="13">
        <v>8828132634</v>
      </c>
      <c r="T60" s="13" t="s">
        <v>978</v>
      </c>
      <c r="U60" s="19">
        <v>32542400</v>
      </c>
      <c r="V60" s="18">
        <v>1</v>
      </c>
      <c r="W60" s="18">
        <f>_xlfn.XLOOKUP(J60,'Master Data 14-9-2026'!C:C,'Master Data 14-9-2026'!L:L)</f>
        <v>0.5</v>
      </c>
      <c r="X60" s="23">
        <v>32542400</v>
      </c>
      <c r="Y60" s="13" t="s">
        <v>1028</v>
      </c>
      <c r="Z60" s="24" t="s">
        <v>15</v>
      </c>
      <c r="AA60" s="13"/>
      <c r="AC60" s="4"/>
      <c r="AD60" s="4" t="s">
        <v>1044</v>
      </c>
      <c r="AE60" s="13" t="str">
        <f>_xlfn.XLOOKUP(L60,'[1]ID PROJECT'!E:E,'[1]ID PROJECT'!F:F)</f>
        <v xml:space="preserve">PRJ-KUT-KPU-TPED-2026-04-00071 </v>
      </c>
      <c r="AF60" s="13" t="s">
        <v>1045</v>
      </c>
      <c r="AG60" s="13" t="s">
        <v>1046</v>
      </c>
      <c r="AH60" s="65">
        <v>46205</v>
      </c>
      <c r="AI60" s="27" t="s">
        <v>938</v>
      </c>
    </row>
    <row r="61" spans="1:35" hidden="1">
      <c r="A61" s="13" t="s">
        <v>480</v>
      </c>
      <c r="B61" s="13" t="str">
        <f>_xlfn.XLOOKUP(J61,'Master Data 14-9-2026'!C:C,'Master Data 14-9-2026'!D:D)</f>
        <v>Moch Andi Afriansyah wx1503654</v>
      </c>
      <c r="C61" s="13"/>
      <c r="D61" s="13" t="str">
        <f>_xlfn.XLOOKUP(J61,'Master Data 14-9-2026'!C:C,'Master Data 14-9-2026'!E:E)</f>
        <v>IOH</v>
      </c>
      <c r="E61" s="13"/>
      <c r="F61" s="13"/>
      <c r="G61" s="13" t="s">
        <v>13</v>
      </c>
      <c r="H61" s="13" t="str">
        <f>_xlfn.XLOOKUP(J61,'Master Data 14-9-2026'!C:C,'Master Data 14-9-2026'!H:H)</f>
        <v>2026-04-01 - 2026-04-30</v>
      </c>
      <c r="I61" s="13" t="str">
        <f t="shared" si="0"/>
        <v>April</v>
      </c>
      <c r="J61" s="13" t="s">
        <v>1047</v>
      </c>
      <c r="K61" s="13" t="s">
        <v>1047</v>
      </c>
      <c r="L61" s="13" t="s">
        <v>457</v>
      </c>
      <c r="M61" s="15">
        <v>200003102329020</v>
      </c>
      <c r="N61" s="13" t="s">
        <v>924</v>
      </c>
      <c r="O61" s="13">
        <v>1.09120260518004E+17</v>
      </c>
      <c r="P61" s="13" t="s">
        <v>1027</v>
      </c>
      <c r="Q61" s="18">
        <v>13</v>
      </c>
      <c r="R61" s="18">
        <v>1</v>
      </c>
      <c r="S61" s="13">
        <v>8828132636</v>
      </c>
      <c r="T61" s="13" t="s">
        <v>933</v>
      </c>
      <c r="U61" s="19">
        <v>36992000</v>
      </c>
      <c r="V61" s="18">
        <v>1</v>
      </c>
      <c r="W61" s="18">
        <f>_xlfn.XLOOKUP(J61,'Master Data 14-9-2026'!C:C,'Master Data 14-9-2026'!L:L)</f>
        <v>1.35</v>
      </c>
      <c r="X61" s="23">
        <v>36992000</v>
      </c>
      <c r="Y61" s="13" t="s">
        <v>1028</v>
      </c>
      <c r="Z61" s="24" t="s">
        <v>15</v>
      </c>
      <c r="AA61" s="13" t="s">
        <v>934</v>
      </c>
      <c r="AC61" s="4"/>
      <c r="AD61" s="13" t="s">
        <v>935</v>
      </c>
      <c r="AE61" s="13" t="str">
        <f>_xlfn.XLOOKUP(L61,'[1]ID PROJECT'!E:E,'[1]ID PROJECT'!F:F)</f>
        <v>PRJ-KUT-KPU-TPED-2026-04-00076</v>
      </c>
      <c r="AF61" s="13" t="s">
        <v>1029</v>
      </c>
      <c r="AG61" s="13" t="s">
        <v>1030</v>
      </c>
      <c r="AH61" s="65">
        <v>46197</v>
      </c>
      <c r="AI61" s="27" t="s">
        <v>945</v>
      </c>
    </row>
    <row r="62" spans="1:35" hidden="1">
      <c r="A62" s="13" t="s">
        <v>641</v>
      </c>
      <c r="B62" s="13" t="str">
        <f>_xlfn.XLOOKUP(J62,'Master Data 14-9-2026'!C:C,'Master Data 14-9-2026'!D:D)</f>
        <v>Boy Frahansah Berutu wx1520523</v>
      </c>
      <c r="C62" s="13"/>
      <c r="D62" s="13" t="str">
        <f>_xlfn.XLOOKUP(J62,'Master Data 14-9-2026'!C:C,'Master Data 14-9-2026'!E:E)</f>
        <v>IOH</v>
      </c>
      <c r="E62" s="13"/>
      <c r="F62" s="13"/>
      <c r="G62" s="13" t="s">
        <v>13</v>
      </c>
      <c r="H62" s="13" t="str">
        <f>_xlfn.XLOOKUP(J62,'Master Data 14-9-2026'!C:C,'Master Data 14-9-2026'!H:H)</f>
        <v>2026-05-15 - 2026-06-14</v>
      </c>
      <c r="I62" s="13" t="str">
        <f t="shared" si="0"/>
        <v>May</v>
      </c>
      <c r="J62" s="13" t="s">
        <v>1048</v>
      </c>
      <c r="K62" s="13" t="s">
        <v>1048</v>
      </c>
      <c r="L62" s="13" t="s">
        <v>441</v>
      </c>
      <c r="M62" s="15">
        <v>200003120933020</v>
      </c>
      <c r="N62" s="13" t="s">
        <v>924</v>
      </c>
      <c r="O62" s="13">
        <v>1.09120260518004E+17</v>
      </c>
      <c r="P62" s="13" t="s">
        <v>1027</v>
      </c>
      <c r="Q62" s="18">
        <v>14</v>
      </c>
      <c r="R62" s="18">
        <v>1</v>
      </c>
      <c r="S62" s="13">
        <v>8828132634</v>
      </c>
      <c r="T62" s="13" t="s">
        <v>978</v>
      </c>
      <c r="U62" s="19">
        <v>32542400</v>
      </c>
      <c r="V62" s="18">
        <v>1</v>
      </c>
      <c r="W62" s="18">
        <f>_xlfn.XLOOKUP(J62,'Master Data 14-9-2026'!C:C,'Master Data 14-9-2026'!L:L)</f>
        <v>0</v>
      </c>
      <c r="X62" s="23">
        <v>32542400</v>
      </c>
      <c r="Y62" s="13" t="s">
        <v>1028</v>
      </c>
      <c r="Z62" s="24" t="s">
        <v>15</v>
      </c>
      <c r="AA62" s="13" t="s">
        <v>934</v>
      </c>
      <c r="AC62" s="4"/>
      <c r="AD62" s="13" t="s">
        <v>935</v>
      </c>
      <c r="AE62" s="13" t="str">
        <f>_xlfn.XLOOKUP(L62,'[1]ID PROJECT'!E:E,'[1]ID PROJECT'!F:F)</f>
        <v xml:space="preserve">PRJ-KUT-KPU-TPED-2026-04-00071 </v>
      </c>
      <c r="AF62" s="13" t="s">
        <v>1029</v>
      </c>
      <c r="AG62" s="13" t="s">
        <v>1030</v>
      </c>
      <c r="AH62" s="65">
        <v>46197</v>
      </c>
      <c r="AI62" s="27" t="s">
        <v>945</v>
      </c>
    </row>
    <row r="63" spans="1:35" hidden="1">
      <c r="A63" s="13" t="s">
        <v>650</v>
      </c>
      <c r="B63" s="13" t="str">
        <f>_xlfn.XLOOKUP(J63,'Master Data 14-9-2026'!C:C,'Master Data 14-9-2026'!D:D)</f>
        <v>Muhammad Hafid Aqil Siroj wx1520522</v>
      </c>
      <c r="C63" s="13"/>
      <c r="D63" s="13" t="str">
        <f>_xlfn.XLOOKUP(J63,'Master Data 14-9-2026'!C:C,'Master Data 14-9-2026'!E:E)</f>
        <v>IOH</v>
      </c>
      <c r="E63" s="13"/>
      <c r="F63" s="13"/>
      <c r="G63" s="13" t="s">
        <v>13</v>
      </c>
      <c r="H63" s="13" t="str">
        <f>_xlfn.XLOOKUP(J63,'Master Data 14-9-2026'!C:C,'Master Data 14-9-2026'!H:H)</f>
        <v>2026-05-15 - 2026-06-14</v>
      </c>
      <c r="I63" s="13" t="str">
        <f t="shared" si="0"/>
        <v>May</v>
      </c>
      <c r="J63" s="13" t="s">
        <v>1049</v>
      </c>
      <c r="K63" s="13" t="s">
        <v>1049</v>
      </c>
      <c r="L63" s="13" t="s">
        <v>441</v>
      </c>
      <c r="M63" s="15">
        <v>200003120934020</v>
      </c>
      <c r="N63" s="13" t="s">
        <v>924</v>
      </c>
      <c r="O63" s="13">
        <v>1.09120260518004E+17</v>
      </c>
      <c r="P63" s="13" t="s">
        <v>1027</v>
      </c>
      <c r="Q63" s="18">
        <v>15</v>
      </c>
      <c r="R63" s="18">
        <v>1</v>
      </c>
      <c r="S63" s="13">
        <v>8828132634</v>
      </c>
      <c r="T63" s="13" t="s">
        <v>978</v>
      </c>
      <c r="U63" s="19">
        <v>32542400</v>
      </c>
      <c r="V63" s="18">
        <v>1</v>
      </c>
      <c r="W63" s="18">
        <f>_xlfn.XLOOKUP(J63,'Master Data 14-9-2026'!C:C,'Master Data 14-9-2026'!L:L)</f>
        <v>0</v>
      </c>
      <c r="X63" s="23">
        <v>32542400</v>
      </c>
      <c r="Y63" s="13" t="s">
        <v>1028</v>
      </c>
      <c r="Z63" s="24" t="s">
        <v>15</v>
      </c>
      <c r="AA63" s="13" t="s">
        <v>934</v>
      </c>
      <c r="AC63" s="4"/>
      <c r="AD63" s="13" t="s">
        <v>935</v>
      </c>
      <c r="AE63" s="13" t="str">
        <f>_xlfn.XLOOKUP(L63,'[1]ID PROJECT'!E:E,'[1]ID PROJECT'!F:F)</f>
        <v xml:space="preserve">PRJ-KUT-KPU-TPED-2026-04-00071 </v>
      </c>
      <c r="AF63" s="13" t="s">
        <v>1029</v>
      </c>
      <c r="AG63" s="13" t="s">
        <v>1030</v>
      </c>
      <c r="AH63" s="65">
        <v>46197</v>
      </c>
      <c r="AI63" s="27" t="s">
        <v>945</v>
      </c>
    </row>
    <row r="64" spans="1:35">
      <c r="A64" s="13" t="s">
        <v>779</v>
      </c>
      <c r="B64" s="13" t="str">
        <f>_xlfn.XLOOKUP(J64,'Master Data 14-9-2026'!C:C,'Master Data 14-9-2026'!D:D)</f>
        <v>Kristina Tambunan wx1517408</v>
      </c>
      <c r="C64" s="13"/>
      <c r="D64" s="13" t="str">
        <f>_xlfn.XLOOKUP(J64,'Master Data 14-9-2026'!C:C,'Master Data 14-9-2026'!E:E)</f>
        <v>TELKOMSEL</v>
      </c>
      <c r="E64" s="13" t="s">
        <v>1050</v>
      </c>
      <c r="F64" s="13"/>
      <c r="G64" s="13" t="s">
        <v>13</v>
      </c>
      <c r="H64" s="13" t="str">
        <f>_xlfn.XLOOKUP(J64,'Master Data 14-9-2026'!C:C,'Master Data 14-9-2026'!H:H)</f>
        <v>2026-05-05 - 2026-06-04</v>
      </c>
      <c r="I64" s="13" t="str">
        <f t="shared" si="0"/>
        <v>May</v>
      </c>
      <c r="J64" s="13" t="s">
        <v>1051</v>
      </c>
      <c r="K64" s="13" t="s">
        <v>779</v>
      </c>
      <c r="L64" s="13" t="s">
        <v>441</v>
      </c>
      <c r="M64" s="15">
        <v>200003120955020</v>
      </c>
      <c r="N64" s="13" t="s">
        <v>924</v>
      </c>
      <c r="O64" s="13">
        <v>1.09120260518004E+17</v>
      </c>
      <c r="P64" s="13" t="s">
        <v>1052</v>
      </c>
      <c r="Q64" s="18">
        <v>1</v>
      </c>
      <c r="R64" s="18">
        <v>1</v>
      </c>
      <c r="S64" s="13">
        <v>8828132635</v>
      </c>
      <c r="T64" s="13" t="s">
        <v>926</v>
      </c>
      <c r="U64" s="19">
        <v>34220600</v>
      </c>
      <c r="V64" s="18">
        <v>1</v>
      </c>
      <c r="W64" s="18">
        <f>_xlfn.XLOOKUP(J64,'Master Data 14-9-2026'!C:C,'Master Data 14-9-2026'!L:L)</f>
        <v>1</v>
      </c>
      <c r="X64" s="23">
        <v>34220600</v>
      </c>
      <c r="Y64" s="13" t="s">
        <v>1028</v>
      </c>
      <c r="Z64" s="24" t="str">
        <f>_xlfn.XLOOKUP(J64,'Master Data 14-9-2026'!C:C,'Master Data 14-9-2026'!I:I)</f>
        <v>Ended</v>
      </c>
      <c r="AA64" s="4" t="s">
        <v>934</v>
      </c>
      <c r="AB64" s="13"/>
      <c r="AC64" s="13" t="s">
        <v>965</v>
      </c>
      <c r="AD64" s="40" t="s">
        <v>935</v>
      </c>
      <c r="AE64" s="13" t="str">
        <f>_xlfn.XLOOKUP(L64,'[1]ID PROJECT'!E:E,'[1]ID PROJECT'!F:F)</f>
        <v xml:space="preserve">PRJ-KUT-KPU-TPED-2026-04-00071 </v>
      </c>
      <c r="AF64" s="39" t="s">
        <v>3369</v>
      </c>
      <c r="AG64" s="40" t="s">
        <v>3397</v>
      </c>
      <c r="AH64" s="65">
        <v>46269</v>
      </c>
      <c r="AI64" s="41" t="s">
        <v>967</v>
      </c>
    </row>
    <row r="65" spans="1:35" hidden="1">
      <c r="A65" s="13" t="s">
        <v>801</v>
      </c>
      <c r="B65" s="13" t="str">
        <f>_xlfn.XLOOKUP(J65,'Master Data 14-9-2026'!C:C,'Master Data 14-9-2026'!D:D)</f>
        <v>Fikri Tirta Kusuma Atmaja wx1507714</v>
      </c>
      <c r="C65" s="13" t="s">
        <v>1053</v>
      </c>
      <c r="D65" s="13" t="str">
        <f>_xlfn.XLOOKUP(J65,'Master Data 14-9-2026'!C:C,'Master Data 14-9-2026'!E:E)</f>
        <v>XLSMART</v>
      </c>
      <c r="E65" s="13" t="s">
        <v>1054</v>
      </c>
      <c r="F65" s="13"/>
      <c r="G65" s="13" t="s">
        <v>13</v>
      </c>
      <c r="H65" s="13" t="str">
        <f>_xlfn.XLOOKUP(J65,'Master Data 14-9-2026'!C:C,'Master Data 14-9-2026'!H:H)</f>
        <v>2026-04-01 - 2026-04-30</v>
      </c>
      <c r="I65" s="13" t="str">
        <f t="shared" si="0"/>
        <v>April</v>
      </c>
      <c r="J65" s="13" t="s">
        <v>1055</v>
      </c>
      <c r="K65" s="13" t="s">
        <v>801</v>
      </c>
      <c r="L65" s="13" t="s">
        <v>475</v>
      </c>
      <c r="M65" s="15">
        <v>200003120956020</v>
      </c>
      <c r="N65" s="13" t="s">
        <v>924</v>
      </c>
      <c r="O65" s="13">
        <v>1.09120260518004E+17</v>
      </c>
      <c r="P65" s="13" t="s">
        <v>1052</v>
      </c>
      <c r="Q65" s="18">
        <v>2</v>
      </c>
      <c r="R65" s="18">
        <v>1</v>
      </c>
      <c r="S65" s="13">
        <v>8828132635</v>
      </c>
      <c r="T65" s="13" t="s">
        <v>926</v>
      </c>
      <c r="U65" s="19">
        <v>34220600</v>
      </c>
      <c r="V65" s="18">
        <v>1</v>
      </c>
      <c r="W65" s="18">
        <f>_xlfn.XLOOKUP(J65,'Master Data 14-9-2026'!C:C,'Master Data 14-9-2026'!L:L)</f>
        <v>0</v>
      </c>
      <c r="X65" s="23">
        <v>34220600</v>
      </c>
      <c r="Y65" s="13" t="s">
        <v>1028</v>
      </c>
      <c r="Z65" s="24" t="s">
        <v>15</v>
      </c>
      <c r="AA65" s="13" t="s">
        <v>934</v>
      </c>
      <c r="AC65" s="4"/>
      <c r="AD65" s="13" t="s">
        <v>935</v>
      </c>
      <c r="AE65" s="13" t="str">
        <f>_xlfn.XLOOKUP(L65,'[1]ID PROJECT'!E:E,'[1]ID PROJECT'!F:F)</f>
        <v>PRJ-KUT-KPU-TPED-2026-04-00074</v>
      </c>
      <c r="AF65" s="39" t="s">
        <v>3370</v>
      </c>
      <c r="AG65" s="13" t="s">
        <v>1056</v>
      </c>
      <c r="AH65" s="65">
        <v>46203</v>
      </c>
      <c r="AI65" s="27" t="s">
        <v>945</v>
      </c>
    </row>
    <row r="66" spans="1:35" hidden="1">
      <c r="A66" s="13" t="s">
        <v>534</v>
      </c>
      <c r="B66" s="13" t="str">
        <f>_xlfn.XLOOKUP(J66,'Master Data 14-9-2026'!C:C,'Master Data 14-9-2026'!D:D)</f>
        <v>Risky Septiadi Hartono wx1503496</v>
      </c>
      <c r="C66" s="13"/>
      <c r="D66" s="13" t="str">
        <f>_xlfn.XLOOKUP(J66,'Master Data 14-9-2026'!C:C,'Master Data 14-9-2026'!E:E)</f>
        <v>TELKOMSEL</v>
      </c>
      <c r="E66" s="13"/>
      <c r="F66" s="13"/>
      <c r="G66" s="13" t="s">
        <v>13</v>
      </c>
      <c r="H66" s="13" t="str">
        <f>_xlfn.XLOOKUP(J66,'Master Data 14-9-2026'!C:C,'Master Data 14-9-2026'!H:H)</f>
        <v>2026-03-23 - 2026-04-22</v>
      </c>
      <c r="I66" s="13" t="str">
        <f t="shared" si="0"/>
        <v>March</v>
      </c>
      <c r="J66" s="13" t="s">
        <v>1057</v>
      </c>
      <c r="K66" s="13" t="s">
        <v>1057</v>
      </c>
      <c r="L66" s="13" t="s">
        <v>457</v>
      </c>
      <c r="M66" s="15">
        <v>200003103089020</v>
      </c>
      <c r="N66" s="13" t="s">
        <v>924</v>
      </c>
      <c r="O66" s="13">
        <v>1.09120260518004E+17</v>
      </c>
      <c r="P66" s="13" t="s">
        <v>1058</v>
      </c>
      <c r="Q66" s="18">
        <v>1</v>
      </c>
      <c r="R66" s="18">
        <v>1</v>
      </c>
      <c r="S66" s="13">
        <v>8828132636</v>
      </c>
      <c r="T66" s="13" t="s">
        <v>933</v>
      </c>
      <c r="U66" s="19">
        <v>36992000</v>
      </c>
      <c r="V66" s="18">
        <v>1</v>
      </c>
      <c r="W66" s="18">
        <f>_xlfn.XLOOKUP(J66,'Master Data 14-9-2026'!C:C,'Master Data 14-9-2026'!L:L)</f>
        <v>0.5</v>
      </c>
      <c r="X66" s="23">
        <v>36992000</v>
      </c>
      <c r="Y66" s="13" t="s">
        <v>1028</v>
      </c>
      <c r="Z66" s="24" t="s">
        <v>15</v>
      </c>
      <c r="AA66" s="13" t="s">
        <v>934</v>
      </c>
      <c r="AC66" s="4"/>
      <c r="AD66" s="13" t="s">
        <v>935</v>
      </c>
      <c r="AE66" s="13" t="str">
        <f>_xlfn.XLOOKUP(L66,'[1]ID PROJECT'!E:E,'[1]ID PROJECT'!F:F)</f>
        <v>PRJ-KUT-KPU-TPED-2026-04-00076</v>
      </c>
      <c r="AF66" s="39" t="s">
        <v>3371</v>
      </c>
      <c r="AG66" s="13" t="s">
        <v>1059</v>
      </c>
      <c r="AH66" s="65">
        <v>46216</v>
      </c>
      <c r="AI66" s="27" t="s">
        <v>938</v>
      </c>
    </row>
    <row r="67" spans="1:35" hidden="1">
      <c r="A67" s="13" t="s">
        <v>439</v>
      </c>
      <c r="B67" s="13" t="str">
        <f>_xlfn.XLOOKUP(J67,'Master Data 14-9-2026'!C:C,'Master Data 14-9-2026'!D:D)</f>
        <v>Farizqi Anisah Nudhar wx1503972</v>
      </c>
      <c r="C67" s="13"/>
      <c r="D67" s="13" t="str">
        <f>_xlfn.XLOOKUP(J67,'Master Data 14-9-2026'!C:C,'Master Data 14-9-2026'!E:E)</f>
        <v>TELKOMSEL</v>
      </c>
      <c r="E67" s="13"/>
      <c r="F67" s="13"/>
      <c r="G67" s="13" t="s">
        <v>13</v>
      </c>
      <c r="H67" s="13" t="str">
        <f>_xlfn.XLOOKUP(J67,'Master Data 14-9-2026'!C:C,'Master Data 14-9-2026'!H:H)</f>
        <v>2026-03-30 - 2026-04-29</v>
      </c>
      <c r="I67" s="13" t="str">
        <f t="shared" ref="I67:I130" si="1">TEXT(DATEVALUE(LEFT(H67,10)),"mmmm")</f>
        <v>March</v>
      </c>
      <c r="J67" s="13" t="s">
        <v>1060</v>
      </c>
      <c r="K67" s="13" t="s">
        <v>1060</v>
      </c>
      <c r="L67" s="13" t="s">
        <v>441</v>
      </c>
      <c r="M67" s="15">
        <v>200003103090020</v>
      </c>
      <c r="N67" s="13" t="s">
        <v>924</v>
      </c>
      <c r="O67" s="13">
        <v>1.09120260518004E+17</v>
      </c>
      <c r="P67" s="13" t="s">
        <v>1058</v>
      </c>
      <c r="Q67" s="18">
        <v>2</v>
      </c>
      <c r="R67" s="18">
        <v>1</v>
      </c>
      <c r="S67" s="13">
        <v>8828132636</v>
      </c>
      <c r="T67" s="13" t="s">
        <v>933</v>
      </c>
      <c r="U67" s="19">
        <v>36992000</v>
      </c>
      <c r="V67" s="18">
        <v>1</v>
      </c>
      <c r="W67" s="18">
        <f>_xlfn.XLOOKUP(J67,'Master Data 14-9-2026'!C:C,'Master Data 14-9-2026'!L:L)</f>
        <v>1.2</v>
      </c>
      <c r="X67" s="23">
        <v>36992000</v>
      </c>
      <c r="Y67" s="13" t="s">
        <v>1028</v>
      </c>
      <c r="Z67" s="24" t="s">
        <v>15</v>
      </c>
      <c r="AA67" s="13" t="s">
        <v>934</v>
      </c>
      <c r="AC67" s="4"/>
      <c r="AD67" s="13" t="s">
        <v>935</v>
      </c>
      <c r="AE67" s="13" t="str">
        <f>_xlfn.XLOOKUP(L67,'[1]ID PROJECT'!E:E,'[1]ID PROJECT'!F:F)</f>
        <v xml:space="preserve">PRJ-KUT-KPU-TPED-2026-04-00071 </v>
      </c>
      <c r="AF67" s="39" t="s">
        <v>3371</v>
      </c>
      <c r="AG67" s="13" t="s">
        <v>1062</v>
      </c>
      <c r="AH67" s="65">
        <v>46203</v>
      </c>
      <c r="AI67" s="27" t="s">
        <v>945</v>
      </c>
    </row>
    <row r="68" spans="1:35" hidden="1">
      <c r="A68" s="13" t="s">
        <v>482</v>
      </c>
      <c r="B68" s="13" t="str">
        <f>_xlfn.XLOOKUP(J68,'Master Data 14-9-2026'!C:C,'Master Data 14-9-2026'!D:D)</f>
        <v>Adhelina Zulfiana wx1505386</v>
      </c>
      <c r="C68" s="13"/>
      <c r="D68" s="13" t="str">
        <f>_xlfn.XLOOKUP(J68,'Master Data 14-9-2026'!C:C,'Master Data 14-9-2026'!E:E)</f>
        <v>Platform DMD</v>
      </c>
      <c r="E68" s="13"/>
      <c r="F68" s="13"/>
      <c r="G68" s="13" t="s">
        <v>13</v>
      </c>
      <c r="H68" s="13" t="str">
        <f>_xlfn.XLOOKUP(J68,'Master Data 14-9-2026'!C:C,'Master Data 14-9-2026'!H:H)</f>
        <v>2026-03-30 - 2026-04-29</v>
      </c>
      <c r="I68" s="13" t="str">
        <f t="shared" si="1"/>
        <v>March</v>
      </c>
      <c r="J68" s="13" t="s">
        <v>1063</v>
      </c>
      <c r="K68" s="13" t="s">
        <v>1063</v>
      </c>
      <c r="L68" s="13" t="s">
        <v>441</v>
      </c>
      <c r="M68" s="15">
        <v>200003103091020</v>
      </c>
      <c r="N68" s="13" t="s">
        <v>924</v>
      </c>
      <c r="O68" s="13">
        <v>1.09120260518004E+17</v>
      </c>
      <c r="P68" s="13" t="s">
        <v>1058</v>
      </c>
      <c r="Q68" s="18">
        <v>3</v>
      </c>
      <c r="R68" s="18">
        <v>1</v>
      </c>
      <c r="S68" s="13">
        <v>8828132636</v>
      </c>
      <c r="T68" s="13" t="s">
        <v>933</v>
      </c>
      <c r="U68" s="19">
        <v>36992000</v>
      </c>
      <c r="V68" s="18">
        <v>1</v>
      </c>
      <c r="W68" s="18">
        <f>_xlfn.XLOOKUP(J68,'Master Data 14-9-2026'!C:C,'Master Data 14-9-2026'!L:L)</f>
        <v>1</v>
      </c>
      <c r="X68" s="23">
        <v>36992000</v>
      </c>
      <c r="Y68" s="13" t="s">
        <v>1028</v>
      </c>
      <c r="Z68" s="24" t="str">
        <f>_xlfn.XLOOKUP(J68,'Master Data 14-9-2026'!C:C,'Master Data 14-9-2026'!I:I)</f>
        <v>Ended</v>
      </c>
      <c r="AA68" s="13" t="s">
        <v>934</v>
      </c>
      <c r="AC68" s="4"/>
      <c r="AD68" s="13" t="s">
        <v>935</v>
      </c>
      <c r="AE68" s="13" t="str">
        <f>_xlfn.XLOOKUP(L68,'[1]ID PROJECT'!E:E,'[1]ID PROJECT'!F:F)</f>
        <v xml:space="preserve">PRJ-KUT-KPU-TPED-2026-04-00071 </v>
      </c>
      <c r="AF68" s="39" t="s">
        <v>3372</v>
      </c>
      <c r="AG68" s="13" t="s">
        <v>1062</v>
      </c>
      <c r="AH68" s="65">
        <v>46203</v>
      </c>
      <c r="AI68" s="27" t="s">
        <v>945</v>
      </c>
    </row>
    <row r="69" spans="1:35" hidden="1">
      <c r="A69" s="13" t="s">
        <v>489</v>
      </c>
      <c r="B69" s="13" t="str">
        <f>_xlfn.XLOOKUP(J69,'Master Data 14-9-2026'!C:C,'Master Data 14-9-2026'!D:D)</f>
        <v>Alvin Ramadhan wx1507288</v>
      </c>
      <c r="C69" s="13"/>
      <c r="D69" s="13" t="str">
        <f>_xlfn.XLOOKUP(J69,'Master Data 14-9-2026'!C:C,'Master Data 14-9-2026'!E:E)</f>
        <v>TELKOMSEL</v>
      </c>
      <c r="E69" s="13"/>
      <c r="F69" s="13"/>
      <c r="G69" s="13" t="s">
        <v>13</v>
      </c>
      <c r="H69" s="13" t="str">
        <f>_xlfn.XLOOKUP(J69,'Master Data 14-9-2026'!C:C,'Master Data 14-9-2026'!H:H)</f>
        <v>2026-04-01 - 2026-04-30</v>
      </c>
      <c r="I69" s="13" t="str">
        <f t="shared" si="1"/>
        <v>April</v>
      </c>
      <c r="J69" s="13" t="s">
        <v>1064</v>
      </c>
      <c r="K69" s="13" t="s">
        <v>1064</v>
      </c>
      <c r="L69" s="13" t="s">
        <v>475</v>
      </c>
      <c r="M69" s="15">
        <v>200003103092020</v>
      </c>
      <c r="N69" s="13" t="s">
        <v>924</v>
      </c>
      <c r="O69" s="13">
        <v>1.09120260518004E+17</v>
      </c>
      <c r="P69" s="13" t="s">
        <v>1058</v>
      </c>
      <c r="Q69" s="18">
        <v>4</v>
      </c>
      <c r="R69" s="18">
        <v>1</v>
      </c>
      <c r="S69" s="13">
        <v>8828132636</v>
      </c>
      <c r="T69" s="13" t="s">
        <v>933</v>
      </c>
      <c r="U69" s="19">
        <v>36992000</v>
      </c>
      <c r="V69" s="18">
        <v>1</v>
      </c>
      <c r="W69" s="18">
        <f>_xlfn.XLOOKUP(J69,'Master Data 14-9-2026'!C:C,'Master Data 14-9-2026'!L:L)</f>
        <v>1.5</v>
      </c>
      <c r="X69" s="23">
        <v>36992000</v>
      </c>
      <c r="Y69" s="13" t="s">
        <v>1028</v>
      </c>
      <c r="Z69" s="24" t="s">
        <v>15</v>
      </c>
      <c r="AA69" s="13" t="s">
        <v>934</v>
      </c>
      <c r="AC69" s="4"/>
      <c r="AD69" s="13" t="s">
        <v>935</v>
      </c>
      <c r="AE69" s="13" t="str">
        <f>_xlfn.XLOOKUP(L69,'[1]ID PROJECT'!E:E,'[1]ID PROJECT'!F:F)</f>
        <v>PRJ-KUT-KPU-TPED-2026-04-00074</v>
      </c>
      <c r="AF69" s="39" t="s">
        <v>3373</v>
      </c>
      <c r="AG69" s="13" t="s">
        <v>1062</v>
      </c>
      <c r="AH69" s="65">
        <v>46203</v>
      </c>
      <c r="AI69" s="27" t="s">
        <v>945</v>
      </c>
    </row>
    <row r="70" spans="1:35" hidden="1">
      <c r="A70" s="13" t="s">
        <v>466</v>
      </c>
      <c r="B70" s="13" t="str">
        <f>_xlfn.XLOOKUP(J70,'Master Data 14-9-2026'!C:C,'Master Data 14-9-2026'!D:D)</f>
        <v>Makarias Lindon Sihombing wx1503643</v>
      </c>
      <c r="C70" s="13"/>
      <c r="D70" s="13" t="str">
        <f>_xlfn.XLOOKUP(J70,'Master Data 14-9-2026'!C:C,'Master Data 14-9-2026'!E:E)</f>
        <v>TELKOMSEL</v>
      </c>
      <c r="E70" s="13"/>
      <c r="F70" s="13"/>
      <c r="G70" s="13" t="s">
        <v>13</v>
      </c>
      <c r="H70" s="13" t="str">
        <f>_xlfn.XLOOKUP(J70,'Master Data 14-9-2026'!C:C,'Master Data 14-9-2026'!H:H)</f>
        <v>2026-04-01 - 2026-04-30</v>
      </c>
      <c r="I70" s="13" t="str">
        <f t="shared" si="1"/>
        <v>April</v>
      </c>
      <c r="J70" s="13" t="s">
        <v>1065</v>
      </c>
      <c r="K70" s="13" t="s">
        <v>1065</v>
      </c>
      <c r="L70" s="13" t="s">
        <v>468</v>
      </c>
      <c r="M70" s="15">
        <v>200003103093020</v>
      </c>
      <c r="N70" s="13" t="s">
        <v>924</v>
      </c>
      <c r="O70" s="13">
        <v>1.09120260518004E+17</v>
      </c>
      <c r="P70" s="13" t="s">
        <v>1058</v>
      </c>
      <c r="Q70" s="18">
        <v>5</v>
      </c>
      <c r="R70" s="18">
        <v>1</v>
      </c>
      <c r="S70" s="13">
        <v>8828132636</v>
      </c>
      <c r="T70" s="13" t="s">
        <v>933</v>
      </c>
      <c r="U70" s="19">
        <v>36992000</v>
      </c>
      <c r="V70" s="18">
        <v>1</v>
      </c>
      <c r="W70" s="18">
        <f>_xlfn.XLOOKUP(J70,'Master Data 14-9-2026'!C:C,'Master Data 14-9-2026'!L:L)</f>
        <v>1.33</v>
      </c>
      <c r="X70" s="23">
        <v>36992000</v>
      </c>
      <c r="Y70" s="13" t="s">
        <v>1028</v>
      </c>
      <c r="Z70" s="24" t="s">
        <v>15</v>
      </c>
      <c r="AA70" s="13" t="s">
        <v>934</v>
      </c>
      <c r="AC70" s="4"/>
      <c r="AD70" s="13" t="s">
        <v>935</v>
      </c>
      <c r="AE70" s="13" t="str">
        <f>_xlfn.XLOOKUP(L70,'[1]ID PROJECT'!E:E,'[1]ID PROJECT'!F:F)</f>
        <v>PRJ-KUT-KPU-TPED-2026-04-00075</v>
      </c>
      <c r="AF70" s="13" t="s">
        <v>1061</v>
      </c>
      <c r="AG70" s="13" t="s">
        <v>1062</v>
      </c>
      <c r="AH70" s="65">
        <v>46203</v>
      </c>
      <c r="AI70" s="27" t="s">
        <v>945</v>
      </c>
    </row>
    <row r="71" spans="1:35" hidden="1">
      <c r="A71" s="13" t="s">
        <v>1066</v>
      </c>
      <c r="B71" s="13" t="e">
        <f>_xlfn.XLOOKUP(J71,'Master Data 14-9-2026'!C:C,'Master Data 14-9-2026'!D:D)</f>
        <v>#N/A</v>
      </c>
      <c r="C71" s="13" t="s">
        <v>1067</v>
      </c>
      <c r="D71" s="13" t="e">
        <f>_xlfn.XLOOKUP(J71,'Master Data 14-9-2026'!C:C,'Master Data 14-9-2026'!E:E)</f>
        <v>#N/A</v>
      </c>
      <c r="E71" s="13" t="s">
        <v>1068</v>
      </c>
      <c r="F71" s="13"/>
      <c r="G71" s="13" t="s">
        <v>13</v>
      </c>
      <c r="H71" s="13" t="e">
        <f>_xlfn.XLOOKUP(J71,'Master Data 14-9-2026'!C:C,'Master Data 14-9-2026'!H:H)</f>
        <v>#N/A</v>
      </c>
      <c r="I71" s="13" t="e">
        <f t="shared" si="1"/>
        <v>#N/A</v>
      </c>
      <c r="J71" s="13" t="s">
        <v>1069</v>
      </c>
      <c r="K71" s="13" t="s">
        <v>1069</v>
      </c>
      <c r="L71" s="13" t="s">
        <v>441</v>
      </c>
      <c r="M71" s="15">
        <v>200003103096020</v>
      </c>
      <c r="N71" s="13" t="s">
        <v>924</v>
      </c>
      <c r="O71" s="13">
        <v>1.09120260518004E+17</v>
      </c>
      <c r="P71" s="13" t="s">
        <v>1058</v>
      </c>
      <c r="Q71" s="18">
        <v>6</v>
      </c>
      <c r="R71" s="18">
        <v>1</v>
      </c>
      <c r="S71" s="13">
        <v>8828132635</v>
      </c>
      <c r="T71" s="13" t="s">
        <v>926</v>
      </c>
      <c r="U71" s="19">
        <v>34220600</v>
      </c>
      <c r="V71" s="18">
        <v>1</v>
      </c>
      <c r="W71" s="18" t="e">
        <f>_xlfn.XLOOKUP(J71,'Master Data 14-9-2026'!C:C,'Master Data 14-9-2026'!L:L)</f>
        <v>#N/A</v>
      </c>
      <c r="X71" s="23">
        <v>34220600</v>
      </c>
      <c r="Y71" s="13" t="s">
        <v>1028</v>
      </c>
      <c r="Z71" s="24" t="s">
        <v>984</v>
      </c>
      <c r="AA71" s="39" t="s">
        <v>928</v>
      </c>
      <c r="AB71" s="40" t="s">
        <v>4157</v>
      </c>
      <c r="AC71" s="13" t="s">
        <v>965</v>
      </c>
      <c r="AD71" s="13"/>
      <c r="AE71" s="13" t="str">
        <f>_xlfn.XLOOKUP(L71,'[1]ID PROJECT'!E:E,'[1]ID PROJECT'!F:F)</f>
        <v xml:space="preserve">PRJ-KUT-KPU-TPED-2026-04-00071 </v>
      </c>
      <c r="AF71" s="13"/>
      <c r="AG71" s="13"/>
      <c r="AH71" s="65"/>
      <c r="AI71" s="27"/>
    </row>
    <row r="72" spans="1:35" hidden="1">
      <c r="A72" s="13" t="s">
        <v>652</v>
      </c>
      <c r="B72" s="13" t="str">
        <f>_xlfn.XLOOKUP(J72,'Master Data 14-9-2026'!C:C,'Master Data 14-9-2026'!D:D)</f>
        <v>Muhammad Yusuf wx1503989</v>
      </c>
      <c r="C72" s="13"/>
      <c r="D72" s="13" t="str">
        <f>_xlfn.XLOOKUP(J72,'Master Data 14-9-2026'!C:C,'Master Data 14-9-2026'!E:E)</f>
        <v>IOH</v>
      </c>
      <c r="E72" s="13" t="s">
        <v>1071</v>
      </c>
      <c r="F72" s="13"/>
      <c r="G72" s="13" t="s">
        <v>13</v>
      </c>
      <c r="H72" s="13" t="str">
        <f>_xlfn.XLOOKUP(J72,'Master Data 14-9-2026'!C:C,'Master Data 14-9-2026'!H:H)</f>
        <v>2026-03-30 - 2026-04-29</v>
      </c>
      <c r="I72" s="13" t="str">
        <f t="shared" si="1"/>
        <v>March</v>
      </c>
      <c r="J72" s="13" t="s">
        <v>1072</v>
      </c>
      <c r="K72" s="13" t="s">
        <v>1072</v>
      </c>
      <c r="L72" s="13" t="s">
        <v>461</v>
      </c>
      <c r="M72" s="15">
        <v>200003103094020</v>
      </c>
      <c r="N72" s="13" t="s">
        <v>924</v>
      </c>
      <c r="O72" s="13">
        <v>1.09120260518004E+17</v>
      </c>
      <c r="P72" s="13" t="s">
        <v>1058</v>
      </c>
      <c r="Q72" s="18">
        <v>7</v>
      </c>
      <c r="R72" s="18">
        <v>1</v>
      </c>
      <c r="S72" s="13">
        <v>8828132635</v>
      </c>
      <c r="T72" s="13" t="s">
        <v>926</v>
      </c>
      <c r="U72" s="19">
        <v>34220600</v>
      </c>
      <c r="V72" s="18">
        <v>1</v>
      </c>
      <c r="W72" s="18">
        <f>_xlfn.XLOOKUP(J72,'Master Data 14-9-2026'!C:C,'Master Data 14-9-2026'!L:L)</f>
        <v>0</v>
      </c>
      <c r="X72" s="23">
        <v>34220600</v>
      </c>
      <c r="Y72" s="13" t="s">
        <v>1028</v>
      </c>
      <c r="Z72" s="24" t="s">
        <v>15</v>
      </c>
      <c r="AB72" s="13" t="s">
        <v>1073</v>
      </c>
      <c r="AC72" s="13" t="s">
        <v>1074</v>
      </c>
      <c r="AD72" s="13"/>
      <c r="AE72" s="13" t="str">
        <f>_xlfn.XLOOKUP(L72,'[1]ID PROJECT'!E:E,'[1]ID PROJECT'!F:F)</f>
        <v>PRJ-KUT-KPU-TPED-2026-04-00078</v>
      </c>
      <c r="AF72" s="13"/>
      <c r="AG72" s="13"/>
      <c r="AH72" s="65"/>
      <c r="AI72" s="27"/>
    </row>
    <row r="73" spans="1:35" hidden="1">
      <c r="A73" s="13" t="s">
        <v>1075</v>
      </c>
      <c r="B73" s="13" t="e">
        <f>_xlfn.XLOOKUP(J73,'Master Data 14-9-2026'!C:C,'Master Data 14-9-2026'!D:D)</f>
        <v>#N/A</v>
      </c>
      <c r="C73" s="13"/>
      <c r="D73" s="13" t="e">
        <f>_xlfn.XLOOKUP(J73,'Master Data 14-9-2026'!C:C,'Master Data 14-9-2026'!E:E)</f>
        <v>#N/A</v>
      </c>
      <c r="E73" s="13"/>
      <c r="F73" s="13"/>
      <c r="G73" s="13" t="s">
        <v>13</v>
      </c>
      <c r="H73" s="13" t="e">
        <f>_xlfn.XLOOKUP(J73,'Master Data 14-9-2026'!C:C,'Master Data 14-9-2026'!H:H)</f>
        <v>#N/A</v>
      </c>
      <c r="I73" s="13" t="e">
        <f t="shared" si="1"/>
        <v>#N/A</v>
      </c>
      <c r="J73" s="13" t="s">
        <v>1076</v>
      </c>
      <c r="K73" s="13" t="s">
        <v>1076</v>
      </c>
      <c r="L73" s="13"/>
      <c r="M73" s="15">
        <v>200003103095020</v>
      </c>
      <c r="N73" s="13" t="s">
        <v>924</v>
      </c>
      <c r="O73" s="13">
        <v>1.09120260518004E+17</v>
      </c>
      <c r="P73" s="13" t="s">
        <v>1058</v>
      </c>
      <c r="Q73" s="18">
        <v>8</v>
      </c>
      <c r="R73" s="18">
        <v>1</v>
      </c>
      <c r="S73" s="13">
        <v>8828132635</v>
      </c>
      <c r="T73" s="13" t="s">
        <v>926</v>
      </c>
      <c r="U73" s="19">
        <v>34220600</v>
      </c>
      <c r="V73" s="18">
        <v>1</v>
      </c>
      <c r="W73" s="18" t="e">
        <f>_xlfn.XLOOKUP(J73,'Master Data 14-9-2026'!C:C,'Master Data 14-9-2026'!L:L)</f>
        <v>#N/A</v>
      </c>
      <c r="X73" s="23">
        <v>34220600</v>
      </c>
      <c r="Y73" s="13" t="s">
        <v>1028</v>
      </c>
      <c r="Z73" s="24" t="s">
        <v>984</v>
      </c>
      <c r="AA73" s="4" t="s">
        <v>928</v>
      </c>
      <c r="AB73" s="13" t="s">
        <v>985</v>
      </c>
      <c r="AC73" s="13" t="s">
        <v>1077</v>
      </c>
      <c r="AD73" s="13"/>
      <c r="AE73" s="13" t="e">
        <f>_xlfn.XLOOKUP(L73,'[1]ID PROJECT'!E:E,'[1]ID PROJECT'!F:F)</f>
        <v>#N/A</v>
      </c>
      <c r="AF73" s="13"/>
      <c r="AG73" s="13"/>
      <c r="AH73" s="65"/>
      <c r="AI73" s="27"/>
    </row>
    <row r="74" spans="1:35" hidden="1">
      <c r="A74" s="13" t="s">
        <v>58</v>
      </c>
      <c r="B74" s="13" t="str">
        <f>_xlfn.XLOOKUP(J74,'Master Data 14-9-2026'!C:C,'Master Data 14-9-2026'!D:D)</f>
        <v>Sri Hardianti Purnamasari wx1503627</v>
      </c>
      <c r="C74" s="13"/>
      <c r="D74" s="13" t="str">
        <f>_xlfn.XLOOKUP(J74,'Master Data 14-9-2026'!C:C,'Master Data 14-9-2026'!E:E)</f>
        <v>TELKOMSEL</v>
      </c>
      <c r="E74" s="13"/>
      <c r="F74" s="13"/>
      <c r="G74" s="13" t="s">
        <v>13</v>
      </c>
      <c r="H74" s="13" t="str">
        <f>_xlfn.XLOOKUP(J74,'Master Data 14-9-2026'!C:C,'Master Data 14-9-2026'!H:H)</f>
        <v>2026-03-23 - 2026-04-22</v>
      </c>
      <c r="I74" s="13" t="str">
        <f t="shared" si="1"/>
        <v>March</v>
      </c>
      <c r="J74" s="13" t="s">
        <v>1078</v>
      </c>
      <c r="K74" s="13" t="s">
        <v>1078</v>
      </c>
      <c r="L74" s="13" t="s">
        <v>950</v>
      </c>
      <c r="M74" s="15">
        <v>200003103079020</v>
      </c>
      <c r="N74" s="13" t="s">
        <v>924</v>
      </c>
      <c r="O74" s="13">
        <v>1.09120260518004E+17</v>
      </c>
      <c r="P74" s="13" t="s">
        <v>1058</v>
      </c>
      <c r="Q74" s="18">
        <v>9</v>
      </c>
      <c r="R74" s="18">
        <v>1</v>
      </c>
      <c r="S74" s="13">
        <v>8828132633</v>
      </c>
      <c r="T74" s="13" t="s">
        <v>951</v>
      </c>
      <c r="U74" s="19">
        <v>28881900</v>
      </c>
      <c r="V74" s="18">
        <v>1</v>
      </c>
      <c r="W74" s="18">
        <f>_xlfn.XLOOKUP(J74,'Master Data 14-9-2026'!C:C,'Master Data 14-9-2026'!L:L)</f>
        <v>1.05</v>
      </c>
      <c r="X74" s="23">
        <v>28881900</v>
      </c>
      <c r="Y74" s="13" t="s">
        <v>1028</v>
      </c>
      <c r="Z74" s="24" t="s">
        <v>15</v>
      </c>
      <c r="AA74" s="13" t="s">
        <v>934</v>
      </c>
      <c r="AC74" s="4"/>
      <c r="AD74" s="13" t="s">
        <v>935</v>
      </c>
      <c r="AE74" s="13" t="str">
        <f>_xlfn.XLOOKUP(L74,'[1]ID PROJECT'!E:E,'[1]ID PROJECT'!F:F)</f>
        <v>PRJ-KUT-KPU-TPED-2026-04-00078</v>
      </c>
      <c r="AF74" s="13" t="s">
        <v>1079</v>
      </c>
      <c r="AG74" s="13" t="s">
        <v>1080</v>
      </c>
      <c r="AH74" s="65">
        <v>46210</v>
      </c>
      <c r="AI74" s="27" t="s">
        <v>938</v>
      </c>
    </row>
    <row r="75" spans="1:35" hidden="1">
      <c r="A75" s="13" t="s">
        <v>240</v>
      </c>
      <c r="B75" s="13" t="str">
        <f>_xlfn.XLOOKUP(J75,'Master Data 14-9-2026'!C:C,'Master Data 14-9-2026'!D:D)</f>
        <v>Gigih Dharma Sulistya wx1503511</v>
      </c>
      <c r="C75" s="13"/>
      <c r="D75" s="13" t="str">
        <f>_xlfn.XLOOKUP(J75,'Master Data 14-9-2026'!C:C,'Master Data 14-9-2026'!E:E)</f>
        <v>TELKOMSEL</v>
      </c>
      <c r="E75" s="13"/>
      <c r="F75" s="13"/>
      <c r="G75" s="13" t="s">
        <v>13</v>
      </c>
      <c r="H75" s="13" t="str">
        <f>_xlfn.XLOOKUP(J75,'Master Data 14-9-2026'!C:C,'Master Data 14-9-2026'!H:H)</f>
        <v>2026-03-23 - 2026-04-22</v>
      </c>
      <c r="I75" s="13" t="str">
        <f t="shared" si="1"/>
        <v>March</v>
      </c>
      <c r="J75" s="13" t="s">
        <v>1081</v>
      </c>
      <c r="K75" s="13" t="s">
        <v>1081</v>
      </c>
      <c r="L75" s="13" t="s">
        <v>457</v>
      </c>
      <c r="M75" s="15">
        <v>200003103080020</v>
      </c>
      <c r="N75" s="13" t="s">
        <v>924</v>
      </c>
      <c r="O75" s="13">
        <v>1.09120260518004E+17</v>
      </c>
      <c r="P75" s="13" t="s">
        <v>1058</v>
      </c>
      <c r="Q75" s="18">
        <v>10</v>
      </c>
      <c r="R75" s="18">
        <v>1</v>
      </c>
      <c r="S75" s="13">
        <v>8828132633</v>
      </c>
      <c r="T75" s="13" t="s">
        <v>951</v>
      </c>
      <c r="U75" s="19">
        <v>28881900</v>
      </c>
      <c r="V75" s="18">
        <v>1</v>
      </c>
      <c r="W75" s="18">
        <f>_xlfn.XLOOKUP(J75,'Master Data 14-9-2026'!C:C,'Master Data 14-9-2026'!L:L)</f>
        <v>1</v>
      </c>
      <c r="X75" s="23">
        <v>28881900</v>
      </c>
      <c r="Y75" s="13" t="s">
        <v>1028</v>
      </c>
      <c r="Z75" s="24" t="str">
        <f>_xlfn.XLOOKUP(J75,'Master Data 14-9-2026'!C:C,'Master Data 14-9-2026'!I:I)</f>
        <v>Ended</v>
      </c>
      <c r="AA75" s="13" t="s">
        <v>934</v>
      </c>
      <c r="AC75" s="4"/>
      <c r="AD75" s="13" t="s">
        <v>935</v>
      </c>
      <c r="AE75" s="13" t="str">
        <f>_xlfn.XLOOKUP(L75,'[1]ID PROJECT'!E:E,'[1]ID PROJECT'!F:F)</f>
        <v>PRJ-KUT-KPU-TPED-2026-04-00076</v>
      </c>
      <c r="AF75" s="13" t="s">
        <v>1061</v>
      </c>
      <c r="AG75" s="13" t="s">
        <v>1062</v>
      </c>
      <c r="AH75" s="65">
        <v>46203</v>
      </c>
      <c r="AI75" s="27" t="s">
        <v>945</v>
      </c>
    </row>
    <row r="76" spans="1:35" hidden="1">
      <c r="A76" s="13" t="s">
        <v>258</v>
      </c>
      <c r="B76" s="13" t="str">
        <f>_xlfn.XLOOKUP(J76,'Master Data 14-9-2026'!C:C,'Master Data 14-9-2026'!D:D)</f>
        <v>F Albert Jacob wx1504717</v>
      </c>
      <c r="C76" s="13"/>
      <c r="D76" s="13" t="str">
        <f>_xlfn.XLOOKUP(J76,'Master Data 14-9-2026'!C:C,'Master Data 14-9-2026'!E:E)</f>
        <v>TELKOMSEL</v>
      </c>
      <c r="E76" s="13"/>
      <c r="F76" s="13"/>
      <c r="G76" s="13" t="s">
        <v>13</v>
      </c>
      <c r="H76" s="13" t="str">
        <f>_xlfn.XLOOKUP(J76,'Master Data 14-9-2026'!C:C,'Master Data 14-9-2026'!H:H)</f>
        <v>2026-03-23 - 2026-04-22</v>
      </c>
      <c r="I76" s="13" t="str">
        <f t="shared" si="1"/>
        <v>March</v>
      </c>
      <c r="J76" s="13" t="s">
        <v>1082</v>
      </c>
      <c r="K76" s="13" t="s">
        <v>1082</v>
      </c>
      <c r="L76" s="13" t="s">
        <v>520</v>
      </c>
      <c r="M76" s="15">
        <v>200003103081020</v>
      </c>
      <c r="N76" s="13" t="s">
        <v>924</v>
      </c>
      <c r="O76" s="13">
        <v>1.09120260518004E+17</v>
      </c>
      <c r="P76" s="13" t="s">
        <v>1058</v>
      </c>
      <c r="Q76" s="18">
        <v>11</v>
      </c>
      <c r="R76" s="18">
        <v>1</v>
      </c>
      <c r="S76" s="13">
        <v>8828132633</v>
      </c>
      <c r="T76" s="13" t="s">
        <v>951</v>
      </c>
      <c r="U76" s="19">
        <v>28881900</v>
      </c>
      <c r="V76" s="18">
        <v>1</v>
      </c>
      <c r="W76" s="18">
        <f>_xlfn.XLOOKUP(J76,'Master Data 14-9-2026'!C:C,'Master Data 14-9-2026'!L:L)</f>
        <v>1</v>
      </c>
      <c r="X76" s="23">
        <v>28881900</v>
      </c>
      <c r="Y76" s="13" t="s">
        <v>1028</v>
      </c>
      <c r="Z76" s="24" t="str">
        <f>_xlfn.XLOOKUP(J76,'Master Data 14-9-2026'!C:C,'Master Data 14-9-2026'!I:I)</f>
        <v>Ended</v>
      </c>
      <c r="AA76" s="13" t="s">
        <v>934</v>
      </c>
      <c r="AC76" s="4"/>
      <c r="AD76" s="13" t="s">
        <v>935</v>
      </c>
      <c r="AE76" s="13" t="str">
        <f>_xlfn.XLOOKUP(L76,'[1]ID PROJECT'!E:E,'[1]ID PROJECT'!F:F)</f>
        <v>PRJ-KUT-KPU-TPED-2026-04-00077</v>
      </c>
      <c r="AF76" s="13" t="s">
        <v>1061</v>
      </c>
      <c r="AG76" s="13" t="s">
        <v>1062</v>
      </c>
      <c r="AH76" s="65">
        <v>46203</v>
      </c>
      <c r="AI76" s="27" t="s">
        <v>945</v>
      </c>
    </row>
    <row r="77" spans="1:35" hidden="1">
      <c r="A77" s="13" t="s">
        <v>120</v>
      </c>
      <c r="B77" s="13" t="str">
        <f>_xlfn.XLOOKUP(J77,'Master Data 14-9-2026'!C:C,'Master Data 14-9-2026'!D:D)</f>
        <v>Febryyanti Nawang Wulan wx1503626</v>
      </c>
      <c r="C77" s="13"/>
      <c r="D77" s="13" t="str">
        <f>_xlfn.XLOOKUP(J77,'Master Data 14-9-2026'!C:C,'Master Data 14-9-2026'!E:E)</f>
        <v>TELKOMSEL</v>
      </c>
      <c r="E77" s="13"/>
      <c r="F77" s="13"/>
      <c r="G77" s="13" t="s">
        <v>13</v>
      </c>
      <c r="H77" s="13" t="str">
        <f>_xlfn.XLOOKUP(J77,'Master Data 14-9-2026'!C:C,'Master Data 14-9-2026'!H:H)</f>
        <v>2026-03-30 - 2026-04-29</v>
      </c>
      <c r="I77" s="13" t="str">
        <f t="shared" si="1"/>
        <v>March</v>
      </c>
      <c r="J77" s="13" t="s">
        <v>1083</v>
      </c>
      <c r="K77" s="13" t="s">
        <v>1083</v>
      </c>
      <c r="L77" s="13" t="s">
        <v>950</v>
      </c>
      <c r="M77" s="15">
        <v>200003103082020</v>
      </c>
      <c r="N77" s="13" t="s">
        <v>924</v>
      </c>
      <c r="O77" s="13">
        <v>1.09120260518004E+17</v>
      </c>
      <c r="P77" s="13" t="s">
        <v>1058</v>
      </c>
      <c r="Q77" s="18">
        <v>12</v>
      </c>
      <c r="R77" s="18">
        <v>1</v>
      </c>
      <c r="S77" s="13">
        <v>8828132633</v>
      </c>
      <c r="T77" s="13" t="s">
        <v>951</v>
      </c>
      <c r="U77" s="19">
        <v>28881900</v>
      </c>
      <c r="V77" s="18">
        <v>1</v>
      </c>
      <c r="W77" s="18">
        <f>_xlfn.XLOOKUP(J77,'Master Data 14-9-2026'!C:C,'Master Data 14-9-2026'!L:L)</f>
        <v>1.43</v>
      </c>
      <c r="X77" s="23">
        <v>28881900</v>
      </c>
      <c r="Y77" s="13" t="s">
        <v>1028</v>
      </c>
      <c r="Z77" s="24" t="s">
        <v>15</v>
      </c>
      <c r="AA77" s="13" t="s">
        <v>934</v>
      </c>
      <c r="AC77" s="4"/>
      <c r="AD77" s="13" t="s">
        <v>935</v>
      </c>
      <c r="AE77" s="13" t="str">
        <f>_xlfn.XLOOKUP(L77,'[1]ID PROJECT'!E:E,'[1]ID PROJECT'!F:F)</f>
        <v>PRJ-KUT-KPU-TPED-2026-04-00078</v>
      </c>
      <c r="AF77" s="13" t="s">
        <v>1061</v>
      </c>
      <c r="AG77" s="13" t="s">
        <v>1062</v>
      </c>
      <c r="AH77" s="65">
        <v>46203</v>
      </c>
      <c r="AI77" s="27" t="s">
        <v>945</v>
      </c>
    </row>
    <row r="78" spans="1:35" hidden="1">
      <c r="A78" s="13" t="s">
        <v>170</v>
      </c>
      <c r="B78" s="13" t="str">
        <f>_xlfn.XLOOKUP(J78,'Master Data 14-9-2026'!C:C,'Master Data 14-9-2026'!D:D)</f>
        <v>Yosephine Yudianto wx1503656</v>
      </c>
      <c r="C78" s="13"/>
      <c r="D78" s="13" t="str">
        <f>_xlfn.XLOOKUP(J78,'Master Data 14-9-2026'!C:C,'Master Data 14-9-2026'!E:E)</f>
        <v>TELKOMSEL</v>
      </c>
      <c r="E78" s="13"/>
      <c r="F78" s="13"/>
      <c r="G78" s="13" t="s">
        <v>13</v>
      </c>
      <c r="H78" s="13" t="str">
        <f>_xlfn.XLOOKUP(J78,'Master Data 14-9-2026'!C:C,'Master Data 14-9-2026'!H:H)</f>
        <v>2026-03-30 - 2026-04-29</v>
      </c>
      <c r="I78" s="13" t="str">
        <f t="shared" si="1"/>
        <v>March</v>
      </c>
      <c r="J78" s="13" t="s">
        <v>1084</v>
      </c>
      <c r="K78" s="13" t="s">
        <v>1084</v>
      </c>
      <c r="L78" s="13" t="s">
        <v>468</v>
      </c>
      <c r="M78" s="15">
        <v>200003103083020</v>
      </c>
      <c r="N78" s="13" t="s">
        <v>924</v>
      </c>
      <c r="O78" s="13">
        <v>1.09120260518004E+17</v>
      </c>
      <c r="P78" s="13" t="s">
        <v>1058</v>
      </c>
      <c r="Q78" s="18">
        <v>13</v>
      </c>
      <c r="R78" s="18">
        <v>1</v>
      </c>
      <c r="S78" s="13">
        <v>8828132633</v>
      </c>
      <c r="T78" s="13" t="s">
        <v>951</v>
      </c>
      <c r="U78" s="19">
        <v>28881900</v>
      </c>
      <c r="V78" s="18">
        <v>1</v>
      </c>
      <c r="W78" s="18">
        <f>_xlfn.XLOOKUP(J78,'Master Data 14-9-2026'!C:C,'Master Data 14-9-2026'!L:L)</f>
        <v>1.1499999999999999</v>
      </c>
      <c r="X78" s="23">
        <v>28881900</v>
      </c>
      <c r="Y78" s="13" t="s">
        <v>1028</v>
      </c>
      <c r="Z78" s="24" t="s">
        <v>15</v>
      </c>
      <c r="AA78" s="13" t="s">
        <v>934</v>
      </c>
      <c r="AC78" s="4"/>
      <c r="AD78" s="13" t="s">
        <v>935</v>
      </c>
      <c r="AE78" s="13" t="str">
        <f>_xlfn.XLOOKUP(L78,'[1]ID PROJECT'!E:E,'[1]ID PROJECT'!F:F)</f>
        <v>PRJ-KUT-KPU-TPED-2026-04-00075</v>
      </c>
      <c r="AF78" s="13" t="s">
        <v>1061</v>
      </c>
      <c r="AG78" s="13" t="s">
        <v>1062</v>
      </c>
      <c r="AH78" s="65">
        <v>46203</v>
      </c>
      <c r="AI78" s="27" t="s">
        <v>945</v>
      </c>
    </row>
    <row r="79" spans="1:35" hidden="1">
      <c r="A79" s="13" t="s">
        <v>9</v>
      </c>
      <c r="B79" s="13" t="str">
        <f>_xlfn.XLOOKUP(J79,'Master Data 14-9-2026'!C:C,'Master Data 14-9-2026'!D:D)</f>
        <v>Winarsih wx1503649</v>
      </c>
      <c r="C79" s="13"/>
      <c r="D79" s="13" t="str">
        <f>_xlfn.XLOOKUP(J79,'Master Data 14-9-2026'!C:C,'Master Data 14-9-2026'!E:E)</f>
        <v>TELKOMSEL</v>
      </c>
      <c r="E79" s="13"/>
      <c r="F79" s="13"/>
      <c r="G79" s="13" t="s">
        <v>13</v>
      </c>
      <c r="H79" s="13" t="str">
        <f>_xlfn.XLOOKUP(J79,'Master Data 14-9-2026'!C:C,'Master Data 14-9-2026'!H:H)</f>
        <v>2026-04-01 - 2026-04-30</v>
      </c>
      <c r="I79" s="13" t="str">
        <f t="shared" si="1"/>
        <v>April</v>
      </c>
      <c r="J79" s="13" t="s">
        <v>1085</v>
      </c>
      <c r="K79" s="13" t="s">
        <v>1085</v>
      </c>
      <c r="L79" s="13" t="s">
        <v>468</v>
      </c>
      <c r="M79" s="15">
        <v>200003103084020</v>
      </c>
      <c r="N79" s="13" t="s">
        <v>924</v>
      </c>
      <c r="O79" s="13">
        <v>1.09120260518004E+17</v>
      </c>
      <c r="P79" s="13" t="s">
        <v>1058</v>
      </c>
      <c r="Q79" s="18">
        <v>14</v>
      </c>
      <c r="R79" s="18">
        <v>1</v>
      </c>
      <c r="S79" s="13">
        <v>8828132633</v>
      </c>
      <c r="T79" s="13" t="s">
        <v>951</v>
      </c>
      <c r="U79" s="19">
        <v>28881900</v>
      </c>
      <c r="V79" s="18">
        <v>1</v>
      </c>
      <c r="W79" s="18">
        <f>_xlfn.XLOOKUP(J79,'Master Data 14-9-2026'!C:C,'Master Data 14-9-2026'!L:L)</f>
        <v>1.36</v>
      </c>
      <c r="X79" s="23">
        <v>28881900</v>
      </c>
      <c r="Y79" s="13" t="s">
        <v>1028</v>
      </c>
      <c r="Z79" s="24" t="s">
        <v>15</v>
      </c>
      <c r="AA79" s="13" t="s">
        <v>934</v>
      </c>
      <c r="AC79" s="4"/>
      <c r="AD79" s="13" t="s">
        <v>935</v>
      </c>
      <c r="AE79" s="13" t="str">
        <f>_xlfn.XLOOKUP(L79,'[1]ID PROJECT'!E:E,'[1]ID PROJECT'!F:F)</f>
        <v>PRJ-KUT-KPU-TPED-2026-04-00075</v>
      </c>
      <c r="AF79" s="13" t="s">
        <v>1061</v>
      </c>
      <c r="AG79" s="13" t="s">
        <v>1062</v>
      </c>
      <c r="AH79" s="65">
        <v>46203</v>
      </c>
      <c r="AI79" s="27" t="s">
        <v>945</v>
      </c>
    </row>
    <row r="80" spans="1:35" hidden="1">
      <c r="A80" s="13" t="s">
        <v>1086</v>
      </c>
      <c r="B80" s="13" t="e">
        <f>_xlfn.XLOOKUP(J80,'Master Data 14-9-2026'!C:C,'Master Data 14-9-2026'!D:D)</f>
        <v>#N/A</v>
      </c>
      <c r="C80" s="13"/>
      <c r="D80" s="13" t="e">
        <f>_xlfn.XLOOKUP(J80,'Master Data 14-9-2026'!C:C,'Master Data 14-9-2026'!E:E)</f>
        <v>#N/A</v>
      </c>
      <c r="E80" s="13"/>
      <c r="F80" s="13"/>
      <c r="G80" s="13" t="s">
        <v>13</v>
      </c>
      <c r="H80" s="13" t="e">
        <f>_xlfn.XLOOKUP(J80,'Master Data 14-9-2026'!C:C,'Master Data 14-9-2026'!H:H)</f>
        <v>#N/A</v>
      </c>
      <c r="I80" s="13" t="e">
        <f t="shared" si="1"/>
        <v>#N/A</v>
      </c>
      <c r="J80" s="13" t="s">
        <v>1087</v>
      </c>
      <c r="K80" s="13" t="s">
        <v>1087</v>
      </c>
      <c r="L80" s="13" t="s">
        <v>441</v>
      </c>
      <c r="M80" s="15">
        <v>200003103085020</v>
      </c>
      <c r="N80" s="13" t="s">
        <v>924</v>
      </c>
      <c r="O80" s="13">
        <v>1.09120260518004E+17</v>
      </c>
      <c r="P80" s="13" t="s">
        <v>1058</v>
      </c>
      <c r="Q80" s="18">
        <v>15</v>
      </c>
      <c r="R80" s="18">
        <v>1</v>
      </c>
      <c r="S80" s="13">
        <v>8828132633</v>
      </c>
      <c r="T80" s="13" t="s">
        <v>951</v>
      </c>
      <c r="U80" s="19">
        <v>28881900</v>
      </c>
      <c r="V80" s="18">
        <v>1</v>
      </c>
      <c r="W80" s="18" t="e">
        <f>_xlfn.XLOOKUP(J80,'Master Data 14-9-2026'!C:C,'Master Data 14-9-2026'!L:L)</f>
        <v>#N/A</v>
      </c>
      <c r="X80" s="23">
        <v>28881900</v>
      </c>
      <c r="Y80" s="13" t="s">
        <v>1028</v>
      </c>
      <c r="Z80" s="24" t="s">
        <v>984</v>
      </c>
      <c r="AA80" s="4" t="s">
        <v>928</v>
      </c>
      <c r="AB80" s="13" t="s">
        <v>985</v>
      </c>
      <c r="AC80" s="13" t="s">
        <v>1077</v>
      </c>
      <c r="AD80" s="13"/>
      <c r="AE80" s="13" t="str">
        <f>_xlfn.XLOOKUP(L80,'[1]ID PROJECT'!E:E,'[1]ID PROJECT'!F:F)</f>
        <v xml:space="preserve">PRJ-KUT-KPU-TPED-2026-04-00071 </v>
      </c>
      <c r="AF80" s="13"/>
      <c r="AG80" s="13"/>
      <c r="AH80" s="65"/>
      <c r="AI80" s="27"/>
    </row>
    <row r="81" spans="1:36" hidden="1">
      <c r="A81" s="13" t="s">
        <v>162</v>
      </c>
      <c r="B81" s="13" t="str">
        <f>_xlfn.XLOOKUP(J81,'Master Data 14-9-2026'!C:C,'Master Data 14-9-2026'!D:D)</f>
        <v>Mona Margaretha Tobing wx1507282</v>
      </c>
      <c r="C81" s="13"/>
      <c r="D81" s="13" t="str">
        <f>_xlfn.XLOOKUP(J81,'Master Data 14-9-2026'!C:C,'Master Data 14-9-2026'!E:E)</f>
        <v>TELKOMSEL</v>
      </c>
      <c r="E81" s="13"/>
      <c r="F81" s="13"/>
      <c r="G81" s="13" t="s">
        <v>13</v>
      </c>
      <c r="H81" s="13" t="str">
        <f>_xlfn.XLOOKUP(J81,'Master Data 14-9-2026'!C:C,'Master Data 14-9-2026'!H:H)</f>
        <v>2026-04-01 - 2026-04-30</v>
      </c>
      <c r="I81" s="13" t="str">
        <f t="shared" si="1"/>
        <v>April</v>
      </c>
      <c r="J81" s="13" t="s">
        <v>1088</v>
      </c>
      <c r="K81" s="13" t="s">
        <v>1088</v>
      </c>
      <c r="L81" s="13" t="s">
        <v>441</v>
      </c>
      <c r="M81" s="15">
        <v>200003103086020</v>
      </c>
      <c r="N81" s="13" t="s">
        <v>924</v>
      </c>
      <c r="O81" s="13">
        <v>1.09120260518004E+17</v>
      </c>
      <c r="P81" s="13" t="s">
        <v>1058</v>
      </c>
      <c r="Q81" s="18">
        <v>16</v>
      </c>
      <c r="R81" s="18">
        <v>1</v>
      </c>
      <c r="S81" s="13">
        <v>8828132633</v>
      </c>
      <c r="T81" s="13" t="s">
        <v>951</v>
      </c>
      <c r="U81" s="19">
        <v>28881900</v>
      </c>
      <c r="V81" s="18">
        <v>1</v>
      </c>
      <c r="W81" s="18">
        <f>_xlfn.XLOOKUP(J81,'Master Data 14-9-2026'!C:C,'Master Data 14-9-2026'!L:L)</f>
        <v>1.5</v>
      </c>
      <c r="X81" s="23">
        <v>28881900</v>
      </c>
      <c r="Y81" s="13" t="s">
        <v>1028</v>
      </c>
      <c r="Z81" s="24" t="s">
        <v>15</v>
      </c>
      <c r="AA81" s="13" t="s">
        <v>934</v>
      </c>
      <c r="AC81" s="4"/>
      <c r="AD81" s="13" t="s">
        <v>935</v>
      </c>
      <c r="AE81" s="13" t="str">
        <f>_xlfn.XLOOKUP(L81,'[1]ID PROJECT'!E:E,'[1]ID PROJECT'!F:F)</f>
        <v xml:space="preserve">PRJ-KUT-KPU-TPED-2026-04-00071 </v>
      </c>
      <c r="AF81" s="13" t="s">
        <v>1061</v>
      </c>
      <c r="AG81" s="13" t="s">
        <v>1062</v>
      </c>
      <c r="AH81" s="65">
        <v>46203</v>
      </c>
      <c r="AI81" s="27" t="s">
        <v>945</v>
      </c>
    </row>
    <row r="82" spans="1:36" hidden="1">
      <c r="A82" s="13" t="s">
        <v>756</v>
      </c>
      <c r="B82" s="13" t="str">
        <f>_xlfn.XLOOKUP(J82,'Master Data 14-9-2026'!C:C,'Master Data 14-9-2026'!D:D)</f>
        <v>Triana Sukeci wx1503625</v>
      </c>
      <c r="C82" s="13"/>
      <c r="D82" s="13" t="str">
        <f>_xlfn.XLOOKUP(J82,'Master Data 14-9-2026'!C:C,'Master Data 14-9-2026'!E:E)</f>
        <v>TELKOMSEL</v>
      </c>
      <c r="E82" s="13"/>
      <c r="F82" s="13"/>
      <c r="G82" s="13" t="s">
        <v>13</v>
      </c>
      <c r="H82" s="13" t="str">
        <f>_xlfn.XLOOKUP(J82,'Master Data 14-9-2026'!C:C,'Master Data 14-9-2026'!H:H)</f>
        <v>2026-03-27 - 2026-04-26</v>
      </c>
      <c r="I82" s="13" t="str">
        <f t="shared" si="1"/>
        <v>March</v>
      </c>
      <c r="J82" s="13" t="s">
        <v>1089</v>
      </c>
      <c r="K82" s="13" t="s">
        <v>1089</v>
      </c>
      <c r="L82" s="13" t="s">
        <v>461</v>
      </c>
      <c r="M82" s="15">
        <v>200003103087020</v>
      </c>
      <c r="N82" s="13" t="s">
        <v>924</v>
      </c>
      <c r="O82" s="13">
        <v>1.09120260518004E+17</v>
      </c>
      <c r="P82" s="13" t="s">
        <v>1058</v>
      </c>
      <c r="Q82" s="18">
        <v>17</v>
      </c>
      <c r="R82" s="18">
        <v>1</v>
      </c>
      <c r="S82" s="13">
        <v>8828132635</v>
      </c>
      <c r="T82" s="13" t="s">
        <v>926</v>
      </c>
      <c r="U82" s="19">
        <v>34220600</v>
      </c>
      <c r="V82" s="18">
        <v>1</v>
      </c>
      <c r="W82" s="18">
        <f>_xlfn.XLOOKUP(J82,'Master Data 14-9-2026'!C:C,'Master Data 14-9-2026'!L:L)</f>
        <v>1</v>
      </c>
      <c r="X82" s="23">
        <v>34220600</v>
      </c>
      <c r="Y82" s="13" t="s">
        <v>1028</v>
      </c>
      <c r="Z82" s="24" t="str">
        <f>_xlfn.XLOOKUP(J82,'Master Data 14-9-2026'!C:C,'Master Data 14-9-2026'!I:I)</f>
        <v>Ended</v>
      </c>
      <c r="AA82" s="13" t="s">
        <v>934</v>
      </c>
      <c r="AC82" s="4"/>
      <c r="AD82" s="13" t="s">
        <v>935</v>
      </c>
      <c r="AE82" s="13" t="str">
        <f>_xlfn.XLOOKUP(L82,'[1]ID PROJECT'!E:E,'[1]ID PROJECT'!F:F)</f>
        <v>PRJ-KUT-KPU-TPED-2026-04-00078</v>
      </c>
      <c r="AF82" s="13" t="s">
        <v>1061</v>
      </c>
      <c r="AG82" s="13" t="s">
        <v>1062</v>
      </c>
      <c r="AH82" s="65">
        <v>46203</v>
      </c>
      <c r="AI82" s="27" t="s">
        <v>945</v>
      </c>
    </row>
    <row r="83" spans="1:36" hidden="1">
      <c r="A83" s="13" t="s">
        <v>744</v>
      </c>
      <c r="B83" s="13" t="str">
        <f>_xlfn.XLOOKUP(J83,'Master Data 14-9-2026'!C:C,'Master Data 14-9-2026'!D:D)</f>
        <v>Vina Putri Saffanah wx1503974</v>
      </c>
      <c r="C83" s="13"/>
      <c r="D83" s="13" t="str">
        <f>_xlfn.XLOOKUP(J83,'Master Data 14-9-2026'!C:C,'Master Data 14-9-2026'!E:E)</f>
        <v>TELKOMSEL</v>
      </c>
      <c r="E83" s="13"/>
      <c r="F83" s="13"/>
      <c r="G83" s="13" t="s">
        <v>13</v>
      </c>
      <c r="H83" s="13" t="str">
        <f>_xlfn.XLOOKUP(J83,'Master Data 14-9-2026'!C:C,'Master Data 14-9-2026'!H:H)</f>
        <v>2026-03-31 - 2026-04-29</v>
      </c>
      <c r="I83" s="13" t="str">
        <f t="shared" si="1"/>
        <v>March</v>
      </c>
      <c r="J83" s="13" t="s">
        <v>1090</v>
      </c>
      <c r="K83" s="13" t="s">
        <v>1090</v>
      </c>
      <c r="L83" s="13" t="s">
        <v>441</v>
      </c>
      <c r="M83" s="15">
        <v>200003103088020</v>
      </c>
      <c r="N83" s="13" t="s">
        <v>924</v>
      </c>
      <c r="O83" s="13">
        <v>1.09120260518004E+17</v>
      </c>
      <c r="P83" s="13" t="s">
        <v>1058</v>
      </c>
      <c r="Q83" s="18">
        <v>18</v>
      </c>
      <c r="R83" s="18">
        <v>1</v>
      </c>
      <c r="S83" s="13">
        <v>8828132635</v>
      </c>
      <c r="T83" s="13" t="s">
        <v>926</v>
      </c>
      <c r="U83" s="19">
        <v>34220600</v>
      </c>
      <c r="V83" s="18">
        <v>1</v>
      </c>
      <c r="W83" s="18">
        <f>_xlfn.XLOOKUP(J83,'Master Data 14-9-2026'!C:C,'Master Data 14-9-2026'!L:L)</f>
        <v>1.04</v>
      </c>
      <c r="X83" s="23">
        <v>34220600</v>
      </c>
      <c r="Y83" s="13" t="s">
        <v>1028</v>
      </c>
      <c r="Z83" s="24" t="s">
        <v>15</v>
      </c>
      <c r="AA83" s="13" t="s">
        <v>934</v>
      </c>
      <c r="AC83" s="4"/>
      <c r="AD83" s="13" t="s">
        <v>935</v>
      </c>
      <c r="AE83" s="13" t="str">
        <f>_xlfn.XLOOKUP(L83,'[1]ID PROJECT'!E:E,'[1]ID PROJECT'!F:F)</f>
        <v xml:space="preserve">PRJ-KUT-KPU-TPED-2026-04-00071 </v>
      </c>
      <c r="AF83" s="13" t="s">
        <v>1061</v>
      </c>
      <c r="AG83" s="13" t="s">
        <v>1062</v>
      </c>
      <c r="AH83" s="65">
        <v>46203</v>
      </c>
      <c r="AI83" s="27" t="s">
        <v>945</v>
      </c>
    </row>
    <row r="84" spans="1:36" hidden="1">
      <c r="A84" s="13" t="s">
        <v>724</v>
      </c>
      <c r="B84" s="13" t="str">
        <f>_xlfn.XLOOKUP(J84,'Master Data 14-9-2026'!C:C,'Master Data 14-9-2026'!D:D)</f>
        <v>Anda Pribadi Sembada wx1503646</v>
      </c>
      <c r="C84" s="13"/>
      <c r="D84" s="13" t="str">
        <f>_xlfn.XLOOKUP(J84,'Master Data 14-9-2026'!C:C,'Master Data 14-9-2026'!E:E)</f>
        <v>XLSMART-NWL</v>
      </c>
      <c r="E84" s="13"/>
      <c r="F84" s="13"/>
      <c r="G84" s="13" t="s">
        <v>13</v>
      </c>
      <c r="H84" s="13" t="str">
        <f>_xlfn.XLOOKUP(J84,'Master Data 14-9-2026'!C:C,'Master Data 14-9-2026'!H:H)</f>
        <v>2026-03-30 - 2026-04-29</v>
      </c>
      <c r="I84" s="13" t="str">
        <f t="shared" si="1"/>
        <v>March</v>
      </c>
      <c r="J84" s="13" t="s">
        <v>1091</v>
      </c>
      <c r="K84" s="13" t="s">
        <v>1091</v>
      </c>
      <c r="L84" s="13" t="s">
        <v>520</v>
      </c>
      <c r="M84" s="15">
        <v>200003106214020</v>
      </c>
      <c r="N84" s="13" t="s">
        <v>924</v>
      </c>
      <c r="O84" s="13">
        <v>1.09120260518004E+17</v>
      </c>
      <c r="P84" s="13" t="s">
        <v>1092</v>
      </c>
      <c r="Q84" s="18">
        <v>1</v>
      </c>
      <c r="R84" s="18">
        <v>1</v>
      </c>
      <c r="S84" s="13">
        <v>8828132635</v>
      </c>
      <c r="T84" s="13" t="s">
        <v>926</v>
      </c>
      <c r="U84" s="19">
        <v>34220600</v>
      </c>
      <c r="V84" s="18">
        <v>1</v>
      </c>
      <c r="W84" s="18">
        <f>_xlfn.XLOOKUP(J84,'Master Data 14-9-2026'!C:C,'Master Data 14-9-2026'!L:L)</f>
        <v>1.46</v>
      </c>
      <c r="X84" s="23">
        <f>V84*U84</f>
        <v>34220600</v>
      </c>
      <c r="Y84" s="13" t="s">
        <v>1028</v>
      </c>
      <c r="Z84" s="24" t="s">
        <v>15</v>
      </c>
      <c r="AA84" s="4" t="s">
        <v>934</v>
      </c>
      <c r="AB84" s="13"/>
      <c r="AC84" s="13"/>
      <c r="AD84" s="13" t="s">
        <v>935</v>
      </c>
      <c r="AE84" s="13" t="str">
        <f>_xlfn.XLOOKUP(L84,'[1]ID PROJECT'!E:E,'[1]ID PROJECT'!F:F)</f>
        <v>PRJ-KUT-KPU-TPED-2026-04-00077</v>
      </c>
      <c r="AF84" s="4" t="s">
        <v>1093</v>
      </c>
      <c r="AG84" s="13" t="s">
        <v>1094</v>
      </c>
      <c r="AH84" s="65">
        <v>46262</v>
      </c>
      <c r="AI84" s="27" t="s">
        <v>1095</v>
      </c>
      <c r="AJ84" s="4" t="s">
        <v>1096</v>
      </c>
    </row>
    <row r="85" spans="1:36" ht="13.5" hidden="1" customHeight="1">
      <c r="A85" s="13" t="s">
        <v>818</v>
      </c>
      <c r="B85" s="13" t="str">
        <f>_xlfn.XLOOKUP(J85,'Master Data 14-9-2026'!C:C,'Master Data 14-9-2026'!D:D)</f>
        <v>Anan Agrani wx1524133</v>
      </c>
      <c r="C85" s="13"/>
      <c r="D85" s="13" t="str">
        <f>_xlfn.XLOOKUP(J85,'Master Data 14-9-2026'!C:C,'Master Data 14-9-2026'!E:E)</f>
        <v>XLSMART</v>
      </c>
      <c r="E85" s="13"/>
      <c r="F85" s="13"/>
      <c r="G85" s="13" t="s">
        <v>13</v>
      </c>
      <c r="H85" s="13" t="str">
        <f>_xlfn.XLOOKUP(J85,'Master Data 14-9-2026'!C:C,'Master Data 14-9-2026'!H:H)</f>
        <v>2026-06-16 - 2026-07-15</v>
      </c>
      <c r="I85" s="13" t="str">
        <f t="shared" si="1"/>
        <v>June</v>
      </c>
      <c r="J85" s="13" t="s">
        <v>1097</v>
      </c>
      <c r="K85" s="13" t="s">
        <v>941</v>
      </c>
      <c r="L85" s="13" t="s">
        <v>441</v>
      </c>
      <c r="M85" s="15">
        <v>200003118945020</v>
      </c>
      <c r="N85" s="13" t="s">
        <v>924</v>
      </c>
      <c r="O85" s="13">
        <v>1.09120260521004E+17</v>
      </c>
      <c r="P85" s="13" t="s">
        <v>1098</v>
      </c>
      <c r="Q85" s="18">
        <v>1</v>
      </c>
      <c r="R85" s="18">
        <v>1</v>
      </c>
      <c r="S85" s="13">
        <v>8828132635</v>
      </c>
      <c r="T85" s="13" t="s">
        <v>926</v>
      </c>
      <c r="U85" s="19">
        <v>34220600</v>
      </c>
      <c r="V85" s="18">
        <v>1</v>
      </c>
      <c r="W85" s="18">
        <f>_xlfn.XLOOKUP(J85,'Master Data 14-9-2026'!C:C,'Master Data 14-9-2026'!L:L)</f>
        <v>0.5</v>
      </c>
      <c r="X85" s="23">
        <v>34220600</v>
      </c>
      <c r="Y85" s="13" t="s">
        <v>1099</v>
      </c>
      <c r="Z85" s="24" t="str">
        <f>_xlfn.XLOOKUP(J85,'Master Data 14-9-2026'!C:C,'Master Data 14-9-2026'!I:I)</f>
        <v>Ended</v>
      </c>
      <c r="AA85" s="4" t="s">
        <v>1100</v>
      </c>
      <c r="AB85" s="4" t="s">
        <v>1101</v>
      </c>
      <c r="AC85" s="4"/>
      <c r="AD85" s="13"/>
      <c r="AE85" s="13" t="str">
        <f>_xlfn.XLOOKUP(L85,'[1]ID PROJECT'!E:E,'[1]ID PROJECT'!F:F)</f>
        <v xml:space="preserve">PRJ-KUT-KPU-TPED-2026-04-00071 </v>
      </c>
      <c r="AF85" s="13"/>
      <c r="AG85" s="13"/>
      <c r="AH85" s="65"/>
      <c r="AI85" s="27"/>
    </row>
    <row r="86" spans="1:36" hidden="1">
      <c r="A86" s="13" t="s">
        <v>390</v>
      </c>
      <c r="B86" s="13" t="str">
        <f>_xlfn.XLOOKUP(J86,'Master Data 14-9-2026'!C:C,'Master Data 14-9-2026'!D:D)</f>
        <v>Ajeng Meylani wx1521189</v>
      </c>
      <c r="C86" s="13"/>
      <c r="D86" s="13" t="str">
        <f>_xlfn.XLOOKUP(J86,'Master Data 14-9-2026'!C:C,'Master Data 14-9-2026'!E:E)</f>
        <v>XLSMART</v>
      </c>
      <c r="E86" s="13"/>
      <c r="F86" s="13"/>
      <c r="G86" s="13" t="s">
        <v>13</v>
      </c>
      <c r="H86" s="13" t="str">
        <f>_xlfn.XLOOKUP(J86,'Master Data 14-9-2026'!C:C,'Master Data 14-9-2026'!H:H)</f>
        <v>2026-05-20 - 2026-06-19</v>
      </c>
      <c r="I86" s="13" t="str">
        <f t="shared" si="1"/>
        <v>May</v>
      </c>
      <c r="J86" s="13" t="s">
        <v>1102</v>
      </c>
      <c r="K86" s="13" t="s">
        <v>941</v>
      </c>
      <c r="L86" s="13" t="s">
        <v>441</v>
      </c>
      <c r="M86" s="15">
        <v>200003118946020</v>
      </c>
      <c r="N86" s="13" t="s">
        <v>924</v>
      </c>
      <c r="O86" s="13">
        <v>1.09120260521004E+17</v>
      </c>
      <c r="P86" s="13" t="s">
        <v>1098</v>
      </c>
      <c r="Q86" s="18">
        <v>2</v>
      </c>
      <c r="R86" s="18">
        <v>1</v>
      </c>
      <c r="S86" s="13">
        <v>8828132633</v>
      </c>
      <c r="T86" s="13" t="s">
        <v>951</v>
      </c>
      <c r="U86" s="19">
        <v>28881900</v>
      </c>
      <c r="V86" s="18">
        <v>1</v>
      </c>
      <c r="W86" s="18">
        <f>_xlfn.XLOOKUP(J86,'Master Data 14-9-2026'!C:C,'Master Data 14-9-2026'!L:L)</f>
        <v>0</v>
      </c>
      <c r="X86" s="23">
        <v>28881900</v>
      </c>
      <c r="Y86" s="13" t="s">
        <v>1099</v>
      </c>
      <c r="Z86" s="24" t="s">
        <v>15</v>
      </c>
      <c r="AA86" s="28" t="s">
        <v>934</v>
      </c>
      <c r="AC86" s="4"/>
      <c r="AD86" s="13" t="s">
        <v>935</v>
      </c>
      <c r="AE86" s="13" t="str">
        <f>_xlfn.XLOOKUP(L86,'[1]ID PROJECT'!E:E,'[1]ID PROJECT'!F:F)</f>
        <v xml:space="preserve">PRJ-KUT-KPU-TPED-2026-04-00071 </v>
      </c>
      <c r="AF86" s="13" t="s">
        <v>1103</v>
      </c>
      <c r="AG86" s="13" t="s">
        <v>1104</v>
      </c>
      <c r="AH86" s="65">
        <v>46206</v>
      </c>
      <c r="AI86" s="27" t="s">
        <v>938</v>
      </c>
    </row>
    <row r="87" spans="1:36" hidden="1">
      <c r="A87" s="13" t="s">
        <v>501</v>
      </c>
      <c r="B87" s="13" t="str">
        <f>_xlfn.XLOOKUP(J87,'Master Data 14-9-2026'!C:C,'Master Data 14-9-2026'!D:D)</f>
        <v>Benny Prio Utomo wx1513406</v>
      </c>
      <c r="C87" s="13"/>
      <c r="D87" s="13" t="str">
        <f>_xlfn.XLOOKUP(J87,'Master Data 14-9-2026'!C:C,'Master Data 14-9-2026'!E:E)</f>
        <v>XLSMART</v>
      </c>
      <c r="E87" s="13"/>
      <c r="F87" s="13"/>
      <c r="G87" s="13" t="s">
        <v>13</v>
      </c>
      <c r="H87" s="13" t="str">
        <f>_xlfn.XLOOKUP(J87,'Master Data 14-9-2026'!C:C,'Master Data 14-9-2026'!H:H)</f>
        <v>2026-04-21 - 2026-05-20</v>
      </c>
      <c r="I87" s="13" t="str">
        <f t="shared" si="1"/>
        <v>April</v>
      </c>
      <c r="J87" s="13" t="s">
        <v>1105</v>
      </c>
      <c r="K87" s="13" t="s">
        <v>941</v>
      </c>
      <c r="L87" s="13" t="s">
        <v>441</v>
      </c>
      <c r="M87" s="15">
        <v>200003122177020</v>
      </c>
      <c r="N87" s="13" t="s">
        <v>924</v>
      </c>
      <c r="O87" s="13">
        <v>1.09120260521004E+17</v>
      </c>
      <c r="P87" s="13" t="s">
        <v>1098</v>
      </c>
      <c r="Q87" s="18">
        <v>3</v>
      </c>
      <c r="R87" s="18">
        <v>1</v>
      </c>
      <c r="S87" s="13">
        <v>8828132636</v>
      </c>
      <c r="T87" s="13" t="s">
        <v>933</v>
      </c>
      <c r="U87" s="19">
        <v>36992000</v>
      </c>
      <c r="V87" s="18">
        <v>1</v>
      </c>
      <c r="W87" s="18">
        <f>_xlfn.XLOOKUP(J87,'Master Data 14-9-2026'!C:C,'Master Data 14-9-2026'!L:L)</f>
        <v>1.5</v>
      </c>
      <c r="X87" s="23">
        <v>36992000</v>
      </c>
      <c r="Y87" s="13" t="s">
        <v>1099</v>
      </c>
      <c r="Z87" s="24" t="s">
        <v>15</v>
      </c>
      <c r="AA87" s="28" t="s">
        <v>934</v>
      </c>
      <c r="AC87" s="4"/>
      <c r="AD87" s="13" t="s">
        <v>935</v>
      </c>
      <c r="AE87" s="13" t="str">
        <f>_xlfn.XLOOKUP(L87,'[1]ID PROJECT'!E:E,'[1]ID PROJECT'!F:F)</f>
        <v xml:space="preserve">PRJ-KUT-KPU-TPED-2026-04-00071 </v>
      </c>
      <c r="AF87" s="13" t="s">
        <v>1106</v>
      </c>
      <c r="AG87" s="13" t="s">
        <v>1107</v>
      </c>
      <c r="AH87" s="65">
        <v>46197</v>
      </c>
      <c r="AI87" s="27" t="s">
        <v>945</v>
      </c>
    </row>
    <row r="88" spans="1:36" hidden="1">
      <c r="A88" s="13" t="s">
        <v>823</v>
      </c>
      <c r="B88" s="13" t="str">
        <f>_xlfn.XLOOKUP(J88,'Master Data 14-9-2026'!C:C,'Master Data 14-9-2026'!D:D)</f>
        <v>Zulfan Arrofi wx1517184</v>
      </c>
      <c r="C88" s="13"/>
      <c r="D88" s="13" t="str">
        <f>_xlfn.XLOOKUP(J88,'Master Data 14-9-2026'!C:C,'Master Data 14-9-2026'!E:E)</f>
        <v>XLSMART</v>
      </c>
      <c r="E88" s="13"/>
      <c r="F88" s="13"/>
      <c r="G88" s="13" t="s">
        <v>13</v>
      </c>
      <c r="H88" s="13" t="str">
        <f>_xlfn.XLOOKUP(J88,'Master Data 14-9-2026'!C:C,'Master Data 14-9-2026'!H:H)</f>
        <v>2026-05-05 - 2026-06-04</v>
      </c>
      <c r="I88" s="13" t="str">
        <f t="shared" si="1"/>
        <v>May</v>
      </c>
      <c r="J88" s="13" t="s">
        <v>1108</v>
      </c>
      <c r="K88" s="13" t="s">
        <v>941</v>
      </c>
      <c r="L88" s="13" t="s">
        <v>441</v>
      </c>
      <c r="M88" s="15">
        <v>200003122178020</v>
      </c>
      <c r="N88" s="13" t="s">
        <v>924</v>
      </c>
      <c r="O88" s="13">
        <v>1.09120260521004E+17</v>
      </c>
      <c r="P88" s="13" t="s">
        <v>1098</v>
      </c>
      <c r="Q88" s="18">
        <v>4</v>
      </c>
      <c r="R88" s="18">
        <v>1</v>
      </c>
      <c r="S88" s="13">
        <v>8828132635</v>
      </c>
      <c r="T88" s="13" t="s">
        <v>926</v>
      </c>
      <c r="U88" s="19">
        <v>34220600</v>
      </c>
      <c r="V88" s="18">
        <v>1</v>
      </c>
      <c r="W88" s="18">
        <f>_xlfn.XLOOKUP(J88,'Master Data 14-9-2026'!C:C,'Master Data 14-9-2026'!L:L)</f>
        <v>0</v>
      </c>
      <c r="X88" s="23">
        <v>34220600</v>
      </c>
      <c r="Y88" s="13" t="s">
        <v>1099</v>
      </c>
      <c r="Z88" s="24" t="s">
        <v>15</v>
      </c>
      <c r="AA88" s="28" t="s">
        <v>934</v>
      </c>
      <c r="AC88" s="4"/>
      <c r="AD88" s="13" t="s">
        <v>935</v>
      </c>
      <c r="AE88" s="13" t="str">
        <f>_xlfn.XLOOKUP(L88,'[1]ID PROJECT'!E:E,'[1]ID PROJECT'!F:F)</f>
        <v xml:space="preserve">PRJ-KUT-KPU-TPED-2026-04-00071 </v>
      </c>
      <c r="AF88" s="13" t="s">
        <v>1109</v>
      </c>
      <c r="AG88" s="13" t="s">
        <v>1110</v>
      </c>
      <c r="AH88" s="65">
        <v>46198</v>
      </c>
      <c r="AI88" s="27" t="s">
        <v>945</v>
      </c>
    </row>
    <row r="89" spans="1:36" hidden="1">
      <c r="A89" s="13" t="s">
        <v>349</v>
      </c>
      <c r="B89" s="13" t="str">
        <f>_xlfn.XLOOKUP(J89,'Master Data 14-9-2026'!C:C,'Master Data 14-9-2026'!D:D)</f>
        <v>Alda Rania Nawawi wx1522941</v>
      </c>
      <c r="C89" s="13"/>
      <c r="D89" s="13" t="str">
        <f>_xlfn.XLOOKUP(J89,'Master Data 14-9-2026'!C:C,'Master Data 14-9-2026'!E:E)</f>
        <v>XLSMART</v>
      </c>
      <c r="E89" s="13"/>
      <c r="F89" s="13"/>
      <c r="G89" s="13" t="s">
        <v>13</v>
      </c>
      <c r="H89" s="13" t="str">
        <f>_xlfn.XLOOKUP(J89,'Master Data 14-9-2026'!C:C,'Master Data 14-9-2026'!H:H)</f>
        <v>2026-06-02 - 2026-07-01</v>
      </c>
      <c r="I89" s="13" t="str">
        <f t="shared" si="1"/>
        <v>June</v>
      </c>
      <c r="J89" s="13" t="s">
        <v>1111</v>
      </c>
      <c r="K89" s="13" t="s">
        <v>941</v>
      </c>
      <c r="L89" s="13" t="s">
        <v>441</v>
      </c>
      <c r="M89" s="15">
        <v>200003119150020</v>
      </c>
      <c r="N89" s="13" t="s">
        <v>924</v>
      </c>
      <c r="O89" s="13">
        <v>1.0912026052200099E+17</v>
      </c>
      <c r="P89" s="13" t="s">
        <v>1112</v>
      </c>
      <c r="Q89" s="18">
        <v>1</v>
      </c>
      <c r="R89" s="18">
        <v>1</v>
      </c>
      <c r="S89" s="13">
        <v>8828132633</v>
      </c>
      <c r="T89" s="13" t="s">
        <v>951</v>
      </c>
      <c r="U89" s="19">
        <v>28881900</v>
      </c>
      <c r="V89" s="18">
        <v>1</v>
      </c>
      <c r="W89" s="18">
        <f>_xlfn.XLOOKUP(J89,'Master Data 14-9-2026'!C:C,'Master Data 14-9-2026'!L:L)</f>
        <v>0</v>
      </c>
      <c r="X89" s="23">
        <v>28881900</v>
      </c>
      <c r="Y89" s="13" t="s">
        <v>1099</v>
      </c>
      <c r="Z89" s="24" t="str">
        <f>_xlfn.XLOOKUP(J89,'Master Data 14-9-2026'!C:C,'Master Data 14-9-2026'!I:I)</f>
        <v>Ended</v>
      </c>
      <c r="AA89" s="13"/>
      <c r="AB89" s="39" t="s">
        <v>1101</v>
      </c>
      <c r="AC89" s="4" t="s">
        <v>1113</v>
      </c>
      <c r="AD89" s="13"/>
      <c r="AE89" s="13" t="str">
        <f>_xlfn.XLOOKUP(L89,'[1]ID PROJECT'!E:E,'[1]ID PROJECT'!F:F)</f>
        <v xml:space="preserve">PRJ-KUT-KPU-TPED-2026-04-00071 </v>
      </c>
      <c r="AF89" s="13"/>
      <c r="AG89" s="13"/>
      <c r="AH89" s="65"/>
      <c r="AI89" s="27"/>
    </row>
    <row r="90" spans="1:36" hidden="1">
      <c r="A90" s="13" t="s">
        <v>1114</v>
      </c>
      <c r="B90" s="13" t="e">
        <f>_xlfn.XLOOKUP(J90,'Master Data 14-9-2026'!C:C,'Master Data 14-9-2026'!D:D)</f>
        <v>#N/A</v>
      </c>
      <c r="C90" s="13"/>
      <c r="D90" s="13" t="e">
        <f>_xlfn.XLOOKUP(J90,'Master Data 14-9-2026'!C:C,'Master Data 14-9-2026'!E:E)</f>
        <v>#N/A</v>
      </c>
      <c r="E90" s="13"/>
      <c r="F90" s="13"/>
      <c r="G90" s="13" t="s">
        <v>13</v>
      </c>
      <c r="H90" s="13" t="e">
        <f>_xlfn.XLOOKUP(J90,'Master Data 14-9-2026'!C:C,'Master Data 14-9-2026'!H:H)</f>
        <v>#N/A</v>
      </c>
      <c r="I90" s="13" t="e">
        <f t="shared" si="1"/>
        <v>#N/A</v>
      </c>
      <c r="J90" s="13" t="s">
        <v>1115</v>
      </c>
      <c r="K90" s="13" t="s">
        <v>941</v>
      </c>
      <c r="L90" s="13" t="s">
        <v>441</v>
      </c>
      <c r="M90" s="15">
        <v>200003119151020</v>
      </c>
      <c r="N90" s="13" t="s">
        <v>924</v>
      </c>
      <c r="O90" s="13">
        <v>1.0912026052200099E+17</v>
      </c>
      <c r="P90" s="13" t="s">
        <v>1112</v>
      </c>
      <c r="Q90" s="18">
        <v>2</v>
      </c>
      <c r="R90" s="18">
        <v>1</v>
      </c>
      <c r="S90" s="13">
        <v>8828132633</v>
      </c>
      <c r="T90" s="13" t="s">
        <v>951</v>
      </c>
      <c r="U90" s="19">
        <v>28881900</v>
      </c>
      <c r="V90" s="18">
        <v>1</v>
      </c>
      <c r="W90" s="18" t="e">
        <f>_xlfn.XLOOKUP(J90,'Master Data 14-9-2026'!C:C,'Master Data 14-9-2026'!L:L)</f>
        <v>#N/A</v>
      </c>
      <c r="X90" s="23">
        <v>28881900</v>
      </c>
      <c r="Y90" s="13" t="s">
        <v>1099</v>
      </c>
      <c r="Z90" s="24" t="s">
        <v>984</v>
      </c>
      <c r="AB90" s="13" t="s">
        <v>1116</v>
      </c>
      <c r="AC90" s="13" t="s">
        <v>1117</v>
      </c>
      <c r="AD90" s="13"/>
      <c r="AE90" s="13" t="str">
        <f>_xlfn.XLOOKUP(L90,'[1]ID PROJECT'!E:E,'[1]ID PROJECT'!F:F)</f>
        <v xml:space="preserve">PRJ-KUT-KPU-TPED-2026-04-00071 </v>
      </c>
      <c r="AF90" s="13"/>
      <c r="AG90" s="13"/>
      <c r="AH90" s="65"/>
      <c r="AI90" s="27"/>
    </row>
    <row r="91" spans="1:36" hidden="1">
      <c r="A91" s="13" t="s">
        <v>1118</v>
      </c>
      <c r="B91" s="13" t="e">
        <f>_xlfn.XLOOKUP(J91,'Master Data 14-9-2026'!C:C,'Master Data 14-9-2026'!D:D)</f>
        <v>#N/A</v>
      </c>
      <c r="C91" s="13"/>
      <c r="D91" s="13" t="e">
        <f>_xlfn.XLOOKUP(J91,'Master Data 14-9-2026'!C:C,'Master Data 14-9-2026'!E:E)</f>
        <v>#N/A</v>
      </c>
      <c r="E91" s="13"/>
      <c r="F91" s="13"/>
      <c r="G91" s="13" t="s">
        <v>13</v>
      </c>
      <c r="H91" s="13" t="e">
        <f>_xlfn.XLOOKUP(J91,'Master Data 14-9-2026'!C:C,'Master Data 14-9-2026'!H:H)</f>
        <v>#N/A</v>
      </c>
      <c r="I91" s="13" t="e">
        <f t="shared" si="1"/>
        <v>#N/A</v>
      </c>
      <c r="J91" s="13" t="s">
        <v>1119</v>
      </c>
      <c r="K91" s="13" t="s">
        <v>941</v>
      </c>
      <c r="L91" s="13" t="s">
        <v>441</v>
      </c>
      <c r="M91" s="15">
        <v>200003119149020</v>
      </c>
      <c r="N91" s="13" t="s">
        <v>924</v>
      </c>
      <c r="O91" s="13">
        <v>1.0912026052200099E+17</v>
      </c>
      <c r="P91" s="13" t="s">
        <v>1112</v>
      </c>
      <c r="Q91" s="18">
        <v>3</v>
      </c>
      <c r="R91" s="18">
        <v>1</v>
      </c>
      <c r="S91" s="13">
        <v>8828132633</v>
      </c>
      <c r="T91" s="13" t="s">
        <v>951</v>
      </c>
      <c r="U91" s="19">
        <v>28881900</v>
      </c>
      <c r="V91" s="18">
        <v>1</v>
      </c>
      <c r="W91" s="18" t="e">
        <f>_xlfn.XLOOKUP(J91,'Master Data 14-9-2026'!C:C,'Master Data 14-9-2026'!L:L)</f>
        <v>#N/A</v>
      </c>
      <c r="X91" s="23">
        <v>28881900</v>
      </c>
      <c r="Y91" s="13" t="s">
        <v>1099</v>
      </c>
      <c r="Z91" s="24" t="s">
        <v>984</v>
      </c>
      <c r="AB91" s="13" t="s">
        <v>1116</v>
      </c>
      <c r="AC91" s="13" t="s">
        <v>1117</v>
      </c>
      <c r="AD91" s="13"/>
      <c r="AE91" s="13" t="str">
        <f>_xlfn.XLOOKUP(L91,'[1]ID PROJECT'!E:E,'[1]ID PROJECT'!F:F)</f>
        <v xml:space="preserve">PRJ-KUT-KPU-TPED-2026-04-00071 </v>
      </c>
      <c r="AF91" s="13"/>
      <c r="AG91" s="13"/>
      <c r="AH91" s="65"/>
      <c r="AI91" s="27"/>
    </row>
    <row r="92" spans="1:36" hidden="1">
      <c r="A92" s="13" t="s">
        <v>1120</v>
      </c>
      <c r="B92" s="13" t="e">
        <f>_xlfn.XLOOKUP(J92,'Master Data 14-9-2026'!C:C,'Master Data 14-9-2026'!D:D)</f>
        <v>#N/A</v>
      </c>
      <c r="C92" s="13"/>
      <c r="D92" s="13" t="e">
        <f>_xlfn.XLOOKUP(J92,'Master Data 14-9-2026'!C:C,'Master Data 14-9-2026'!E:E)</f>
        <v>#N/A</v>
      </c>
      <c r="E92" s="13"/>
      <c r="F92" s="13"/>
      <c r="G92" s="13" t="s">
        <v>13</v>
      </c>
      <c r="H92" s="13" t="e">
        <f>_xlfn.XLOOKUP(J92,'Master Data 14-9-2026'!C:C,'Master Data 14-9-2026'!H:H)</f>
        <v>#N/A</v>
      </c>
      <c r="I92" s="13" t="e">
        <f t="shared" si="1"/>
        <v>#N/A</v>
      </c>
      <c r="J92" s="13" t="s">
        <v>1121</v>
      </c>
      <c r="K92" s="13" t="s">
        <v>941</v>
      </c>
      <c r="L92" s="13" t="s">
        <v>441</v>
      </c>
      <c r="M92" s="15">
        <v>200003119152020</v>
      </c>
      <c r="N92" s="13" t="s">
        <v>924</v>
      </c>
      <c r="O92" s="13">
        <v>1.0912026052200099E+17</v>
      </c>
      <c r="P92" s="13" t="s">
        <v>1112</v>
      </c>
      <c r="Q92" s="18">
        <v>4</v>
      </c>
      <c r="R92" s="18">
        <v>1</v>
      </c>
      <c r="S92" s="13">
        <v>8828132633</v>
      </c>
      <c r="T92" s="13" t="s">
        <v>951</v>
      </c>
      <c r="U92" s="19">
        <v>28881900</v>
      </c>
      <c r="V92" s="18">
        <v>1</v>
      </c>
      <c r="W92" s="18" t="e">
        <f>_xlfn.XLOOKUP(J92,'Master Data 14-9-2026'!C:C,'Master Data 14-9-2026'!L:L)</f>
        <v>#N/A</v>
      </c>
      <c r="X92" s="23">
        <v>28881900</v>
      </c>
      <c r="Y92" s="13" t="s">
        <v>1099</v>
      </c>
      <c r="Z92" s="24" t="s">
        <v>984</v>
      </c>
      <c r="AB92" s="13" t="s">
        <v>1116</v>
      </c>
      <c r="AC92" s="13" t="s">
        <v>1117</v>
      </c>
      <c r="AD92" s="13"/>
      <c r="AE92" s="13" t="str">
        <f>_xlfn.XLOOKUP(L92,'[1]ID PROJECT'!E:E,'[1]ID PROJECT'!F:F)</f>
        <v xml:space="preserve">PRJ-KUT-KPU-TPED-2026-04-00071 </v>
      </c>
      <c r="AF92" s="13"/>
      <c r="AG92" s="13"/>
      <c r="AH92" s="65"/>
      <c r="AI92" s="27"/>
    </row>
    <row r="93" spans="1:36" hidden="1">
      <c r="A93" s="13" t="s">
        <v>1122</v>
      </c>
      <c r="B93" s="13" t="e">
        <f>_xlfn.XLOOKUP(J93,'Master Data 14-9-2026'!C:C,'Master Data 14-9-2026'!D:D)</f>
        <v>#N/A</v>
      </c>
      <c r="C93" s="13"/>
      <c r="D93" s="13" t="e">
        <f>_xlfn.XLOOKUP(J93,'Master Data 14-9-2026'!C:C,'Master Data 14-9-2026'!E:E)</f>
        <v>#N/A</v>
      </c>
      <c r="E93" s="13"/>
      <c r="F93" s="13"/>
      <c r="G93" s="13" t="s">
        <v>13</v>
      </c>
      <c r="H93" s="13" t="e">
        <f>_xlfn.XLOOKUP(J93,'Master Data 14-9-2026'!C:C,'Master Data 14-9-2026'!H:H)</f>
        <v>#N/A</v>
      </c>
      <c r="I93" s="13" t="e">
        <f t="shared" si="1"/>
        <v>#N/A</v>
      </c>
      <c r="J93" s="13" t="s">
        <v>1123</v>
      </c>
      <c r="K93" s="13" t="s">
        <v>1123</v>
      </c>
      <c r="L93" s="13" t="s">
        <v>441</v>
      </c>
      <c r="M93" s="15">
        <v>200003122508020</v>
      </c>
      <c r="N93" s="13" t="s">
        <v>924</v>
      </c>
      <c r="O93" s="13">
        <v>1.0912026052500099E+17</v>
      </c>
      <c r="P93" s="13" t="s">
        <v>1124</v>
      </c>
      <c r="Q93" s="18">
        <v>1</v>
      </c>
      <c r="R93" s="18">
        <v>1</v>
      </c>
      <c r="S93" s="13">
        <v>8828132633</v>
      </c>
      <c r="T93" s="13" t="s">
        <v>951</v>
      </c>
      <c r="U93" s="19">
        <v>28881900</v>
      </c>
      <c r="V93" s="18">
        <v>1</v>
      </c>
      <c r="W93" s="18" t="e">
        <f>_xlfn.XLOOKUP(J93,'Master Data 14-9-2026'!C:C,'Master Data 14-9-2026'!L:L)</f>
        <v>#N/A</v>
      </c>
      <c r="X93" s="23">
        <v>28881900</v>
      </c>
      <c r="Y93" s="13" t="s">
        <v>1125</v>
      </c>
      <c r="Z93" s="24" t="s">
        <v>984</v>
      </c>
      <c r="AB93" s="13" t="s">
        <v>1126</v>
      </c>
      <c r="AC93" s="13"/>
      <c r="AD93" s="13"/>
      <c r="AE93" s="13" t="str">
        <f>_xlfn.XLOOKUP(L93,'[1]ID PROJECT'!E:E,'[1]ID PROJECT'!F:F)</f>
        <v xml:space="preserve">PRJ-KUT-KPU-TPED-2026-04-00071 </v>
      </c>
      <c r="AF93" s="13"/>
      <c r="AG93" s="13"/>
      <c r="AH93" s="65"/>
      <c r="AI93" s="27"/>
    </row>
    <row r="94" spans="1:36" hidden="1">
      <c r="A94" s="13" t="s">
        <v>351</v>
      </c>
      <c r="B94" s="13" t="str">
        <f>_xlfn.XLOOKUP(J94,'Master Data 14-9-2026'!C:C,'Master Data 14-9-2026'!D:D)</f>
        <v>Rahma Nihayatul Nur M WX1524121</v>
      </c>
      <c r="C94" s="13"/>
      <c r="D94" s="13" t="str">
        <f>_xlfn.XLOOKUP(J94,'Master Data 14-9-2026'!C:C,'Master Data 14-9-2026'!E:E)</f>
        <v>IOH</v>
      </c>
      <c r="E94" s="13"/>
      <c r="F94" s="13"/>
      <c r="G94" s="13" t="s">
        <v>13</v>
      </c>
      <c r="H94" s="13" t="str">
        <f>_xlfn.XLOOKUP(J94,'Master Data 14-9-2026'!C:C,'Master Data 14-9-2026'!H:H)</f>
        <v>2026-06-01 - 2026-06-30</v>
      </c>
      <c r="I94" s="13" t="str">
        <f t="shared" si="1"/>
        <v>June</v>
      </c>
      <c r="J94" s="13" t="s">
        <v>1127</v>
      </c>
      <c r="K94" s="13" t="s">
        <v>1127</v>
      </c>
      <c r="L94" s="13" t="s">
        <v>441</v>
      </c>
      <c r="M94" s="15">
        <v>200003122509020</v>
      </c>
      <c r="N94" s="13" t="s">
        <v>924</v>
      </c>
      <c r="O94" s="13">
        <v>1.0912026052500099E+17</v>
      </c>
      <c r="P94" s="13" t="s">
        <v>1124</v>
      </c>
      <c r="Q94" s="18">
        <v>2</v>
      </c>
      <c r="R94" s="18">
        <v>1</v>
      </c>
      <c r="S94" s="13">
        <v>8828132633</v>
      </c>
      <c r="T94" s="13" t="s">
        <v>951</v>
      </c>
      <c r="U94" s="19">
        <v>28881900</v>
      </c>
      <c r="V94" s="18">
        <v>1</v>
      </c>
      <c r="W94" s="18">
        <f>_xlfn.XLOOKUP(J94,'Master Data 14-9-2026'!C:C,'Master Data 14-9-2026'!L:L)</f>
        <v>0</v>
      </c>
      <c r="X94" s="23">
        <v>28881900</v>
      </c>
      <c r="Y94" s="13" t="s">
        <v>1125</v>
      </c>
      <c r="Z94" s="24" t="str">
        <f>_xlfn.XLOOKUP(J94,'Master Data 14-9-2026'!C:C,'Master Data 14-9-2026'!I:I)</f>
        <v>Ended</v>
      </c>
      <c r="AB94" s="13"/>
      <c r="AC94" s="13"/>
      <c r="AD94" s="13"/>
      <c r="AE94" s="13" t="str">
        <f>_xlfn.XLOOKUP(L94,'[1]ID PROJECT'!E:E,'[1]ID PROJECT'!F:F)</f>
        <v xml:space="preserve">PRJ-KUT-KPU-TPED-2026-04-00071 </v>
      </c>
      <c r="AF94" s="13"/>
      <c r="AG94" s="13"/>
      <c r="AH94" s="65"/>
      <c r="AI94" s="27"/>
    </row>
    <row r="95" spans="1:36" hidden="1">
      <c r="A95" s="13" t="s">
        <v>827</v>
      </c>
      <c r="B95" s="13" t="str">
        <f>_xlfn.XLOOKUP(J95,'Master Data 14-9-2026'!C:C,'Master Data 14-9-2026'!D:D)</f>
        <v>Abdul Dedi Halik wx1522830</v>
      </c>
      <c r="C95" s="13"/>
      <c r="D95" s="13" t="str">
        <f>_xlfn.XLOOKUP(J95,'Master Data 14-9-2026'!C:C,'Master Data 14-9-2026'!E:E)</f>
        <v>IOH</v>
      </c>
      <c r="E95" s="13"/>
      <c r="F95" s="13"/>
      <c r="G95" s="13" t="s">
        <v>13</v>
      </c>
      <c r="H95" s="13" t="str">
        <f>_xlfn.XLOOKUP(J95,'Master Data 14-9-2026'!C:C,'Master Data 14-9-2026'!H:H)</f>
        <v>2026-05-25 - 2026-06-24</v>
      </c>
      <c r="I95" s="13" t="str">
        <f t="shared" si="1"/>
        <v>May</v>
      </c>
      <c r="J95" s="13" t="s">
        <v>1128</v>
      </c>
      <c r="K95" s="13" t="s">
        <v>1128</v>
      </c>
      <c r="L95" s="13" t="s">
        <v>441</v>
      </c>
      <c r="M95" s="15">
        <v>200003122510020</v>
      </c>
      <c r="N95" s="13" t="s">
        <v>924</v>
      </c>
      <c r="O95" s="13">
        <v>1.0912026052600099E+17</v>
      </c>
      <c r="P95" s="13" t="s">
        <v>1129</v>
      </c>
      <c r="Q95" s="18">
        <v>1</v>
      </c>
      <c r="R95" s="18">
        <v>1</v>
      </c>
      <c r="S95" s="13">
        <v>8828132635</v>
      </c>
      <c r="T95" s="13" t="s">
        <v>926</v>
      </c>
      <c r="U95" s="19">
        <v>34220600</v>
      </c>
      <c r="V95" s="18">
        <v>1</v>
      </c>
      <c r="W95" s="18">
        <f>_xlfn.XLOOKUP(J95,'Master Data 14-9-2026'!C:C,'Master Data 14-9-2026'!L:L)</f>
        <v>0</v>
      </c>
      <c r="X95" s="23">
        <v>34220600</v>
      </c>
      <c r="Y95" s="13" t="s">
        <v>1130</v>
      </c>
      <c r="Z95" s="24" t="s">
        <v>15</v>
      </c>
      <c r="AB95" s="13"/>
      <c r="AC95" s="13"/>
      <c r="AD95" s="13"/>
      <c r="AE95" s="13" t="str">
        <f>_xlfn.XLOOKUP(L95,'[1]ID PROJECT'!E:E,'[1]ID PROJECT'!F:F)</f>
        <v xml:space="preserve">PRJ-KUT-KPU-TPED-2026-04-00071 </v>
      </c>
      <c r="AF95" s="13"/>
      <c r="AG95" s="13"/>
      <c r="AH95" s="65"/>
      <c r="AI95" s="27"/>
    </row>
    <row r="96" spans="1:36" hidden="1">
      <c r="A96" s="13" t="s">
        <v>837</v>
      </c>
      <c r="B96" s="13" t="str">
        <f>_xlfn.XLOOKUP(J96,'Master Data 14-9-2026'!C:C,'Master Data 14-9-2026'!D:D)</f>
        <v>Dian Rahmanda wx1522831</v>
      </c>
      <c r="C96" s="13"/>
      <c r="D96" s="13" t="str">
        <f>_xlfn.XLOOKUP(J96,'Master Data 14-9-2026'!C:C,'Master Data 14-9-2026'!E:E)</f>
        <v>IOH</v>
      </c>
      <c r="E96" s="13"/>
      <c r="F96" s="13"/>
      <c r="G96" s="13" t="s">
        <v>13</v>
      </c>
      <c r="H96" s="13" t="str">
        <f>_xlfn.XLOOKUP(J96,'Master Data 14-9-2026'!C:C,'Master Data 14-9-2026'!H:H)</f>
        <v>2026-06-02 - 2026-07-01</v>
      </c>
      <c r="I96" s="13" t="str">
        <f t="shared" si="1"/>
        <v>June</v>
      </c>
      <c r="J96" s="13" t="s">
        <v>1131</v>
      </c>
      <c r="K96" s="13" t="s">
        <v>1131</v>
      </c>
      <c r="L96" s="13" t="s">
        <v>441</v>
      </c>
      <c r="M96" s="15">
        <v>200003122511020</v>
      </c>
      <c r="N96" s="13" t="s">
        <v>924</v>
      </c>
      <c r="O96" s="13">
        <v>1.0912026052600099E+17</v>
      </c>
      <c r="P96" s="13" t="s">
        <v>1129</v>
      </c>
      <c r="Q96" s="18">
        <v>2</v>
      </c>
      <c r="R96" s="18">
        <v>1</v>
      </c>
      <c r="S96" s="13">
        <v>8828132635</v>
      </c>
      <c r="T96" s="13" t="s">
        <v>926</v>
      </c>
      <c r="U96" s="19">
        <v>34220600</v>
      </c>
      <c r="V96" s="18">
        <v>1</v>
      </c>
      <c r="W96" s="18">
        <f>_xlfn.XLOOKUP(J96,'Master Data 14-9-2026'!C:C,'Master Data 14-9-2026'!L:L)</f>
        <v>0</v>
      </c>
      <c r="X96" s="23">
        <v>34220600</v>
      </c>
      <c r="Y96" s="13" t="s">
        <v>1130</v>
      </c>
      <c r="Z96" s="24" t="str">
        <f>_xlfn.XLOOKUP(J96,'Master Data 14-9-2026'!C:C,'Master Data 14-9-2026'!I:I)</f>
        <v>Ended</v>
      </c>
      <c r="AB96" s="13"/>
      <c r="AC96" s="13"/>
      <c r="AD96" s="13"/>
      <c r="AE96" s="13" t="str">
        <f>_xlfn.XLOOKUP(L96,'[1]ID PROJECT'!E:E,'[1]ID PROJECT'!F:F)</f>
        <v xml:space="preserve">PRJ-KUT-KPU-TPED-2026-04-00071 </v>
      </c>
      <c r="AF96" s="13"/>
      <c r="AG96" s="13"/>
      <c r="AH96" s="65"/>
      <c r="AI96" s="27"/>
    </row>
    <row r="97" spans="1:35" hidden="1">
      <c r="A97" s="13" t="s">
        <v>839</v>
      </c>
      <c r="B97" s="13" t="str">
        <f>_xlfn.XLOOKUP(J97,'Master Data 14-9-2026'!C:C,'Master Data 14-9-2026'!D:D)</f>
        <v>Muh Riefqi Ferdhana Alhamdi WX1522829</v>
      </c>
      <c r="C97" s="13"/>
      <c r="D97" s="13" t="str">
        <f>_xlfn.XLOOKUP(J97,'Master Data 14-9-2026'!C:C,'Master Data 14-9-2026'!E:E)</f>
        <v>IOH</v>
      </c>
      <c r="E97" s="13"/>
      <c r="F97" s="13"/>
      <c r="G97" s="13" t="s">
        <v>13</v>
      </c>
      <c r="H97" s="13" t="str">
        <f>_xlfn.XLOOKUP(J97,'Master Data 14-9-2026'!C:C,'Master Data 14-9-2026'!H:H)</f>
        <v>2026-05-25 - 2026-06-24</v>
      </c>
      <c r="I97" s="13" t="str">
        <f t="shared" si="1"/>
        <v>May</v>
      </c>
      <c r="J97" s="13" t="s">
        <v>1132</v>
      </c>
      <c r="K97" s="13" t="s">
        <v>1132</v>
      </c>
      <c r="L97" s="13" t="s">
        <v>441</v>
      </c>
      <c r="M97" s="15">
        <v>200003122512020</v>
      </c>
      <c r="N97" s="13" t="s">
        <v>924</v>
      </c>
      <c r="O97" s="13">
        <v>1.0912026052600099E+17</v>
      </c>
      <c r="P97" s="13" t="s">
        <v>1129</v>
      </c>
      <c r="Q97" s="18">
        <v>3</v>
      </c>
      <c r="R97" s="18">
        <v>1</v>
      </c>
      <c r="S97" s="13">
        <v>8828132635</v>
      </c>
      <c r="T97" s="13" t="s">
        <v>926</v>
      </c>
      <c r="U97" s="19">
        <v>34220600</v>
      </c>
      <c r="V97" s="18">
        <v>1</v>
      </c>
      <c r="W97" s="18">
        <f>_xlfn.XLOOKUP(J97,'Master Data 14-9-2026'!C:C,'Master Data 14-9-2026'!L:L)</f>
        <v>0</v>
      </c>
      <c r="X97" s="23">
        <v>34220600</v>
      </c>
      <c r="Y97" s="13" t="s">
        <v>1130</v>
      </c>
      <c r="Z97" s="24" t="s">
        <v>15</v>
      </c>
      <c r="AB97" s="13" t="s">
        <v>1126</v>
      </c>
      <c r="AC97" s="13"/>
      <c r="AD97" s="13"/>
      <c r="AE97" s="13" t="str">
        <f>_xlfn.XLOOKUP(L97,'[1]ID PROJECT'!E:E,'[1]ID PROJECT'!F:F)</f>
        <v xml:space="preserve">PRJ-KUT-KPU-TPED-2026-04-00071 </v>
      </c>
      <c r="AF97" s="13"/>
      <c r="AG97" s="13"/>
      <c r="AH97" s="65"/>
      <c r="AI97" s="27"/>
    </row>
    <row r="98" spans="1:35" hidden="1">
      <c r="A98" s="40" t="s">
        <v>330</v>
      </c>
      <c r="B98" s="13" t="str">
        <f>_xlfn.XLOOKUP(J98,'Master Data 14-9-2026'!C:C,'Master Data 14-9-2026'!D:D)</f>
        <v>Mauli Rizki Amelia wx1504666</v>
      </c>
      <c r="C98" s="13"/>
      <c r="D98" s="13" t="str">
        <f>_xlfn.XLOOKUP(J98,'Master Data 14-9-2026'!C:C,'Master Data 14-9-2026'!E:E)</f>
        <v>XLSMART</v>
      </c>
      <c r="E98" s="13"/>
      <c r="F98" s="13"/>
      <c r="G98" s="13" t="s">
        <v>22</v>
      </c>
      <c r="H98" s="13" t="str">
        <f>_xlfn.XLOOKUP(J98,'Master Data 14-9-2026'!C:C,'Master Data 14-9-2026'!H:H)</f>
        <v>2026-05-26 - 2026-06-25</v>
      </c>
      <c r="I98" s="13" t="str">
        <f t="shared" si="1"/>
        <v>May</v>
      </c>
      <c r="J98" s="13" t="s">
        <v>1133</v>
      </c>
      <c r="K98" s="13" t="s">
        <v>1004</v>
      </c>
      <c r="L98" s="13" t="s">
        <v>461</v>
      </c>
      <c r="M98" s="15">
        <v>200003134868020</v>
      </c>
      <c r="N98" s="13" t="s">
        <v>924</v>
      </c>
      <c r="O98" s="13">
        <v>1.0912026052800099E+17</v>
      </c>
      <c r="P98" s="13" t="s">
        <v>1134</v>
      </c>
      <c r="Q98" s="18">
        <v>1</v>
      </c>
      <c r="R98" s="18">
        <v>1</v>
      </c>
      <c r="S98" s="13">
        <v>8828132633</v>
      </c>
      <c r="T98" s="13" t="s">
        <v>951</v>
      </c>
      <c r="U98" s="19">
        <v>28881900</v>
      </c>
      <c r="V98" s="18">
        <v>1</v>
      </c>
      <c r="W98" s="18">
        <f>_xlfn.XLOOKUP(J98,'Master Data 14-9-2026'!C:C,'Master Data 14-9-2026'!L:L)</f>
        <v>0</v>
      </c>
      <c r="X98" s="23">
        <v>28881900</v>
      </c>
      <c r="Y98" s="13" t="s">
        <v>1135</v>
      </c>
      <c r="Z98" s="24" t="s">
        <v>984</v>
      </c>
      <c r="AA98" s="13"/>
      <c r="AC98" s="4"/>
      <c r="AD98" s="13"/>
      <c r="AE98" s="13" t="str">
        <f>_xlfn.XLOOKUP(L98,'[1]ID PROJECT'!E:E,'[1]ID PROJECT'!F:F)</f>
        <v>PRJ-KUT-KPU-TPED-2026-04-00078</v>
      </c>
      <c r="AF98" s="13"/>
      <c r="AG98" s="13"/>
      <c r="AH98" s="65"/>
      <c r="AI98" s="27"/>
    </row>
    <row r="99" spans="1:35" hidden="1">
      <c r="A99" s="13" t="s">
        <v>501</v>
      </c>
      <c r="B99" s="13" t="str">
        <f>_xlfn.XLOOKUP(J99,'Master Data 14-9-2026'!C:C,'Master Data 14-9-2026'!D:D)</f>
        <v>Benny Prio Utomo wx1513406</v>
      </c>
      <c r="C99" s="13"/>
      <c r="D99" s="13" t="str">
        <f>_xlfn.XLOOKUP(J99,'Master Data 14-9-2026'!C:C,'Master Data 14-9-2026'!E:E)</f>
        <v>XLSMART</v>
      </c>
      <c r="E99" s="13"/>
      <c r="F99" s="13"/>
      <c r="G99" s="13" t="s">
        <v>22</v>
      </c>
      <c r="H99" s="13" t="str">
        <f>_xlfn.XLOOKUP(J99,'Master Data 14-9-2026'!C:C,'Master Data 14-9-2026'!H:H)</f>
        <v>2026-06-21 - 2026-07-20</v>
      </c>
      <c r="I99" s="13" t="str">
        <f t="shared" si="1"/>
        <v>June</v>
      </c>
      <c r="J99" s="13" t="s">
        <v>1136</v>
      </c>
      <c r="K99" s="13" t="s">
        <v>1004</v>
      </c>
      <c r="L99" s="13" t="s">
        <v>441</v>
      </c>
      <c r="M99" s="15">
        <v>200003134895020</v>
      </c>
      <c r="N99" s="13" t="s">
        <v>924</v>
      </c>
      <c r="O99" s="13">
        <v>1.0912026052800099E+17</v>
      </c>
      <c r="P99" s="13" t="s">
        <v>1134</v>
      </c>
      <c r="Q99" s="18">
        <v>2</v>
      </c>
      <c r="R99" s="18">
        <v>1</v>
      </c>
      <c r="S99" s="13">
        <v>8828132636</v>
      </c>
      <c r="T99" s="13" t="s">
        <v>933</v>
      </c>
      <c r="U99" s="19">
        <v>36992000</v>
      </c>
      <c r="V99" s="18">
        <v>1</v>
      </c>
      <c r="W99" s="18">
        <f>_xlfn.XLOOKUP(J99,'Master Data 14-9-2026'!C:C,'Master Data 14-9-2026'!L:L)</f>
        <v>1.5</v>
      </c>
      <c r="X99" s="23">
        <v>36992000</v>
      </c>
      <c r="Y99" s="13" t="s">
        <v>1135</v>
      </c>
      <c r="Z99" s="24" t="str">
        <f>_xlfn.XLOOKUP(J99,'Master Data 14-9-2026'!C:C,'Master Data 14-9-2026'!I:I)</f>
        <v>Ended</v>
      </c>
      <c r="AA99" s="13"/>
      <c r="AC99" s="4"/>
      <c r="AD99" s="13"/>
      <c r="AE99" s="13" t="str">
        <f>_xlfn.XLOOKUP(L99,'[1]ID PROJECT'!E:E,'[1]ID PROJECT'!F:F)</f>
        <v xml:space="preserve">PRJ-KUT-KPU-TPED-2026-04-00071 </v>
      </c>
      <c r="AF99" s="13"/>
      <c r="AG99" s="13"/>
      <c r="AH99" s="65"/>
      <c r="AI99" s="27"/>
    </row>
    <row r="100" spans="1:35" hidden="1">
      <c r="A100" s="13" t="s">
        <v>823</v>
      </c>
      <c r="B100" s="13" t="str">
        <f>_xlfn.XLOOKUP(J100,'Master Data 14-9-2026'!C:C,'Master Data 14-9-2026'!D:D)</f>
        <v>Zulfan Arrofi wx1517184</v>
      </c>
      <c r="C100" s="13"/>
      <c r="D100" s="13" t="str">
        <f>_xlfn.XLOOKUP(J100,'Master Data 14-9-2026'!C:C,'Master Data 14-9-2026'!E:E)</f>
        <v>XLSMART</v>
      </c>
      <c r="E100" s="13"/>
      <c r="F100" s="13"/>
      <c r="G100" s="13" t="s">
        <v>18</v>
      </c>
      <c r="H100" s="13" t="str">
        <f>_xlfn.XLOOKUP(J100,'Master Data 14-9-2026'!C:C,'Master Data 14-9-2026'!H:H)</f>
        <v>2026-06-05 - 2026-07-04</v>
      </c>
      <c r="I100" s="13" t="str">
        <f t="shared" si="1"/>
        <v>June</v>
      </c>
      <c r="J100" s="13" t="s">
        <v>1137</v>
      </c>
      <c r="K100" s="13" t="s">
        <v>1004</v>
      </c>
      <c r="L100" s="13" t="s">
        <v>441</v>
      </c>
      <c r="M100" s="15">
        <v>200003134850020</v>
      </c>
      <c r="N100" s="13" t="s">
        <v>924</v>
      </c>
      <c r="O100" s="13">
        <v>1.0912026052800099E+17</v>
      </c>
      <c r="P100" s="13" t="s">
        <v>1134</v>
      </c>
      <c r="Q100" s="18">
        <v>3</v>
      </c>
      <c r="R100" s="18">
        <v>1</v>
      </c>
      <c r="S100" s="13">
        <v>8828132635</v>
      </c>
      <c r="T100" s="13" t="s">
        <v>926</v>
      </c>
      <c r="U100" s="19">
        <v>34220600</v>
      </c>
      <c r="V100" s="18">
        <v>1</v>
      </c>
      <c r="W100" s="18">
        <f>_xlfn.XLOOKUP(J100,'Master Data 14-9-2026'!C:C,'Master Data 14-9-2026'!L:L)</f>
        <v>0</v>
      </c>
      <c r="X100" s="23">
        <v>34220600</v>
      </c>
      <c r="Y100" s="13" t="s">
        <v>1135</v>
      </c>
      <c r="Z100" s="24" t="str">
        <f>_xlfn.XLOOKUP(J100,'Master Data 14-9-2026'!C:C,'Master Data 14-9-2026'!I:I)</f>
        <v>Ended</v>
      </c>
      <c r="AB100" s="40" t="s">
        <v>1101</v>
      </c>
      <c r="AC100" s="13" t="s">
        <v>1113</v>
      </c>
      <c r="AD100" s="13"/>
      <c r="AE100" s="13" t="str">
        <f>_xlfn.XLOOKUP(L100,'[1]ID PROJECT'!E:E,'[1]ID PROJECT'!F:F)</f>
        <v xml:space="preserve">PRJ-KUT-KPU-TPED-2026-04-00071 </v>
      </c>
      <c r="AF100" s="13"/>
      <c r="AG100" s="13"/>
      <c r="AH100" s="65"/>
      <c r="AI100" s="27"/>
    </row>
    <row r="101" spans="1:35" hidden="1">
      <c r="A101" s="13" t="s">
        <v>583</v>
      </c>
      <c r="B101" s="13" t="str">
        <f>_xlfn.XLOOKUP(J101,'Master Data 14-9-2026'!C:C,'Master Data 14-9-2026'!D:D)</f>
        <v>Jepri Hamonangan Saragih wx1504646</v>
      </c>
      <c r="C101" s="13"/>
      <c r="D101" s="13" t="str">
        <f>_xlfn.XLOOKUP(J101,'Master Data 14-9-2026'!C:C,'Master Data 14-9-2026'!E:E)</f>
        <v>XLSMART</v>
      </c>
      <c r="E101" s="13"/>
      <c r="F101" s="13"/>
      <c r="G101" s="13" t="s">
        <v>22</v>
      </c>
      <c r="H101" s="13" t="str">
        <f>_xlfn.XLOOKUP(J101,'Master Data 14-9-2026'!C:C,'Master Data 14-9-2026'!H:H)</f>
        <v>2026-05-23 - 2026-06-22</v>
      </c>
      <c r="I101" s="13" t="str">
        <f t="shared" si="1"/>
        <v>May</v>
      </c>
      <c r="J101" s="13" t="s">
        <v>1138</v>
      </c>
      <c r="K101" s="13" t="s">
        <v>1004</v>
      </c>
      <c r="L101" s="13" t="s">
        <v>461</v>
      </c>
      <c r="M101" s="15">
        <v>200003134896020</v>
      </c>
      <c r="N101" s="13" t="s">
        <v>924</v>
      </c>
      <c r="O101" s="13">
        <v>1.0912026052800099E+17</v>
      </c>
      <c r="P101" s="13" t="s">
        <v>1134</v>
      </c>
      <c r="Q101" s="18">
        <v>4</v>
      </c>
      <c r="R101" s="18">
        <v>1</v>
      </c>
      <c r="S101" s="13">
        <v>8828132634</v>
      </c>
      <c r="T101" s="13" t="s">
        <v>978</v>
      </c>
      <c r="U101" s="19">
        <v>32542400</v>
      </c>
      <c r="V101" s="18">
        <v>1</v>
      </c>
      <c r="W101" s="18">
        <f>_xlfn.XLOOKUP(J101,'Master Data 14-9-2026'!C:C,'Master Data 14-9-2026'!L:L)</f>
        <v>0</v>
      </c>
      <c r="X101" s="23">
        <v>32542400</v>
      </c>
      <c r="Y101" s="13" t="s">
        <v>1135</v>
      </c>
      <c r="Z101" s="24" t="s">
        <v>15</v>
      </c>
      <c r="AA101" s="13"/>
      <c r="AC101" s="4"/>
      <c r="AD101" s="13"/>
      <c r="AE101" s="13" t="str">
        <f>_xlfn.XLOOKUP(L101,'[1]ID PROJECT'!E:E,'[1]ID PROJECT'!F:F)</f>
        <v>PRJ-KUT-KPU-TPED-2026-04-00078</v>
      </c>
      <c r="AF101" s="13"/>
      <c r="AG101" s="13"/>
      <c r="AH101" s="65"/>
      <c r="AI101" s="27"/>
    </row>
    <row r="102" spans="1:35" hidden="1">
      <c r="A102" s="13" t="s">
        <v>444</v>
      </c>
      <c r="B102" s="13" t="str">
        <f>_xlfn.XLOOKUP(J102,'Master Data 14-9-2026'!C:C,'Master Data 14-9-2026'!D:D)</f>
        <v>Febby Ramadhan Ahmad Suhandi wx1503968</v>
      </c>
      <c r="C102" s="13"/>
      <c r="D102" s="13" t="str">
        <f>_xlfn.XLOOKUP(J102,'Master Data 14-9-2026'!C:C,'Master Data 14-9-2026'!E:E)</f>
        <v>XLSMART</v>
      </c>
      <c r="E102" s="13"/>
      <c r="F102" s="13"/>
      <c r="G102" s="13" t="s">
        <v>22</v>
      </c>
      <c r="H102" s="13" t="str">
        <f>_xlfn.XLOOKUP(J102,'Master Data 14-9-2026'!C:C,'Master Data 14-9-2026'!H:H)</f>
        <v>2026-05-25 - 2026-06-24</v>
      </c>
      <c r="I102" s="13" t="str">
        <f t="shared" si="1"/>
        <v>May</v>
      </c>
      <c r="J102" s="13" t="s">
        <v>1139</v>
      </c>
      <c r="K102" s="13" t="s">
        <v>1004</v>
      </c>
      <c r="L102" s="13" t="s">
        <v>441</v>
      </c>
      <c r="M102" s="15">
        <v>200003134890020</v>
      </c>
      <c r="N102" s="13" t="s">
        <v>924</v>
      </c>
      <c r="O102" s="13">
        <v>1.0912026052800099E+17</v>
      </c>
      <c r="P102" s="13" t="s">
        <v>1134</v>
      </c>
      <c r="Q102" s="18">
        <v>5</v>
      </c>
      <c r="R102" s="18">
        <v>1</v>
      </c>
      <c r="S102" s="13">
        <v>8828132636</v>
      </c>
      <c r="T102" s="13" t="s">
        <v>933</v>
      </c>
      <c r="U102" s="19">
        <v>36992000</v>
      </c>
      <c r="V102" s="18">
        <v>1</v>
      </c>
      <c r="W102" s="18">
        <f>_xlfn.XLOOKUP(J102,'Master Data 14-9-2026'!C:C,'Master Data 14-9-2026'!L:L)</f>
        <v>1.5</v>
      </c>
      <c r="X102" s="23">
        <v>36992000</v>
      </c>
      <c r="Y102" s="13" t="s">
        <v>1135</v>
      </c>
      <c r="Z102" s="24" t="s">
        <v>15</v>
      </c>
      <c r="AA102" s="13"/>
      <c r="AC102" s="4"/>
      <c r="AD102" s="13"/>
      <c r="AE102" s="13" t="str">
        <f>_xlfn.XLOOKUP(L102,'[1]ID PROJECT'!E:E,'[1]ID PROJECT'!F:F)</f>
        <v xml:space="preserve">PRJ-KUT-KPU-TPED-2026-04-00071 </v>
      </c>
      <c r="AF102" s="13"/>
      <c r="AG102" s="13"/>
      <c r="AH102" s="65"/>
      <c r="AI102" s="27"/>
    </row>
    <row r="103" spans="1:35" hidden="1">
      <c r="A103" s="13" t="s">
        <v>508</v>
      </c>
      <c r="B103" s="13" t="str">
        <f>_xlfn.XLOOKUP(J103,'Master Data 14-9-2026'!C:C,'Master Data 14-9-2026'!D:D)</f>
        <v>Herni Peruzi wx1503973</v>
      </c>
      <c r="C103" s="13"/>
      <c r="D103" s="13" t="str">
        <f>_xlfn.XLOOKUP(J103,'Master Data 14-9-2026'!C:C,'Master Data 14-9-2026'!E:E)</f>
        <v>XLSMART</v>
      </c>
      <c r="E103" s="13"/>
      <c r="F103" s="13"/>
      <c r="G103" s="13" t="s">
        <v>18</v>
      </c>
      <c r="H103" s="13" t="str">
        <f>_xlfn.XLOOKUP(J103,'Master Data 14-9-2026'!C:C,'Master Data 14-9-2026'!H:H)</f>
        <v>2026-04-30 - 2026-05-29</v>
      </c>
      <c r="I103" s="13" t="str">
        <f t="shared" si="1"/>
        <v>April</v>
      </c>
      <c r="J103" s="13" t="s">
        <v>1140</v>
      </c>
      <c r="K103" s="13" t="s">
        <v>1004</v>
      </c>
      <c r="L103" s="13" t="s">
        <v>441</v>
      </c>
      <c r="M103" s="15">
        <v>200003134857020</v>
      </c>
      <c r="N103" s="13" t="s">
        <v>924</v>
      </c>
      <c r="O103" s="13">
        <v>1.0912026052800099E+17</v>
      </c>
      <c r="P103" s="13" t="s">
        <v>1134</v>
      </c>
      <c r="Q103" s="18">
        <v>6</v>
      </c>
      <c r="R103" s="18">
        <v>1</v>
      </c>
      <c r="S103" s="13">
        <v>8828132636</v>
      </c>
      <c r="T103" s="13" t="s">
        <v>933</v>
      </c>
      <c r="U103" s="19">
        <v>36992000</v>
      </c>
      <c r="V103" s="18">
        <v>1</v>
      </c>
      <c r="W103" s="18">
        <f>_xlfn.XLOOKUP(J103,'Master Data 14-9-2026'!C:C,'Master Data 14-9-2026'!L:L)</f>
        <v>1.5</v>
      </c>
      <c r="X103" s="23">
        <v>36992000</v>
      </c>
      <c r="Y103" s="13" t="s">
        <v>1135</v>
      </c>
      <c r="Z103" s="24" t="s">
        <v>15</v>
      </c>
      <c r="AA103" s="13" t="s">
        <v>934</v>
      </c>
      <c r="AC103" s="4"/>
      <c r="AD103" s="13" t="s">
        <v>935</v>
      </c>
      <c r="AE103" s="13" t="str">
        <f>_xlfn.XLOOKUP(L103,'[1]ID PROJECT'!E:E,'[1]ID PROJECT'!F:F)</f>
        <v xml:space="preserve">PRJ-KUT-KPU-TPED-2026-04-00071 </v>
      </c>
      <c r="AF103" s="13" t="s">
        <v>1141</v>
      </c>
      <c r="AG103" s="13" t="s">
        <v>1142</v>
      </c>
      <c r="AH103" s="65">
        <v>46216</v>
      </c>
      <c r="AI103" s="27" t="s">
        <v>938</v>
      </c>
    </row>
    <row r="104" spans="1:35" hidden="1">
      <c r="A104" s="13" t="s">
        <v>790</v>
      </c>
      <c r="B104" s="13" t="str">
        <f>_xlfn.XLOOKUP(J104,'Master Data 14-9-2026'!C:C,'Master Data 14-9-2026'!D:D)</f>
        <v>Prawira Satria Yodhipati wx1507286</v>
      </c>
      <c r="C104" s="13" t="s">
        <v>1143</v>
      </c>
      <c r="D104" s="13" t="str">
        <f>_xlfn.XLOOKUP(J104,'Master Data 14-9-2026'!C:C,'Master Data 14-9-2026'!E:E)</f>
        <v>XLSMART</v>
      </c>
      <c r="E104" s="13"/>
      <c r="F104" s="13"/>
      <c r="G104" s="13" t="s">
        <v>1144</v>
      </c>
      <c r="H104" s="13" t="str">
        <f>_xlfn.XLOOKUP(J104,'Master Data 14-9-2026'!C:C,'Master Data 14-9-2026'!H:H)</f>
        <v>2026-05-01 - 2026-05-31</v>
      </c>
      <c r="I104" s="13" t="str">
        <f t="shared" si="1"/>
        <v>May</v>
      </c>
      <c r="J104" s="13" t="s">
        <v>1145</v>
      </c>
      <c r="K104" s="13" t="s">
        <v>1004</v>
      </c>
      <c r="L104" s="13" t="s">
        <v>475</v>
      </c>
      <c r="M104" s="15">
        <v>200003134851020</v>
      </c>
      <c r="N104" s="13" t="s">
        <v>924</v>
      </c>
      <c r="O104" s="13">
        <v>1.0912026052800099E+17</v>
      </c>
      <c r="P104" s="13" t="s">
        <v>1134</v>
      </c>
      <c r="Q104" s="18">
        <v>7</v>
      </c>
      <c r="R104" s="18">
        <v>1</v>
      </c>
      <c r="S104" s="13">
        <v>8828132635</v>
      </c>
      <c r="T104" s="13" t="s">
        <v>926</v>
      </c>
      <c r="U104" s="19">
        <v>34220600</v>
      </c>
      <c r="V104" s="18">
        <v>1</v>
      </c>
      <c r="W104" s="18">
        <f>_xlfn.XLOOKUP(J104,'Master Data 14-9-2026'!C:C,'Master Data 14-9-2026'!L:L)</f>
        <v>1</v>
      </c>
      <c r="X104" s="23">
        <v>34220600</v>
      </c>
      <c r="Y104" s="13" t="s">
        <v>1135</v>
      </c>
      <c r="Z104" s="24" t="str">
        <f>_xlfn.XLOOKUP(J104,'Master Data 14-9-2026'!C:C,'Master Data 14-9-2026'!I:I)</f>
        <v>Ended</v>
      </c>
      <c r="AA104" s="13" t="s">
        <v>934</v>
      </c>
      <c r="AC104" s="4"/>
      <c r="AD104" s="13" t="s">
        <v>935</v>
      </c>
      <c r="AE104" s="13" t="str">
        <f>_xlfn.XLOOKUP(L104,'[1]ID PROJECT'!E:E,'[1]ID PROJECT'!F:F)</f>
        <v>PRJ-KUT-KPU-TPED-2026-04-00074</v>
      </c>
      <c r="AF104" s="13" t="s">
        <v>1146</v>
      </c>
      <c r="AG104" s="13" t="s">
        <v>1147</v>
      </c>
      <c r="AH104" s="65">
        <v>46218</v>
      </c>
      <c r="AI104" s="27" t="s">
        <v>938</v>
      </c>
    </row>
    <row r="105" spans="1:35" hidden="1">
      <c r="A105" s="13" t="s">
        <v>603</v>
      </c>
      <c r="B105" s="13" t="str">
        <f>_xlfn.XLOOKUP(J105,'Master Data 14-9-2026'!C:C,'Master Data 14-9-2026'!D:D)</f>
        <v>Anggie Bayu Setyawan wx1503644</v>
      </c>
      <c r="C105" s="13"/>
      <c r="D105" s="13" t="str">
        <f>_xlfn.XLOOKUP(J105,'Master Data 14-9-2026'!C:C,'Master Data 14-9-2026'!E:E)</f>
        <v>XLSMART</v>
      </c>
      <c r="E105" s="13"/>
      <c r="F105" s="13"/>
      <c r="G105" s="13" t="s">
        <v>22</v>
      </c>
      <c r="H105" s="13" t="str">
        <f>_xlfn.XLOOKUP(J105,'Master Data 14-9-2026'!C:C,'Master Data 14-9-2026'!H:H)</f>
        <v>2026-05-23 - 2026-06-22</v>
      </c>
      <c r="I105" s="13" t="str">
        <f t="shared" si="1"/>
        <v>May</v>
      </c>
      <c r="J105" s="13" t="s">
        <v>1148</v>
      </c>
      <c r="K105" s="13" t="s">
        <v>1004</v>
      </c>
      <c r="L105" s="13" t="s">
        <v>520</v>
      </c>
      <c r="M105" s="15">
        <v>200003134897020</v>
      </c>
      <c r="N105" s="13" t="s">
        <v>924</v>
      </c>
      <c r="O105" s="13">
        <v>1.0912026052800099E+17</v>
      </c>
      <c r="P105" s="13" t="s">
        <v>1134</v>
      </c>
      <c r="Q105" s="18">
        <v>8</v>
      </c>
      <c r="R105" s="18">
        <v>1</v>
      </c>
      <c r="S105" s="13">
        <v>8828132634</v>
      </c>
      <c r="T105" s="13" t="s">
        <v>978</v>
      </c>
      <c r="U105" s="19">
        <v>32542400</v>
      </c>
      <c r="V105" s="18">
        <v>1</v>
      </c>
      <c r="W105" s="18">
        <f>_xlfn.XLOOKUP(J105,'Master Data 14-9-2026'!C:C,'Master Data 14-9-2026'!L:L)</f>
        <v>0</v>
      </c>
      <c r="X105" s="23">
        <v>32542400</v>
      </c>
      <c r="Y105" s="13" t="s">
        <v>1135</v>
      </c>
      <c r="Z105" s="24" t="s">
        <v>15</v>
      </c>
      <c r="AA105" s="13"/>
      <c r="AB105" s="4" t="s">
        <v>1149</v>
      </c>
      <c r="AC105" s="4"/>
      <c r="AD105" s="13"/>
      <c r="AE105" s="13" t="str">
        <f>_xlfn.XLOOKUP(L105,'[1]ID PROJECT'!E:E,'[1]ID PROJECT'!F:F)</f>
        <v>PRJ-KUT-KPU-TPED-2026-04-00077</v>
      </c>
      <c r="AF105" s="13"/>
      <c r="AG105" s="13"/>
      <c r="AH105" s="65"/>
      <c r="AI105" s="27"/>
    </row>
    <row r="106" spans="1:35" hidden="1">
      <c r="A106" s="13" t="s">
        <v>469</v>
      </c>
      <c r="B106" s="13" t="str">
        <f>_xlfn.XLOOKUP(J106,'Master Data 14-9-2026'!C:C,'Master Data 14-9-2026'!D:D)</f>
        <v>Heri Kusnanto wx1503971</v>
      </c>
      <c r="C106" s="13"/>
      <c r="D106" s="13" t="str">
        <f>_xlfn.XLOOKUP(J106,'Master Data 14-9-2026'!C:C,'Master Data 14-9-2026'!E:E)</f>
        <v>XLSMART</v>
      </c>
      <c r="E106" s="13"/>
      <c r="F106" s="13"/>
      <c r="G106" s="13" t="s">
        <v>22</v>
      </c>
      <c r="H106" s="13" t="str">
        <f>_xlfn.XLOOKUP(J106,'Master Data 14-9-2026'!C:C,'Master Data 14-9-2026'!H:H)</f>
        <v>2026-05-26 - 2026-06-25</v>
      </c>
      <c r="I106" s="13" t="str">
        <f t="shared" si="1"/>
        <v>May</v>
      </c>
      <c r="J106" s="13" t="s">
        <v>1150</v>
      </c>
      <c r="K106" s="13" t="s">
        <v>1004</v>
      </c>
      <c r="L106" s="13" t="s">
        <v>441</v>
      </c>
      <c r="M106" s="15">
        <v>200003134891020</v>
      </c>
      <c r="N106" s="13" t="s">
        <v>924</v>
      </c>
      <c r="O106" s="13">
        <v>1.0912026052800099E+17</v>
      </c>
      <c r="P106" s="13" t="s">
        <v>1134</v>
      </c>
      <c r="Q106" s="18">
        <v>9</v>
      </c>
      <c r="R106" s="18">
        <v>1</v>
      </c>
      <c r="S106" s="13">
        <v>8828132636</v>
      </c>
      <c r="T106" s="13" t="s">
        <v>933</v>
      </c>
      <c r="U106" s="19">
        <v>36992000</v>
      </c>
      <c r="V106" s="18">
        <v>1</v>
      </c>
      <c r="W106" s="18">
        <f>_xlfn.XLOOKUP(J106,'Master Data 14-9-2026'!C:C,'Master Data 14-9-2026'!L:L)</f>
        <v>1.5</v>
      </c>
      <c r="X106" s="23">
        <v>36992000</v>
      </c>
      <c r="Y106" s="13" t="s">
        <v>1135</v>
      </c>
      <c r="Z106" s="24" t="s">
        <v>15</v>
      </c>
      <c r="AA106" s="13"/>
      <c r="AC106" s="4"/>
      <c r="AD106" s="13"/>
      <c r="AE106" s="13" t="str">
        <f>_xlfn.XLOOKUP(L106,'[1]ID PROJECT'!E:E,'[1]ID PROJECT'!F:F)</f>
        <v xml:space="preserve">PRJ-KUT-KPU-TPED-2026-04-00071 </v>
      </c>
      <c r="AF106" s="13"/>
      <c r="AG106" s="13"/>
      <c r="AH106" s="65"/>
      <c r="AI106" s="27"/>
    </row>
    <row r="107" spans="1:35" hidden="1">
      <c r="A107" s="13" t="s">
        <v>498</v>
      </c>
      <c r="B107" s="13" t="str">
        <f>_xlfn.XLOOKUP(J107,'Master Data 14-9-2026'!C:C,'Master Data 14-9-2026'!D:D)</f>
        <v>Julham Hamid wx1507139</v>
      </c>
      <c r="C107" s="13"/>
      <c r="D107" s="13" t="str">
        <f>_xlfn.XLOOKUP(J107,'Master Data 14-9-2026'!C:C,'Master Data 14-9-2026'!E:E)</f>
        <v>XLSMART</v>
      </c>
      <c r="E107" s="13"/>
      <c r="F107" s="13"/>
      <c r="G107" s="13" t="s">
        <v>18</v>
      </c>
      <c r="H107" s="13" t="str">
        <f>_xlfn.XLOOKUP(J107,'Master Data 14-9-2026'!C:C,'Master Data 14-9-2026'!H:H)</f>
        <v>2026-05-01 - 2026-05-31</v>
      </c>
      <c r="I107" s="13" t="str">
        <f t="shared" si="1"/>
        <v>May</v>
      </c>
      <c r="J107" s="13" t="s">
        <v>1151</v>
      </c>
      <c r="K107" s="13" t="s">
        <v>1004</v>
      </c>
      <c r="L107" s="13" t="s">
        <v>500</v>
      </c>
      <c r="M107" s="15">
        <v>200003134858020</v>
      </c>
      <c r="N107" s="13" t="s">
        <v>924</v>
      </c>
      <c r="O107" s="13">
        <v>1.0912026052800099E+17</v>
      </c>
      <c r="P107" s="13" t="s">
        <v>1134</v>
      </c>
      <c r="Q107" s="18">
        <v>10</v>
      </c>
      <c r="R107" s="18">
        <v>1</v>
      </c>
      <c r="S107" s="13">
        <v>8828132636</v>
      </c>
      <c r="T107" s="13" t="s">
        <v>933</v>
      </c>
      <c r="U107" s="19">
        <v>36992000</v>
      </c>
      <c r="V107" s="18">
        <v>1</v>
      </c>
      <c r="W107" s="18">
        <f>_xlfn.XLOOKUP(J107,'Master Data 14-9-2026'!C:C,'Master Data 14-9-2026'!L:L)</f>
        <v>1.2</v>
      </c>
      <c r="X107" s="23">
        <v>36992000</v>
      </c>
      <c r="Y107" s="13" t="s">
        <v>1135</v>
      </c>
      <c r="Z107" s="24" t="s">
        <v>15</v>
      </c>
      <c r="AA107" s="13" t="s">
        <v>934</v>
      </c>
      <c r="AC107" s="4"/>
      <c r="AD107" s="13" t="s">
        <v>935</v>
      </c>
      <c r="AE107" s="13" t="str">
        <f>_xlfn.XLOOKUP(L107,'[1]ID PROJECT'!E:E,'[1]ID PROJECT'!F:F)</f>
        <v>PRJ-KUT-KPU-TPED-2026-04-00080</v>
      </c>
      <c r="AF107" s="13" t="s">
        <v>1141</v>
      </c>
      <c r="AG107" s="13" t="s">
        <v>1142</v>
      </c>
      <c r="AH107" s="65">
        <v>46216</v>
      </c>
      <c r="AI107" s="27" t="s">
        <v>938</v>
      </c>
    </row>
    <row r="108" spans="1:35" hidden="1">
      <c r="A108" s="13" t="s">
        <v>330</v>
      </c>
      <c r="B108" s="13" t="str">
        <f>_xlfn.XLOOKUP(J108,'Master Data 14-9-2026'!C:C,'Master Data 14-9-2026'!D:D)</f>
        <v>Mauli Rizki Amelia wx1504666</v>
      </c>
      <c r="C108" s="13"/>
      <c r="D108" s="13" t="str">
        <f>_xlfn.XLOOKUP(J108,'Master Data 14-9-2026'!C:C,'Master Data 14-9-2026'!E:E)</f>
        <v>XLSMART</v>
      </c>
      <c r="E108" s="13"/>
      <c r="F108" s="13"/>
      <c r="G108" s="13" t="s">
        <v>18</v>
      </c>
      <c r="H108" s="13" t="str">
        <f>_xlfn.XLOOKUP(J108,'Master Data 14-9-2026'!C:C,'Master Data 14-9-2026'!H:H)</f>
        <v>2026-04-26 - 2026-05-25</v>
      </c>
      <c r="I108" s="13" t="str">
        <f t="shared" si="1"/>
        <v>April</v>
      </c>
      <c r="J108" s="13" t="s">
        <v>1152</v>
      </c>
      <c r="K108" s="13" t="s">
        <v>1004</v>
      </c>
      <c r="L108" s="13" t="s">
        <v>950</v>
      </c>
      <c r="M108" s="15">
        <v>200003134833020</v>
      </c>
      <c r="N108" s="13" t="s">
        <v>924</v>
      </c>
      <c r="O108" s="13">
        <v>1.0912026052800099E+17</v>
      </c>
      <c r="P108" s="13" t="s">
        <v>1134</v>
      </c>
      <c r="Q108" s="18">
        <v>11</v>
      </c>
      <c r="R108" s="18">
        <v>1</v>
      </c>
      <c r="S108" s="13">
        <v>8828132633</v>
      </c>
      <c r="T108" s="13" t="s">
        <v>951</v>
      </c>
      <c r="U108" s="19">
        <v>28881900</v>
      </c>
      <c r="V108" s="18">
        <v>1</v>
      </c>
      <c r="W108" s="18">
        <f>_xlfn.XLOOKUP(J108,'Master Data 14-9-2026'!C:C,'Master Data 14-9-2026'!L:L)</f>
        <v>0.5</v>
      </c>
      <c r="X108" s="23">
        <v>28881900</v>
      </c>
      <c r="Y108" s="13" t="s">
        <v>1135</v>
      </c>
      <c r="Z108" s="24" t="s">
        <v>15</v>
      </c>
      <c r="AA108" s="13" t="s">
        <v>934</v>
      </c>
      <c r="AC108" s="4"/>
      <c r="AD108" s="13" t="s">
        <v>935</v>
      </c>
      <c r="AE108" s="13" t="str">
        <f>_xlfn.XLOOKUP(L108,'[1]ID PROJECT'!E:E,'[1]ID PROJECT'!F:F)</f>
        <v>PRJ-KUT-KPU-TPED-2026-04-00078</v>
      </c>
      <c r="AF108" s="13" t="s">
        <v>1141</v>
      </c>
      <c r="AG108" s="13" t="s">
        <v>1142</v>
      </c>
      <c r="AH108" s="65">
        <v>46216</v>
      </c>
      <c r="AI108" s="27" t="s">
        <v>938</v>
      </c>
    </row>
    <row r="109" spans="1:35" hidden="1">
      <c r="A109" s="13" t="s">
        <v>98</v>
      </c>
      <c r="B109" s="13" t="str">
        <f>_xlfn.XLOOKUP(J109,'Master Data 14-9-2026'!C:C,'Master Data 14-9-2026'!D:D)</f>
        <v>Nurmawaty wx1504714</v>
      </c>
      <c r="C109" s="13"/>
      <c r="D109" s="13" t="str">
        <f>_xlfn.XLOOKUP(J109,'Master Data 14-9-2026'!C:C,'Master Data 14-9-2026'!E:E)</f>
        <v>XLSMART</v>
      </c>
      <c r="E109" s="13"/>
      <c r="F109" s="13"/>
      <c r="G109" s="13" t="s">
        <v>22</v>
      </c>
      <c r="H109" s="13" t="str">
        <f>_xlfn.XLOOKUP(J109,'Master Data 14-9-2026'!C:C,'Master Data 14-9-2026'!H:H)</f>
        <v>2026-05-28 - 2026-06-27</v>
      </c>
      <c r="I109" s="13" t="str">
        <f t="shared" si="1"/>
        <v>May</v>
      </c>
      <c r="J109" s="13" t="s">
        <v>1153</v>
      </c>
      <c r="K109" s="13" t="s">
        <v>1004</v>
      </c>
      <c r="L109" s="13" t="s">
        <v>441</v>
      </c>
      <c r="M109" s="15">
        <v>200003134869020</v>
      </c>
      <c r="N109" s="13" t="s">
        <v>924</v>
      </c>
      <c r="O109" s="13">
        <v>1.0912026052800099E+17</v>
      </c>
      <c r="P109" s="13" t="s">
        <v>1134</v>
      </c>
      <c r="Q109" s="18">
        <v>12</v>
      </c>
      <c r="R109" s="18">
        <v>1</v>
      </c>
      <c r="S109" s="13">
        <v>8828132633</v>
      </c>
      <c r="T109" s="13" t="s">
        <v>951</v>
      </c>
      <c r="U109" s="19">
        <v>28881900</v>
      </c>
      <c r="V109" s="18">
        <v>1</v>
      </c>
      <c r="W109" s="18">
        <f>_xlfn.XLOOKUP(J109,'Master Data 14-9-2026'!C:C,'Master Data 14-9-2026'!L:L)</f>
        <v>1.5</v>
      </c>
      <c r="X109" s="23">
        <v>28881900</v>
      </c>
      <c r="Y109" s="13" t="s">
        <v>1135</v>
      </c>
      <c r="Z109" s="24" t="s">
        <v>984</v>
      </c>
      <c r="AA109" s="13"/>
      <c r="AC109" s="4"/>
      <c r="AD109" s="13"/>
      <c r="AE109" s="13" t="str">
        <f>_xlfn.XLOOKUP(L109,'[1]ID PROJECT'!E:E,'[1]ID PROJECT'!F:F)</f>
        <v xml:space="preserve">PRJ-KUT-KPU-TPED-2026-04-00071 </v>
      </c>
      <c r="AF109" s="13"/>
      <c r="AG109" s="13"/>
      <c r="AH109" s="65"/>
      <c r="AI109" s="27"/>
    </row>
    <row r="110" spans="1:35">
      <c r="A110" s="13" t="s">
        <v>419</v>
      </c>
      <c r="B110" s="13" t="str">
        <f>_xlfn.XLOOKUP(J110,'Master Data 14-9-2026'!C:C,'Master Data 14-9-2026'!D:D)</f>
        <v>Didit Irawan wx1504645</v>
      </c>
      <c r="C110" s="13"/>
      <c r="D110" s="13" t="str">
        <f>_xlfn.XLOOKUP(J110,'Master Data 14-9-2026'!C:C,'Master Data 14-9-2026'!E:E)</f>
        <v>XLSMART</v>
      </c>
      <c r="E110" s="13"/>
      <c r="F110" s="13"/>
      <c r="G110" s="13" t="s">
        <v>22</v>
      </c>
      <c r="H110" s="13" t="str">
        <f>_xlfn.XLOOKUP(J110,'Master Data 14-9-2026'!C:C,'Master Data 14-9-2026'!H:H)</f>
        <v>2026-05-30 - 2026-06-29</v>
      </c>
      <c r="I110" s="13" t="str">
        <f t="shared" si="1"/>
        <v>May</v>
      </c>
      <c r="J110" s="13" t="s">
        <v>1154</v>
      </c>
      <c r="K110" s="13" t="s">
        <v>1004</v>
      </c>
      <c r="L110" s="13" t="s">
        <v>441</v>
      </c>
      <c r="M110" s="15">
        <v>200003134870020</v>
      </c>
      <c r="N110" s="13" t="s">
        <v>924</v>
      </c>
      <c r="O110" s="13">
        <v>1.0912026052800099E+17</v>
      </c>
      <c r="P110" s="13" t="s">
        <v>1134</v>
      </c>
      <c r="Q110" s="18">
        <v>13</v>
      </c>
      <c r="R110" s="18">
        <v>1</v>
      </c>
      <c r="S110" s="13">
        <v>8828132633</v>
      </c>
      <c r="T110" s="13" t="s">
        <v>951</v>
      </c>
      <c r="U110" s="19">
        <v>28881900</v>
      </c>
      <c r="V110" s="18">
        <v>1</v>
      </c>
      <c r="W110" s="18">
        <f>_xlfn.XLOOKUP(J110,'Master Data 14-9-2026'!C:C,'Master Data 14-9-2026'!L:L)</f>
        <v>1</v>
      </c>
      <c r="X110" s="23">
        <v>28881900</v>
      </c>
      <c r="Y110" s="13" t="s">
        <v>1135</v>
      </c>
      <c r="Z110" s="24" t="str">
        <f>_xlfn.XLOOKUP(J110,'Master Data 14-9-2026'!C:C,'Master Data 14-9-2026'!I:I)</f>
        <v>Ended</v>
      </c>
      <c r="AA110" s="13" t="s">
        <v>934</v>
      </c>
      <c r="AC110" s="4"/>
      <c r="AD110" s="13" t="s">
        <v>935</v>
      </c>
      <c r="AE110" s="13" t="str">
        <f>_xlfn.XLOOKUP(L110,'[1]ID PROJECT'!E:E,'[1]ID PROJECT'!F:F)</f>
        <v xml:space="preserve">PRJ-KUT-KPU-TPED-2026-04-00071 </v>
      </c>
      <c r="AF110" s="4" t="s">
        <v>1155</v>
      </c>
      <c r="AG110" s="40" t="s">
        <v>3392</v>
      </c>
      <c r="AH110" s="65">
        <v>46267</v>
      </c>
      <c r="AI110" s="27" t="s">
        <v>967</v>
      </c>
    </row>
    <row r="111" spans="1:35">
      <c r="A111" s="13" t="s">
        <v>185</v>
      </c>
      <c r="B111" s="13" t="str">
        <f>_xlfn.XLOOKUP(J111,'Master Data 14-9-2026'!C:C,'Master Data 14-9-2026'!D:D)</f>
        <v>Ika Setianingsih wx1507364</v>
      </c>
      <c r="C111" s="13"/>
      <c r="D111" s="13" t="str">
        <f>_xlfn.XLOOKUP(J111,'Master Data 14-9-2026'!C:C,'Master Data 14-9-2026'!E:E)</f>
        <v>XLSMART</v>
      </c>
      <c r="E111" s="13"/>
      <c r="F111" s="13"/>
      <c r="G111" s="13" t="s">
        <v>22</v>
      </c>
      <c r="H111" s="13" t="str">
        <f>_xlfn.XLOOKUP(J111,'Master Data 14-9-2026'!C:C,'Master Data 14-9-2026'!H:H)</f>
        <v>2026-06-01 - 2026-06-30</v>
      </c>
      <c r="I111" s="13" t="str">
        <f t="shared" si="1"/>
        <v>June</v>
      </c>
      <c r="J111" s="13" t="s">
        <v>1156</v>
      </c>
      <c r="K111" s="13" t="s">
        <v>1004</v>
      </c>
      <c r="L111" s="13" t="s">
        <v>441</v>
      </c>
      <c r="M111" s="15">
        <v>200003134871020</v>
      </c>
      <c r="N111" s="13" t="s">
        <v>924</v>
      </c>
      <c r="O111" s="13">
        <v>1.0912026052800099E+17</v>
      </c>
      <c r="P111" s="13" t="s">
        <v>1134</v>
      </c>
      <c r="Q111" s="18">
        <v>14</v>
      </c>
      <c r="R111" s="18">
        <v>1</v>
      </c>
      <c r="S111" s="13">
        <v>8828132633</v>
      </c>
      <c r="T111" s="13" t="s">
        <v>951</v>
      </c>
      <c r="U111" s="19">
        <v>28881900</v>
      </c>
      <c r="V111" s="18">
        <v>1</v>
      </c>
      <c r="W111" s="18">
        <f>_xlfn.XLOOKUP(J111,'Master Data 14-9-2026'!C:C,'Master Data 14-9-2026'!L:L)</f>
        <v>1</v>
      </c>
      <c r="X111" s="23">
        <v>28881900</v>
      </c>
      <c r="Y111" s="13" t="s">
        <v>1135</v>
      </c>
      <c r="Z111" s="24" t="str">
        <f>_xlfn.XLOOKUP(J111,'Master Data 14-9-2026'!C:C,'Master Data 14-9-2026'!I:I)</f>
        <v>Ended</v>
      </c>
      <c r="AA111" s="13" t="s">
        <v>934</v>
      </c>
      <c r="AC111" s="4"/>
      <c r="AD111" s="13" t="s">
        <v>935</v>
      </c>
      <c r="AE111" s="13" t="str">
        <f>_xlfn.XLOOKUP(L111,'[1]ID PROJECT'!E:E,'[1]ID PROJECT'!F:F)</f>
        <v xml:space="preserve">PRJ-KUT-KPU-TPED-2026-04-00071 </v>
      </c>
      <c r="AF111" s="4" t="s">
        <v>1155</v>
      </c>
      <c r="AG111" s="40" t="s">
        <v>3392</v>
      </c>
      <c r="AH111" s="65">
        <v>46267</v>
      </c>
      <c r="AI111" s="27" t="s">
        <v>967</v>
      </c>
    </row>
    <row r="112" spans="1:35" hidden="1">
      <c r="A112" s="13" t="s">
        <v>390</v>
      </c>
      <c r="B112" s="13" t="str">
        <f>_xlfn.XLOOKUP(J112,'Master Data 14-9-2026'!C:C,'Master Data 14-9-2026'!D:D)</f>
        <v>Ajeng Meylani wx1521189</v>
      </c>
      <c r="C112" s="13"/>
      <c r="D112" s="13" t="str">
        <f>_xlfn.XLOOKUP(J112,'Master Data 14-9-2026'!C:C,'Master Data 14-9-2026'!E:E)</f>
        <v>XLSMART</v>
      </c>
      <c r="E112" s="13"/>
      <c r="F112" s="13"/>
      <c r="G112" s="13" t="s">
        <v>22</v>
      </c>
      <c r="H112" s="13" t="str">
        <f>_xlfn.XLOOKUP(J112,'Master Data 14-9-2026'!C:C,'Master Data 14-9-2026'!H:H)</f>
        <v>2026-07-20 - 2026-08-19</v>
      </c>
      <c r="I112" s="13" t="str">
        <f t="shared" si="1"/>
        <v>July</v>
      </c>
      <c r="J112" s="13" t="s">
        <v>1157</v>
      </c>
      <c r="K112" s="13" t="s">
        <v>1004</v>
      </c>
      <c r="L112" s="13" t="s">
        <v>441</v>
      </c>
      <c r="M112" s="15">
        <v>200003134876020</v>
      </c>
      <c r="N112" s="13" t="s">
        <v>924</v>
      </c>
      <c r="O112" s="13">
        <v>1.0912026052800099E+17</v>
      </c>
      <c r="P112" s="13" t="s">
        <v>1134</v>
      </c>
      <c r="Q112" s="18">
        <v>15</v>
      </c>
      <c r="R112" s="18">
        <v>1</v>
      </c>
      <c r="S112" s="13">
        <v>8828132633</v>
      </c>
      <c r="T112" s="13" t="s">
        <v>951</v>
      </c>
      <c r="U112" s="19">
        <v>28881900</v>
      </c>
      <c r="V112" s="18">
        <v>1</v>
      </c>
      <c r="W112" s="18">
        <f>_xlfn.XLOOKUP(J112,'Master Data 14-9-2026'!C:C,'Master Data 14-9-2026'!L:L)</f>
        <v>1.04</v>
      </c>
      <c r="X112" s="23">
        <v>28881900</v>
      </c>
      <c r="Y112" s="13" t="s">
        <v>1135</v>
      </c>
      <c r="Z112" s="24" t="s">
        <v>984</v>
      </c>
      <c r="AA112" s="13"/>
      <c r="AC112" s="4"/>
      <c r="AD112" s="13"/>
      <c r="AE112" s="13" t="str">
        <f>_xlfn.XLOOKUP(L112,'[1]ID PROJECT'!E:E,'[1]ID PROJECT'!F:F)</f>
        <v xml:space="preserve">PRJ-KUT-KPU-TPED-2026-04-00071 </v>
      </c>
      <c r="AF112" s="13"/>
      <c r="AG112" s="13"/>
      <c r="AH112" s="65"/>
      <c r="AI112" s="27"/>
    </row>
    <row r="113" spans="1:35" hidden="1">
      <c r="A113" s="13" t="s">
        <v>469</v>
      </c>
      <c r="B113" s="13" t="str">
        <f>_xlfn.XLOOKUP(J113,'Master Data 14-9-2026'!C:C,'Master Data 14-9-2026'!D:D)</f>
        <v>Heri Kusnanto wx1503971</v>
      </c>
      <c r="C113" s="13"/>
      <c r="D113" s="13" t="str">
        <f>_xlfn.XLOOKUP(J113,'Master Data 14-9-2026'!C:C,'Master Data 14-9-2026'!E:E)</f>
        <v>XLSMART</v>
      </c>
      <c r="E113" s="13"/>
      <c r="F113" s="13"/>
      <c r="G113" s="13" t="s">
        <v>18</v>
      </c>
      <c r="H113" s="13" t="str">
        <f>_xlfn.XLOOKUP(J113,'Master Data 14-9-2026'!C:C,'Master Data 14-9-2026'!H:H)</f>
        <v>2026-04-26 - 2026-05-25</v>
      </c>
      <c r="I113" s="13" t="str">
        <f t="shared" si="1"/>
        <v>April</v>
      </c>
      <c r="J113" s="13" t="s">
        <v>1158</v>
      </c>
      <c r="K113" s="13" t="s">
        <v>1004</v>
      </c>
      <c r="L113" s="13" t="s">
        <v>441</v>
      </c>
      <c r="M113" s="15">
        <v>200003134856020</v>
      </c>
      <c r="N113" s="13" t="s">
        <v>924</v>
      </c>
      <c r="O113" s="13">
        <v>1.0912026052800099E+17</v>
      </c>
      <c r="P113" s="13" t="s">
        <v>1134</v>
      </c>
      <c r="Q113" s="18">
        <v>16</v>
      </c>
      <c r="R113" s="18">
        <v>1</v>
      </c>
      <c r="S113" s="13">
        <v>8828132636</v>
      </c>
      <c r="T113" s="13" t="s">
        <v>933</v>
      </c>
      <c r="U113" s="19">
        <v>36992000</v>
      </c>
      <c r="V113" s="18">
        <v>1</v>
      </c>
      <c r="W113" s="18">
        <f>_xlfn.XLOOKUP(J113,'Master Data 14-9-2026'!C:C,'Master Data 14-9-2026'!L:L)</f>
        <v>1.5</v>
      </c>
      <c r="X113" s="23">
        <v>36992000</v>
      </c>
      <c r="Y113" s="13" t="s">
        <v>1135</v>
      </c>
      <c r="Z113" s="24" t="s">
        <v>15</v>
      </c>
      <c r="AA113" s="13" t="s">
        <v>934</v>
      </c>
      <c r="AC113" s="4"/>
      <c r="AD113" s="13" t="s">
        <v>935</v>
      </c>
      <c r="AE113" s="13" t="str">
        <f>_xlfn.XLOOKUP(L113,'[1]ID PROJECT'!E:E,'[1]ID PROJECT'!F:F)</f>
        <v xml:space="preserve">PRJ-KUT-KPU-TPED-2026-04-00071 </v>
      </c>
      <c r="AF113" s="13" t="s">
        <v>1141</v>
      </c>
      <c r="AG113" s="13" t="s">
        <v>1142</v>
      </c>
      <c r="AH113" s="65">
        <v>46216</v>
      </c>
      <c r="AI113" s="27" t="s">
        <v>938</v>
      </c>
    </row>
    <row r="114" spans="1:35">
      <c r="A114" s="13" t="s">
        <v>856</v>
      </c>
      <c r="B114" s="13" t="str">
        <f>_xlfn.XLOOKUP(J114,'Master Data 14-9-2026'!C:C,'Master Data 14-9-2026'!D:D)</f>
        <v>Rizqy Ramadhan Pramono wx1503632</v>
      </c>
      <c r="C114" s="13"/>
      <c r="D114" s="13" t="str">
        <f>_xlfn.XLOOKUP(J114,'Master Data 14-9-2026'!C:C,'Master Data 14-9-2026'!E:E)</f>
        <v>XLSMART</v>
      </c>
      <c r="E114" s="13"/>
      <c r="F114" s="13"/>
      <c r="G114" s="13" t="s">
        <v>22</v>
      </c>
      <c r="H114" s="13" t="str">
        <f>_xlfn.XLOOKUP(J114,'Master Data 14-9-2026'!C:C,'Master Data 14-9-2026'!H:H)</f>
        <v>2026-05-23 - 2026-06-22</v>
      </c>
      <c r="I114" s="13" t="str">
        <f t="shared" si="1"/>
        <v>May</v>
      </c>
      <c r="J114" s="13" t="s">
        <v>1159</v>
      </c>
      <c r="K114" s="13" t="s">
        <v>1004</v>
      </c>
      <c r="L114" s="13" t="s">
        <v>461</v>
      </c>
      <c r="M114" s="15">
        <v>200003134877020</v>
      </c>
      <c r="N114" s="13" t="s">
        <v>924</v>
      </c>
      <c r="O114" s="13">
        <v>1.0912026052800099E+17</v>
      </c>
      <c r="P114" s="13" t="s">
        <v>1134</v>
      </c>
      <c r="Q114" s="18">
        <v>17</v>
      </c>
      <c r="R114" s="18">
        <v>1</v>
      </c>
      <c r="S114" s="13">
        <v>8828132635</v>
      </c>
      <c r="T114" s="13" t="s">
        <v>926</v>
      </c>
      <c r="U114" s="19">
        <v>34220600</v>
      </c>
      <c r="V114" s="18">
        <v>1</v>
      </c>
      <c r="W114" s="18">
        <f>_xlfn.XLOOKUP(J114,'Master Data 14-9-2026'!C:C,'Master Data 14-9-2026'!L:L)</f>
        <v>1</v>
      </c>
      <c r="X114" s="23">
        <v>34220600</v>
      </c>
      <c r="Y114" s="13" t="s">
        <v>1135</v>
      </c>
      <c r="Z114" s="24" t="str">
        <f>_xlfn.XLOOKUP(J114,'Master Data 14-9-2026'!C:C,'Master Data 14-9-2026'!I:I)</f>
        <v>Ended</v>
      </c>
      <c r="AA114" s="40" t="s">
        <v>934</v>
      </c>
      <c r="AC114" s="4"/>
      <c r="AD114" s="40" t="s">
        <v>935</v>
      </c>
      <c r="AE114" s="13" t="str">
        <f>_xlfn.XLOOKUP(L114,'[1]ID PROJECT'!E:E,'[1]ID PROJECT'!F:F)</f>
        <v>PRJ-KUT-KPU-TPED-2026-04-00078</v>
      </c>
      <c r="AF114" s="39" t="s">
        <v>4163</v>
      </c>
      <c r="AG114" s="13" t="s">
        <v>4195</v>
      </c>
      <c r="AH114" s="65">
        <v>46286</v>
      </c>
      <c r="AI114" s="41" t="s">
        <v>967</v>
      </c>
    </row>
    <row r="115" spans="1:35" hidden="1">
      <c r="A115" s="13" t="s">
        <v>790</v>
      </c>
      <c r="B115" s="13" t="str">
        <f>_xlfn.XLOOKUP(J115,'Master Data 14-9-2026'!C:C,'Master Data 14-9-2026'!D:D)</f>
        <v>Prawira Satria Yodhipati wx1507286</v>
      </c>
      <c r="C115" s="13"/>
      <c r="D115" s="13" t="str">
        <f>_xlfn.XLOOKUP(J115,'Master Data 14-9-2026'!C:C,'Master Data 14-9-2026'!E:E)</f>
        <v>XLSMART</v>
      </c>
      <c r="E115" s="13"/>
      <c r="F115" s="13"/>
      <c r="G115" s="13" t="s">
        <v>13</v>
      </c>
      <c r="H115" s="13" t="str">
        <f>_xlfn.XLOOKUP(J115,'Master Data 14-9-2026'!C:C,'Master Data 14-9-2026'!H:H)</f>
        <v>2026-04-01 - 2026-04-30</v>
      </c>
      <c r="I115" s="13" t="str">
        <f t="shared" si="1"/>
        <v>April</v>
      </c>
      <c r="J115" s="13" t="s">
        <v>1160</v>
      </c>
      <c r="K115" s="13" t="s">
        <v>1004</v>
      </c>
      <c r="L115" s="13" t="s">
        <v>475</v>
      </c>
      <c r="M115" s="15">
        <v>200003134830020</v>
      </c>
      <c r="N115" s="13" t="s">
        <v>924</v>
      </c>
      <c r="O115" s="13">
        <v>1.0912026052800099E+17</v>
      </c>
      <c r="P115" s="13" t="s">
        <v>1134</v>
      </c>
      <c r="Q115" s="18">
        <v>18</v>
      </c>
      <c r="R115" s="18">
        <v>1</v>
      </c>
      <c r="S115" s="13">
        <v>8828132635</v>
      </c>
      <c r="T115" s="13" t="s">
        <v>926</v>
      </c>
      <c r="U115" s="19">
        <v>34220600</v>
      </c>
      <c r="V115" s="18">
        <v>1</v>
      </c>
      <c r="W115" s="18">
        <f>_xlfn.XLOOKUP(J115,'Master Data 14-9-2026'!C:C,'Master Data 14-9-2026'!L:L)</f>
        <v>1</v>
      </c>
      <c r="X115" s="23">
        <v>34220600</v>
      </c>
      <c r="Y115" s="13" t="s">
        <v>1135</v>
      </c>
      <c r="Z115" s="24" t="str">
        <f>_xlfn.XLOOKUP(J115,'Master Data 14-9-2026'!C:C,'Master Data 14-9-2026'!I:I)</f>
        <v>Ended</v>
      </c>
      <c r="AA115" s="13" t="s">
        <v>934</v>
      </c>
      <c r="AC115" s="4"/>
      <c r="AD115" s="13" t="s">
        <v>935</v>
      </c>
      <c r="AE115" s="13" t="str">
        <f>_xlfn.XLOOKUP(L115,'[1]ID PROJECT'!E:E,'[1]ID PROJECT'!F:F)</f>
        <v>PRJ-KUT-KPU-TPED-2026-04-00074</v>
      </c>
      <c r="AF115" s="13" t="s">
        <v>1161</v>
      </c>
      <c r="AG115" s="13" t="s">
        <v>1162</v>
      </c>
      <c r="AH115" s="65">
        <v>46198</v>
      </c>
      <c r="AI115" s="27" t="s">
        <v>945</v>
      </c>
    </row>
    <row r="116" spans="1:35" hidden="1">
      <c r="A116" s="13" t="s">
        <v>433</v>
      </c>
      <c r="B116" s="13" t="str">
        <f>_xlfn.XLOOKUP(J116,'Master Data 14-9-2026'!C:C,'Master Data 14-9-2026'!D:D)</f>
        <v>Cahyo Suryo Bhuwono Winarso wx1507283</v>
      </c>
      <c r="C116" s="13"/>
      <c r="D116" s="13" t="str">
        <f>_xlfn.XLOOKUP(J116,'Master Data 14-9-2026'!C:C,'Master Data 14-9-2026'!E:E)</f>
        <v>XLSMART</v>
      </c>
      <c r="E116" s="13"/>
      <c r="F116" s="13"/>
      <c r="G116" s="13" t="s">
        <v>1144</v>
      </c>
      <c r="H116" s="13" t="str">
        <f>_xlfn.XLOOKUP(J116,'Master Data 14-9-2026'!C:C,'Master Data 14-9-2026'!H:H)</f>
        <v>2026-05-01 - 2026-05-31</v>
      </c>
      <c r="I116" s="13" t="str">
        <f t="shared" si="1"/>
        <v>May</v>
      </c>
      <c r="J116" s="13" t="s">
        <v>1163</v>
      </c>
      <c r="K116" s="13" t="s">
        <v>1004</v>
      </c>
      <c r="L116" s="13" t="s">
        <v>475</v>
      </c>
      <c r="M116" s="15">
        <v>200003134839020</v>
      </c>
      <c r="N116" s="13" t="s">
        <v>924</v>
      </c>
      <c r="O116" s="13">
        <v>1.0912026052800099E+17</v>
      </c>
      <c r="P116" s="13" t="s">
        <v>1134</v>
      </c>
      <c r="Q116" s="18">
        <v>19</v>
      </c>
      <c r="R116" s="18">
        <v>1</v>
      </c>
      <c r="S116" s="13">
        <v>8828132633</v>
      </c>
      <c r="T116" s="13" t="s">
        <v>951</v>
      </c>
      <c r="U116" s="19">
        <v>28881900</v>
      </c>
      <c r="V116" s="18">
        <v>1</v>
      </c>
      <c r="W116" s="18">
        <f>_xlfn.XLOOKUP(J116,'Master Data 14-9-2026'!C:C,'Master Data 14-9-2026'!L:L)</f>
        <v>0</v>
      </c>
      <c r="X116" s="23">
        <v>28881900</v>
      </c>
      <c r="Y116" s="13" t="s">
        <v>1135</v>
      </c>
      <c r="Z116" s="24" t="s">
        <v>15</v>
      </c>
      <c r="AA116" s="13" t="s">
        <v>934</v>
      </c>
      <c r="AC116" s="4"/>
      <c r="AD116" s="13" t="s">
        <v>935</v>
      </c>
      <c r="AE116" s="13" t="str">
        <f>_xlfn.XLOOKUP(L116,'[1]ID PROJECT'!E:E,'[1]ID PROJECT'!F:F)</f>
        <v>PRJ-KUT-KPU-TPED-2026-04-00074</v>
      </c>
      <c r="AF116" s="13" t="s">
        <v>1141</v>
      </c>
      <c r="AG116" s="13" t="s">
        <v>1142</v>
      </c>
      <c r="AH116" s="65">
        <v>46216</v>
      </c>
      <c r="AI116" s="27" t="s">
        <v>938</v>
      </c>
    </row>
    <row r="117" spans="1:35" hidden="1">
      <c r="A117" s="13" t="s">
        <v>728</v>
      </c>
      <c r="B117" s="13" t="str">
        <f>_xlfn.XLOOKUP(J117,'Master Data 14-9-2026'!C:C,'Master Data 14-9-2026'!D:D)</f>
        <v>Qudsiyah Zahra Ilham Naseela wx1507281</v>
      </c>
      <c r="C117" s="13"/>
      <c r="D117" s="13" t="str">
        <f>_xlfn.XLOOKUP(J117,'Master Data 14-9-2026'!C:C,'Master Data 14-9-2026'!E:E)</f>
        <v>XLSMART</v>
      </c>
      <c r="E117" s="13"/>
      <c r="F117" s="13"/>
      <c r="G117" s="13" t="s">
        <v>18</v>
      </c>
      <c r="H117" s="13" t="str">
        <f>_xlfn.XLOOKUP(J117,'Master Data 14-9-2026'!C:C,'Master Data 14-9-2026'!H:H)</f>
        <v>2026-05-01 - 2026-05-31</v>
      </c>
      <c r="I117" s="13" t="str">
        <f t="shared" si="1"/>
        <v>May</v>
      </c>
      <c r="J117" s="13" t="s">
        <v>1164</v>
      </c>
      <c r="K117" s="13" t="s">
        <v>1004</v>
      </c>
      <c r="L117" s="13" t="s">
        <v>441</v>
      </c>
      <c r="M117" s="15">
        <v>200003134848020</v>
      </c>
      <c r="N117" s="13" t="s">
        <v>924</v>
      </c>
      <c r="O117" s="13">
        <v>1.0912026052800099E+17</v>
      </c>
      <c r="P117" s="13" t="s">
        <v>1134</v>
      </c>
      <c r="Q117" s="18">
        <v>20</v>
      </c>
      <c r="R117" s="18">
        <v>1</v>
      </c>
      <c r="S117" s="13">
        <v>8828132635</v>
      </c>
      <c r="T117" s="13" t="s">
        <v>926</v>
      </c>
      <c r="U117" s="19">
        <v>34220600</v>
      </c>
      <c r="V117" s="18">
        <v>1</v>
      </c>
      <c r="W117" s="18">
        <f>_xlfn.XLOOKUP(J117,'Master Data 14-9-2026'!C:C,'Master Data 14-9-2026'!L:L)</f>
        <v>0.94</v>
      </c>
      <c r="X117" s="23">
        <v>34220600</v>
      </c>
      <c r="Y117" s="13" t="s">
        <v>1135</v>
      </c>
      <c r="Z117" s="24" t="s">
        <v>15</v>
      </c>
      <c r="AA117" s="13" t="s">
        <v>934</v>
      </c>
      <c r="AC117" s="4"/>
      <c r="AD117" s="13" t="s">
        <v>935</v>
      </c>
      <c r="AE117" s="13" t="str">
        <f>_xlfn.XLOOKUP(L117,'[1]ID PROJECT'!E:E,'[1]ID PROJECT'!F:F)</f>
        <v xml:space="preserve">PRJ-KUT-KPU-TPED-2026-04-00071 </v>
      </c>
      <c r="AF117" s="13" t="s">
        <v>1141</v>
      </c>
      <c r="AG117" s="13" t="s">
        <v>1142</v>
      </c>
      <c r="AH117" s="65">
        <v>46216</v>
      </c>
      <c r="AI117" s="27" t="s">
        <v>938</v>
      </c>
    </row>
    <row r="118" spans="1:35">
      <c r="A118" s="13" t="s">
        <v>145</v>
      </c>
      <c r="B118" s="13" t="str">
        <f>_xlfn.XLOOKUP(J118,'Master Data 14-9-2026'!C:C,'Master Data 14-9-2026'!D:D)</f>
        <v>Gema Marhayen wx1506940</v>
      </c>
      <c r="C118" s="13"/>
      <c r="D118" s="13" t="str">
        <f>_xlfn.XLOOKUP(J118,'Master Data 14-9-2026'!C:C,'Master Data 14-9-2026'!E:E)</f>
        <v>XLSMART</v>
      </c>
      <c r="E118" s="13" t="s">
        <v>1165</v>
      </c>
      <c r="F118" s="13"/>
      <c r="G118" s="13" t="s">
        <v>18</v>
      </c>
      <c r="H118" s="13" t="str">
        <f>_xlfn.XLOOKUP(J118,'Master Data 14-9-2026'!C:C,'Master Data 14-9-2026'!H:H)</f>
        <v>2026-05-01 - 2026-05-31</v>
      </c>
      <c r="I118" s="13" t="str">
        <f t="shared" si="1"/>
        <v>May</v>
      </c>
      <c r="J118" s="13" t="s">
        <v>1166</v>
      </c>
      <c r="K118" s="13" t="s">
        <v>1004</v>
      </c>
      <c r="L118" s="13" t="s">
        <v>441</v>
      </c>
      <c r="M118" s="15">
        <v>200003134840020</v>
      </c>
      <c r="N118" s="13" t="s">
        <v>924</v>
      </c>
      <c r="O118" s="13">
        <v>1.0912026052800099E+17</v>
      </c>
      <c r="P118" s="13" t="s">
        <v>1134</v>
      </c>
      <c r="Q118" s="18">
        <v>21</v>
      </c>
      <c r="R118" s="18">
        <v>1</v>
      </c>
      <c r="S118" s="13">
        <v>8828132633</v>
      </c>
      <c r="T118" s="13" t="s">
        <v>951</v>
      </c>
      <c r="U118" s="19">
        <v>28881900</v>
      </c>
      <c r="V118" s="18">
        <v>1</v>
      </c>
      <c r="W118" s="18">
        <f>_xlfn.XLOOKUP(J118,'Master Data 14-9-2026'!C:C,'Master Data 14-9-2026'!L:L)</f>
        <v>1</v>
      </c>
      <c r="X118" s="23">
        <v>28881900</v>
      </c>
      <c r="Y118" s="13" t="s">
        <v>1135</v>
      </c>
      <c r="Z118" s="24" t="str">
        <f>_xlfn.XLOOKUP(J118,'Master Data 14-9-2026'!C:C,'Master Data 14-9-2026'!I:I)</f>
        <v>Ended</v>
      </c>
      <c r="AA118" s="4" t="s">
        <v>934</v>
      </c>
      <c r="AB118" s="13"/>
      <c r="AC118" s="13" t="s">
        <v>965</v>
      </c>
      <c r="AD118" s="13" t="s">
        <v>935</v>
      </c>
      <c r="AE118" s="13" t="str">
        <f>_xlfn.XLOOKUP(L118,'[1]ID PROJECT'!E:E,'[1]ID PROJECT'!F:F)</f>
        <v xml:space="preserve">PRJ-KUT-KPU-TPED-2026-04-00071 </v>
      </c>
      <c r="AF118" s="4" t="s">
        <v>1155</v>
      </c>
      <c r="AG118" s="40" t="s">
        <v>3392</v>
      </c>
      <c r="AH118" s="65">
        <v>46267</v>
      </c>
      <c r="AI118" s="27" t="s">
        <v>967</v>
      </c>
    </row>
    <row r="119" spans="1:35" hidden="1">
      <c r="A119" s="13" t="s">
        <v>577</v>
      </c>
      <c r="B119" s="13" t="str">
        <f>_xlfn.XLOOKUP(J119,'Master Data 14-9-2026'!C:C,'Master Data 14-9-2026'!D:D)</f>
        <v>Ferry Anggriawan wx1503648</v>
      </c>
      <c r="C119" s="13"/>
      <c r="D119" s="13" t="str">
        <f>_xlfn.XLOOKUP(J119,'Master Data 14-9-2026'!C:C,'Master Data 14-9-2026'!E:E)</f>
        <v>XLSMART</v>
      </c>
      <c r="E119" s="13"/>
      <c r="F119" s="13"/>
      <c r="G119" s="13" t="s">
        <v>18</v>
      </c>
      <c r="H119" s="13" t="str">
        <f>_xlfn.XLOOKUP(J119,'Master Data 14-9-2026'!C:C,'Master Data 14-9-2026'!H:H)</f>
        <v>2026-04-30 - 2026-05-30</v>
      </c>
      <c r="I119" s="13" t="str">
        <f t="shared" si="1"/>
        <v>April</v>
      </c>
      <c r="J119" s="13" t="s">
        <v>1167</v>
      </c>
      <c r="K119" s="13" t="s">
        <v>1004</v>
      </c>
      <c r="L119" s="13" t="s">
        <v>520</v>
      </c>
      <c r="M119" s="15">
        <v>200003134864020</v>
      </c>
      <c r="N119" s="13" t="s">
        <v>924</v>
      </c>
      <c r="O119" s="13">
        <v>1.0912026052800099E+17</v>
      </c>
      <c r="P119" s="13" t="s">
        <v>1134</v>
      </c>
      <c r="Q119" s="18">
        <v>22</v>
      </c>
      <c r="R119" s="18">
        <v>1</v>
      </c>
      <c r="S119" s="13">
        <v>8828132634</v>
      </c>
      <c r="T119" s="13" t="s">
        <v>978</v>
      </c>
      <c r="U119" s="19">
        <v>32542400</v>
      </c>
      <c r="V119" s="18">
        <v>1</v>
      </c>
      <c r="W119" s="18">
        <f>_xlfn.XLOOKUP(J119,'Master Data 14-9-2026'!C:C,'Master Data 14-9-2026'!L:L)</f>
        <v>0</v>
      </c>
      <c r="X119" s="23">
        <v>32542400</v>
      </c>
      <c r="Y119" s="13" t="s">
        <v>1135</v>
      </c>
      <c r="Z119" s="24" t="s">
        <v>15</v>
      </c>
      <c r="AA119" s="28" t="s">
        <v>934</v>
      </c>
      <c r="AC119" s="4"/>
      <c r="AD119" s="13" t="s">
        <v>935</v>
      </c>
      <c r="AE119" s="13" t="str">
        <f>_xlfn.XLOOKUP(L119,'[1]ID PROJECT'!E:E,'[1]ID PROJECT'!F:F)</f>
        <v>PRJ-KUT-KPU-TPED-2026-04-00077</v>
      </c>
      <c r="AF119" s="13" t="s">
        <v>1141</v>
      </c>
      <c r="AG119" s="13" t="s">
        <v>1142</v>
      </c>
      <c r="AH119" s="65">
        <v>46216</v>
      </c>
      <c r="AI119" s="27" t="s">
        <v>938</v>
      </c>
    </row>
    <row r="120" spans="1:35" hidden="1">
      <c r="A120" s="13" t="s">
        <v>390</v>
      </c>
      <c r="B120" s="13" t="str">
        <f>_xlfn.XLOOKUP(J120,'Master Data 14-9-2026'!C:C,'Master Data 14-9-2026'!D:D)</f>
        <v>Ajeng Meylani wx1521189</v>
      </c>
      <c r="C120" s="13"/>
      <c r="D120" s="13" t="str">
        <f>_xlfn.XLOOKUP(J120,'Master Data 14-9-2026'!C:C,'Master Data 14-9-2026'!E:E)</f>
        <v>XLSMART</v>
      </c>
      <c r="E120" s="13"/>
      <c r="F120" s="13"/>
      <c r="G120" s="13" t="s">
        <v>18</v>
      </c>
      <c r="H120" s="13" t="str">
        <f>_xlfn.XLOOKUP(J120,'Master Data 14-9-2026'!C:C,'Master Data 14-9-2026'!H:H)</f>
        <v>2026-06-20 - 2026-07-19</v>
      </c>
      <c r="I120" s="13" t="str">
        <f t="shared" si="1"/>
        <v>June</v>
      </c>
      <c r="J120" s="13" t="s">
        <v>1168</v>
      </c>
      <c r="K120" s="13" t="s">
        <v>1004</v>
      </c>
      <c r="L120" s="13" t="s">
        <v>441</v>
      </c>
      <c r="M120" s="15">
        <v>200003134841020</v>
      </c>
      <c r="N120" s="13" t="s">
        <v>924</v>
      </c>
      <c r="O120" s="13">
        <v>1.0912026052800099E+17</v>
      </c>
      <c r="P120" s="13" t="s">
        <v>1134</v>
      </c>
      <c r="Q120" s="18">
        <v>23</v>
      </c>
      <c r="R120" s="18">
        <v>1</v>
      </c>
      <c r="S120" s="13">
        <v>8828132633</v>
      </c>
      <c r="T120" s="13" t="s">
        <v>951</v>
      </c>
      <c r="U120" s="19">
        <v>28881900</v>
      </c>
      <c r="V120" s="18">
        <v>1</v>
      </c>
      <c r="W120" s="18">
        <f>_xlfn.XLOOKUP(J120,'Master Data 14-9-2026'!C:C,'Master Data 14-9-2026'!L:L)</f>
        <v>1.0900000000000001</v>
      </c>
      <c r="X120" s="23">
        <v>28881900</v>
      </c>
      <c r="Y120" s="13" t="s">
        <v>1135</v>
      </c>
      <c r="Z120" s="24" t="str">
        <f>_xlfn.XLOOKUP(J120,'Master Data 14-9-2026'!C:C,'Master Data 14-9-2026'!I:I)</f>
        <v>Ended</v>
      </c>
      <c r="AA120" s="13"/>
      <c r="AB120" s="39" t="s">
        <v>1035</v>
      </c>
      <c r="AC120" s="4" t="s">
        <v>1113</v>
      </c>
      <c r="AD120" s="13"/>
      <c r="AE120" s="13" t="str">
        <f>_xlfn.XLOOKUP(L120,'[1]ID PROJECT'!E:E,'[1]ID PROJECT'!F:F)</f>
        <v xml:space="preserve">PRJ-KUT-KPU-TPED-2026-04-00071 </v>
      </c>
      <c r="AF120" s="13"/>
      <c r="AG120" s="13"/>
      <c r="AH120" s="65"/>
      <c r="AI120" s="27"/>
    </row>
    <row r="121" spans="1:35" hidden="1">
      <c r="A121" s="13" t="s">
        <v>473</v>
      </c>
      <c r="B121" s="13" t="str">
        <f>_xlfn.XLOOKUP(J121,'Master Data 14-9-2026'!C:C,'Master Data 14-9-2026'!D:D)</f>
        <v>Risman Nurjaman wx1503969</v>
      </c>
      <c r="C121" s="13"/>
      <c r="D121" s="13" t="str">
        <f>_xlfn.XLOOKUP(J121,'Master Data 14-9-2026'!C:C,'Master Data 14-9-2026'!E:E)</f>
        <v>XLSMART</v>
      </c>
      <c r="E121" s="13"/>
      <c r="F121" s="13"/>
      <c r="G121" s="13" t="s">
        <v>22</v>
      </c>
      <c r="H121" s="13" t="str">
        <f>_xlfn.XLOOKUP(J121,'Master Data 14-9-2026'!C:C,'Master Data 14-9-2026'!H:H)</f>
        <v>2026-05-23 - 2026-06-22</v>
      </c>
      <c r="I121" s="13" t="str">
        <f t="shared" si="1"/>
        <v>May</v>
      </c>
      <c r="J121" s="13" t="s">
        <v>1169</v>
      </c>
      <c r="K121" s="13" t="s">
        <v>1004</v>
      </c>
      <c r="L121" s="13" t="s">
        <v>475</v>
      </c>
      <c r="M121" s="15">
        <v>200003134888020</v>
      </c>
      <c r="N121" s="13" t="s">
        <v>924</v>
      </c>
      <c r="O121" s="13">
        <v>1.0912026052800099E+17</v>
      </c>
      <c r="P121" s="13" t="s">
        <v>1134</v>
      </c>
      <c r="Q121" s="18">
        <v>24</v>
      </c>
      <c r="R121" s="18">
        <v>1</v>
      </c>
      <c r="S121" s="13">
        <v>8828132636</v>
      </c>
      <c r="T121" s="13" t="s">
        <v>933</v>
      </c>
      <c r="U121" s="19">
        <v>36992000</v>
      </c>
      <c r="V121" s="18">
        <v>1</v>
      </c>
      <c r="W121" s="18">
        <f>_xlfn.XLOOKUP(J121,'Master Data 14-9-2026'!C:C,'Master Data 14-9-2026'!L:L)</f>
        <v>1.5</v>
      </c>
      <c r="X121" s="23">
        <v>36992000</v>
      </c>
      <c r="Y121" s="13" t="s">
        <v>1135</v>
      </c>
      <c r="Z121" s="24" t="s">
        <v>15</v>
      </c>
      <c r="AA121" s="13"/>
      <c r="AC121" s="4"/>
      <c r="AD121" s="13"/>
      <c r="AE121" s="13" t="str">
        <f>_xlfn.XLOOKUP(L121,'[1]ID PROJECT'!E:E,'[1]ID PROJECT'!F:F)</f>
        <v>PRJ-KUT-KPU-TPED-2026-04-00074</v>
      </c>
      <c r="AF121" s="13"/>
      <c r="AG121" s="13"/>
      <c r="AH121" s="65"/>
      <c r="AI121" s="27"/>
    </row>
    <row r="122" spans="1:35" hidden="1">
      <c r="A122" s="13" t="s">
        <v>734</v>
      </c>
      <c r="B122" s="13" t="str">
        <f>_xlfn.XLOOKUP(J122,'Master Data 14-9-2026'!C:C,'Master Data 14-9-2026'!D:D)</f>
        <v>Rayza Mayga Pratama wx1504644</v>
      </c>
      <c r="C122" s="13"/>
      <c r="D122" s="13" t="str">
        <f>_xlfn.XLOOKUP(J122,'Master Data 14-9-2026'!C:C,'Master Data 14-9-2026'!E:E)</f>
        <v>XLSMART</v>
      </c>
      <c r="E122" s="13"/>
      <c r="F122" s="13"/>
      <c r="G122" s="13" t="s">
        <v>22</v>
      </c>
      <c r="H122" s="13" t="str">
        <f>_xlfn.XLOOKUP(J122,'Master Data 14-9-2026'!C:C,'Master Data 14-9-2026'!H:H)</f>
        <v>2026-05-23 - 2026-06-22</v>
      </c>
      <c r="I122" s="13" t="str">
        <f t="shared" si="1"/>
        <v>May</v>
      </c>
      <c r="J122" s="13" t="s">
        <v>1170</v>
      </c>
      <c r="K122" s="13" t="s">
        <v>1004</v>
      </c>
      <c r="L122" s="13" t="s">
        <v>441</v>
      </c>
      <c r="M122" s="15">
        <v>200003134878020</v>
      </c>
      <c r="N122" s="13" t="s">
        <v>924</v>
      </c>
      <c r="O122" s="13">
        <v>1.0912026052800099E+17</v>
      </c>
      <c r="P122" s="13" t="s">
        <v>1134</v>
      </c>
      <c r="Q122" s="18">
        <v>25</v>
      </c>
      <c r="R122" s="18">
        <v>1</v>
      </c>
      <c r="S122" s="13">
        <v>8828132635</v>
      </c>
      <c r="T122" s="13" t="s">
        <v>926</v>
      </c>
      <c r="U122" s="19">
        <v>34220600</v>
      </c>
      <c r="V122" s="18">
        <v>1</v>
      </c>
      <c r="W122" s="18">
        <f>_xlfn.XLOOKUP(J122,'Master Data 14-9-2026'!C:C,'Master Data 14-9-2026'!L:L)</f>
        <v>0.5</v>
      </c>
      <c r="X122" s="23">
        <v>34220600</v>
      </c>
      <c r="Y122" s="13" t="s">
        <v>1135</v>
      </c>
      <c r="Z122" s="24" t="s">
        <v>15</v>
      </c>
      <c r="AA122" s="13"/>
      <c r="AC122" s="4"/>
      <c r="AD122" s="13"/>
      <c r="AE122" s="13" t="str">
        <f>_xlfn.XLOOKUP(L122,'[1]ID PROJECT'!E:E,'[1]ID PROJECT'!F:F)</f>
        <v xml:space="preserve">PRJ-KUT-KPU-TPED-2026-04-00071 </v>
      </c>
      <c r="AF122" s="13"/>
      <c r="AG122" s="13"/>
      <c r="AH122" s="65"/>
      <c r="AI122" s="27"/>
    </row>
    <row r="123" spans="1:35" hidden="1">
      <c r="A123" s="13" t="s">
        <v>617</v>
      </c>
      <c r="B123" s="13" t="str">
        <f>_xlfn.XLOOKUP(J123,'Master Data 14-9-2026'!C:C,'Master Data 14-9-2026'!D:D)</f>
        <v>Eko Syambudi Deviyanto wx1507285</v>
      </c>
      <c r="C123" s="13"/>
      <c r="D123" s="13" t="str">
        <f>_xlfn.XLOOKUP(J123,'Master Data 14-9-2026'!C:C,'Master Data 14-9-2026'!E:E)</f>
        <v>XL-FTTH</v>
      </c>
      <c r="E123" s="13" t="s">
        <v>1171</v>
      </c>
      <c r="F123" s="13"/>
      <c r="G123" s="13" t="s">
        <v>18</v>
      </c>
      <c r="H123" s="13" t="str">
        <f>_xlfn.XLOOKUP(J123,'Master Data 14-9-2026'!C:C,'Master Data 14-9-2026'!H:H)</f>
        <v>2026-05-01 - 2026-05-31</v>
      </c>
      <c r="I123" s="13" t="str">
        <f t="shared" si="1"/>
        <v>May</v>
      </c>
      <c r="J123" s="13" t="s">
        <v>1172</v>
      </c>
      <c r="K123" s="13" t="s">
        <v>1004</v>
      </c>
      <c r="L123" s="13" t="s">
        <v>441</v>
      </c>
      <c r="M123" s="15">
        <v>200003134865020</v>
      </c>
      <c r="N123" s="13" t="s">
        <v>924</v>
      </c>
      <c r="O123" s="13">
        <v>1.0912026052800099E+17</v>
      </c>
      <c r="P123" s="13" t="s">
        <v>1134</v>
      </c>
      <c r="Q123" s="18">
        <v>26</v>
      </c>
      <c r="R123" s="18">
        <v>1</v>
      </c>
      <c r="S123" s="13">
        <v>8828132634</v>
      </c>
      <c r="T123" s="13" t="s">
        <v>978</v>
      </c>
      <c r="U123" s="19">
        <v>32542400</v>
      </c>
      <c r="V123" s="18">
        <v>1</v>
      </c>
      <c r="W123" s="18">
        <f>_xlfn.XLOOKUP(J123,'Master Data 14-9-2026'!C:C,'Master Data 14-9-2026'!L:L)</f>
        <v>0</v>
      </c>
      <c r="X123" s="23">
        <v>32542400</v>
      </c>
      <c r="Y123" s="13" t="s">
        <v>1135</v>
      </c>
      <c r="Z123" s="24" t="s">
        <v>15</v>
      </c>
      <c r="AA123" s="4" t="s">
        <v>934</v>
      </c>
      <c r="AB123" s="13"/>
      <c r="AC123" s="13"/>
      <c r="AD123" s="13" t="s">
        <v>935</v>
      </c>
      <c r="AE123" s="13" t="str">
        <f>_xlfn.XLOOKUP(L123,'[1]ID PROJECT'!E:E,'[1]ID PROJECT'!F:F)</f>
        <v xml:space="preserve">PRJ-KUT-KPU-TPED-2026-04-00071 </v>
      </c>
      <c r="AF123" s="4" t="s">
        <v>1173</v>
      </c>
      <c r="AG123" s="13" t="s">
        <v>1174</v>
      </c>
      <c r="AH123" s="65">
        <v>46245</v>
      </c>
      <c r="AI123" s="27" t="s">
        <v>1175</v>
      </c>
    </row>
    <row r="124" spans="1:35" hidden="1">
      <c r="A124" s="13" t="s">
        <v>856</v>
      </c>
      <c r="B124" s="13" t="str">
        <f>_xlfn.XLOOKUP(J124,'Master Data 14-9-2026'!C:C,'Master Data 14-9-2026'!D:D)</f>
        <v>Rizqy Ramadhan Pramono wx1503632</v>
      </c>
      <c r="C124" s="13"/>
      <c r="D124" s="13" t="str">
        <f>_xlfn.XLOOKUP(J124,'Master Data 14-9-2026'!C:C,'Master Data 14-9-2026'!E:E)</f>
        <v>XLSMART</v>
      </c>
      <c r="E124" s="13"/>
      <c r="F124" s="13"/>
      <c r="G124" s="13" t="s">
        <v>18</v>
      </c>
      <c r="H124" s="13" t="str">
        <f>_xlfn.XLOOKUP(J124,'Master Data 14-9-2026'!C:C,'Master Data 14-9-2026'!H:H)</f>
        <v>2026-04-23 - 2026-05-22</v>
      </c>
      <c r="I124" s="13" t="str">
        <f t="shared" si="1"/>
        <v>April</v>
      </c>
      <c r="J124" s="13" t="s">
        <v>1176</v>
      </c>
      <c r="K124" s="13" t="s">
        <v>1004</v>
      </c>
      <c r="L124" s="13" t="s">
        <v>461</v>
      </c>
      <c r="M124" s="15">
        <v>200003134842020</v>
      </c>
      <c r="N124" s="13" t="s">
        <v>924</v>
      </c>
      <c r="O124" s="13">
        <v>1.0912026052800099E+17</v>
      </c>
      <c r="P124" s="13" t="s">
        <v>1134</v>
      </c>
      <c r="Q124" s="18">
        <v>27</v>
      </c>
      <c r="R124" s="18">
        <v>1</v>
      </c>
      <c r="S124" s="13">
        <v>8828132635</v>
      </c>
      <c r="T124" s="13" t="s">
        <v>926</v>
      </c>
      <c r="U124" s="19">
        <v>34220600</v>
      </c>
      <c r="V124" s="18">
        <v>1</v>
      </c>
      <c r="W124" s="18">
        <f>_xlfn.XLOOKUP(J124,'Master Data 14-9-2026'!C:C,'Master Data 14-9-2026'!L:L)</f>
        <v>1</v>
      </c>
      <c r="X124" s="23">
        <v>34220600</v>
      </c>
      <c r="Y124" s="13" t="s">
        <v>1135</v>
      </c>
      <c r="Z124" s="24" t="str">
        <f>_xlfn.XLOOKUP(J124,'Master Data 14-9-2026'!C:C,'Master Data 14-9-2026'!I:I)</f>
        <v>Ended</v>
      </c>
      <c r="AA124" s="4" t="s">
        <v>934</v>
      </c>
      <c r="AB124" s="13"/>
      <c r="AC124" s="13"/>
      <c r="AD124" s="13" t="s">
        <v>935</v>
      </c>
      <c r="AE124" s="13" t="str">
        <f>_xlfn.XLOOKUP(L124,'[1]ID PROJECT'!E:E,'[1]ID PROJECT'!F:F)</f>
        <v>PRJ-KUT-KPU-TPED-2026-04-00078</v>
      </c>
      <c r="AF124" s="4" t="s">
        <v>1177</v>
      </c>
      <c r="AG124" s="13" t="s">
        <v>1178</v>
      </c>
      <c r="AH124" s="65">
        <v>46240</v>
      </c>
      <c r="AI124" s="27" t="s">
        <v>1175</v>
      </c>
    </row>
    <row r="125" spans="1:35" hidden="1">
      <c r="A125" s="13" t="s">
        <v>286</v>
      </c>
      <c r="B125" s="13" t="str">
        <f>_xlfn.XLOOKUP(J125,'Master Data 14-9-2026'!C:C,'Master Data 14-9-2026'!D:D)</f>
        <v>Rifan Azkia wx1504665</v>
      </c>
      <c r="C125" s="13"/>
      <c r="D125" s="13" t="str">
        <f>_xlfn.XLOOKUP(J125,'Master Data 14-9-2026'!C:C,'Master Data 14-9-2026'!E:E)</f>
        <v>XLSMART</v>
      </c>
      <c r="E125" s="13"/>
      <c r="F125" s="13"/>
      <c r="G125" s="13" t="s">
        <v>18</v>
      </c>
      <c r="H125" s="13" t="str">
        <f>_xlfn.XLOOKUP(J125,'Master Data 14-9-2026'!C:C,'Master Data 14-9-2026'!H:H)</f>
        <v>2026-04-23 - 2026-05-22</v>
      </c>
      <c r="I125" s="13" t="str">
        <f t="shared" si="1"/>
        <v>April</v>
      </c>
      <c r="J125" s="13" t="s">
        <v>1179</v>
      </c>
      <c r="K125" s="13" t="s">
        <v>1004</v>
      </c>
      <c r="L125" s="13" t="s">
        <v>950</v>
      </c>
      <c r="M125" s="15">
        <v>200003134831020</v>
      </c>
      <c r="N125" s="13" t="s">
        <v>924</v>
      </c>
      <c r="O125" s="13">
        <v>1.0912026052800099E+17</v>
      </c>
      <c r="P125" s="13" t="s">
        <v>1134</v>
      </c>
      <c r="Q125" s="18">
        <v>28</v>
      </c>
      <c r="R125" s="18">
        <v>1</v>
      </c>
      <c r="S125" s="13">
        <v>8828132633</v>
      </c>
      <c r="T125" s="13" t="s">
        <v>951</v>
      </c>
      <c r="U125" s="19">
        <v>28881900</v>
      </c>
      <c r="V125" s="18">
        <v>1</v>
      </c>
      <c r="W125" s="18">
        <f>_xlfn.XLOOKUP(J125,'Master Data 14-9-2026'!C:C,'Master Data 14-9-2026'!L:L)</f>
        <v>0</v>
      </c>
      <c r="X125" s="23">
        <v>28881900</v>
      </c>
      <c r="Y125" s="13" t="s">
        <v>1135</v>
      </c>
      <c r="Z125" s="24" t="s">
        <v>15</v>
      </c>
      <c r="AA125" s="13" t="s">
        <v>934</v>
      </c>
      <c r="AC125" s="4"/>
      <c r="AD125" s="13" t="s">
        <v>935</v>
      </c>
      <c r="AE125" s="13" t="str">
        <f>_xlfn.XLOOKUP(L125,'[1]ID PROJECT'!E:E,'[1]ID PROJECT'!F:F)</f>
        <v>PRJ-KUT-KPU-TPED-2026-04-00078</v>
      </c>
      <c r="AF125" s="13" t="s">
        <v>1141</v>
      </c>
      <c r="AG125" s="13" t="s">
        <v>1142</v>
      </c>
      <c r="AH125" s="65">
        <v>46216</v>
      </c>
      <c r="AI125" s="27" t="s">
        <v>938</v>
      </c>
    </row>
    <row r="126" spans="1:35" hidden="1">
      <c r="A126" s="13" t="s">
        <v>734</v>
      </c>
      <c r="B126" s="13" t="str">
        <f>_xlfn.XLOOKUP(J126,'Master Data 14-9-2026'!C:C,'Master Data 14-9-2026'!D:D)</f>
        <v>Rayza Mayga Pratama wx1504644</v>
      </c>
      <c r="C126" s="13"/>
      <c r="D126" s="13" t="str">
        <f>_xlfn.XLOOKUP(J126,'Master Data 14-9-2026'!C:C,'Master Data 14-9-2026'!E:E)</f>
        <v>XLSMART</v>
      </c>
      <c r="E126" s="13"/>
      <c r="F126" s="13"/>
      <c r="G126" s="13" t="s">
        <v>18</v>
      </c>
      <c r="H126" s="13" t="str">
        <f>_xlfn.XLOOKUP(J126,'Master Data 14-9-2026'!C:C,'Master Data 14-9-2026'!H:H)</f>
        <v>2026-04-23 - 2026-05-22</v>
      </c>
      <c r="I126" s="13" t="str">
        <f t="shared" si="1"/>
        <v>April</v>
      </c>
      <c r="J126" s="13" t="s">
        <v>1180</v>
      </c>
      <c r="K126" s="13" t="s">
        <v>1004</v>
      </c>
      <c r="L126" s="13" t="s">
        <v>441</v>
      </c>
      <c r="M126" s="15">
        <v>200003134843020</v>
      </c>
      <c r="N126" s="13" t="s">
        <v>924</v>
      </c>
      <c r="O126" s="13">
        <v>1.0912026052800099E+17</v>
      </c>
      <c r="P126" s="13" t="s">
        <v>1134</v>
      </c>
      <c r="Q126" s="18">
        <v>29</v>
      </c>
      <c r="R126" s="18">
        <v>1</v>
      </c>
      <c r="S126" s="13">
        <v>8828132635</v>
      </c>
      <c r="T126" s="13" t="s">
        <v>926</v>
      </c>
      <c r="U126" s="19">
        <v>34220600</v>
      </c>
      <c r="V126" s="18">
        <v>1</v>
      </c>
      <c r="W126" s="18">
        <f>_xlfn.XLOOKUP(J126,'Master Data 14-9-2026'!C:C,'Master Data 14-9-2026'!L:L)</f>
        <v>0.69</v>
      </c>
      <c r="X126" s="23">
        <v>34220600</v>
      </c>
      <c r="Y126" s="13" t="s">
        <v>1135</v>
      </c>
      <c r="Z126" s="24" t="s">
        <v>15</v>
      </c>
      <c r="AA126" s="4" t="s">
        <v>934</v>
      </c>
      <c r="AB126" s="13"/>
      <c r="AC126" s="13"/>
      <c r="AD126" s="13" t="s">
        <v>935</v>
      </c>
      <c r="AE126" s="13" t="str">
        <f>_xlfn.XLOOKUP(L126,'[1]ID PROJECT'!E:E,'[1]ID PROJECT'!F:F)</f>
        <v xml:space="preserve">PRJ-KUT-KPU-TPED-2026-04-00071 </v>
      </c>
      <c r="AF126" s="4" t="s">
        <v>1177</v>
      </c>
      <c r="AG126" s="13" t="s">
        <v>1178</v>
      </c>
      <c r="AH126" s="65">
        <v>46240</v>
      </c>
      <c r="AI126" s="27" t="s">
        <v>1175</v>
      </c>
    </row>
    <row r="127" spans="1:35" hidden="1">
      <c r="A127" s="13" t="s">
        <v>304</v>
      </c>
      <c r="B127" s="13" t="str">
        <f>_xlfn.XLOOKUP(J127,'Master Data 14-9-2026'!C:C,'Master Data 14-9-2026'!D:D)</f>
        <v>Salsabila Ulya Nabilah Fuad wx1507138</v>
      </c>
      <c r="C127" s="13"/>
      <c r="D127" s="13" t="str">
        <f>_xlfn.XLOOKUP(J127,'Master Data 14-9-2026'!C:C,'Master Data 14-9-2026'!E:E)</f>
        <v>XLSMART</v>
      </c>
      <c r="E127" s="13"/>
      <c r="F127" s="13"/>
      <c r="G127" s="13" t="s">
        <v>18</v>
      </c>
      <c r="H127" s="13" t="str">
        <f>_xlfn.XLOOKUP(J127,'Master Data 14-9-2026'!C:C,'Master Data 14-9-2026'!H:H)</f>
        <v>2026-05-01 - 2026-05-31</v>
      </c>
      <c r="I127" s="13" t="str">
        <f t="shared" si="1"/>
        <v>May</v>
      </c>
      <c r="J127" s="13" t="s">
        <v>1181</v>
      </c>
      <c r="K127" s="13" t="s">
        <v>1004</v>
      </c>
      <c r="L127" s="13" t="s">
        <v>493</v>
      </c>
      <c r="M127" s="15">
        <v>200003134838020</v>
      </c>
      <c r="N127" s="13" t="s">
        <v>924</v>
      </c>
      <c r="O127" s="13">
        <v>1.0912026052800099E+17</v>
      </c>
      <c r="P127" s="13" t="s">
        <v>1134</v>
      </c>
      <c r="Q127" s="18">
        <v>30</v>
      </c>
      <c r="R127" s="18">
        <v>1</v>
      </c>
      <c r="S127" s="13">
        <v>8828132633</v>
      </c>
      <c r="T127" s="13" t="s">
        <v>951</v>
      </c>
      <c r="U127" s="19">
        <v>28881900</v>
      </c>
      <c r="V127" s="18">
        <v>1</v>
      </c>
      <c r="W127" s="18">
        <f>_xlfn.XLOOKUP(J127,'Master Data 14-9-2026'!C:C,'Master Data 14-9-2026'!L:L)</f>
        <v>0.5</v>
      </c>
      <c r="X127" s="23">
        <v>28881900</v>
      </c>
      <c r="Y127" s="13" t="s">
        <v>1135</v>
      </c>
      <c r="Z127" s="24" t="s">
        <v>15</v>
      </c>
      <c r="AA127" s="13" t="s">
        <v>934</v>
      </c>
      <c r="AC127" s="4"/>
      <c r="AD127" s="13" t="s">
        <v>935</v>
      </c>
      <c r="AE127" s="13" t="str">
        <f>_xlfn.XLOOKUP(L127,'[1]ID PROJECT'!E:E,'[1]ID PROJECT'!F:F)</f>
        <v>PRJ-KUT-KPU-TPED-2026-04-00079</v>
      </c>
      <c r="AF127" s="13" t="s">
        <v>1141</v>
      </c>
      <c r="AG127" s="13" t="s">
        <v>1142</v>
      </c>
      <c r="AH127" s="65">
        <v>46216</v>
      </c>
      <c r="AI127" s="27" t="s">
        <v>938</v>
      </c>
    </row>
    <row r="128" spans="1:35" hidden="1">
      <c r="A128" s="13" t="s">
        <v>862</v>
      </c>
      <c r="B128" s="13" t="str">
        <f>_xlfn.XLOOKUP(J128,'Master Data 14-9-2026'!C:C,'Master Data 14-9-2026'!D:D)</f>
        <v>Sugeng Andrianto wx1504668</v>
      </c>
      <c r="C128" s="13"/>
      <c r="D128" s="13" t="str">
        <f>_xlfn.XLOOKUP(J128,'Master Data 14-9-2026'!C:C,'Master Data 14-9-2026'!E:E)</f>
        <v>XLSMART</v>
      </c>
      <c r="E128" s="13"/>
      <c r="F128" s="13"/>
      <c r="G128" s="13" t="s">
        <v>18</v>
      </c>
      <c r="H128" s="13" t="str">
        <f>_xlfn.XLOOKUP(J128,'Master Data 14-9-2026'!C:C,'Master Data 14-9-2026'!H:H)</f>
        <v>2026-04-30 - 2026-05-29</v>
      </c>
      <c r="I128" s="13" t="str">
        <f t="shared" si="1"/>
        <v>April</v>
      </c>
      <c r="J128" s="13" t="s">
        <v>1182</v>
      </c>
      <c r="K128" s="13" t="s">
        <v>1004</v>
      </c>
      <c r="L128" s="13" t="s">
        <v>461</v>
      </c>
      <c r="M128" s="15">
        <v>200003134844020</v>
      </c>
      <c r="N128" s="13" t="s">
        <v>924</v>
      </c>
      <c r="O128" s="13">
        <v>1.0912026052800099E+17</v>
      </c>
      <c r="P128" s="13" t="s">
        <v>1134</v>
      </c>
      <c r="Q128" s="18">
        <v>31</v>
      </c>
      <c r="R128" s="18">
        <v>1</v>
      </c>
      <c r="S128" s="13">
        <v>8828132635</v>
      </c>
      <c r="T128" s="13" t="s">
        <v>926</v>
      </c>
      <c r="U128" s="19">
        <v>34220600</v>
      </c>
      <c r="V128" s="18">
        <v>1</v>
      </c>
      <c r="W128" s="18">
        <f>_xlfn.XLOOKUP(J128,'Master Data 14-9-2026'!C:C,'Master Data 14-9-2026'!L:L)</f>
        <v>1</v>
      </c>
      <c r="X128" s="23">
        <v>34220600</v>
      </c>
      <c r="Y128" s="13" t="s">
        <v>1135</v>
      </c>
      <c r="Z128" s="24" t="str">
        <f>_xlfn.XLOOKUP(J128,'Master Data 14-9-2026'!C:C,'Master Data 14-9-2026'!I:I)</f>
        <v>Ended</v>
      </c>
      <c r="AA128" s="13" t="s">
        <v>934</v>
      </c>
      <c r="AC128" s="4"/>
      <c r="AD128" s="13" t="s">
        <v>935</v>
      </c>
      <c r="AE128" s="13" t="str">
        <f>_xlfn.XLOOKUP(L128,'[1]ID PROJECT'!E:E,'[1]ID PROJECT'!F:F)</f>
        <v>PRJ-KUT-KPU-TPED-2026-04-00078</v>
      </c>
      <c r="AF128" s="13" t="s">
        <v>1141</v>
      </c>
      <c r="AG128" s="13" t="s">
        <v>1142</v>
      </c>
      <c r="AH128" s="65">
        <v>46216</v>
      </c>
      <c r="AI128" s="27" t="s">
        <v>938</v>
      </c>
    </row>
    <row r="129" spans="1:35" hidden="1">
      <c r="A129" s="13" t="s">
        <v>419</v>
      </c>
      <c r="B129" s="13" t="str">
        <f>_xlfn.XLOOKUP(J129,'Master Data 14-9-2026'!C:C,'Master Data 14-9-2026'!D:D)</f>
        <v>Didit Irawan wx1504645</v>
      </c>
      <c r="C129" s="13"/>
      <c r="D129" s="13" t="str">
        <f>_xlfn.XLOOKUP(J129,'Master Data 14-9-2026'!C:C,'Master Data 14-9-2026'!E:E)</f>
        <v>XLSMART</v>
      </c>
      <c r="E129" s="13"/>
      <c r="F129" s="13"/>
      <c r="G129" s="13" t="s">
        <v>18</v>
      </c>
      <c r="H129" s="13" t="str">
        <f>_xlfn.XLOOKUP(J129,'Master Data 14-9-2026'!C:C,'Master Data 14-9-2026'!H:H)</f>
        <v>2026-04-30 - 2026-05-29</v>
      </c>
      <c r="I129" s="13" t="str">
        <f t="shared" si="1"/>
        <v>April</v>
      </c>
      <c r="J129" s="13" t="s">
        <v>1183</v>
      </c>
      <c r="K129" s="13" t="s">
        <v>1004</v>
      </c>
      <c r="L129" s="13" t="s">
        <v>441</v>
      </c>
      <c r="M129" s="15">
        <v>200003134835020</v>
      </c>
      <c r="N129" s="13" t="s">
        <v>924</v>
      </c>
      <c r="O129" s="13">
        <v>1.0912026052800099E+17</v>
      </c>
      <c r="P129" s="13" t="s">
        <v>1134</v>
      </c>
      <c r="Q129" s="18">
        <v>32</v>
      </c>
      <c r="R129" s="18">
        <v>1</v>
      </c>
      <c r="S129" s="13">
        <v>8828132633</v>
      </c>
      <c r="T129" s="13" t="s">
        <v>951</v>
      </c>
      <c r="U129" s="19">
        <v>28881900</v>
      </c>
      <c r="V129" s="18">
        <v>1</v>
      </c>
      <c r="W129" s="18">
        <f>_xlfn.XLOOKUP(J129,'Master Data 14-9-2026'!C:C,'Master Data 14-9-2026'!L:L)</f>
        <v>1</v>
      </c>
      <c r="X129" s="23">
        <v>28881900</v>
      </c>
      <c r="Y129" s="13" t="s">
        <v>1135</v>
      </c>
      <c r="Z129" s="24" t="str">
        <f>_xlfn.XLOOKUP(J129,'Master Data 14-9-2026'!C:C,'Master Data 14-9-2026'!I:I)</f>
        <v>Ended</v>
      </c>
      <c r="AA129" s="13" t="s">
        <v>934</v>
      </c>
      <c r="AC129" s="4"/>
      <c r="AD129" s="13" t="s">
        <v>935</v>
      </c>
      <c r="AE129" s="13" t="str">
        <f>_xlfn.XLOOKUP(L129,'[1]ID PROJECT'!E:E,'[1]ID PROJECT'!F:F)</f>
        <v xml:space="preserve">PRJ-KUT-KPU-TPED-2026-04-00071 </v>
      </c>
      <c r="AF129" s="13" t="s">
        <v>1141</v>
      </c>
      <c r="AG129" s="13" t="s">
        <v>1142</v>
      </c>
      <c r="AH129" s="65">
        <v>46216</v>
      </c>
      <c r="AI129" s="27" t="s">
        <v>938</v>
      </c>
    </row>
    <row r="130" spans="1:35" hidden="1">
      <c r="A130" s="13" t="s">
        <v>98</v>
      </c>
      <c r="B130" s="13" t="str">
        <f>_xlfn.XLOOKUP(J130,'Master Data 14-9-2026'!C:C,'Master Data 14-9-2026'!D:D)</f>
        <v>Nurmawaty wx1504714</v>
      </c>
      <c r="C130" s="13"/>
      <c r="D130" s="13" t="str">
        <f>_xlfn.XLOOKUP(J130,'Master Data 14-9-2026'!C:C,'Master Data 14-9-2026'!E:E)</f>
        <v>XLSMART</v>
      </c>
      <c r="E130" s="13"/>
      <c r="F130" s="13"/>
      <c r="G130" s="13" t="s">
        <v>18</v>
      </c>
      <c r="H130" s="13" t="str">
        <f>_xlfn.XLOOKUP(J130,'Master Data 14-9-2026'!C:C,'Master Data 14-9-2026'!H:H)</f>
        <v>2026-04-28 - 2026-05-27</v>
      </c>
      <c r="I130" s="13" t="str">
        <f t="shared" si="1"/>
        <v>April</v>
      </c>
      <c r="J130" s="13" t="s">
        <v>1184</v>
      </c>
      <c r="K130" s="13" t="s">
        <v>1004</v>
      </c>
      <c r="L130" s="13" t="s">
        <v>441</v>
      </c>
      <c r="M130" s="15">
        <v>200003134834020</v>
      </c>
      <c r="N130" s="13" t="s">
        <v>924</v>
      </c>
      <c r="O130" s="13">
        <v>1.0912026052800099E+17</v>
      </c>
      <c r="P130" s="13" t="s">
        <v>1134</v>
      </c>
      <c r="Q130" s="18">
        <v>33</v>
      </c>
      <c r="R130" s="18">
        <v>1</v>
      </c>
      <c r="S130" s="13">
        <v>8828132633</v>
      </c>
      <c r="T130" s="13" t="s">
        <v>951</v>
      </c>
      <c r="U130" s="19">
        <v>28881900</v>
      </c>
      <c r="V130" s="18">
        <v>1</v>
      </c>
      <c r="W130" s="18">
        <f>_xlfn.XLOOKUP(J130,'Master Data 14-9-2026'!C:C,'Master Data 14-9-2026'!L:L)</f>
        <v>1.5</v>
      </c>
      <c r="X130" s="23">
        <v>28881900</v>
      </c>
      <c r="Y130" s="13" t="s">
        <v>1135</v>
      </c>
      <c r="Z130" s="24" t="s">
        <v>15</v>
      </c>
      <c r="AA130" s="13" t="s">
        <v>934</v>
      </c>
      <c r="AC130" s="4"/>
      <c r="AD130" s="13" t="s">
        <v>935</v>
      </c>
      <c r="AE130" s="13" t="str">
        <f>_xlfn.XLOOKUP(L130,'[1]ID PROJECT'!E:E,'[1]ID PROJECT'!F:F)</f>
        <v xml:space="preserve">PRJ-KUT-KPU-TPED-2026-04-00071 </v>
      </c>
      <c r="AF130" s="13" t="s">
        <v>1141</v>
      </c>
      <c r="AG130" s="13" t="s">
        <v>1142</v>
      </c>
      <c r="AH130" s="65">
        <v>46216</v>
      </c>
      <c r="AI130" s="27" t="s">
        <v>938</v>
      </c>
    </row>
    <row r="131" spans="1:35">
      <c r="A131" s="13" t="s">
        <v>862</v>
      </c>
      <c r="B131" s="13" t="str">
        <f>_xlfn.XLOOKUP(J131,'Master Data 14-9-2026'!C:C,'Master Data 14-9-2026'!D:D)</f>
        <v>Sugeng Andrianto wx1504668</v>
      </c>
      <c r="C131" s="13"/>
      <c r="D131" s="13" t="str">
        <f>_xlfn.XLOOKUP(J131,'Master Data 14-9-2026'!C:C,'Master Data 14-9-2026'!E:E)</f>
        <v>XLSMART</v>
      </c>
      <c r="E131" s="13"/>
      <c r="F131" s="13"/>
      <c r="G131" s="13" t="s">
        <v>22</v>
      </c>
      <c r="H131" s="13" t="str">
        <f>_xlfn.XLOOKUP(J131,'Master Data 14-9-2026'!C:C,'Master Data 14-9-2026'!H:H)</f>
        <v>2026-05-30 - 2026-06-29</v>
      </c>
      <c r="I131" s="13" t="str">
        <f t="shared" ref="I131:I194" si="2">TEXT(DATEVALUE(LEFT(H131,10)),"mmmm")</f>
        <v>May</v>
      </c>
      <c r="J131" s="13" t="s">
        <v>1185</v>
      </c>
      <c r="K131" s="13" t="s">
        <v>1004</v>
      </c>
      <c r="L131" s="13" t="s">
        <v>461</v>
      </c>
      <c r="M131" s="15">
        <v>200003134879020</v>
      </c>
      <c r="N131" s="13" t="s">
        <v>924</v>
      </c>
      <c r="O131" s="13">
        <v>1.0912026052800099E+17</v>
      </c>
      <c r="P131" s="13" t="s">
        <v>1134</v>
      </c>
      <c r="Q131" s="18">
        <v>34</v>
      </c>
      <c r="R131" s="18">
        <v>1</v>
      </c>
      <c r="S131" s="13">
        <v>8828132635</v>
      </c>
      <c r="T131" s="13" t="s">
        <v>926</v>
      </c>
      <c r="U131" s="19">
        <v>34220600</v>
      </c>
      <c r="V131" s="18">
        <v>1</v>
      </c>
      <c r="W131" s="18">
        <f>_xlfn.XLOOKUP(J131,'Master Data 14-9-2026'!C:C,'Master Data 14-9-2026'!L:L)</f>
        <v>1</v>
      </c>
      <c r="X131" s="23">
        <v>34220600</v>
      </c>
      <c r="Y131" s="13" t="s">
        <v>1135</v>
      </c>
      <c r="Z131" s="24" t="str">
        <f>_xlfn.XLOOKUP(J131,'Master Data 14-9-2026'!C:C,'Master Data 14-9-2026'!I:I)</f>
        <v>Ended</v>
      </c>
      <c r="AA131" s="40" t="s">
        <v>934</v>
      </c>
      <c r="AC131" s="4"/>
      <c r="AD131" s="40" t="s">
        <v>935</v>
      </c>
      <c r="AE131" s="13" t="str">
        <f>_xlfn.XLOOKUP(L131,'[1]ID PROJECT'!E:E,'[1]ID PROJECT'!F:F)</f>
        <v>PRJ-KUT-KPU-TPED-2026-04-00078</v>
      </c>
      <c r="AF131" s="39" t="s">
        <v>4131</v>
      </c>
      <c r="AG131" s="13" t="s">
        <v>4138</v>
      </c>
      <c r="AH131" s="65">
        <v>46276</v>
      </c>
      <c r="AI131" s="41" t="s">
        <v>967</v>
      </c>
    </row>
    <row r="132" spans="1:35" hidden="1">
      <c r="A132" s="13" t="s">
        <v>742</v>
      </c>
      <c r="B132" s="13" t="str">
        <f>_xlfn.XLOOKUP(J132,'Master Data 14-9-2026'!C:C,'Master Data 14-9-2026'!D:D)</f>
        <v>Fauzan Fathoni wx1504667</v>
      </c>
      <c r="C132" s="13"/>
      <c r="D132" s="13" t="str">
        <f>_xlfn.XLOOKUP(J132,'Master Data 14-9-2026'!C:C,'Master Data 14-9-2026'!E:E)</f>
        <v>XLSMART</v>
      </c>
      <c r="E132" s="13"/>
      <c r="F132" s="13"/>
      <c r="G132" s="13" t="s">
        <v>22</v>
      </c>
      <c r="H132" s="13" t="str">
        <f>_xlfn.XLOOKUP(J132,'Master Data 14-9-2026'!C:C,'Master Data 14-9-2026'!H:H)</f>
        <v>2026-05-30 - 2026-06-29</v>
      </c>
      <c r="I132" s="13" t="str">
        <f t="shared" si="2"/>
        <v>May</v>
      </c>
      <c r="J132" s="13" t="s">
        <v>1186</v>
      </c>
      <c r="K132" s="13" t="s">
        <v>1004</v>
      </c>
      <c r="L132" s="13" t="s">
        <v>461</v>
      </c>
      <c r="M132" s="15">
        <v>200003134880020</v>
      </c>
      <c r="N132" s="13" t="s">
        <v>924</v>
      </c>
      <c r="O132" s="13">
        <v>1.0912026052800099E+17</v>
      </c>
      <c r="P132" s="13" t="s">
        <v>1134</v>
      </c>
      <c r="Q132" s="18">
        <v>35</v>
      </c>
      <c r="R132" s="18">
        <v>1</v>
      </c>
      <c r="S132" s="13">
        <v>8828132635</v>
      </c>
      <c r="T132" s="13" t="s">
        <v>926</v>
      </c>
      <c r="U132" s="19">
        <v>34220600</v>
      </c>
      <c r="V132" s="18">
        <v>1</v>
      </c>
      <c r="W132" s="18">
        <f>_xlfn.XLOOKUP(J132,'Master Data 14-9-2026'!C:C,'Master Data 14-9-2026'!L:L)</f>
        <v>1.5</v>
      </c>
      <c r="X132" s="23">
        <v>34220600</v>
      </c>
      <c r="Y132" s="13" t="s">
        <v>1135</v>
      </c>
      <c r="Z132" s="24" t="s">
        <v>15</v>
      </c>
      <c r="AA132" s="13"/>
      <c r="AC132" s="4"/>
      <c r="AD132" s="13"/>
      <c r="AE132" s="13" t="str">
        <f>_xlfn.XLOOKUP(L132,'[1]ID PROJECT'!E:E,'[1]ID PROJECT'!F:F)</f>
        <v>PRJ-KUT-KPU-TPED-2026-04-00078</v>
      </c>
      <c r="AF132" s="13"/>
      <c r="AG132" s="13"/>
      <c r="AH132" s="65"/>
      <c r="AI132" s="27"/>
    </row>
    <row r="133" spans="1:35" hidden="1">
      <c r="A133" s="13" t="s">
        <v>732</v>
      </c>
      <c r="B133" s="13" t="str">
        <f>_xlfn.XLOOKUP(J133,'Master Data 14-9-2026'!C:C,'Master Data 14-9-2026'!D:D)</f>
        <v>Yonathan Janmorga wx1507284</v>
      </c>
      <c r="C133" s="13"/>
      <c r="D133" s="13" t="str">
        <f>_xlfn.XLOOKUP(J133,'Master Data 14-9-2026'!C:C,'Master Data 14-9-2026'!E:E)</f>
        <v>XLSMART</v>
      </c>
      <c r="E133" s="13"/>
      <c r="F133" s="13"/>
      <c r="G133" s="13" t="s">
        <v>22</v>
      </c>
      <c r="H133" s="13" t="str">
        <f>_xlfn.XLOOKUP(J133,'Master Data 14-9-2026'!C:C,'Master Data 14-9-2026'!H:H)</f>
        <v>2026-06-01 - 2026-06-30</v>
      </c>
      <c r="I133" s="13" t="str">
        <f t="shared" si="2"/>
        <v>June</v>
      </c>
      <c r="J133" s="13" t="s">
        <v>1187</v>
      </c>
      <c r="K133" s="13" t="s">
        <v>1004</v>
      </c>
      <c r="L133" s="13" t="s">
        <v>475</v>
      </c>
      <c r="M133" s="15">
        <v>200003134881020</v>
      </c>
      <c r="N133" s="13" t="s">
        <v>924</v>
      </c>
      <c r="O133" s="13">
        <v>1.0912026052800099E+17</v>
      </c>
      <c r="P133" s="13" t="s">
        <v>1134</v>
      </c>
      <c r="Q133" s="18">
        <v>36</v>
      </c>
      <c r="R133" s="18">
        <v>1</v>
      </c>
      <c r="S133" s="13">
        <v>8828132635</v>
      </c>
      <c r="T133" s="13" t="s">
        <v>926</v>
      </c>
      <c r="U133" s="19">
        <v>34220600</v>
      </c>
      <c r="V133" s="18">
        <v>1</v>
      </c>
      <c r="W133" s="18">
        <f>_xlfn.XLOOKUP(J133,'Master Data 14-9-2026'!C:C,'Master Data 14-9-2026'!L:L)</f>
        <v>1</v>
      </c>
      <c r="X133" s="23">
        <v>34220600</v>
      </c>
      <c r="Y133" s="13" t="s">
        <v>1135</v>
      </c>
      <c r="Z133" s="24" t="str">
        <f>_xlfn.XLOOKUP(J133,'Master Data 14-9-2026'!C:C,'Master Data 14-9-2026'!I:I)</f>
        <v>Ended</v>
      </c>
      <c r="AA133" s="13" t="s">
        <v>934</v>
      </c>
      <c r="AC133" s="4"/>
      <c r="AD133" s="13" t="s">
        <v>935</v>
      </c>
      <c r="AE133" s="13" t="str">
        <f>_xlfn.XLOOKUP(L133,'[1]ID PROJECT'!E:E,'[1]ID PROJECT'!F:F)</f>
        <v>PRJ-KUT-KPU-TPED-2026-04-00074</v>
      </c>
      <c r="AF133" s="4" t="s">
        <v>1188</v>
      </c>
      <c r="AG133" s="13" t="s">
        <v>1189</v>
      </c>
      <c r="AH133" s="65">
        <v>46262</v>
      </c>
      <c r="AI133" s="27" t="s">
        <v>1095</v>
      </c>
    </row>
    <row r="134" spans="1:35" hidden="1">
      <c r="A134" s="13" t="s">
        <v>702</v>
      </c>
      <c r="B134" s="13" t="str">
        <f>_xlfn.XLOOKUP(J134,'Master Data 14-9-2026'!C:C,'Master Data 14-9-2026'!D:D)</f>
        <v>I Nyoman Satriya Wibawa wx1503651</v>
      </c>
      <c r="C134" s="13"/>
      <c r="D134" s="13" t="str">
        <f>_xlfn.XLOOKUP(J134,'Master Data 14-9-2026'!C:C,'Master Data 14-9-2026'!E:E)</f>
        <v>IOH</v>
      </c>
      <c r="E134" s="13"/>
      <c r="F134" s="13"/>
      <c r="G134" s="13" t="s">
        <v>22</v>
      </c>
      <c r="H134" s="13" t="str">
        <f>_xlfn.XLOOKUP(J134,'Master Data 14-9-2026'!C:C,'Master Data 14-9-2026'!H:H)</f>
        <v>2026-05-30 - 2026-06-29</v>
      </c>
      <c r="I134" s="13" t="str">
        <f t="shared" si="2"/>
        <v>May</v>
      </c>
      <c r="J134" s="13" t="s">
        <v>1190</v>
      </c>
      <c r="K134" s="13" t="s">
        <v>1004</v>
      </c>
      <c r="L134" s="13" t="s">
        <v>520</v>
      </c>
      <c r="M134" s="15">
        <v>200003135898020</v>
      </c>
      <c r="N134" s="13" t="s">
        <v>924</v>
      </c>
      <c r="O134" s="13">
        <v>1.0912026052800099E+17</v>
      </c>
      <c r="P134" s="13" t="s">
        <v>1134</v>
      </c>
      <c r="Q134" s="18">
        <v>37</v>
      </c>
      <c r="R134" s="18">
        <v>1</v>
      </c>
      <c r="S134" s="13">
        <v>8828132634</v>
      </c>
      <c r="T134" s="13" t="s">
        <v>978</v>
      </c>
      <c r="U134" s="19">
        <v>32542400</v>
      </c>
      <c r="V134" s="18">
        <v>1</v>
      </c>
      <c r="W134" s="18">
        <f>_xlfn.XLOOKUP(J134,'Master Data 14-9-2026'!C:C,'Master Data 14-9-2026'!L:L)</f>
        <v>0</v>
      </c>
      <c r="X134" s="23">
        <v>32542400</v>
      </c>
      <c r="Y134" s="13" t="s">
        <v>1135</v>
      </c>
      <c r="Z134" s="24" t="s">
        <v>15</v>
      </c>
      <c r="AA134" s="13"/>
      <c r="AC134" s="4"/>
      <c r="AD134" s="13"/>
      <c r="AE134" s="13" t="str">
        <f>_xlfn.XLOOKUP(L134,'[1]ID PROJECT'!E:E,'[1]ID PROJECT'!F:F)</f>
        <v>PRJ-KUT-KPU-TPED-2026-04-00077</v>
      </c>
      <c r="AF134" s="13"/>
      <c r="AG134" s="13"/>
      <c r="AH134" s="65"/>
      <c r="AI134" s="27"/>
    </row>
    <row r="135" spans="1:35" hidden="1">
      <c r="A135" s="13" t="s">
        <v>736</v>
      </c>
      <c r="B135" s="13" t="str">
        <f>_xlfn.XLOOKUP(J135,'Master Data 14-9-2026'!C:C,'Master Data 14-9-2026'!D:D)</f>
        <v>Dheanera Fairuz Hasna wx1507280</v>
      </c>
      <c r="C135" s="13"/>
      <c r="D135" s="13" t="str">
        <f>_xlfn.XLOOKUP(J135,'Master Data 14-9-2026'!C:C,'Master Data 14-9-2026'!E:E)</f>
        <v>XLSMART</v>
      </c>
      <c r="E135" s="13"/>
      <c r="F135" s="13"/>
      <c r="G135" s="13" t="s">
        <v>22</v>
      </c>
      <c r="H135" s="13" t="str">
        <f>_xlfn.XLOOKUP(J135,'Master Data 14-9-2026'!C:C,'Master Data 14-9-2026'!H:H)</f>
        <v>2026-06-01 - 2026-06-30</v>
      </c>
      <c r="I135" s="13" t="str">
        <f t="shared" si="2"/>
        <v>June</v>
      </c>
      <c r="J135" s="13" t="s">
        <v>1191</v>
      </c>
      <c r="K135" s="13" t="s">
        <v>1004</v>
      </c>
      <c r="L135" s="13" t="s">
        <v>441</v>
      </c>
      <c r="M135" s="15">
        <v>200003134882020</v>
      </c>
      <c r="N135" s="13" t="s">
        <v>924</v>
      </c>
      <c r="O135" s="13">
        <v>1.0912026052800099E+17</v>
      </c>
      <c r="P135" s="13" t="s">
        <v>1134</v>
      </c>
      <c r="Q135" s="18">
        <v>38</v>
      </c>
      <c r="R135" s="18">
        <v>1</v>
      </c>
      <c r="S135" s="13">
        <v>8828132635</v>
      </c>
      <c r="T135" s="13" t="s">
        <v>926</v>
      </c>
      <c r="U135" s="19">
        <v>34220600</v>
      </c>
      <c r="V135" s="18">
        <v>1</v>
      </c>
      <c r="W135" s="18">
        <f>_xlfn.XLOOKUP(J135,'Master Data 14-9-2026'!C:C,'Master Data 14-9-2026'!L:L)</f>
        <v>1</v>
      </c>
      <c r="X135" s="23">
        <v>34220600</v>
      </c>
      <c r="Y135" s="13" t="s">
        <v>1135</v>
      </c>
      <c r="Z135" s="24" t="str">
        <f>_xlfn.XLOOKUP(J135,'Master Data 14-9-2026'!C:C,'Master Data 14-9-2026'!I:I)</f>
        <v>Ended</v>
      </c>
      <c r="AA135" s="13" t="s">
        <v>934</v>
      </c>
      <c r="AC135" s="4"/>
      <c r="AD135" s="13" t="s">
        <v>935</v>
      </c>
      <c r="AE135" s="13" t="str">
        <f>_xlfn.XLOOKUP(L135,'[1]ID PROJECT'!E:E,'[1]ID PROJECT'!F:F)</f>
        <v xml:space="preserve">PRJ-KUT-KPU-TPED-2026-04-00071 </v>
      </c>
      <c r="AF135" s="4" t="s">
        <v>1188</v>
      </c>
      <c r="AG135" s="13" t="s">
        <v>1189</v>
      </c>
      <c r="AH135" s="65">
        <v>46262</v>
      </c>
      <c r="AI135" s="27" t="s">
        <v>1095</v>
      </c>
    </row>
    <row r="136" spans="1:35" hidden="1">
      <c r="A136" s="13" t="s">
        <v>728</v>
      </c>
      <c r="B136" s="13" t="str">
        <f>_xlfn.XLOOKUP(J136,'Master Data 14-9-2026'!C:C,'Master Data 14-9-2026'!D:D)</f>
        <v>Qudsiyah Zahra Ilham Naseela wx1507281</v>
      </c>
      <c r="C136" s="13"/>
      <c r="D136" s="13" t="str">
        <f>_xlfn.XLOOKUP(J136,'Master Data 14-9-2026'!C:C,'Master Data 14-9-2026'!E:E)</f>
        <v>XLSMART</v>
      </c>
      <c r="E136" s="13"/>
      <c r="F136" s="13"/>
      <c r="G136" s="13" t="s">
        <v>22</v>
      </c>
      <c r="H136" s="13" t="str">
        <f>_xlfn.XLOOKUP(J136,'Master Data 14-9-2026'!C:C,'Master Data 14-9-2026'!H:H)</f>
        <v>2026-06-01 - 2026-06-30</v>
      </c>
      <c r="I136" s="13" t="str">
        <f t="shared" si="2"/>
        <v>June</v>
      </c>
      <c r="J136" s="13" t="s">
        <v>1192</v>
      </c>
      <c r="K136" s="13" t="s">
        <v>1004</v>
      </c>
      <c r="L136" s="13" t="s">
        <v>441</v>
      </c>
      <c r="M136" s="15">
        <v>200003134883020</v>
      </c>
      <c r="N136" s="13" t="s">
        <v>924</v>
      </c>
      <c r="O136" s="13">
        <v>1.0912026052800099E+17</v>
      </c>
      <c r="P136" s="13" t="s">
        <v>1134</v>
      </c>
      <c r="Q136" s="18">
        <v>39</v>
      </c>
      <c r="R136" s="18">
        <v>1</v>
      </c>
      <c r="S136" s="13">
        <v>8828132635</v>
      </c>
      <c r="T136" s="13" t="s">
        <v>926</v>
      </c>
      <c r="U136" s="19">
        <v>34220600</v>
      </c>
      <c r="V136" s="18">
        <v>1</v>
      </c>
      <c r="W136" s="18">
        <f>_xlfn.XLOOKUP(J136,'Master Data 14-9-2026'!C:C,'Master Data 14-9-2026'!L:L)</f>
        <v>0.69</v>
      </c>
      <c r="X136" s="23">
        <v>34220600</v>
      </c>
      <c r="Y136" s="13" t="s">
        <v>1135</v>
      </c>
      <c r="Z136" s="24" t="str">
        <f>_xlfn.XLOOKUP(J136,'Master Data 14-9-2026'!C:C,'Master Data 14-9-2026'!I:I)</f>
        <v>Ended</v>
      </c>
      <c r="AA136" s="13"/>
      <c r="AC136" s="4"/>
      <c r="AD136" s="13"/>
      <c r="AE136" s="13" t="str">
        <f>_xlfn.XLOOKUP(L136,'[1]ID PROJECT'!E:E,'[1]ID PROJECT'!F:F)</f>
        <v xml:space="preserve">PRJ-KUT-KPU-TPED-2026-04-00071 </v>
      </c>
      <c r="AF136" s="13"/>
      <c r="AG136" s="13"/>
      <c r="AH136" s="65"/>
      <c r="AI136" s="27"/>
    </row>
    <row r="137" spans="1:35">
      <c r="A137" s="13" t="s">
        <v>792</v>
      </c>
      <c r="B137" s="13" t="str">
        <f>_xlfn.XLOOKUP(J137,'Master Data 14-9-2026'!C:C,'Master Data 14-9-2026'!D:D)</f>
        <v>Agus Hendra wx1506946</v>
      </c>
      <c r="C137" s="13"/>
      <c r="D137" s="13" t="str">
        <f>_xlfn.XLOOKUP(J137,'Master Data 14-9-2026'!C:C,'Master Data 14-9-2026'!E:E)</f>
        <v>XLSMART</v>
      </c>
      <c r="E137" s="13"/>
      <c r="F137" s="13"/>
      <c r="G137" s="13" t="s">
        <v>22</v>
      </c>
      <c r="H137" s="13" t="str">
        <f>_xlfn.XLOOKUP(J137,'Master Data 14-9-2026'!C:C,'Master Data 14-9-2026'!H:H)</f>
        <v>2026-06-01 - 2026-06-30</v>
      </c>
      <c r="I137" s="13" t="str">
        <f t="shared" si="2"/>
        <v>June</v>
      </c>
      <c r="J137" s="13" t="s">
        <v>1193</v>
      </c>
      <c r="K137" s="13" t="s">
        <v>1004</v>
      </c>
      <c r="L137" s="13" t="s">
        <v>441</v>
      </c>
      <c r="M137" s="15">
        <v>200003134884020</v>
      </c>
      <c r="N137" s="13" t="s">
        <v>924</v>
      </c>
      <c r="O137" s="13">
        <v>1.0912026052800099E+17</v>
      </c>
      <c r="P137" s="13" t="s">
        <v>1134</v>
      </c>
      <c r="Q137" s="18">
        <v>40</v>
      </c>
      <c r="R137" s="18">
        <v>1</v>
      </c>
      <c r="S137" s="13">
        <v>8828132635</v>
      </c>
      <c r="T137" s="13" t="s">
        <v>926</v>
      </c>
      <c r="U137" s="19">
        <v>34220600</v>
      </c>
      <c r="V137" s="18">
        <v>1</v>
      </c>
      <c r="W137" s="18">
        <f>_xlfn.XLOOKUP(J137,'Master Data 14-9-2026'!C:C,'Master Data 14-9-2026'!L:L)</f>
        <v>1</v>
      </c>
      <c r="X137" s="23">
        <v>34220600</v>
      </c>
      <c r="Y137" s="13" t="s">
        <v>1135</v>
      </c>
      <c r="Z137" s="24" t="str">
        <f>_xlfn.XLOOKUP(J137,'Master Data 14-9-2026'!C:C,'Master Data 14-9-2026'!I:I)</f>
        <v>Ended</v>
      </c>
      <c r="AA137" s="13" t="s">
        <v>934</v>
      </c>
      <c r="AC137" s="4"/>
      <c r="AD137" s="13" t="s">
        <v>935</v>
      </c>
      <c r="AE137" s="13" t="str">
        <f>_xlfn.XLOOKUP(L137,'[1]ID PROJECT'!E:E,'[1]ID PROJECT'!F:F)</f>
        <v xml:space="preserve">PRJ-KUT-KPU-TPED-2026-04-00071 </v>
      </c>
      <c r="AF137" s="4" t="s">
        <v>1155</v>
      </c>
      <c r="AG137" s="40" t="s">
        <v>3392</v>
      </c>
      <c r="AH137" s="65">
        <v>46267</v>
      </c>
      <c r="AI137" s="27" t="s">
        <v>967</v>
      </c>
    </row>
    <row r="138" spans="1:35" hidden="1">
      <c r="A138" s="13" t="s">
        <v>823</v>
      </c>
      <c r="B138" s="13" t="str">
        <f>_xlfn.XLOOKUP(J138,'Master Data 14-9-2026'!C:C,'Master Data 14-9-2026'!D:D)</f>
        <v>Zulfan Arrofi wx1517184</v>
      </c>
      <c r="C138" s="13"/>
      <c r="D138" s="13" t="str">
        <f>_xlfn.XLOOKUP(J138,'Master Data 14-9-2026'!C:C,'Master Data 14-9-2026'!E:E)</f>
        <v>XLSMART</v>
      </c>
      <c r="E138" s="13"/>
      <c r="F138" s="13"/>
      <c r="G138" s="13" t="s">
        <v>22</v>
      </c>
      <c r="H138" s="13" t="str">
        <f>_xlfn.XLOOKUP(J138,'Master Data 14-9-2026'!C:C,'Master Data 14-9-2026'!H:H)</f>
        <v>2026-07-05 - 2026-08-04</v>
      </c>
      <c r="I138" s="13" t="str">
        <f t="shared" si="2"/>
        <v>July</v>
      </c>
      <c r="J138" s="13" t="s">
        <v>1194</v>
      </c>
      <c r="K138" s="13" t="s">
        <v>1004</v>
      </c>
      <c r="L138" s="13" t="s">
        <v>441</v>
      </c>
      <c r="M138" s="15">
        <v>200003134885020</v>
      </c>
      <c r="N138" s="13" t="s">
        <v>924</v>
      </c>
      <c r="O138" s="13">
        <v>1.0912026052800099E+17</v>
      </c>
      <c r="P138" s="13" t="s">
        <v>1134</v>
      </c>
      <c r="Q138" s="18">
        <v>41</v>
      </c>
      <c r="R138" s="18">
        <v>1</v>
      </c>
      <c r="S138" s="13">
        <v>8828132635</v>
      </c>
      <c r="T138" s="13" t="s">
        <v>926</v>
      </c>
      <c r="U138" s="19">
        <v>34220600</v>
      </c>
      <c r="V138" s="18">
        <v>1</v>
      </c>
      <c r="W138" s="18">
        <f>_xlfn.XLOOKUP(J138,'Master Data 14-9-2026'!C:C,'Master Data 14-9-2026'!L:L)</f>
        <v>0</v>
      </c>
      <c r="X138" s="23">
        <v>34220600</v>
      </c>
      <c r="Y138" s="13" t="s">
        <v>1135</v>
      </c>
      <c r="Z138" s="24" t="s">
        <v>15</v>
      </c>
      <c r="AA138" s="13"/>
      <c r="AC138" s="4"/>
      <c r="AD138" s="13"/>
      <c r="AE138" s="13" t="str">
        <f>_xlfn.XLOOKUP(L138,'[1]ID PROJECT'!E:E,'[1]ID PROJECT'!F:F)</f>
        <v xml:space="preserve">PRJ-KUT-KPU-TPED-2026-04-00071 </v>
      </c>
      <c r="AF138" s="13"/>
      <c r="AG138" s="13"/>
      <c r="AH138" s="65"/>
      <c r="AI138" s="27"/>
    </row>
    <row r="139" spans="1:35">
      <c r="A139" s="13" t="s">
        <v>790</v>
      </c>
      <c r="B139" s="13" t="str">
        <f>_xlfn.XLOOKUP(J139,'Master Data 14-9-2026'!C:C,'Master Data 14-9-2026'!D:D)</f>
        <v>Prawira Satria Yodhipati wx1507286</v>
      </c>
      <c r="C139" s="13"/>
      <c r="D139" s="13" t="str">
        <f>_xlfn.XLOOKUP(J139,'Master Data 14-9-2026'!C:C,'Master Data 14-9-2026'!E:E)</f>
        <v>XLSMART</v>
      </c>
      <c r="E139" s="13"/>
      <c r="F139" s="13"/>
      <c r="G139" s="13" t="s">
        <v>22</v>
      </c>
      <c r="H139" s="13" t="str">
        <f>_xlfn.XLOOKUP(J139,'Master Data 14-9-2026'!C:C,'Master Data 14-9-2026'!H:H)</f>
        <v>2026-06-01 - 2026-06-30</v>
      </c>
      <c r="I139" s="13" t="str">
        <f t="shared" si="2"/>
        <v>June</v>
      </c>
      <c r="J139" s="13" t="s">
        <v>1195</v>
      </c>
      <c r="K139" s="16" t="s">
        <v>1004</v>
      </c>
      <c r="L139" s="13" t="s">
        <v>475</v>
      </c>
      <c r="M139" s="15">
        <v>200003134886020</v>
      </c>
      <c r="N139" s="13" t="s">
        <v>924</v>
      </c>
      <c r="O139" s="13">
        <v>1.0912026052800099E+17</v>
      </c>
      <c r="P139" s="13" t="s">
        <v>1134</v>
      </c>
      <c r="Q139" s="18">
        <v>42</v>
      </c>
      <c r="R139" s="18">
        <v>1</v>
      </c>
      <c r="S139" s="13">
        <v>8828132635</v>
      </c>
      <c r="T139" s="13" t="s">
        <v>926</v>
      </c>
      <c r="U139" s="19">
        <v>34220600</v>
      </c>
      <c r="V139" s="18">
        <v>1</v>
      </c>
      <c r="W139" s="18">
        <f>_xlfn.XLOOKUP(J139,'Master Data 14-9-2026'!C:C,'Master Data 14-9-2026'!L:L)</f>
        <v>1</v>
      </c>
      <c r="X139" s="23">
        <v>34220600</v>
      </c>
      <c r="Y139" s="13" t="s">
        <v>1135</v>
      </c>
      <c r="Z139" s="24" t="str">
        <f>_xlfn.XLOOKUP(J139,'Master Data 14-9-2026'!C:C,'Master Data 14-9-2026'!I:I)</f>
        <v>Ended</v>
      </c>
      <c r="AA139" s="40" t="s">
        <v>934</v>
      </c>
      <c r="AC139" s="4"/>
      <c r="AD139" s="40" t="s">
        <v>935</v>
      </c>
      <c r="AE139" s="13" t="str">
        <f>_xlfn.XLOOKUP(L139,'[1]ID PROJECT'!E:E,'[1]ID PROJECT'!F:F)</f>
        <v>PRJ-KUT-KPU-TPED-2026-04-00074</v>
      </c>
      <c r="AF139" s="39" t="s">
        <v>3390</v>
      </c>
      <c r="AG139" s="52" t="s">
        <v>3403</v>
      </c>
      <c r="AH139" s="65">
        <v>46272</v>
      </c>
      <c r="AI139" s="41" t="s">
        <v>967</v>
      </c>
    </row>
    <row r="140" spans="1:35" hidden="1">
      <c r="A140" s="13" t="s">
        <v>459</v>
      </c>
      <c r="B140" s="13" t="str">
        <f>_xlfn.XLOOKUP(J140,'Master Data 14-9-2026'!C:C,'Master Data 14-9-2026'!D:D)</f>
        <v>Leonard Ricardo Hutabarat wx1503633</v>
      </c>
      <c r="C140" s="13"/>
      <c r="D140" s="13" t="str">
        <f>_xlfn.XLOOKUP(J140,'Master Data 14-9-2026'!C:C,'Master Data 14-9-2026'!E:E)</f>
        <v>XLSMART</v>
      </c>
      <c r="E140" s="13"/>
      <c r="F140" s="13"/>
      <c r="G140" s="13" t="s">
        <v>22</v>
      </c>
      <c r="H140" s="13" t="str">
        <f>_xlfn.XLOOKUP(J140,'Master Data 14-9-2026'!C:C,'Master Data 14-9-2026'!H:H)</f>
        <v>2026-05-23 - 2026-06-22</v>
      </c>
      <c r="I140" s="13" t="str">
        <f t="shared" si="2"/>
        <v>May</v>
      </c>
      <c r="J140" s="13" t="s">
        <v>1196</v>
      </c>
      <c r="K140" s="13" t="s">
        <v>1004</v>
      </c>
      <c r="L140" s="13" t="s">
        <v>461</v>
      </c>
      <c r="M140" s="15">
        <v>200003134887020</v>
      </c>
      <c r="N140" s="13" t="s">
        <v>924</v>
      </c>
      <c r="O140" s="13">
        <v>1.0912026052800099E+17</v>
      </c>
      <c r="P140" s="13" t="s">
        <v>1134</v>
      </c>
      <c r="Q140" s="18">
        <v>43</v>
      </c>
      <c r="R140" s="18">
        <v>1</v>
      </c>
      <c r="S140" s="13">
        <v>8828132636</v>
      </c>
      <c r="T140" s="13" t="s">
        <v>933</v>
      </c>
      <c r="U140" s="19">
        <v>36992000</v>
      </c>
      <c r="V140" s="18">
        <v>1</v>
      </c>
      <c r="W140" s="18">
        <f>_xlfn.XLOOKUP(J140,'Master Data 14-9-2026'!C:C,'Master Data 14-9-2026'!L:L)</f>
        <v>1.5</v>
      </c>
      <c r="X140" s="23">
        <v>36992000</v>
      </c>
      <c r="Y140" s="13" t="s">
        <v>1135</v>
      </c>
      <c r="Z140" s="24" t="s">
        <v>15</v>
      </c>
      <c r="AA140" s="13"/>
      <c r="AC140" s="4"/>
      <c r="AD140" s="13"/>
      <c r="AE140" s="13" t="str">
        <f>_xlfn.XLOOKUP(L140,'[1]ID PROJECT'!E:E,'[1]ID PROJECT'!F:F)</f>
        <v>PRJ-KUT-KPU-TPED-2026-04-00078</v>
      </c>
      <c r="AF140" s="13"/>
      <c r="AG140" s="13"/>
      <c r="AH140" s="65"/>
      <c r="AI140" s="27"/>
    </row>
    <row r="141" spans="1:35" hidden="1">
      <c r="A141" s="13" t="s">
        <v>459</v>
      </c>
      <c r="B141" s="13" t="str">
        <f>_xlfn.XLOOKUP(J141,'Master Data 14-9-2026'!C:C,'Master Data 14-9-2026'!D:D)</f>
        <v>Leonard Ricardo Hutabarat wx1503633</v>
      </c>
      <c r="C141" s="13"/>
      <c r="D141" s="13" t="str">
        <f>_xlfn.XLOOKUP(J141,'Master Data 14-9-2026'!C:C,'Master Data 14-9-2026'!E:E)</f>
        <v>XLSMART</v>
      </c>
      <c r="E141" s="13"/>
      <c r="F141" s="13"/>
      <c r="G141" s="13" t="s">
        <v>18</v>
      </c>
      <c r="H141" s="13" t="str">
        <f>_xlfn.XLOOKUP(J141,'Master Data 14-9-2026'!C:C,'Master Data 14-9-2026'!H:H)</f>
        <v>2026-04-23 - 2026-05-22</v>
      </c>
      <c r="I141" s="13" t="str">
        <f t="shared" si="2"/>
        <v>April</v>
      </c>
      <c r="J141" s="13" t="s">
        <v>1197</v>
      </c>
      <c r="K141" s="13" t="s">
        <v>1004</v>
      </c>
      <c r="L141" s="13" t="s">
        <v>461</v>
      </c>
      <c r="M141" s="15">
        <v>200003134852020</v>
      </c>
      <c r="N141" s="13" t="s">
        <v>924</v>
      </c>
      <c r="O141" s="13">
        <v>1.0912026052800099E+17</v>
      </c>
      <c r="P141" s="13" t="s">
        <v>1134</v>
      </c>
      <c r="Q141" s="18">
        <v>44</v>
      </c>
      <c r="R141" s="18">
        <v>1</v>
      </c>
      <c r="S141" s="13">
        <v>8828132636</v>
      </c>
      <c r="T141" s="13" t="s">
        <v>933</v>
      </c>
      <c r="U141" s="19">
        <v>36992000</v>
      </c>
      <c r="V141" s="18">
        <v>1</v>
      </c>
      <c r="W141" s="18">
        <f>_xlfn.XLOOKUP(J141,'Master Data 14-9-2026'!C:C,'Master Data 14-9-2026'!L:L)</f>
        <v>1.5</v>
      </c>
      <c r="X141" s="23">
        <v>36992000</v>
      </c>
      <c r="Y141" s="13" t="s">
        <v>1135</v>
      </c>
      <c r="Z141" s="24" t="s">
        <v>15</v>
      </c>
      <c r="AA141" s="13" t="s">
        <v>934</v>
      </c>
      <c r="AC141" s="4"/>
      <c r="AD141" s="13" t="s">
        <v>935</v>
      </c>
      <c r="AE141" s="13" t="str">
        <f>_xlfn.XLOOKUP(L141,'[1]ID PROJECT'!E:E,'[1]ID PROJECT'!F:F)</f>
        <v>PRJ-KUT-KPU-TPED-2026-04-00078</v>
      </c>
      <c r="AF141" s="13" t="s">
        <v>1141</v>
      </c>
      <c r="AG141" s="13" t="s">
        <v>1142</v>
      </c>
      <c r="AH141" s="65">
        <v>46216</v>
      </c>
      <c r="AI141" s="27" t="s">
        <v>938</v>
      </c>
    </row>
    <row r="142" spans="1:35">
      <c r="A142" s="13" t="s">
        <v>177</v>
      </c>
      <c r="B142" s="13" t="str">
        <f>_xlfn.XLOOKUP(J142,'Master Data 14-9-2026'!C:C,'Master Data 14-9-2026'!D:D)</f>
        <v>Aliyah wx1507137</v>
      </c>
      <c r="C142" s="13"/>
      <c r="D142" s="13" t="str">
        <f>_xlfn.XLOOKUP(J142,'Master Data 14-9-2026'!C:C,'Master Data 14-9-2026'!E:E)</f>
        <v>XLSMART</v>
      </c>
      <c r="E142" s="13"/>
      <c r="F142" s="13"/>
      <c r="G142" s="13" t="s">
        <v>22</v>
      </c>
      <c r="H142" s="13" t="str">
        <f>_xlfn.XLOOKUP(J142,'Master Data 14-9-2026'!C:C,'Master Data 14-9-2026'!H:H)</f>
        <v>2026-06-01 - 2026-06-30</v>
      </c>
      <c r="I142" s="13" t="str">
        <f t="shared" si="2"/>
        <v>June</v>
      </c>
      <c r="J142" s="13" t="s">
        <v>1198</v>
      </c>
      <c r="K142" s="13" t="s">
        <v>1004</v>
      </c>
      <c r="L142" s="13" t="s">
        <v>441</v>
      </c>
      <c r="M142" s="15">
        <v>200003134872020</v>
      </c>
      <c r="N142" s="13" t="s">
        <v>924</v>
      </c>
      <c r="O142" s="13">
        <v>1.0912026052800099E+17</v>
      </c>
      <c r="P142" s="13" t="s">
        <v>1134</v>
      </c>
      <c r="Q142" s="18">
        <v>45</v>
      </c>
      <c r="R142" s="18">
        <v>1</v>
      </c>
      <c r="S142" s="13">
        <v>8828132633</v>
      </c>
      <c r="T142" s="13" t="s">
        <v>951</v>
      </c>
      <c r="U142" s="19">
        <v>28881900</v>
      </c>
      <c r="V142" s="18">
        <v>1</v>
      </c>
      <c r="W142" s="18">
        <f>_xlfn.XLOOKUP(J142,'Master Data 14-9-2026'!C:C,'Master Data 14-9-2026'!L:L)</f>
        <v>1</v>
      </c>
      <c r="X142" s="23">
        <v>28881900</v>
      </c>
      <c r="Y142" s="13" t="s">
        <v>1135</v>
      </c>
      <c r="Z142" s="24" t="str">
        <f>_xlfn.XLOOKUP(J142,'Master Data 14-9-2026'!C:C,'Master Data 14-9-2026'!I:I)</f>
        <v>Ended</v>
      </c>
      <c r="AA142" s="40" t="s">
        <v>934</v>
      </c>
      <c r="AC142" s="4"/>
      <c r="AD142" s="40" t="s">
        <v>935</v>
      </c>
      <c r="AE142" s="13" t="str">
        <f>_xlfn.XLOOKUP(L142,'[1]ID PROJECT'!E:E,'[1]ID PROJECT'!F:F)</f>
        <v xml:space="preserve">PRJ-KUT-KPU-TPED-2026-04-00071 </v>
      </c>
      <c r="AF142" s="39" t="s">
        <v>3390</v>
      </c>
      <c r="AG142" s="52" t="s">
        <v>3403</v>
      </c>
      <c r="AH142" s="65">
        <v>46272</v>
      </c>
      <c r="AI142" s="41" t="s">
        <v>967</v>
      </c>
    </row>
    <row r="143" spans="1:35" hidden="1">
      <c r="A143" s="13" t="s">
        <v>508</v>
      </c>
      <c r="B143" s="13" t="str">
        <f>_xlfn.XLOOKUP(J143,'Master Data 14-9-2026'!C:C,'Master Data 14-9-2026'!D:D)</f>
        <v>Herni Peruzi wx1503973</v>
      </c>
      <c r="C143" s="13"/>
      <c r="D143" s="13" t="str">
        <f>_xlfn.XLOOKUP(J143,'Master Data 14-9-2026'!C:C,'Master Data 14-9-2026'!E:E)</f>
        <v>XLSMART</v>
      </c>
      <c r="E143" s="13"/>
      <c r="F143" s="13"/>
      <c r="G143" s="13" t="s">
        <v>22</v>
      </c>
      <c r="H143" s="13" t="str">
        <f>_xlfn.XLOOKUP(J143,'Master Data 14-9-2026'!C:C,'Master Data 14-9-2026'!H:H)</f>
        <v>2026-05-30 - 2026-06-29</v>
      </c>
      <c r="I143" s="13" t="str">
        <f t="shared" si="2"/>
        <v>May</v>
      </c>
      <c r="J143" s="13" t="s">
        <v>1199</v>
      </c>
      <c r="K143" s="13" t="s">
        <v>1004</v>
      </c>
      <c r="L143" s="13" t="s">
        <v>441</v>
      </c>
      <c r="M143" s="15">
        <v>200003134892020</v>
      </c>
      <c r="N143" s="13" t="s">
        <v>924</v>
      </c>
      <c r="O143" s="13">
        <v>1.0912026052800099E+17</v>
      </c>
      <c r="P143" s="13" t="s">
        <v>1134</v>
      </c>
      <c r="Q143" s="18">
        <v>46</v>
      </c>
      <c r="R143" s="18">
        <v>1</v>
      </c>
      <c r="S143" s="13">
        <v>8828132636</v>
      </c>
      <c r="T143" s="13" t="s">
        <v>933</v>
      </c>
      <c r="U143" s="19">
        <v>36992000</v>
      </c>
      <c r="V143" s="18">
        <v>1</v>
      </c>
      <c r="W143" s="18">
        <f>_xlfn.XLOOKUP(J143,'Master Data 14-9-2026'!C:C,'Master Data 14-9-2026'!L:L)</f>
        <v>1.5</v>
      </c>
      <c r="X143" s="23">
        <v>36992000</v>
      </c>
      <c r="Y143" s="13" t="s">
        <v>1135</v>
      </c>
      <c r="Z143" s="24" t="s">
        <v>15</v>
      </c>
      <c r="AA143" s="13"/>
      <c r="AC143" s="4"/>
      <c r="AD143" s="13"/>
      <c r="AE143" s="13" t="str">
        <f>_xlfn.XLOOKUP(L143,'[1]ID PROJECT'!E:E,'[1]ID PROJECT'!F:F)</f>
        <v xml:space="preserve">PRJ-KUT-KPU-TPED-2026-04-00071 </v>
      </c>
      <c r="AF143" s="13"/>
      <c r="AG143" s="13"/>
      <c r="AH143" s="65"/>
      <c r="AI143" s="27"/>
    </row>
    <row r="144" spans="1:35" hidden="1">
      <c r="A144" s="13" t="s">
        <v>304</v>
      </c>
      <c r="B144" s="13" t="str">
        <f>_xlfn.XLOOKUP(J144,'Master Data 14-9-2026'!C:C,'Master Data 14-9-2026'!D:D)</f>
        <v>Salsabila Ulya Nabilah Fuad wx1507138</v>
      </c>
      <c r="C144" s="13"/>
      <c r="D144" s="13" t="str">
        <f>_xlfn.XLOOKUP(J144,'Master Data 14-9-2026'!C:C,'Master Data 14-9-2026'!E:E)</f>
        <v>XLSMART</v>
      </c>
      <c r="E144" s="13"/>
      <c r="F144" s="13"/>
      <c r="G144" s="13" t="s">
        <v>22</v>
      </c>
      <c r="H144" s="13" t="str">
        <f>_xlfn.XLOOKUP(J144,'Master Data 14-9-2026'!C:C,'Master Data 14-9-2026'!H:H)</f>
        <v>2026-06-01 - 2026-06-30</v>
      </c>
      <c r="I144" s="13" t="str">
        <f t="shared" si="2"/>
        <v>June</v>
      </c>
      <c r="J144" s="13" t="s">
        <v>1200</v>
      </c>
      <c r="K144" s="13" t="s">
        <v>1004</v>
      </c>
      <c r="L144" s="13" t="s">
        <v>441</v>
      </c>
      <c r="M144" s="15">
        <v>200003134873020</v>
      </c>
      <c r="N144" s="13" t="s">
        <v>924</v>
      </c>
      <c r="O144" s="13">
        <v>1.0912026052800099E+17</v>
      </c>
      <c r="P144" s="13" t="s">
        <v>1134</v>
      </c>
      <c r="Q144" s="18">
        <v>47</v>
      </c>
      <c r="R144" s="18">
        <v>1</v>
      </c>
      <c r="S144" s="13">
        <v>8828132633</v>
      </c>
      <c r="T144" s="13" t="s">
        <v>951</v>
      </c>
      <c r="U144" s="19">
        <v>28881900</v>
      </c>
      <c r="V144" s="18">
        <v>1</v>
      </c>
      <c r="W144" s="18">
        <f>_xlfn.XLOOKUP(J144,'Master Data 14-9-2026'!C:C,'Master Data 14-9-2026'!L:L)</f>
        <v>0.5</v>
      </c>
      <c r="X144" s="23">
        <v>28881900</v>
      </c>
      <c r="Y144" s="13" t="s">
        <v>1135</v>
      </c>
      <c r="Z144" s="24" t="str">
        <f>_xlfn.XLOOKUP(J144,'Master Data 14-9-2026'!C:C,'Master Data 14-9-2026'!I:I)</f>
        <v>Ended</v>
      </c>
      <c r="AA144" s="13"/>
      <c r="AC144" s="4"/>
      <c r="AD144" s="13"/>
      <c r="AE144" s="13" t="str">
        <f>_xlfn.XLOOKUP(L144,'[1]ID PROJECT'!E:E,'[1]ID PROJECT'!F:F)</f>
        <v xml:space="preserve">PRJ-KUT-KPU-TPED-2026-04-00071 </v>
      </c>
      <c r="AF144" s="13"/>
      <c r="AG144" s="13"/>
      <c r="AH144" s="65"/>
      <c r="AI144" s="27"/>
    </row>
    <row r="145" spans="1:35" hidden="1">
      <c r="A145" s="13" t="s">
        <v>286</v>
      </c>
      <c r="B145" s="13" t="str">
        <f>_xlfn.XLOOKUP(J145,'Master Data 14-9-2026'!C:C,'Master Data 14-9-2026'!D:D)</f>
        <v>Rifan Azkia wx1504665</v>
      </c>
      <c r="C145" s="13"/>
      <c r="D145" s="13" t="str">
        <f>_xlfn.XLOOKUP(J145,'Master Data 14-9-2026'!C:C,'Master Data 14-9-2026'!E:E)</f>
        <v>XLSMART</v>
      </c>
      <c r="E145" s="13"/>
      <c r="F145" s="13"/>
      <c r="G145" s="13" t="s">
        <v>22</v>
      </c>
      <c r="H145" s="13" t="str">
        <f>_xlfn.XLOOKUP(J145,'Master Data 14-9-2026'!C:C,'Master Data 14-9-2026'!H:H)</f>
        <v>2026-05-23 - 2026-06-22</v>
      </c>
      <c r="I145" s="13" t="str">
        <f t="shared" si="2"/>
        <v>May</v>
      </c>
      <c r="J145" s="13" t="s">
        <v>1201</v>
      </c>
      <c r="K145" s="13" t="s">
        <v>1004</v>
      </c>
      <c r="L145" s="13" t="s">
        <v>441</v>
      </c>
      <c r="M145" s="15">
        <v>200003134866020</v>
      </c>
      <c r="N145" s="13" t="s">
        <v>924</v>
      </c>
      <c r="O145" s="13">
        <v>1.0912026052800099E+17</v>
      </c>
      <c r="P145" s="13" t="s">
        <v>1134</v>
      </c>
      <c r="Q145" s="18">
        <v>48</v>
      </c>
      <c r="R145" s="18">
        <v>1</v>
      </c>
      <c r="S145" s="13">
        <v>8828132633</v>
      </c>
      <c r="T145" s="13" t="s">
        <v>951</v>
      </c>
      <c r="U145" s="19">
        <v>28881900</v>
      </c>
      <c r="V145" s="18">
        <v>1</v>
      </c>
      <c r="W145" s="18">
        <f>_xlfn.XLOOKUP(J145,'Master Data 14-9-2026'!C:C,'Master Data 14-9-2026'!L:L)</f>
        <v>0</v>
      </c>
      <c r="X145" s="23">
        <v>28881900</v>
      </c>
      <c r="Y145" s="13" t="s">
        <v>1135</v>
      </c>
      <c r="Z145" s="24" t="s">
        <v>15</v>
      </c>
      <c r="AA145" s="13" t="s">
        <v>934</v>
      </c>
      <c r="AC145" s="4"/>
      <c r="AD145" s="13" t="s">
        <v>935</v>
      </c>
      <c r="AE145" s="13" t="str">
        <f>_xlfn.XLOOKUP(L145,'[1]ID PROJECT'!E:E,'[1]ID PROJECT'!F:F)</f>
        <v xml:space="preserve">PRJ-KUT-KPU-TPED-2026-04-00071 </v>
      </c>
      <c r="AF145" s="4" t="s">
        <v>1202</v>
      </c>
      <c r="AG145" s="13" t="s">
        <v>1203</v>
      </c>
      <c r="AH145" s="65">
        <v>46265</v>
      </c>
      <c r="AI145" s="27" t="s">
        <v>1095</v>
      </c>
    </row>
    <row r="146" spans="1:35" hidden="1">
      <c r="A146" s="13" t="s">
        <v>792</v>
      </c>
      <c r="B146" s="13" t="str">
        <f>_xlfn.XLOOKUP(J146,'Master Data 14-9-2026'!C:C,'Master Data 14-9-2026'!D:D)</f>
        <v>Agus Hendra wx1506946</v>
      </c>
      <c r="C146" s="13"/>
      <c r="D146" s="13" t="str">
        <f>_xlfn.XLOOKUP(J146,'Master Data 14-9-2026'!C:C,'Master Data 14-9-2026'!E:E)</f>
        <v>XLSMART</v>
      </c>
      <c r="E146" s="13"/>
      <c r="F146" s="13"/>
      <c r="G146" s="13" t="s">
        <v>18</v>
      </c>
      <c r="H146" s="13" t="str">
        <f>_xlfn.XLOOKUP(J146,'Master Data 14-9-2026'!C:C,'Master Data 14-9-2026'!H:H)</f>
        <v>2026-05-01 - 2026-05-31</v>
      </c>
      <c r="I146" s="13" t="str">
        <f t="shared" si="2"/>
        <v>May</v>
      </c>
      <c r="J146" s="13" t="s">
        <v>1204</v>
      </c>
      <c r="K146" s="13" t="s">
        <v>1004</v>
      </c>
      <c r="L146" s="13" t="s">
        <v>441</v>
      </c>
      <c r="M146" s="15">
        <v>200003134849020</v>
      </c>
      <c r="N146" s="13" t="s">
        <v>924</v>
      </c>
      <c r="O146" s="13">
        <v>1.0912026052800099E+17</v>
      </c>
      <c r="P146" s="13" t="s">
        <v>1134</v>
      </c>
      <c r="Q146" s="18">
        <v>49</v>
      </c>
      <c r="R146" s="18">
        <v>1</v>
      </c>
      <c r="S146" s="13">
        <v>8828132635</v>
      </c>
      <c r="T146" s="13" t="s">
        <v>926</v>
      </c>
      <c r="U146" s="19">
        <v>34220600</v>
      </c>
      <c r="V146" s="18">
        <v>1</v>
      </c>
      <c r="W146" s="18">
        <f>_xlfn.XLOOKUP(J146,'Master Data 14-9-2026'!C:C,'Master Data 14-9-2026'!L:L)</f>
        <v>1</v>
      </c>
      <c r="X146" s="23">
        <v>34220600</v>
      </c>
      <c r="Y146" s="13" t="s">
        <v>1135</v>
      </c>
      <c r="Z146" s="24" t="str">
        <f>_xlfn.XLOOKUP(J146,'Master Data 14-9-2026'!C:C,'Master Data 14-9-2026'!I:I)</f>
        <v>Ended</v>
      </c>
      <c r="AA146" s="13" t="s">
        <v>934</v>
      </c>
      <c r="AC146" s="4"/>
      <c r="AD146" s="13" t="s">
        <v>935</v>
      </c>
      <c r="AE146" s="13" t="str">
        <f>_xlfn.XLOOKUP(L146,'[1]ID PROJECT'!E:E,'[1]ID PROJECT'!F:F)</f>
        <v xml:space="preserve">PRJ-KUT-KPU-TPED-2026-04-00071 </v>
      </c>
      <c r="AF146" s="13" t="s">
        <v>1141</v>
      </c>
      <c r="AG146" s="13" t="s">
        <v>1142</v>
      </c>
      <c r="AH146" s="65">
        <v>46216</v>
      </c>
      <c r="AI146" s="27" t="s">
        <v>938</v>
      </c>
    </row>
    <row r="147" spans="1:35" hidden="1">
      <c r="A147" s="13" t="s">
        <v>388</v>
      </c>
      <c r="B147" s="13" t="str">
        <f>_xlfn.XLOOKUP(J147,'Master Data 14-9-2026'!C:C,'Master Data 14-9-2026'!D:D)</f>
        <v>Devi Dyah Palupi wx1503645</v>
      </c>
      <c r="C147" s="13"/>
      <c r="D147" s="13" t="str">
        <f>_xlfn.XLOOKUP(J147,'Master Data 14-9-2026'!C:C,'Master Data 14-9-2026'!E:E)</f>
        <v>IOH</v>
      </c>
      <c r="E147" s="13"/>
      <c r="F147" s="13"/>
      <c r="G147" s="13" t="s">
        <v>22</v>
      </c>
      <c r="H147" s="13" t="str">
        <f>_xlfn.XLOOKUP(J147,'Master Data 14-9-2026'!C:C,'Master Data 14-9-2026'!H:H)</f>
        <v>2026-05-23 - 2026-06-22</v>
      </c>
      <c r="I147" s="13" t="str">
        <f t="shared" si="2"/>
        <v>May</v>
      </c>
      <c r="J147" s="13" t="s">
        <v>1205</v>
      </c>
      <c r="K147" s="13" t="s">
        <v>1004</v>
      </c>
      <c r="L147" s="13" t="s">
        <v>441</v>
      </c>
      <c r="M147" s="15">
        <v>200003134867020</v>
      </c>
      <c r="N147" s="13" t="s">
        <v>924</v>
      </c>
      <c r="O147" s="13">
        <v>1.0912026052800099E+17</v>
      </c>
      <c r="P147" s="13" t="s">
        <v>1134</v>
      </c>
      <c r="Q147" s="18">
        <v>50</v>
      </c>
      <c r="R147" s="18">
        <v>1</v>
      </c>
      <c r="S147" s="13">
        <v>8828132633</v>
      </c>
      <c r="T147" s="13" t="s">
        <v>951</v>
      </c>
      <c r="U147" s="19">
        <v>28881900</v>
      </c>
      <c r="V147" s="18">
        <v>1</v>
      </c>
      <c r="W147" s="18">
        <f>_xlfn.XLOOKUP(J147,'Master Data 14-9-2026'!C:C,'Master Data 14-9-2026'!L:L)</f>
        <v>0</v>
      </c>
      <c r="X147" s="23">
        <v>28881900</v>
      </c>
      <c r="Y147" s="13" t="s">
        <v>1135</v>
      </c>
      <c r="Z147" s="24" t="s">
        <v>984</v>
      </c>
      <c r="AA147" s="13"/>
      <c r="AC147" s="4"/>
      <c r="AD147" s="13"/>
      <c r="AE147" s="13" t="str">
        <f>_xlfn.XLOOKUP(L147,'[1]ID PROJECT'!E:E,'[1]ID PROJECT'!F:F)</f>
        <v xml:space="preserve">PRJ-KUT-KPU-TPED-2026-04-00071 </v>
      </c>
      <c r="AF147" s="13"/>
      <c r="AG147" s="13"/>
      <c r="AH147" s="65"/>
      <c r="AI147" s="27"/>
    </row>
    <row r="148" spans="1:35" hidden="1">
      <c r="A148" s="13" t="s">
        <v>388</v>
      </c>
      <c r="B148" s="13" t="str">
        <f>_xlfn.XLOOKUP(J148,'Master Data 14-9-2026'!C:C,'Master Data 14-9-2026'!D:D)</f>
        <v>Devi Dyah Palupi wx1503645</v>
      </c>
      <c r="C148" s="13"/>
      <c r="D148" s="13" t="str">
        <f>_xlfn.XLOOKUP(J148,'Master Data 14-9-2026'!C:C,'Master Data 14-9-2026'!E:E)</f>
        <v>IOH</v>
      </c>
      <c r="E148" s="13"/>
      <c r="F148" s="13"/>
      <c r="G148" s="13" t="s">
        <v>18</v>
      </c>
      <c r="H148" s="13" t="str">
        <f>_xlfn.XLOOKUP(J148,'Master Data 14-9-2026'!C:C,'Master Data 14-9-2026'!H:H)</f>
        <v>2026-04-23 - 2026-05-22</v>
      </c>
      <c r="I148" s="13" t="str">
        <f t="shared" si="2"/>
        <v>April</v>
      </c>
      <c r="J148" s="13" t="s">
        <v>1206</v>
      </c>
      <c r="K148" s="13" t="s">
        <v>1004</v>
      </c>
      <c r="L148" s="13" t="s">
        <v>457</v>
      </c>
      <c r="M148" s="15">
        <v>200003134832020</v>
      </c>
      <c r="N148" s="13" t="s">
        <v>924</v>
      </c>
      <c r="O148" s="13">
        <v>1.0912026052800099E+17</v>
      </c>
      <c r="P148" s="13" t="s">
        <v>1134</v>
      </c>
      <c r="Q148" s="18">
        <v>51</v>
      </c>
      <c r="R148" s="18">
        <v>1</v>
      </c>
      <c r="S148" s="13">
        <v>8828132633</v>
      </c>
      <c r="T148" s="13" t="s">
        <v>951</v>
      </c>
      <c r="U148" s="19">
        <v>28881900</v>
      </c>
      <c r="V148" s="18">
        <v>1</v>
      </c>
      <c r="W148" s="18">
        <f>_xlfn.XLOOKUP(J148,'Master Data 14-9-2026'!C:C,'Master Data 14-9-2026'!L:L)</f>
        <v>0</v>
      </c>
      <c r="X148" s="23">
        <v>28881900</v>
      </c>
      <c r="Y148" s="13" t="s">
        <v>1135</v>
      </c>
      <c r="Z148" s="24" t="s">
        <v>15</v>
      </c>
      <c r="AA148" s="13" t="s">
        <v>934</v>
      </c>
      <c r="AC148" s="4"/>
      <c r="AD148" s="13" t="s">
        <v>935</v>
      </c>
      <c r="AE148" s="13" t="str">
        <f>_xlfn.XLOOKUP(L148,'[1]ID PROJECT'!E:E,'[1]ID PROJECT'!F:F)</f>
        <v>PRJ-KUT-KPU-TPED-2026-04-00076</v>
      </c>
      <c r="AF148" s="13" t="s">
        <v>1141</v>
      </c>
      <c r="AG148" s="13" t="s">
        <v>1142</v>
      </c>
      <c r="AH148" s="65">
        <v>46216</v>
      </c>
      <c r="AI148" s="27" t="s">
        <v>938</v>
      </c>
    </row>
    <row r="149" spans="1:35" hidden="1">
      <c r="A149" s="13" t="s">
        <v>185</v>
      </c>
      <c r="B149" s="13" t="str">
        <f>_xlfn.XLOOKUP(J149,'Master Data 14-9-2026'!C:C,'Master Data 14-9-2026'!D:D)</f>
        <v>Ika Setianingsih wx1507364</v>
      </c>
      <c r="C149" s="13"/>
      <c r="D149" s="13" t="str">
        <f>_xlfn.XLOOKUP(J149,'Master Data 14-9-2026'!C:C,'Master Data 14-9-2026'!E:E)</f>
        <v>XLSMART</v>
      </c>
      <c r="E149" s="13"/>
      <c r="F149" s="13"/>
      <c r="G149" s="13" t="s">
        <v>18</v>
      </c>
      <c r="H149" s="13" t="str">
        <f>_xlfn.XLOOKUP(J149,'Master Data 14-9-2026'!C:C,'Master Data 14-9-2026'!H:H)</f>
        <v>2026-05-01 - 2026-05-31</v>
      </c>
      <c r="I149" s="13" t="str">
        <f t="shared" si="2"/>
        <v>May</v>
      </c>
      <c r="J149" s="13" t="s">
        <v>1207</v>
      </c>
      <c r="K149" s="13" t="s">
        <v>1004</v>
      </c>
      <c r="L149" s="13" t="s">
        <v>441</v>
      </c>
      <c r="M149" s="15">
        <v>200003134836020</v>
      </c>
      <c r="N149" s="13" t="s">
        <v>924</v>
      </c>
      <c r="O149" s="13">
        <v>1.0912026052800099E+17</v>
      </c>
      <c r="P149" s="13" t="s">
        <v>1134</v>
      </c>
      <c r="Q149" s="18">
        <v>52</v>
      </c>
      <c r="R149" s="18">
        <v>1</v>
      </c>
      <c r="S149" s="13">
        <v>8828132633</v>
      </c>
      <c r="T149" s="13" t="s">
        <v>951</v>
      </c>
      <c r="U149" s="19">
        <v>28881900</v>
      </c>
      <c r="V149" s="18">
        <v>1</v>
      </c>
      <c r="W149" s="18">
        <f>_xlfn.XLOOKUP(J149,'Master Data 14-9-2026'!C:C,'Master Data 14-9-2026'!L:L)</f>
        <v>1.5</v>
      </c>
      <c r="X149" s="23">
        <v>28881900</v>
      </c>
      <c r="Y149" s="13" t="s">
        <v>1135</v>
      </c>
      <c r="Z149" s="24" t="s">
        <v>15</v>
      </c>
      <c r="AA149" s="13" t="s">
        <v>934</v>
      </c>
      <c r="AC149" s="4"/>
      <c r="AD149" s="13" t="s">
        <v>935</v>
      </c>
      <c r="AE149" s="13" t="str">
        <f>_xlfn.XLOOKUP(L149,'[1]ID PROJECT'!E:E,'[1]ID PROJECT'!F:F)</f>
        <v xml:space="preserve">PRJ-KUT-KPU-TPED-2026-04-00071 </v>
      </c>
      <c r="AF149" s="13" t="s">
        <v>1141</v>
      </c>
      <c r="AG149" s="13" t="s">
        <v>1142</v>
      </c>
      <c r="AH149" s="65">
        <v>46216</v>
      </c>
      <c r="AI149" s="27" t="s">
        <v>938</v>
      </c>
    </row>
    <row r="150" spans="1:35" hidden="1">
      <c r="A150" s="13" t="s">
        <v>501</v>
      </c>
      <c r="B150" s="13" t="str">
        <f>_xlfn.XLOOKUP(J150,'Master Data 14-9-2026'!C:C,'Master Data 14-9-2026'!D:D)</f>
        <v>Benny Prio Utomo wx1513406</v>
      </c>
      <c r="C150" s="13"/>
      <c r="D150" s="13" t="str">
        <f>_xlfn.XLOOKUP(J150,'Master Data 14-9-2026'!C:C,'Master Data 14-9-2026'!E:E)</f>
        <v>XLSMART</v>
      </c>
      <c r="E150" s="13"/>
      <c r="F150" s="13"/>
      <c r="G150" s="13" t="s">
        <v>18</v>
      </c>
      <c r="H150" s="13" t="str">
        <f>_xlfn.XLOOKUP(J150,'Master Data 14-9-2026'!C:C,'Master Data 14-9-2026'!H:H)</f>
        <v>2026-05-21 - 2026-06-20</v>
      </c>
      <c r="I150" s="13" t="str">
        <f t="shared" si="2"/>
        <v>May</v>
      </c>
      <c r="J150" s="13" t="s">
        <v>1208</v>
      </c>
      <c r="K150" s="13" t="s">
        <v>1004</v>
      </c>
      <c r="L150" s="13" t="s">
        <v>441</v>
      </c>
      <c r="M150" s="15">
        <v>200003134860020</v>
      </c>
      <c r="N150" s="13" t="s">
        <v>924</v>
      </c>
      <c r="O150" s="13">
        <v>1.0912026052800099E+17</v>
      </c>
      <c r="P150" s="13" t="s">
        <v>1134</v>
      </c>
      <c r="Q150" s="18">
        <v>53</v>
      </c>
      <c r="R150" s="18">
        <v>1</v>
      </c>
      <c r="S150" s="13">
        <v>8828132636</v>
      </c>
      <c r="T150" s="13" t="s">
        <v>933</v>
      </c>
      <c r="U150" s="19">
        <v>36992000</v>
      </c>
      <c r="V150" s="18">
        <v>1</v>
      </c>
      <c r="W150" s="18">
        <f>_xlfn.XLOOKUP(J150,'Master Data 14-9-2026'!C:C,'Master Data 14-9-2026'!L:L)</f>
        <v>1.5</v>
      </c>
      <c r="X150" s="23">
        <v>36992000</v>
      </c>
      <c r="Y150" s="13" t="s">
        <v>1135</v>
      </c>
      <c r="Z150" s="24" t="s">
        <v>15</v>
      </c>
      <c r="AA150" s="13" t="s">
        <v>934</v>
      </c>
      <c r="AC150" s="4"/>
      <c r="AD150" s="13" t="s">
        <v>935</v>
      </c>
      <c r="AE150" s="13" t="str">
        <f>_xlfn.XLOOKUP(L150,'[1]ID PROJECT'!E:E,'[1]ID PROJECT'!F:F)</f>
        <v xml:space="preserve">PRJ-KUT-KPU-TPED-2026-04-00071 </v>
      </c>
      <c r="AF150" s="13" t="s">
        <v>1141</v>
      </c>
      <c r="AG150" s="13" t="s">
        <v>1142</v>
      </c>
      <c r="AH150" s="65">
        <v>46216</v>
      </c>
      <c r="AI150" s="27" t="s">
        <v>938</v>
      </c>
    </row>
    <row r="151" spans="1:35" hidden="1">
      <c r="A151" s="13" t="s">
        <v>617</v>
      </c>
      <c r="B151" s="13" t="str">
        <f>_xlfn.XLOOKUP(J151,'Master Data 14-9-2026'!C:C,'Master Data 14-9-2026'!D:D)</f>
        <v>Eko Syambudi Deviyanto wx1507285</v>
      </c>
      <c r="C151" s="13"/>
      <c r="D151" s="13" t="str">
        <f>_xlfn.XLOOKUP(J151,'Master Data 14-9-2026'!C:C,'Master Data 14-9-2026'!E:E)</f>
        <v>XL-FTTH</v>
      </c>
      <c r="E151" s="13"/>
      <c r="F151" s="13"/>
      <c r="G151" s="13" t="s">
        <v>22</v>
      </c>
      <c r="H151" s="13" t="str">
        <f>_xlfn.XLOOKUP(J151,'Master Data 14-9-2026'!C:C,'Master Data 14-9-2026'!H:H)</f>
        <v>2026-06-01 - 2026-06-30</v>
      </c>
      <c r="I151" s="13" t="str">
        <f t="shared" si="2"/>
        <v>June</v>
      </c>
      <c r="J151" s="13" t="s">
        <v>1209</v>
      </c>
      <c r="K151" s="13" t="s">
        <v>1004</v>
      </c>
      <c r="L151" s="13" t="s">
        <v>441</v>
      </c>
      <c r="M151" s="15">
        <v>200003135900020</v>
      </c>
      <c r="N151" s="13" t="s">
        <v>924</v>
      </c>
      <c r="O151" s="13">
        <v>1.0912026052800099E+17</v>
      </c>
      <c r="P151" s="13" t="s">
        <v>1134</v>
      </c>
      <c r="Q151" s="18">
        <v>54</v>
      </c>
      <c r="R151" s="18">
        <v>1</v>
      </c>
      <c r="S151" s="13">
        <v>8828132634</v>
      </c>
      <c r="T151" s="13" t="s">
        <v>978</v>
      </c>
      <c r="U151" s="19">
        <v>32542400</v>
      </c>
      <c r="V151" s="18">
        <v>1</v>
      </c>
      <c r="W151" s="18">
        <f>_xlfn.XLOOKUP(J151,'Master Data 14-9-2026'!C:C,'Master Data 14-9-2026'!L:L)</f>
        <v>0</v>
      </c>
      <c r="X151" s="23">
        <v>32542400</v>
      </c>
      <c r="Y151" s="13" t="s">
        <v>1135</v>
      </c>
      <c r="Z151" s="24" t="str">
        <f>_xlfn.XLOOKUP(J151,'Master Data 14-9-2026'!C:C,'Master Data 14-9-2026'!I:I)</f>
        <v>Ended</v>
      </c>
      <c r="AA151" s="13"/>
      <c r="AC151" s="4"/>
      <c r="AD151" s="13"/>
      <c r="AE151" s="13" t="str">
        <f>_xlfn.XLOOKUP(L151,'[1]ID PROJECT'!E:E,'[1]ID PROJECT'!F:F)</f>
        <v xml:space="preserve">PRJ-KUT-KPU-TPED-2026-04-00071 </v>
      </c>
      <c r="AF151" s="13"/>
      <c r="AG151" s="13"/>
      <c r="AH151" s="65"/>
      <c r="AI151" s="27"/>
    </row>
    <row r="152" spans="1:35" hidden="1">
      <c r="A152" s="13" t="s">
        <v>583</v>
      </c>
      <c r="B152" s="13" t="str">
        <f>_xlfn.XLOOKUP(J152,'Master Data 14-9-2026'!C:C,'Master Data 14-9-2026'!D:D)</f>
        <v>Jepri Hamonangan Saragih wx1504646</v>
      </c>
      <c r="C152" s="13"/>
      <c r="D152" s="13" t="str">
        <f>_xlfn.XLOOKUP(J152,'Master Data 14-9-2026'!C:C,'Master Data 14-9-2026'!E:E)</f>
        <v>XLSMART</v>
      </c>
      <c r="E152" s="13"/>
      <c r="F152" s="13"/>
      <c r="G152" s="13" t="s">
        <v>18</v>
      </c>
      <c r="H152" s="13" t="str">
        <f>_xlfn.XLOOKUP(J152,'Master Data 14-9-2026'!C:C,'Master Data 14-9-2026'!H:H)</f>
        <v>2026-04-23 - 2026-05-22</v>
      </c>
      <c r="I152" s="13" t="str">
        <f t="shared" si="2"/>
        <v>April</v>
      </c>
      <c r="J152" s="13" t="s">
        <v>1210</v>
      </c>
      <c r="K152" s="13" t="s">
        <v>1004</v>
      </c>
      <c r="L152" s="13" t="s">
        <v>461</v>
      </c>
      <c r="M152" s="15">
        <v>200003134861020</v>
      </c>
      <c r="N152" s="13" t="s">
        <v>924</v>
      </c>
      <c r="O152" s="13">
        <v>1.0912026052800099E+17</v>
      </c>
      <c r="P152" s="13" t="s">
        <v>1134</v>
      </c>
      <c r="Q152" s="18">
        <v>55</v>
      </c>
      <c r="R152" s="18">
        <v>1</v>
      </c>
      <c r="S152" s="13">
        <v>8828132634</v>
      </c>
      <c r="T152" s="13" t="s">
        <v>978</v>
      </c>
      <c r="U152" s="19">
        <v>32542400</v>
      </c>
      <c r="V152" s="18">
        <v>1</v>
      </c>
      <c r="W152" s="18">
        <f>_xlfn.XLOOKUP(J152,'Master Data 14-9-2026'!C:C,'Master Data 14-9-2026'!L:L)</f>
        <v>0</v>
      </c>
      <c r="X152" s="23">
        <v>32542400</v>
      </c>
      <c r="Y152" s="13" t="s">
        <v>1135</v>
      </c>
      <c r="Z152" s="24" t="s">
        <v>15</v>
      </c>
      <c r="AA152" s="13" t="s">
        <v>934</v>
      </c>
      <c r="AC152" s="4"/>
      <c r="AD152" s="13" t="s">
        <v>935</v>
      </c>
      <c r="AE152" s="13" t="str">
        <f>_xlfn.XLOOKUP(L152,'[1]ID PROJECT'!E:E,'[1]ID PROJECT'!F:F)</f>
        <v>PRJ-KUT-KPU-TPED-2026-04-00078</v>
      </c>
      <c r="AF152" s="13" t="s">
        <v>1141</v>
      </c>
      <c r="AG152" s="13" t="s">
        <v>1142</v>
      </c>
      <c r="AH152" s="65">
        <v>46216</v>
      </c>
      <c r="AI152" s="27" t="s">
        <v>938</v>
      </c>
    </row>
    <row r="153" spans="1:35" hidden="1">
      <c r="A153" s="13" t="s">
        <v>177</v>
      </c>
      <c r="B153" s="13" t="str">
        <f>_xlfn.XLOOKUP(J153,'Master Data 14-9-2026'!C:C,'Master Data 14-9-2026'!D:D)</f>
        <v>Aliyah wx1507137</v>
      </c>
      <c r="C153" s="13"/>
      <c r="D153" s="13" t="str">
        <f>_xlfn.XLOOKUP(J153,'Master Data 14-9-2026'!C:C,'Master Data 14-9-2026'!E:E)</f>
        <v>XLSMART</v>
      </c>
      <c r="E153" s="13"/>
      <c r="F153" s="13"/>
      <c r="G153" s="13" t="s">
        <v>18</v>
      </c>
      <c r="H153" s="13" t="str">
        <f>_xlfn.XLOOKUP(J153,'Master Data 14-9-2026'!C:C,'Master Data 14-9-2026'!H:H)</f>
        <v>2026-05-01 - 2026-05-31</v>
      </c>
      <c r="I153" s="13" t="str">
        <f t="shared" si="2"/>
        <v>May</v>
      </c>
      <c r="J153" s="13" t="s">
        <v>1211</v>
      </c>
      <c r="K153" s="13" t="s">
        <v>1004</v>
      </c>
      <c r="L153" s="13" t="s">
        <v>493</v>
      </c>
      <c r="M153" s="15">
        <v>200003134837020</v>
      </c>
      <c r="N153" s="13" t="s">
        <v>924</v>
      </c>
      <c r="O153" s="13">
        <v>1.0912026052800099E+17</v>
      </c>
      <c r="P153" s="13" t="s">
        <v>1134</v>
      </c>
      <c r="Q153" s="18">
        <v>56</v>
      </c>
      <c r="R153" s="18">
        <v>1</v>
      </c>
      <c r="S153" s="13">
        <v>8828132633</v>
      </c>
      <c r="T153" s="13" t="s">
        <v>951</v>
      </c>
      <c r="U153" s="19">
        <v>28881900</v>
      </c>
      <c r="V153" s="18">
        <v>1</v>
      </c>
      <c r="W153" s="18">
        <f>_xlfn.XLOOKUP(J153,'Master Data 14-9-2026'!C:C,'Master Data 14-9-2026'!L:L)</f>
        <v>1</v>
      </c>
      <c r="X153" s="23">
        <v>28881900</v>
      </c>
      <c r="Y153" s="13" t="s">
        <v>1135</v>
      </c>
      <c r="Z153" s="24" t="str">
        <f>_xlfn.XLOOKUP(J153,'Master Data 14-9-2026'!C:C,'Master Data 14-9-2026'!I:I)</f>
        <v>Ended</v>
      </c>
      <c r="AA153" s="13" t="s">
        <v>934</v>
      </c>
      <c r="AC153" s="4"/>
      <c r="AD153" s="13" t="s">
        <v>935</v>
      </c>
      <c r="AE153" s="13" t="str">
        <f>_xlfn.XLOOKUP(L153,'[1]ID PROJECT'!E:E,'[1]ID PROJECT'!F:F)</f>
        <v>PRJ-KUT-KPU-TPED-2026-04-00079</v>
      </c>
      <c r="AF153" s="13" t="s">
        <v>1141</v>
      </c>
      <c r="AG153" s="13" t="s">
        <v>1142</v>
      </c>
      <c r="AH153" s="65">
        <v>46216</v>
      </c>
      <c r="AI153" s="27" t="s">
        <v>938</v>
      </c>
    </row>
    <row r="154" spans="1:35" hidden="1">
      <c r="A154" s="13" t="s">
        <v>603</v>
      </c>
      <c r="B154" s="13" t="str">
        <f>_xlfn.XLOOKUP(J154,'Master Data 14-9-2026'!C:C,'Master Data 14-9-2026'!D:D)</f>
        <v>Anggie Bayu Setyawan wx1503644</v>
      </c>
      <c r="C154" s="13"/>
      <c r="D154" s="13" t="str">
        <f>_xlfn.XLOOKUP(J154,'Master Data 14-9-2026'!C:C,'Master Data 14-9-2026'!E:E)</f>
        <v>XLSMART</v>
      </c>
      <c r="E154" s="13"/>
      <c r="F154" s="13"/>
      <c r="G154" s="13" t="s">
        <v>18</v>
      </c>
      <c r="H154" s="13" t="str">
        <f>_xlfn.XLOOKUP(J154,'Master Data 14-9-2026'!C:C,'Master Data 14-9-2026'!H:H)</f>
        <v>2026-04-23 - 2026-05-22</v>
      </c>
      <c r="I154" s="13" t="str">
        <f t="shared" si="2"/>
        <v>April</v>
      </c>
      <c r="J154" s="13" t="s">
        <v>1212</v>
      </c>
      <c r="K154" s="13" t="s">
        <v>1004</v>
      </c>
      <c r="L154" s="13" t="s">
        <v>520</v>
      </c>
      <c r="M154" s="15">
        <v>200003134862020</v>
      </c>
      <c r="N154" s="13" t="s">
        <v>924</v>
      </c>
      <c r="O154" s="13">
        <v>1.0912026052800099E+17</v>
      </c>
      <c r="P154" s="13" t="s">
        <v>1134</v>
      </c>
      <c r="Q154" s="18">
        <v>57</v>
      </c>
      <c r="R154" s="18">
        <v>1</v>
      </c>
      <c r="S154" s="13">
        <v>8828132634</v>
      </c>
      <c r="T154" s="13" t="s">
        <v>978</v>
      </c>
      <c r="U154" s="19">
        <v>32542400</v>
      </c>
      <c r="V154" s="18">
        <v>1</v>
      </c>
      <c r="W154" s="18">
        <f>_xlfn.XLOOKUP(J154,'Master Data 14-9-2026'!C:C,'Master Data 14-9-2026'!L:L)</f>
        <v>0</v>
      </c>
      <c r="X154" s="23">
        <v>32542400</v>
      </c>
      <c r="Y154" s="13" t="s">
        <v>1135</v>
      </c>
      <c r="Z154" s="24" t="s">
        <v>15</v>
      </c>
      <c r="AA154" s="13" t="s">
        <v>934</v>
      </c>
      <c r="AC154" s="4"/>
      <c r="AD154" s="13" t="s">
        <v>935</v>
      </c>
      <c r="AE154" s="13" t="str">
        <f>_xlfn.XLOOKUP(L154,'[1]ID PROJECT'!E:E,'[1]ID PROJECT'!F:F)</f>
        <v>PRJ-KUT-KPU-TPED-2026-04-00077</v>
      </c>
      <c r="AF154" s="13" t="s">
        <v>1141</v>
      </c>
      <c r="AG154" s="13" t="s">
        <v>1142</v>
      </c>
      <c r="AH154" s="65">
        <v>46216</v>
      </c>
      <c r="AI154" s="27" t="s">
        <v>938</v>
      </c>
    </row>
    <row r="155" spans="1:35" hidden="1">
      <c r="A155" s="13" t="s">
        <v>702</v>
      </c>
      <c r="B155" s="13" t="str">
        <f>_xlfn.XLOOKUP(J155,'Master Data 14-9-2026'!C:C,'Master Data 14-9-2026'!D:D)</f>
        <v>I Nyoman Satriya Wibawa wx1503651</v>
      </c>
      <c r="C155" s="13"/>
      <c r="D155" s="13" t="str">
        <f>_xlfn.XLOOKUP(J155,'Master Data 14-9-2026'!C:C,'Master Data 14-9-2026'!E:E)</f>
        <v>IOH</v>
      </c>
      <c r="E155" s="13"/>
      <c r="F155" s="13"/>
      <c r="G155" s="13" t="s">
        <v>18</v>
      </c>
      <c r="H155" s="13" t="str">
        <f>_xlfn.XLOOKUP(J155,'Master Data 14-9-2026'!C:C,'Master Data 14-9-2026'!H:H)</f>
        <v>2026-04-30 - 2026-05-29</v>
      </c>
      <c r="I155" s="13" t="str">
        <f t="shared" si="2"/>
        <v>April</v>
      </c>
      <c r="J155" s="13" t="s">
        <v>1213</v>
      </c>
      <c r="K155" s="13" t="s">
        <v>1004</v>
      </c>
      <c r="L155" s="13" t="s">
        <v>520</v>
      </c>
      <c r="M155" s="15">
        <v>200003134863020</v>
      </c>
      <c r="N155" s="13" t="s">
        <v>924</v>
      </c>
      <c r="O155" s="13">
        <v>1.0912026052800099E+17</v>
      </c>
      <c r="P155" s="13" t="s">
        <v>1134</v>
      </c>
      <c r="Q155" s="18">
        <v>58</v>
      </c>
      <c r="R155" s="18">
        <v>1</v>
      </c>
      <c r="S155" s="13">
        <v>8828132634</v>
      </c>
      <c r="T155" s="13" t="s">
        <v>978</v>
      </c>
      <c r="U155" s="19">
        <v>32542400</v>
      </c>
      <c r="V155" s="18">
        <v>1</v>
      </c>
      <c r="W155" s="18">
        <f>_xlfn.XLOOKUP(J155,'Master Data 14-9-2026'!C:C,'Master Data 14-9-2026'!L:L)</f>
        <v>0</v>
      </c>
      <c r="X155" s="23">
        <v>32542400</v>
      </c>
      <c r="Y155" s="13" t="s">
        <v>1135</v>
      </c>
      <c r="Z155" s="24" t="s">
        <v>15</v>
      </c>
      <c r="AA155" s="13" t="s">
        <v>934</v>
      </c>
      <c r="AC155" s="4"/>
      <c r="AD155" s="13" t="s">
        <v>935</v>
      </c>
      <c r="AE155" s="13" t="str">
        <f>_xlfn.XLOOKUP(L155,'[1]ID PROJECT'!E:E,'[1]ID PROJECT'!F:F)</f>
        <v>PRJ-KUT-KPU-TPED-2026-04-00077</v>
      </c>
      <c r="AF155" s="13" t="s">
        <v>1141</v>
      </c>
      <c r="AG155" s="13" t="s">
        <v>1142</v>
      </c>
      <c r="AH155" s="65">
        <v>46216</v>
      </c>
      <c r="AI155" s="27" t="s">
        <v>938</v>
      </c>
    </row>
    <row r="156" spans="1:35" hidden="1">
      <c r="A156" s="13" t="s">
        <v>742</v>
      </c>
      <c r="B156" s="13" t="str">
        <f>_xlfn.XLOOKUP(J156,'Master Data 14-9-2026'!C:C,'Master Data 14-9-2026'!D:D)</f>
        <v>Fauzan Fathoni wx1504667</v>
      </c>
      <c r="C156" s="13"/>
      <c r="D156" s="13" t="str">
        <f>_xlfn.XLOOKUP(J156,'Master Data 14-9-2026'!C:C,'Master Data 14-9-2026'!E:E)</f>
        <v>XLSMART</v>
      </c>
      <c r="E156" s="13"/>
      <c r="F156" s="13"/>
      <c r="G156" s="13" t="s">
        <v>18</v>
      </c>
      <c r="H156" s="13" t="str">
        <f>_xlfn.XLOOKUP(J156,'Master Data 14-9-2026'!C:C,'Master Data 14-9-2026'!H:H)</f>
        <v>2026-04-30 - 2026-05-29</v>
      </c>
      <c r="I156" s="13" t="str">
        <f t="shared" si="2"/>
        <v>April</v>
      </c>
      <c r="J156" s="13" t="s">
        <v>1214</v>
      </c>
      <c r="K156" s="13" t="s">
        <v>1004</v>
      </c>
      <c r="L156" s="13" t="s">
        <v>461</v>
      </c>
      <c r="M156" s="15">
        <v>200003134845020</v>
      </c>
      <c r="N156" s="13" t="s">
        <v>924</v>
      </c>
      <c r="O156" s="13">
        <v>1.0912026052800099E+17</v>
      </c>
      <c r="P156" s="13" t="s">
        <v>1134</v>
      </c>
      <c r="Q156" s="18">
        <v>59</v>
      </c>
      <c r="R156" s="18">
        <v>1</v>
      </c>
      <c r="S156" s="13">
        <v>8828132635</v>
      </c>
      <c r="T156" s="13" t="s">
        <v>926</v>
      </c>
      <c r="U156" s="19">
        <v>34220600</v>
      </c>
      <c r="V156" s="18">
        <v>1</v>
      </c>
      <c r="W156" s="18">
        <f>_xlfn.XLOOKUP(J156,'Master Data 14-9-2026'!C:C,'Master Data 14-9-2026'!L:L)</f>
        <v>1.5</v>
      </c>
      <c r="X156" s="23">
        <v>34220600</v>
      </c>
      <c r="Y156" s="13" t="s">
        <v>1135</v>
      </c>
      <c r="Z156" s="24" t="s">
        <v>15</v>
      </c>
      <c r="AA156" s="13" t="s">
        <v>934</v>
      </c>
      <c r="AC156" s="4"/>
      <c r="AD156" s="13" t="s">
        <v>935</v>
      </c>
      <c r="AE156" s="13" t="str">
        <f>_xlfn.XLOOKUP(L156,'[1]ID PROJECT'!E:E,'[1]ID PROJECT'!F:F)</f>
        <v>PRJ-KUT-KPU-TPED-2026-04-00078</v>
      </c>
      <c r="AF156" s="13" t="s">
        <v>1141</v>
      </c>
      <c r="AG156" s="13" t="s">
        <v>1142</v>
      </c>
      <c r="AH156" s="65">
        <v>46216</v>
      </c>
      <c r="AI156" s="27" t="s">
        <v>938</v>
      </c>
    </row>
    <row r="157" spans="1:35" hidden="1">
      <c r="A157" s="13" t="s">
        <v>732</v>
      </c>
      <c r="B157" s="13" t="str">
        <f>_xlfn.XLOOKUP(J157,'Master Data 14-9-2026'!C:C,'Master Data 14-9-2026'!D:D)</f>
        <v>Yonathan Janmorga wx1507284</v>
      </c>
      <c r="C157" s="13"/>
      <c r="D157" s="13" t="str">
        <f>_xlfn.XLOOKUP(J157,'Master Data 14-9-2026'!C:C,'Master Data 14-9-2026'!E:E)</f>
        <v>XLSMART</v>
      </c>
      <c r="E157" s="13"/>
      <c r="F157" s="13"/>
      <c r="G157" s="13" t="s">
        <v>1144</v>
      </c>
      <c r="H157" s="13" t="str">
        <f>_xlfn.XLOOKUP(J157,'Master Data 14-9-2026'!C:C,'Master Data 14-9-2026'!H:H)</f>
        <v>2026-05-01 - 2026-05-31</v>
      </c>
      <c r="I157" s="13" t="str">
        <f t="shared" si="2"/>
        <v>May</v>
      </c>
      <c r="J157" s="13" t="s">
        <v>1215</v>
      </c>
      <c r="K157" s="13" t="s">
        <v>1004</v>
      </c>
      <c r="L157" s="13" t="s">
        <v>475</v>
      </c>
      <c r="M157" s="15">
        <v>200003134846020</v>
      </c>
      <c r="N157" s="13" t="s">
        <v>924</v>
      </c>
      <c r="O157" s="13">
        <v>1.0912026052800099E+17</v>
      </c>
      <c r="P157" s="13" t="s">
        <v>1134</v>
      </c>
      <c r="Q157" s="18">
        <v>60</v>
      </c>
      <c r="R157" s="18">
        <v>1</v>
      </c>
      <c r="S157" s="13">
        <v>8828132635</v>
      </c>
      <c r="T157" s="13" t="s">
        <v>926</v>
      </c>
      <c r="U157" s="19">
        <v>34220600</v>
      </c>
      <c r="V157" s="18">
        <v>1</v>
      </c>
      <c r="W157" s="18">
        <f>_xlfn.XLOOKUP(J157,'Master Data 14-9-2026'!C:C,'Master Data 14-9-2026'!L:L)</f>
        <v>1.23</v>
      </c>
      <c r="X157" s="23">
        <v>34220600</v>
      </c>
      <c r="Y157" s="13" t="s">
        <v>1135</v>
      </c>
      <c r="Z157" s="24" t="s">
        <v>15</v>
      </c>
      <c r="AA157" s="13" t="s">
        <v>934</v>
      </c>
      <c r="AC157" s="4"/>
      <c r="AD157" s="13" t="s">
        <v>935</v>
      </c>
      <c r="AE157" s="13" t="str">
        <f>_xlfn.XLOOKUP(L157,'[1]ID PROJECT'!E:E,'[1]ID PROJECT'!F:F)</f>
        <v>PRJ-KUT-KPU-TPED-2026-04-00074</v>
      </c>
      <c r="AF157" s="13" t="s">
        <v>1141</v>
      </c>
      <c r="AG157" s="13" t="s">
        <v>1142</v>
      </c>
      <c r="AH157" s="65">
        <v>46216</v>
      </c>
      <c r="AI157" s="27" t="s">
        <v>938</v>
      </c>
    </row>
    <row r="158" spans="1:35" hidden="1">
      <c r="A158" s="13" t="s">
        <v>736</v>
      </c>
      <c r="B158" s="13" t="str">
        <f>_xlfn.XLOOKUP(J158,'Master Data 14-9-2026'!C:C,'Master Data 14-9-2026'!D:D)</f>
        <v>Dheanera Fairuz Hasna wx1507280</v>
      </c>
      <c r="C158" s="13"/>
      <c r="D158" s="13" t="str">
        <f>_xlfn.XLOOKUP(J158,'Master Data 14-9-2026'!C:C,'Master Data 14-9-2026'!E:E)</f>
        <v>XLSMART</v>
      </c>
      <c r="E158" s="13"/>
      <c r="F158" s="13"/>
      <c r="G158" s="13" t="s">
        <v>18</v>
      </c>
      <c r="H158" s="13" t="str">
        <f>_xlfn.XLOOKUP(J158,'Master Data 14-9-2026'!C:C,'Master Data 14-9-2026'!H:H)</f>
        <v>2026-05-01 - 2026-05-31</v>
      </c>
      <c r="I158" s="13" t="str">
        <f t="shared" si="2"/>
        <v>May</v>
      </c>
      <c r="J158" s="13" t="s">
        <v>1216</v>
      </c>
      <c r="K158" s="13" t="s">
        <v>1004</v>
      </c>
      <c r="L158" s="13" t="s">
        <v>441</v>
      </c>
      <c r="M158" s="15">
        <v>200003134847020</v>
      </c>
      <c r="N158" s="13" t="s">
        <v>924</v>
      </c>
      <c r="O158" s="13">
        <v>1.0912026052800099E+17</v>
      </c>
      <c r="P158" s="13" t="s">
        <v>1134</v>
      </c>
      <c r="Q158" s="18">
        <v>61</v>
      </c>
      <c r="R158" s="18">
        <v>1</v>
      </c>
      <c r="S158" s="13">
        <v>8828132635</v>
      </c>
      <c r="T158" s="13" t="s">
        <v>926</v>
      </c>
      <c r="U158" s="19">
        <v>34220600</v>
      </c>
      <c r="V158" s="18">
        <v>1</v>
      </c>
      <c r="W158" s="18">
        <f>_xlfn.XLOOKUP(J158,'Master Data 14-9-2026'!C:C,'Master Data 14-9-2026'!L:L)</f>
        <v>1</v>
      </c>
      <c r="X158" s="23">
        <v>34220600</v>
      </c>
      <c r="Y158" s="13" t="s">
        <v>1135</v>
      </c>
      <c r="Z158" s="24" t="str">
        <f>_xlfn.XLOOKUP(J158,'Master Data 14-9-2026'!C:C,'Master Data 14-9-2026'!I:I)</f>
        <v>Ended</v>
      </c>
      <c r="AA158" s="13" t="s">
        <v>934</v>
      </c>
      <c r="AC158" s="4"/>
      <c r="AD158" s="13" t="s">
        <v>935</v>
      </c>
      <c r="AE158" s="13" t="str">
        <f>_xlfn.XLOOKUP(L158,'[1]ID PROJECT'!E:E,'[1]ID PROJECT'!F:F)</f>
        <v xml:space="preserve">PRJ-KUT-KPU-TPED-2026-04-00071 </v>
      </c>
      <c r="AF158" s="13" t="s">
        <v>1141</v>
      </c>
      <c r="AG158" s="13" t="s">
        <v>1142</v>
      </c>
      <c r="AH158" s="65">
        <v>46216</v>
      </c>
      <c r="AI158" s="27" t="s">
        <v>938</v>
      </c>
    </row>
    <row r="159" spans="1:35" hidden="1">
      <c r="A159" s="13" t="s">
        <v>498</v>
      </c>
      <c r="B159" s="13" t="str">
        <f>_xlfn.XLOOKUP(J159,'Master Data 14-9-2026'!C:C,'Master Data 14-9-2026'!D:D)</f>
        <v>Julham Hamid wx1507139</v>
      </c>
      <c r="C159" s="13"/>
      <c r="D159" s="13" t="str">
        <f>_xlfn.XLOOKUP(J159,'Master Data 14-9-2026'!C:C,'Master Data 14-9-2026'!E:E)</f>
        <v>XLSMART</v>
      </c>
      <c r="E159" s="13"/>
      <c r="F159" s="13"/>
      <c r="G159" s="13" t="s">
        <v>22</v>
      </c>
      <c r="H159" s="13" t="str">
        <f>_xlfn.XLOOKUP(J159,'Master Data 14-9-2026'!C:C,'Master Data 14-9-2026'!H:H)</f>
        <v>2026-06-01 - 2026-06-30</v>
      </c>
      <c r="I159" s="13" t="str">
        <f t="shared" si="2"/>
        <v>June</v>
      </c>
      <c r="J159" s="13" t="s">
        <v>1217</v>
      </c>
      <c r="K159" s="13" t="s">
        <v>1004</v>
      </c>
      <c r="L159" s="13" t="s">
        <v>500</v>
      </c>
      <c r="M159" s="15">
        <v>200003134893020</v>
      </c>
      <c r="N159" s="13" t="s">
        <v>924</v>
      </c>
      <c r="O159" s="13">
        <v>1.0912026052800099E+17</v>
      </c>
      <c r="P159" s="13" t="s">
        <v>1134</v>
      </c>
      <c r="Q159" s="18">
        <v>62</v>
      </c>
      <c r="R159" s="18">
        <v>1</v>
      </c>
      <c r="S159" s="13">
        <v>8828132636</v>
      </c>
      <c r="T159" s="13" t="s">
        <v>933</v>
      </c>
      <c r="U159" s="19">
        <v>36992000</v>
      </c>
      <c r="V159" s="18">
        <v>1</v>
      </c>
      <c r="W159" s="18">
        <f>_xlfn.XLOOKUP(J159,'Master Data 14-9-2026'!C:C,'Master Data 14-9-2026'!L:L)</f>
        <v>1.5</v>
      </c>
      <c r="X159" s="23">
        <v>36992000</v>
      </c>
      <c r="Y159" s="13" t="s">
        <v>1135</v>
      </c>
      <c r="Z159" s="24" t="str">
        <f>_xlfn.XLOOKUP(J159,'Master Data 14-9-2026'!C:C,'Master Data 14-9-2026'!I:I)</f>
        <v>Ended</v>
      </c>
      <c r="AA159" s="13"/>
      <c r="AC159" s="4"/>
      <c r="AD159" s="13"/>
      <c r="AE159" s="13" t="str">
        <f>_xlfn.XLOOKUP(L159,'[1]ID PROJECT'!E:E,'[1]ID PROJECT'!F:F)</f>
        <v>PRJ-KUT-KPU-TPED-2026-04-00080</v>
      </c>
      <c r="AF159" s="13"/>
      <c r="AG159" s="13"/>
      <c r="AH159" s="65"/>
      <c r="AI159" s="27"/>
    </row>
    <row r="160" spans="1:35" hidden="1">
      <c r="A160" s="13" t="s">
        <v>478</v>
      </c>
      <c r="B160" s="13" t="str">
        <f>_xlfn.XLOOKUP(J160,'Master Data 14-9-2026'!C:C,'Master Data 14-9-2026'!D:D)</f>
        <v>Dewi Nur Annisa wx1503631</v>
      </c>
      <c r="C160" s="13"/>
      <c r="D160" s="13" t="str">
        <f>_xlfn.XLOOKUP(J160,'Master Data 14-9-2026'!C:C,'Master Data 14-9-2026'!E:E)</f>
        <v>XLSMART</v>
      </c>
      <c r="E160" s="13"/>
      <c r="F160" s="13"/>
      <c r="G160" s="13" t="s">
        <v>22</v>
      </c>
      <c r="H160" s="13" t="str">
        <f>_xlfn.XLOOKUP(J160,'Master Data 14-9-2026'!C:C,'Master Data 14-9-2026'!H:H)</f>
        <v>2026-05-25 - 2026-06-24</v>
      </c>
      <c r="I160" s="13" t="str">
        <f t="shared" si="2"/>
        <v>May</v>
      </c>
      <c r="J160" s="13" t="s">
        <v>1218</v>
      </c>
      <c r="K160" s="13" t="s">
        <v>1004</v>
      </c>
      <c r="L160" s="13" t="s">
        <v>461</v>
      </c>
      <c r="M160" s="15">
        <v>200003134889020</v>
      </c>
      <c r="N160" s="13" t="s">
        <v>924</v>
      </c>
      <c r="O160" s="13">
        <v>1.0912026052800099E+17</v>
      </c>
      <c r="P160" s="13" t="s">
        <v>1134</v>
      </c>
      <c r="Q160" s="18">
        <v>63</v>
      </c>
      <c r="R160" s="18">
        <v>1</v>
      </c>
      <c r="S160" s="13">
        <v>8828132636</v>
      </c>
      <c r="T160" s="13" t="s">
        <v>933</v>
      </c>
      <c r="U160" s="19">
        <v>36992000</v>
      </c>
      <c r="V160" s="18">
        <v>1</v>
      </c>
      <c r="W160" s="18">
        <f>_xlfn.XLOOKUP(J160,'Master Data 14-9-2026'!C:C,'Master Data 14-9-2026'!L:L)</f>
        <v>1.5</v>
      </c>
      <c r="X160" s="23">
        <v>36992000</v>
      </c>
      <c r="Y160" s="13" t="s">
        <v>1135</v>
      </c>
      <c r="Z160" s="24" t="s">
        <v>15</v>
      </c>
      <c r="AA160" s="13"/>
      <c r="AC160" s="4"/>
      <c r="AD160" s="13"/>
      <c r="AE160" s="13" t="str">
        <f>_xlfn.XLOOKUP(L160,'[1]ID PROJECT'!E:E,'[1]ID PROJECT'!F:F)</f>
        <v>PRJ-KUT-KPU-TPED-2026-04-00078</v>
      </c>
      <c r="AF160" s="13"/>
      <c r="AG160" s="13"/>
      <c r="AH160" s="65"/>
      <c r="AI160" s="27"/>
    </row>
    <row r="161" spans="1:35" hidden="1">
      <c r="A161" s="13" t="s">
        <v>491</v>
      </c>
      <c r="B161" s="13" t="str">
        <f>_xlfn.XLOOKUP(J161,'Master Data 14-9-2026'!C:C,'Master Data 14-9-2026'!D:D)</f>
        <v>Muh Haidir Haswan wx1507136</v>
      </c>
      <c r="C161" s="13"/>
      <c r="D161" s="13" t="str">
        <f>_xlfn.XLOOKUP(J161,'Master Data 14-9-2026'!C:C,'Master Data 14-9-2026'!E:E)</f>
        <v>XLSMART</v>
      </c>
      <c r="E161" s="13"/>
      <c r="F161" s="13"/>
      <c r="G161" s="13" t="s">
        <v>22</v>
      </c>
      <c r="H161" s="13" t="str">
        <f>_xlfn.XLOOKUP(J161,'Master Data 14-9-2026'!C:C,'Master Data 14-9-2026'!H:H)</f>
        <v>2026-06-01 - 2026-06-30</v>
      </c>
      <c r="I161" s="13" t="str">
        <f t="shared" si="2"/>
        <v>June</v>
      </c>
      <c r="J161" s="13" t="s">
        <v>1219</v>
      </c>
      <c r="K161" s="13" t="s">
        <v>1004</v>
      </c>
      <c r="L161" s="13" t="s">
        <v>493</v>
      </c>
      <c r="M161" s="15">
        <v>200003134894020</v>
      </c>
      <c r="N161" s="13" t="s">
        <v>924</v>
      </c>
      <c r="O161" s="13">
        <v>1.0912026052800099E+17</v>
      </c>
      <c r="P161" s="13" t="s">
        <v>1134</v>
      </c>
      <c r="Q161" s="18">
        <v>64</v>
      </c>
      <c r="R161" s="18">
        <v>1</v>
      </c>
      <c r="S161" s="13">
        <v>8828132636</v>
      </c>
      <c r="T161" s="13" t="s">
        <v>933</v>
      </c>
      <c r="U161" s="19">
        <v>36992000</v>
      </c>
      <c r="V161" s="18">
        <v>1</v>
      </c>
      <c r="W161" s="18">
        <f>_xlfn.XLOOKUP(J161,'Master Data 14-9-2026'!C:C,'Master Data 14-9-2026'!L:L)</f>
        <v>1.5</v>
      </c>
      <c r="X161" s="23">
        <v>36992000</v>
      </c>
      <c r="Y161" s="13" t="s">
        <v>1135</v>
      </c>
      <c r="Z161" s="24" t="str">
        <f>_xlfn.XLOOKUP(J161,'Master Data 14-9-2026'!C:C,'Master Data 14-9-2026'!I:I)</f>
        <v>Ended</v>
      </c>
      <c r="AA161" s="13"/>
      <c r="AC161" s="4"/>
      <c r="AD161" s="13"/>
      <c r="AE161" s="13" t="str">
        <f>_xlfn.XLOOKUP(L161,'[1]ID PROJECT'!E:E,'[1]ID PROJECT'!F:F)</f>
        <v>PRJ-KUT-KPU-TPED-2026-04-00079</v>
      </c>
      <c r="AF161" s="13"/>
      <c r="AG161" s="13"/>
      <c r="AH161" s="65"/>
      <c r="AI161" s="27"/>
    </row>
    <row r="162" spans="1:35" hidden="1">
      <c r="A162" s="13" t="s">
        <v>491</v>
      </c>
      <c r="B162" s="13" t="str">
        <f>_xlfn.XLOOKUP(J162,'Master Data 14-9-2026'!C:C,'Master Data 14-9-2026'!D:D)</f>
        <v>Muh Haidir Haswan wx1507136</v>
      </c>
      <c r="C162" s="13"/>
      <c r="D162" s="13" t="str">
        <f>_xlfn.XLOOKUP(J162,'Master Data 14-9-2026'!C:C,'Master Data 14-9-2026'!E:E)</f>
        <v>XLSMART</v>
      </c>
      <c r="E162" s="13"/>
      <c r="F162" s="13"/>
      <c r="G162" s="13" t="s">
        <v>18</v>
      </c>
      <c r="H162" s="13" t="str">
        <f>_xlfn.XLOOKUP(J162,'Master Data 14-9-2026'!C:C,'Master Data 14-9-2026'!H:H)</f>
        <v>2026-05-01 - 2026-05-31</v>
      </c>
      <c r="I162" s="13" t="str">
        <f t="shared" si="2"/>
        <v>May</v>
      </c>
      <c r="J162" s="13" t="s">
        <v>1220</v>
      </c>
      <c r="K162" s="13" t="s">
        <v>1004</v>
      </c>
      <c r="L162" s="13" t="s">
        <v>493</v>
      </c>
      <c r="M162" s="15">
        <v>200003134859020</v>
      </c>
      <c r="N162" s="13" t="s">
        <v>924</v>
      </c>
      <c r="O162" s="13">
        <v>1.0912026052800099E+17</v>
      </c>
      <c r="P162" s="13" t="s">
        <v>1134</v>
      </c>
      <c r="Q162" s="18">
        <v>65</v>
      </c>
      <c r="R162" s="18">
        <v>1</v>
      </c>
      <c r="S162" s="13">
        <v>8828132636</v>
      </c>
      <c r="T162" s="13" t="s">
        <v>933</v>
      </c>
      <c r="U162" s="19">
        <v>36992000</v>
      </c>
      <c r="V162" s="18">
        <v>1</v>
      </c>
      <c r="W162" s="18">
        <f>_xlfn.XLOOKUP(J162,'Master Data 14-9-2026'!C:C,'Master Data 14-9-2026'!L:L)</f>
        <v>1.5</v>
      </c>
      <c r="X162" s="23">
        <v>36992000</v>
      </c>
      <c r="Y162" s="13" t="s">
        <v>1135</v>
      </c>
      <c r="Z162" s="24" t="s">
        <v>15</v>
      </c>
      <c r="AA162" s="13" t="s">
        <v>934</v>
      </c>
      <c r="AC162" s="4"/>
      <c r="AD162" s="13" t="s">
        <v>935</v>
      </c>
      <c r="AE162" s="13" t="str">
        <f>_xlfn.XLOOKUP(L162,'[1]ID PROJECT'!E:E,'[1]ID PROJECT'!F:F)</f>
        <v>PRJ-KUT-KPU-TPED-2026-04-00079</v>
      </c>
      <c r="AF162" s="13" t="s">
        <v>1141</v>
      </c>
      <c r="AG162" s="13" t="s">
        <v>1142</v>
      </c>
      <c r="AH162" s="65">
        <v>46216</v>
      </c>
      <c r="AI162" s="27" t="s">
        <v>938</v>
      </c>
    </row>
    <row r="163" spans="1:35" hidden="1">
      <c r="A163" s="13" t="s">
        <v>577</v>
      </c>
      <c r="B163" s="13" t="str">
        <f>_xlfn.XLOOKUP(J163,'Master Data 14-9-2026'!C:C,'Master Data 14-9-2026'!D:D)</f>
        <v>Ferry Anggriawan wx1503648</v>
      </c>
      <c r="C163" s="13"/>
      <c r="D163" s="13" t="str">
        <f>_xlfn.XLOOKUP(J163,'Master Data 14-9-2026'!C:C,'Master Data 14-9-2026'!E:E)</f>
        <v>XLSMART</v>
      </c>
      <c r="E163" s="13"/>
      <c r="F163" s="13"/>
      <c r="G163" s="13" t="s">
        <v>22</v>
      </c>
      <c r="H163" s="13" t="str">
        <f>_xlfn.XLOOKUP(J163,'Master Data 14-9-2026'!C:C,'Master Data 14-9-2026'!H:H)</f>
        <v>2026-05-31 - 2026-06-29</v>
      </c>
      <c r="I163" s="13" t="str">
        <f t="shared" si="2"/>
        <v>May</v>
      </c>
      <c r="J163" s="13" t="s">
        <v>1221</v>
      </c>
      <c r="K163" s="13" t="s">
        <v>1004</v>
      </c>
      <c r="L163" s="13" t="s">
        <v>520</v>
      </c>
      <c r="M163" s="15">
        <v>200003135899020</v>
      </c>
      <c r="N163" s="13" t="s">
        <v>924</v>
      </c>
      <c r="O163" s="13">
        <v>1.0912026052800099E+17</v>
      </c>
      <c r="P163" s="13" t="s">
        <v>1134</v>
      </c>
      <c r="Q163" s="18">
        <v>66</v>
      </c>
      <c r="R163" s="18">
        <v>1</v>
      </c>
      <c r="S163" s="13">
        <v>8828132634</v>
      </c>
      <c r="T163" s="13" t="s">
        <v>978</v>
      </c>
      <c r="U163" s="19">
        <v>32542400</v>
      </c>
      <c r="V163" s="18">
        <v>1</v>
      </c>
      <c r="W163" s="18">
        <f>_xlfn.XLOOKUP(J163,'Master Data 14-9-2026'!C:C,'Master Data 14-9-2026'!L:L)</f>
        <v>0</v>
      </c>
      <c r="X163" s="23">
        <v>32542400</v>
      </c>
      <c r="Y163" s="13" t="s">
        <v>1135</v>
      </c>
      <c r="Z163" s="24" t="s">
        <v>15</v>
      </c>
      <c r="AA163" s="13"/>
      <c r="AC163" s="4"/>
      <c r="AD163" s="13"/>
      <c r="AE163" s="13" t="str">
        <f>_xlfn.XLOOKUP(L163,'[1]ID PROJECT'!E:E,'[1]ID PROJECT'!F:F)</f>
        <v>PRJ-KUT-KPU-TPED-2026-04-00077</v>
      </c>
      <c r="AF163" s="13"/>
      <c r="AG163" s="13"/>
      <c r="AH163" s="65"/>
      <c r="AI163" s="27"/>
    </row>
    <row r="164" spans="1:35" hidden="1">
      <c r="A164" s="13" t="s">
        <v>473</v>
      </c>
      <c r="B164" s="13" t="str">
        <f>_xlfn.XLOOKUP(J164,'Master Data 14-9-2026'!C:C,'Master Data 14-9-2026'!D:D)</f>
        <v>Risman Nurjaman wx1503969</v>
      </c>
      <c r="C164" s="13"/>
      <c r="D164" s="13" t="str">
        <f>_xlfn.XLOOKUP(J164,'Master Data 14-9-2026'!C:C,'Master Data 14-9-2026'!E:E)</f>
        <v>XLSMART</v>
      </c>
      <c r="E164" s="13"/>
      <c r="F164" s="13"/>
      <c r="G164" s="13" t="s">
        <v>1144</v>
      </c>
      <c r="H164" s="13" t="str">
        <f>_xlfn.XLOOKUP(J164,'Master Data 14-9-2026'!C:C,'Master Data 14-9-2026'!H:H)</f>
        <v>2026-04-23 - 2026-05-22</v>
      </c>
      <c r="I164" s="13" t="str">
        <f t="shared" si="2"/>
        <v>April</v>
      </c>
      <c r="J164" s="13" t="s">
        <v>1222</v>
      </c>
      <c r="K164" s="13" t="s">
        <v>1004</v>
      </c>
      <c r="L164" s="13" t="s">
        <v>475</v>
      </c>
      <c r="M164" s="15">
        <v>200003134853020</v>
      </c>
      <c r="N164" s="13" t="s">
        <v>924</v>
      </c>
      <c r="O164" s="13">
        <v>1.0912026052800099E+17</v>
      </c>
      <c r="P164" s="13" t="s">
        <v>1134</v>
      </c>
      <c r="Q164" s="18">
        <v>67</v>
      </c>
      <c r="R164" s="18">
        <v>1</v>
      </c>
      <c r="S164" s="13">
        <v>8828132636</v>
      </c>
      <c r="T164" s="13" t="s">
        <v>933</v>
      </c>
      <c r="U164" s="19">
        <v>36992000</v>
      </c>
      <c r="V164" s="18">
        <v>1</v>
      </c>
      <c r="W164" s="18">
        <f>_xlfn.XLOOKUP(J164,'Master Data 14-9-2026'!C:C,'Master Data 14-9-2026'!L:L)</f>
        <v>1.5</v>
      </c>
      <c r="X164" s="23">
        <v>36992000</v>
      </c>
      <c r="Y164" s="13" t="s">
        <v>1135</v>
      </c>
      <c r="Z164" s="24" t="s">
        <v>15</v>
      </c>
      <c r="AA164" s="13" t="s">
        <v>934</v>
      </c>
      <c r="AC164" s="4"/>
      <c r="AD164" s="13" t="s">
        <v>935</v>
      </c>
      <c r="AE164" s="13" t="str">
        <f>_xlfn.XLOOKUP(L164,'[1]ID PROJECT'!E:E,'[1]ID PROJECT'!F:F)</f>
        <v>PRJ-KUT-KPU-TPED-2026-04-00074</v>
      </c>
      <c r="AF164" s="13" t="s">
        <v>1141</v>
      </c>
      <c r="AG164" s="13" t="s">
        <v>1142</v>
      </c>
      <c r="AH164" s="65">
        <v>46216</v>
      </c>
      <c r="AI164" s="27" t="s">
        <v>938</v>
      </c>
    </row>
    <row r="165" spans="1:35" hidden="1">
      <c r="A165" s="13" t="s">
        <v>433</v>
      </c>
      <c r="B165" s="13" t="str">
        <f>_xlfn.XLOOKUP(J165,'Master Data 14-9-2026'!C:C,'Master Data 14-9-2026'!D:D)</f>
        <v>Cahyo Suryo Bhuwono Winarso wx1507283</v>
      </c>
      <c r="C165" s="13"/>
      <c r="D165" s="13" t="str">
        <f>_xlfn.XLOOKUP(J165,'Master Data 14-9-2026'!C:C,'Master Data 14-9-2026'!E:E)</f>
        <v>XLSMART</v>
      </c>
      <c r="E165" s="13"/>
      <c r="F165" s="13"/>
      <c r="G165" s="13" t="s">
        <v>22</v>
      </c>
      <c r="H165" s="13" t="str">
        <f>_xlfn.XLOOKUP(J165,'Master Data 14-9-2026'!C:C,'Master Data 14-9-2026'!H:H)</f>
        <v>2026-06-01 - 2026-06-30</v>
      </c>
      <c r="I165" s="13" t="str">
        <f t="shared" si="2"/>
        <v>June</v>
      </c>
      <c r="J165" s="13" t="s">
        <v>1223</v>
      </c>
      <c r="K165" s="13" t="s">
        <v>1004</v>
      </c>
      <c r="L165" s="13" t="s">
        <v>441</v>
      </c>
      <c r="M165" s="15">
        <v>200003134874020</v>
      </c>
      <c r="N165" s="13" t="s">
        <v>924</v>
      </c>
      <c r="O165" s="13">
        <v>1.0912026052800099E+17</v>
      </c>
      <c r="P165" s="13" t="s">
        <v>1134</v>
      </c>
      <c r="Q165" s="18">
        <v>68</v>
      </c>
      <c r="R165" s="18">
        <v>1</v>
      </c>
      <c r="S165" s="13">
        <v>8828132633</v>
      </c>
      <c r="T165" s="13" t="s">
        <v>951</v>
      </c>
      <c r="U165" s="19">
        <v>28881900</v>
      </c>
      <c r="V165" s="18">
        <v>1</v>
      </c>
      <c r="W165" s="18">
        <f>_xlfn.XLOOKUP(J165,'Master Data 14-9-2026'!C:C,'Master Data 14-9-2026'!L:L)</f>
        <v>0</v>
      </c>
      <c r="X165" s="23">
        <v>28881900</v>
      </c>
      <c r="Y165" s="13" t="s">
        <v>1135</v>
      </c>
      <c r="Z165" s="24" t="str">
        <f>_xlfn.XLOOKUP(J165,'Master Data 14-9-2026'!C:C,'Master Data 14-9-2026'!I:I)</f>
        <v>Ended</v>
      </c>
      <c r="AA165" s="13"/>
      <c r="AC165" s="4"/>
      <c r="AD165" s="13"/>
      <c r="AE165" s="13" t="str">
        <f>_xlfn.XLOOKUP(L165,'[1]ID PROJECT'!E:E,'[1]ID PROJECT'!F:F)</f>
        <v xml:space="preserve">PRJ-KUT-KPU-TPED-2026-04-00071 </v>
      </c>
      <c r="AF165" s="13"/>
      <c r="AG165" s="13"/>
      <c r="AH165" s="65"/>
      <c r="AI165" s="27"/>
    </row>
    <row r="166" spans="1:35" hidden="1">
      <c r="A166" s="13" t="s">
        <v>478</v>
      </c>
      <c r="B166" s="13" t="str">
        <f>_xlfn.XLOOKUP(J166,'Master Data 14-9-2026'!C:C,'Master Data 14-9-2026'!D:D)</f>
        <v>Dewi Nur Annisa wx1503631</v>
      </c>
      <c r="C166" s="13"/>
      <c r="D166" s="13" t="str">
        <f>_xlfn.XLOOKUP(J166,'Master Data 14-9-2026'!C:C,'Master Data 14-9-2026'!E:E)</f>
        <v>XLSMART</v>
      </c>
      <c r="E166" s="13"/>
      <c r="F166" s="13"/>
      <c r="G166" s="13" t="s">
        <v>18</v>
      </c>
      <c r="H166" s="13" t="str">
        <f>_xlfn.XLOOKUP(J166,'Master Data 14-9-2026'!C:C,'Master Data 14-9-2026'!H:H)</f>
        <v>2026-04-25 - 2026-05-24</v>
      </c>
      <c r="I166" s="13" t="str">
        <f t="shared" si="2"/>
        <v>April</v>
      </c>
      <c r="J166" s="13" t="s">
        <v>1224</v>
      </c>
      <c r="K166" s="13" t="s">
        <v>1004</v>
      </c>
      <c r="L166" s="13" t="s">
        <v>461</v>
      </c>
      <c r="M166" s="15">
        <v>200003134854020</v>
      </c>
      <c r="N166" s="13" t="s">
        <v>924</v>
      </c>
      <c r="O166" s="13">
        <v>1.0912026052800099E+17</v>
      </c>
      <c r="P166" s="13" t="s">
        <v>1134</v>
      </c>
      <c r="Q166" s="18">
        <v>69</v>
      </c>
      <c r="R166" s="18">
        <v>1</v>
      </c>
      <c r="S166" s="13">
        <v>8828132636</v>
      </c>
      <c r="T166" s="13" t="s">
        <v>933</v>
      </c>
      <c r="U166" s="19">
        <v>36992000</v>
      </c>
      <c r="V166" s="18">
        <v>1</v>
      </c>
      <c r="W166" s="18">
        <f>_xlfn.XLOOKUP(J166,'Master Data 14-9-2026'!C:C,'Master Data 14-9-2026'!L:L)</f>
        <v>1.5</v>
      </c>
      <c r="X166" s="23">
        <v>36992000</v>
      </c>
      <c r="Y166" s="13" t="s">
        <v>1135</v>
      </c>
      <c r="Z166" s="24" t="s">
        <v>15</v>
      </c>
      <c r="AA166" s="13" t="s">
        <v>934</v>
      </c>
      <c r="AC166" s="4"/>
      <c r="AD166" s="13" t="s">
        <v>935</v>
      </c>
      <c r="AE166" s="13" t="str">
        <f>_xlfn.XLOOKUP(L166,'[1]ID PROJECT'!E:E,'[1]ID PROJECT'!F:F)</f>
        <v>PRJ-KUT-KPU-TPED-2026-04-00078</v>
      </c>
      <c r="AF166" s="13" t="s">
        <v>1141</v>
      </c>
      <c r="AG166" s="13" t="s">
        <v>1142</v>
      </c>
      <c r="AH166" s="65">
        <v>46216</v>
      </c>
      <c r="AI166" s="27" t="s">
        <v>938</v>
      </c>
    </row>
    <row r="167" spans="1:35" hidden="1">
      <c r="A167" s="13" t="s">
        <v>145</v>
      </c>
      <c r="B167" s="13" t="str">
        <f>_xlfn.XLOOKUP(J167,'Master Data 14-9-2026'!C:C,'Master Data 14-9-2026'!D:D)</f>
        <v>Gema Marhayen wx1506940</v>
      </c>
      <c r="C167" s="13"/>
      <c r="D167" s="13" t="str">
        <f>_xlfn.XLOOKUP(J167,'Master Data 14-9-2026'!C:C,'Master Data 14-9-2026'!E:E)</f>
        <v>XLSMART</v>
      </c>
      <c r="E167" s="13" t="s">
        <v>1225</v>
      </c>
      <c r="F167" s="13"/>
      <c r="G167" s="13" t="s">
        <v>22</v>
      </c>
      <c r="H167" s="13" t="str">
        <f>_xlfn.XLOOKUP(J167,'Master Data 14-9-2026'!C:C,'Master Data 14-9-2026'!H:H)</f>
        <v>2026-06-01 - 2026-06-30</v>
      </c>
      <c r="I167" s="13" t="str">
        <f t="shared" si="2"/>
        <v>June</v>
      </c>
      <c r="J167" s="13" t="s">
        <v>1226</v>
      </c>
      <c r="K167" s="13" t="s">
        <v>1004</v>
      </c>
      <c r="L167" s="13" t="s">
        <v>441</v>
      </c>
      <c r="M167" s="15">
        <v>200003134875020</v>
      </c>
      <c r="N167" s="13" t="s">
        <v>924</v>
      </c>
      <c r="O167" s="13">
        <v>1.0912026052800099E+17</v>
      </c>
      <c r="P167" s="13" t="s">
        <v>1134</v>
      </c>
      <c r="Q167" s="18">
        <v>70</v>
      </c>
      <c r="R167" s="18">
        <v>1</v>
      </c>
      <c r="S167" s="13">
        <v>8828132633</v>
      </c>
      <c r="T167" s="13" t="s">
        <v>951</v>
      </c>
      <c r="U167" s="19">
        <v>28881900</v>
      </c>
      <c r="V167" s="18">
        <v>1</v>
      </c>
      <c r="W167" s="18">
        <f>_xlfn.XLOOKUP(J167,'Master Data 14-9-2026'!C:C,'Master Data 14-9-2026'!L:L)</f>
        <v>1.5</v>
      </c>
      <c r="X167" s="23">
        <v>28881900</v>
      </c>
      <c r="Y167" s="13" t="s">
        <v>1135</v>
      </c>
      <c r="Z167" s="48" t="s">
        <v>15</v>
      </c>
      <c r="AA167" s="13"/>
      <c r="AB167" s="40" t="s">
        <v>1035</v>
      </c>
      <c r="AC167" s="13" t="s">
        <v>965</v>
      </c>
      <c r="AD167" s="13"/>
      <c r="AE167" s="13" t="str">
        <f>_xlfn.XLOOKUP(L167,'[1]ID PROJECT'!E:E,'[1]ID PROJECT'!F:F)</f>
        <v xml:space="preserve">PRJ-KUT-KPU-TPED-2026-04-00071 </v>
      </c>
      <c r="AF167" s="13"/>
      <c r="AG167" s="13"/>
      <c r="AH167" s="65"/>
      <c r="AI167" s="27"/>
    </row>
    <row r="168" spans="1:35" hidden="1">
      <c r="A168" s="13" t="s">
        <v>444</v>
      </c>
      <c r="B168" s="13" t="str">
        <f>_xlfn.XLOOKUP(J168,'Master Data 14-9-2026'!C:C,'Master Data 14-9-2026'!D:D)</f>
        <v>Febby Ramadhan Ahmad Suhandi wx1503968</v>
      </c>
      <c r="C168" s="13"/>
      <c r="D168" s="13" t="str">
        <f>_xlfn.XLOOKUP(J168,'Master Data 14-9-2026'!C:C,'Master Data 14-9-2026'!E:E)</f>
        <v>XLSMART</v>
      </c>
      <c r="E168" s="13"/>
      <c r="F168" s="13"/>
      <c r="G168" s="13" t="s">
        <v>18</v>
      </c>
      <c r="H168" s="13" t="str">
        <f>_xlfn.XLOOKUP(J168,'Master Data 14-9-2026'!C:C,'Master Data 14-9-2026'!H:H)</f>
        <v>2026-04-25 - 2026-05-24</v>
      </c>
      <c r="I168" s="13" t="str">
        <f t="shared" si="2"/>
        <v>April</v>
      </c>
      <c r="J168" s="13" t="s">
        <v>1227</v>
      </c>
      <c r="K168" s="13" t="s">
        <v>1004</v>
      </c>
      <c r="L168" s="13" t="s">
        <v>441</v>
      </c>
      <c r="M168" s="15">
        <v>200003134855020</v>
      </c>
      <c r="N168" s="13" t="s">
        <v>924</v>
      </c>
      <c r="O168" s="13">
        <v>1.0912026052800099E+17</v>
      </c>
      <c r="P168" s="13" t="s">
        <v>1134</v>
      </c>
      <c r="Q168" s="18">
        <v>71</v>
      </c>
      <c r="R168" s="18">
        <v>1</v>
      </c>
      <c r="S168" s="13">
        <v>8828132636</v>
      </c>
      <c r="T168" s="13" t="s">
        <v>933</v>
      </c>
      <c r="U168" s="19">
        <v>36992000</v>
      </c>
      <c r="V168" s="18">
        <v>1</v>
      </c>
      <c r="W168" s="18">
        <f>_xlfn.XLOOKUP(J168,'Master Data 14-9-2026'!C:C,'Master Data 14-9-2026'!L:L)</f>
        <v>1.5</v>
      </c>
      <c r="X168" s="23">
        <v>36992000</v>
      </c>
      <c r="Y168" s="13" t="s">
        <v>1135</v>
      </c>
      <c r="Z168" s="24" t="s">
        <v>15</v>
      </c>
      <c r="AA168" s="13" t="s">
        <v>934</v>
      </c>
      <c r="AC168" s="4"/>
      <c r="AD168" s="13" t="s">
        <v>935</v>
      </c>
      <c r="AE168" s="13" t="str">
        <f>_xlfn.XLOOKUP(L168,'[1]ID PROJECT'!E:E,'[1]ID PROJECT'!F:F)</f>
        <v xml:space="preserve">PRJ-KUT-KPU-TPED-2026-04-00071 </v>
      </c>
      <c r="AF168" s="13" t="s">
        <v>1141</v>
      </c>
      <c r="AG168" s="13" t="s">
        <v>1142</v>
      </c>
      <c r="AH168" s="65">
        <v>46216</v>
      </c>
      <c r="AI168" s="27" t="s">
        <v>938</v>
      </c>
    </row>
    <row r="169" spans="1:35" hidden="1">
      <c r="A169" s="13" t="s">
        <v>684</v>
      </c>
      <c r="B169" s="13" t="str">
        <f>_xlfn.XLOOKUP(J169,'Master Data 14-9-2026'!C:C,'Master Data 14-9-2026'!D:D)</f>
        <v>MUHAMMAD IRHAS wx1521789</v>
      </c>
      <c r="C169" s="13"/>
      <c r="D169" s="13" t="str">
        <f>_xlfn.XLOOKUP(J169,'Master Data 14-9-2026'!C:C,'Master Data 14-9-2026'!E:E)</f>
        <v>XLSMART</v>
      </c>
      <c r="E169" s="13"/>
      <c r="F169" s="13"/>
      <c r="G169" s="13" t="s">
        <v>13</v>
      </c>
      <c r="H169" s="13" t="str">
        <f>_xlfn.XLOOKUP(J169,'Master Data 14-9-2026'!C:C,'Master Data 14-9-2026'!H:H)</f>
        <v>2026-05-20 - 2026-06-19</v>
      </c>
      <c r="I169" s="13" t="str">
        <f t="shared" si="2"/>
        <v>May</v>
      </c>
      <c r="J169" s="13" t="s">
        <v>1228</v>
      </c>
      <c r="K169" s="13" t="s">
        <v>1228</v>
      </c>
      <c r="L169" s="13" t="s">
        <v>441</v>
      </c>
      <c r="M169" s="15">
        <v>200003120938020</v>
      </c>
      <c r="N169" s="13" t="s">
        <v>924</v>
      </c>
      <c r="O169" s="13">
        <v>1.09120260528002E+17</v>
      </c>
      <c r="P169" s="13" t="s">
        <v>1229</v>
      </c>
      <c r="Q169" s="18">
        <v>1</v>
      </c>
      <c r="R169" s="18">
        <v>1</v>
      </c>
      <c r="S169" s="13">
        <v>8828132634</v>
      </c>
      <c r="T169" s="13" t="s">
        <v>978</v>
      </c>
      <c r="U169" s="19">
        <v>32542400</v>
      </c>
      <c r="V169" s="18">
        <v>1</v>
      </c>
      <c r="W169" s="18">
        <f>_xlfn.XLOOKUP(J169,'Master Data 14-9-2026'!C:C,'Master Data 14-9-2026'!L:L)</f>
        <v>0.5</v>
      </c>
      <c r="X169" s="23">
        <v>32542400</v>
      </c>
      <c r="Y169" s="13" t="s">
        <v>1135</v>
      </c>
      <c r="Z169" s="24" t="s">
        <v>15</v>
      </c>
      <c r="AA169" s="13"/>
      <c r="AC169" s="4"/>
      <c r="AD169" s="4" t="s">
        <v>1230</v>
      </c>
      <c r="AE169" s="13" t="str">
        <f>_xlfn.XLOOKUP(L169,'[1]ID PROJECT'!E:E,'[1]ID PROJECT'!F:F)</f>
        <v xml:space="preserve">PRJ-KUT-KPU-TPED-2026-04-00071 </v>
      </c>
      <c r="AF169" s="13" t="s">
        <v>1231</v>
      </c>
      <c r="AG169" s="13" t="s">
        <v>1232</v>
      </c>
      <c r="AH169" s="65">
        <v>46205</v>
      </c>
      <c r="AI169" s="27" t="s">
        <v>938</v>
      </c>
    </row>
    <row r="170" spans="1:35" hidden="1">
      <c r="A170" s="13" t="s">
        <v>692</v>
      </c>
      <c r="B170" s="13" t="str">
        <f>_xlfn.XLOOKUP(J170,'Master Data 14-9-2026'!C:C,'Master Data 14-9-2026'!D:D)</f>
        <v>R Muhammad Valdi Pramudika W wx1521786</v>
      </c>
      <c r="C170" s="13"/>
      <c r="D170" s="13" t="str">
        <f>_xlfn.XLOOKUP(J170,'Master Data 14-9-2026'!C:C,'Master Data 14-9-2026'!E:E)</f>
        <v>XLSMART</v>
      </c>
      <c r="E170" s="13"/>
      <c r="F170" s="13"/>
      <c r="G170" s="13" t="s">
        <v>13</v>
      </c>
      <c r="H170" s="13" t="str">
        <f>_xlfn.XLOOKUP(J170,'Master Data 14-9-2026'!C:C,'Master Data 14-9-2026'!H:H)</f>
        <v>2026-05-20 - 2026-06-19</v>
      </c>
      <c r="I170" s="13" t="str">
        <f t="shared" si="2"/>
        <v>May</v>
      </c>
      <c r="J170" s="13" t="s">
        <v>1233</v>
      </c>
      <c r="K170" s="13" t="s">
        <v>1233</v>
      </c>
      <c r="L170" s="13" t="s">
        <v>441</v>
      </c>
      <c r="M170" s="15">
        <v>200003120939020</v>
      </c>
      <c r="N170" s="13" t="s">
        <v>924</v>
      </c>
      <c r="O170" s="13">
        <v>1.09120260528002E+17</v>
      </c>
      <c r="P170" s="13" t="s">
        <v>1229</v>
      </c>
      <c r="Q170" s="18">
        <v>2</v>
      </c>
      <c r="R170" s="18">
        <v>1</v>
      </c>
      <c r="S170" s="13">
        <v>8828132634</v>
      </c>
      <c r="T170" s="13" t="s">
        <v>978</v>
      </c>
      <c r="U170" s="19">
        <v>32542400</v>
      </c>
      <c r="V170" s="18">
        <v>1</v>
      </c>
      <c r="W170" s="18">
        <f>_xlfn.XLOOKUP(J170,'Master Data 14-9-2026'!C:C,'Master Data 14-9-2026'!L:L)</f>
        <v>0.5</v>
      </c>
      <c r="X170" s="23">
        <v>32542400</v>
      </c>
      <c r="Y170" s="13" t="s">
        <v>1135</v>
      </c>
      <c r="Z170" s="24" t="s">
        <v>15</v>
      </c>
      <c r="AA170" s="13"/>
      <c r="AC170" s="4"/>
      <c r="AD170" s="4" t="s">
        <v>1230</v>
      </c>
      <c r="AE170" s="13" t="str">
        <f>_xlfn.XLOOKUP(L170,'[1]ID PROJECT'!E:E,'[1]ID PROJECT'!F:F)</f>
        <v xml:space="preserve">PRJ-KUT-KPU-TPED-2026-04-00071 </v>
      </c>
      <c r="AF170" s="13" t="s">
        <v>1231</v>
      </c>
      <c r="AG170" s="13" t="s">
        <v>1232</v>
      </c>
      <c r="AH170" s="65">
        <v>46205</v>
      </c>
      <c r="AI170" s="27" t="s">
        <v>938</v>
      </c>
    </row>
    <row r="171" spans="1:35" hidden="1">
      <c r="A171" s="13" t="s">
        <v>700</v>
      </c>
      <c r="B171" s="13" t="str">
        <f>_xlfn.XLOOKUP(J171,'Master Data 14-9-2026'!C:C,'Master Data 14-9-2026'!D:D)</f>
        <v>Syafrizal Akbar Harahap wx1521788</v>
      </c>
      <c r="C171" s="13"/>
      <c r="D171" s="13" t="str">
        <f>_xlfn.XLOOKUP(J171,'Master Data 14-9-2026'!C:C,'Master Data 14-9-2026'!E:E)</f>
        <v>XLSMART</v>
      </c>
      <c r="E171" s="13"/>
      <c r="F171" s="13"/>
      <c r="G171" s="13" t="s">
        <v>13</v>
      </c>
      <c r="H171" s="13" t="str">
        <f>_xlfn.XLOOKUP(J171,'Master Data 14-9-2026'!C:C,'Master Data 14-9-2026'!H:H)</f>
        <v>2026-05-20 - 2026-06-19</v>
      </c>
      <c r="I171" s="13" t="str">
        <f t="shared" si="2"/>
        <v>May</v>
      </c>
      <c r="J171" s="13" t="s">
        <v>1234</v>
      </c>
      <c r="K171" s="13" t="s">
        <v>1234</v>
      </c>
      <c r="L171" s="13" t="s">
        <v>441</v>
      </c>
      <c r="M171" s="15">
        <v>200003120940020</v>
      </c>
      <c r="N171" s="13" t="s">
        <v>924</v>
      </c>
      <c r="O171" s="13">
        <v>1.09120260528002E+17</v>
      </c>
      <c r="P171" s="13" t="s">
        <v>1229</v>
      </c>
      <c r="Q171" s="18">
        <v>3</v>
      </c>
      <c r="R171" s="18">
        <v>1</v>
      </c>
      <c r="S171" s="13">
        <v>8828132634</v>
      </c>
      <c r="T171" s="13" t="s">
        <v>978</v>
      </c>
      <c r="U171" s="19">
        <v>32542400</v>
      </c>
      <c r="V171" s="18">
        <v>1</v>
      </c>
      <c r="W171" s="18">
        <f>_xlfn.XLOOKUP(J171,'Master Data 14-9-2026'!C:C,'Master Data 14-9-2026'!L:L)</f>
        <v>0.5</v>
      </c>
      <c r="X171" s="23">
        <v>32542400</v>
      </c>
      <c r="Y171" s="13" t="s">
        <v>1135</v>
      </c>
      <c r="Z171" s="24" t="s">
        <v>15</v>
      </c>
      <c r="AA171" s="13"/>
      <c r="AC171" s="4"/>
      <c r="AD171" s="4" t="s">
        <v>1230</v>
      </c>
      <c r="AE171" s="13" t="str">
        <f>_xlfn.XLOOKUP(L171,'[1]ID PROJECT'!E:E,'[1]ID PROJECT'!F:F)</f>
        <v xml:space="preserve">PRJ-KUT-KPU-TPED-2026-04-00071 </v>
      </c>
      <c r="AF171" s="13" t="s">
        <v>1231</v>
      </c>
      <c r="AG171" s="13" t="s">
        <v>1232</v>
      </c>
      <c r="AH171" s="65">
        <v>46205</v>
      </c>
      <c r="AI171" s="27" t="s">
        <v>938</v>
      </c>
    </row>
    <row r="172" spans="1:35" hidden="1">
      <c r="A172" s="13" t="s">
        <v>708</v>
      </c>
      <c r="B172" s="13" t="str">
        <f>_xlfn.XLOOKUP(J172,'Master Data 14-9-2026'!C:C,'Master Data 14-9-2026'!D:D)</f>
        <v>Maulida Nabilah Badriah wx1523058</v>
      </c>
      <c r="C172" s="13"/>
      <c r="D172" s="13" t="str">
        <f>_xlfn.XLOOKUP(J172,'Master Data 14-9-2026'!C:C,'Master Data 14-9-2026'!E:E)</f>
        <v>XLSMART</v>
      </c>
      <c r="E172" s="13"/>
      <c r="F172" s="13"/>
      <c r="G172" s="13" t="s">
        <v>13</v>
      </c>
      <c r="H172" s="13" t="str">
        <f>_xlfn.XLOOKUP(J172,'Master Data 14-9-2026'!C:C,'Master Data 14-9-2026'!H:H)</f>
        <v>2026-05-26 - 2026-06-25</v>
      </c>
      <c r="I172" s="13" t="str">
        <f t="shared" si="2"/>
        <v>May</v>
      </c>
      <c r="J172" s="13" t="s">
        <v>1235</v>
      </c>
      <c r="K172" s="13" t="s">
        <v>1235</v>
      </c>
      <c r="L172" s="13" t="s">
        <v>441</v>
      </c>
      <c r="M172" s="15">
        <v>200003120941020</v>
      </c>
      <c r="N172" s="13" t="s">
        <v>924</v>
      </c>
      <c r="O172" s="13">
        <v>1.09120260528002E+17</v>
      </c>
      <c r="P172" s="13" t="s">
        <v>1229</v>
      </c>
      <c r="Q172" s="18">
        <v>4</v>
      </c>
      <c r="R172" s="18">
        <v>1</v>
      </c>
      <c r="S172" s="13">
        <v>8828132634</v>
      </c>
      <c r="T172" s="13" t="s">
        <v>978</v>
      </c>
      <c r="U172" s="19">
        <v>32542400</v>
      </c>
      <c r="V172" s="18">
        <v>1</v>
      </c>
      <c r="W172" s="18">
        <f>_xlfn.XLOOKUP(J172,'Master Data 14-9-2026'!C:C,'Master Data 14-9-2026'!L:L)</f>
        <v>0</v>
      </c>
      <c r="X172" s="23">
        <v>32542400</v>
      </c>
      <c r="Y172" s="13" t="s">
        <v>1135</v>
      </c>
      <c r="Z172" s="24" t="s">
        <v>15</v>
      </c>
      <c r="AA172" s="13"/>
      <c r="AB172" s="4" t="s">
        <v>1236</v>
      </c>
      <c r="AC172" s="4" t="s">
        <v>1237</v>
      </c>
      <c r="AD172" s="13"/>
      <c r="AE172" s="13" t="str">
        <f>_xlfn.XLOOKUP(L172,'[1]ID PROJECT'!E:E,'[1]ID PROJECT'!F:F)</f>
        <v xml:space="preserve">PRJ-KUT-KPU-TPED-2026-04-00071 </v>
      </c>
      <c r="AF172" s="13"/>
      <c r="AG172" s="13"/>
      <c r="AH172" s="65"/>
      <c r="AI172" s="27"/>
    </row>
    <row r="173" spans="1:35" hidden="1">
      <c r="A173" s="13" t="s">
        <v>1238</v>
      </c>
      <c r="B173" s="13" t="e">
        <f>_xlfn.XLOOKUP(J173,'Master Data 14-9-2026'!C:C,'Master Data 14-9-2026'!D:D)</f>
        <v>#N/A</v>
      </c>
      <c r="C173" s="13"/>
      <c r="D173" s="13" t="e">
        <f>_xlfn.XLOOKUP(J173,'Master Data 14-9-2026'!C:C,'Master Data 14-9-2026'!E:E)</f>
        <v>#N/A</v>
      </c>
      <c r="E173" s="13"/>
      <c r="F173" s="13"/>
      <c r="G173" s="13" t="s">
        <v>13</v>
      </c>
      <c r="H173" s="13" t="e">
        <f>_xlfn.XLOOKUP(J173,'Master Data 14-9-2026'!C:C,'Master Data 14-9-2026'!H:H)</f>
        <v>#N/A</v>
      </c>
      <c r="I173" s="13" t="e">
        <f t="shared" si="2"/>
        <v>#N/A</v>
      </c>
      <c r="J173" s="13" t="s">
        <v>1239</v>
      </c>
      <c r="K173" s="13" t="s">
        <v>1239</v>
      </c>
      <c r="L173" s="13"/>
      <c r="M173" s="15">
        <v>200003120942020</v>
      </c>
      <c r="N173" s="13" t="s">
        <v>924</v>
      </c>
      <c r="O173" s="13">
        <v>1.09120260528002E+17</v>
      </c>
      <c r="P173" s="13" t="s">
        <v>1229</v>
      </c>
      <c r="Q173" s="18">
        <v>5</v>
      </c>
      <c r="R173" s="18">
        <v>1</v>
      </c>
      <c r="S173" s="13">
        <v>8828132634</v>
      </c>
      <c r="T173" s="13" t="s">
        <v>978</v>
      </c>
      <c r="U173" s="19">
        <v>32542400</v>
      </c>
      <c r="V173" s="18">
        <v>1</v>
      </c>
      <c r="W173" s="18" t="e">
        <f>_xlfn.XLOOKUP(J173,'Master Data 14-9-2026'!C:C,'Master Data 14-9-2026'!L:L)</f>
        <v>#N/A</v>
      </c>
      <c r="X173" s="23">
        <v>32542400</v>
      </c>
      <c r="Y173" s="13" t="s">
        <v>1135</v>
      </c>
      <c r="Z173" s="24" t="s">
        <v>984</v>
      </c>
      <c r="AB173" s="13" t="s">
        <v>1126</v>
      </c>
      <c r="AC173" s="13"/>
      <c r="AD173" s="13"/>
      <c r="AE173" s="13" t="e">
        <f>_xlfn.XLOOKUP(L173,'[1]ID PROJECT'!E:E,'[1]ID PROJECT'!F:F)</f>
        <v>#N/A</v>
      </c>
      <c r="AF173" s="13"/>
      <c r="AG173" s="13"/>
      <c r="AH173" s="65"/>
      <c r="AI173" s="27"/>
    </row>
    <row r="174" spans="1:35" hidden="1">
      <c r="A174" s="13" t="s">
        <v>211</v>
      </c>
      <c r="B174" s="13" t="str">
        <f>_xlfn.XLOOKUP(J174,'Master Data 14-9-2026'!C:C,'Master Data 14-9-2026'!D:D)</f>
        <v>Lidya Juwita Apriliani wx1504642</v>
      </c>
      <c r="C174" s="13"/>
      <c r="D174" s="13" t="str">
        <f>_xlfn.XLOOKUP(J174,'Master Data 14-9-2026'!C:C,'Master Data 14-9-2026'!E:E)</f>
        <v>IOH</v>
      </c>
      <c r="E174" s="13"/>
      <c r="F174" s="13"/>
      <c r="G174" s="13" t="s">
        <v>13</v>
      </c>
      <c r="H174" s="13" t="str">
        <f>_xlfn.XLOOKUP(J174,'Master Data 14-9-2026'!C:C,'Master Data 14-9-2026'!H:H)</f>
        <v>2026-03-31 - 2026-04-29</v>
      </c>
      <c r="I174" s="13" t="str">
        <f t="shared" si="2"/>
        <v>March</v>
      </c>
      <c r="J174" s="13" t="s">
        <v>1240</v>
      </c>
      <c r="K174" s="13" t="s">
        <v>1240</v>
      </c>
      <c r="L174" s="13" t="s">
        <v>441</v>
      </c>
      <c r="M174" s="15">
        <v>200003102318020</v>
      </c>
      <c r="N174" s="13" t="s">
        <v>924</v>
      </c>
      <c r="O174" s="13">
        <v>1.09120260528002E+17</v>
      </c>
      <c r="P174" s="13" t="s">
        <v>1241</v>
      </c>
      <c r="Q174" s="18">
        <v>1</v>
      </c>
      <c r="R174" s="18">
        <v>1</v>
      </c>
      <c r="S174" s="13">
        <v>8828132633</v>
      </c>
      <c r="T174" s="13" t="s">
        <v>951</v>
      </c>
      <c r="U174" s="19">
        <v>28881900</v>
      </c>
      <c r="V174" s="18">
        <v>1</v>
      </c>
      <c r="W174" s="18">
        <f>_xlfn.XLOOKUP(J174,'Master Data 14-9-2026'!C:C,'Master Data 14-9-2026'!L:L)</f>
        <v>1.05</v>
      </c>
      <c r="X174" s="23">
        <v>28881900</v>
      </c>
      <c r="Y174" s="13" t="s">
        <v>1135</v>
      </c>
      <c r="Z174" s="24" t="s">
        <v>15</v>
      </c>
      <c r="AA174" s="4" t="s">
        <v>934</v>
      </c>
      <c r="AC174" s="4"/>
      <c r="AD174" s="13" t="s">
        <v>935</v>
      </c>
      <c r="AE174" s="13" t="str">
        <f>_xlfn.XLOOKUP(L174,'[1]ID PROJECT'!E:E,'[1]ID PROJECT'!F:F)</f>
        <v xml:space="preserve">PRJ-KUT-KPU-TPED-2026-04-00071 </v>
      </c>
      <c r="AF174" s="13" t="s">
        <v>1242</v>
      </c>
      <c r="AG174" s="13" t="s">
        <v>1243</v>
      </c>
      <c r="AH174" s="65">
        <v>46197</v>
      </c>
      <c r="AI174" s="27" t="s">
        <v>945</v>
      </c>
    </row>
    <row r="175" spans="1:35" hidden="1">
      <c r="A175" s="13" t="s">
        <v>198</v>
      </c>
      <c r="B175" s="13" t="str">
        <f>_xlfn.XLOOKUP(J175,'Master Data 14-9-2026'!C:C,'Master Data 14-9-2026'!D:D)</f>
        <v>Adisty Citra wx1504664</v>
      </c>
      <c r="C175" s="13"/>
      <c r="D175" s="13" t="str">
        <f>_xlfn.XLOOKUP(J175,'Master Data 14-9-2026'!C:C,'Master Data 14-9-2026'!E:E)</f>
        <v>IOH</v>
      </c>
      <c r="E175" s="13"/>
      <c r="F175" s="13"/>
      <c r="G175" s="13" t="s">
        <v>13</v>
      </c>
      <c r="H175" s="13" t="str">
        <f>_xlfn.XLOOKUP(J175,'Master Data 14-9-2026'!C:C,'Master Data 14-9-2026'!H:H)</f>
        <v>2026-03-31 - 2026-04-29</v>
      </c>
      <c r="I175" s="13" t="str">
        <f t="shared" si="2"/>
        <v>March</v>
      </c>
      <c r="J175" s="13" t="s">
        <v>1244</v>
      </c>
      <c r="K175" s="13" t="s">
        <v>1244</v>
      </c>
      <c r="L175" s="13" t="s">
        <v>441</v>
      </c>
      <c r="M175" s="15">
        <v>200003102319020</v>
      </c>
      <c r="N175" s="13" t="s">
        <v>924</v>
      </c>
      <c r="O175" s="13">
        <v>1.09120260528002E+17</v>
      </c>
      <c r="P175" s="13" t="s">
        <v>1241</v>
      </c>
      <c r="Q175" s="18">
        <v>2</v>
      </c>
      <c r="R175" s="18">
        <v>1</v>
      </c>
      <c r="S175" s="13">
        <v>8828132633</v>
      </c>
      <c r="T175" s="13" t="s">
        <v>951</v>
      </c>
      <c r="U175" s="19">
        <v>28881900</v>
      </c>
      <c r="V175" s="18">
        <v>1</v>
      </c>
      <c r="W175" s="18">
        <f>_xlfn.XLOOKUP(J175,'Master Data 14-9-2026'!C:C,'Master Data 14-9-2026'!L:L)</f>
        <v>1.5</v>
      </c>
      <c r="X175" s="23">
        <v>28881900</v>
      </c>
      <c r="Y175" s="13" t="s">
        <v>1135</v>
      </c>
      <c r="Z175" s="24" t="s">
        <v>15</v>
      </c>
      <c r="AA175" s="4" t="s">
        <v>934</v>
      </c>
      <c r="AC175" s="4"/>
      <c r="AD175" s="13" t="s">
        <v>935</v>
      </c>
      <c r="AE175" s="13" t="str">
        <f>_xlfn.XLOOKUP(L175,'[1]ID PROJECT'!E:E,'[1]ID PROJECT'!F:F)</f>
        <v xml:space="preserve">PRJ-KUT-KPU-TPED-2026-04-00071 </v>
      </c>
      <c r="AF175" s="13" t="s">
        <v>1242</v>
      </c>
      <c r="AG175" s="13" t="s">
        <v>1243</v>
      </c>
      <c r="AH175" s="65">
        <v>46197</v>
      </c>
      <c r="AI175" s="27" t="s">
        <v>945</v>
      </c>
    </row>
    <row r="176" spans="1:35" hidden="1">
      <c r="A176" s="13" t="s">
        <v>384</v>
      </c>
      <c r="B176" s="13" t="str">
        <f>_xlfn.XLOOKUP(J176,'Master Data 14-9-2026'!C:C,'Master Data 14-9-2026'!D:D)</f>
        <v>Andi Tenri Bali wx1507141</v>
      </c>
      <c r="C176" s="13"/>
      <c r="D176" s="13" t="str">
        <f>_xlfn.XLOOKUP(J176,'Master Data 14-9-2026'!C:C,'Master Data 14-9-2026'!E:E)</f>
        <v>IOH</v>
      </c>
      <c r="E176" s="13"/>
      <c r="F176" s="13"/>
      <c r="G176" s="13" t="s">
        <v>13</v>
      </c>
      <c r="H176" s="13" t="str">
        <f>_xlfn.XLOOKUP(J176,'Master Data 14-9-2026'!C:C,'Master Data 14-9-2026'!H:H)</f>
        <v>2026-04-01 - 2026-04-30</v>
      </c>
      <c r="I176" s="13" t="str">
        <f t="shared" si="2"/>
        <v>April</v>
      </c>
      <c r="J176" s="13" t="s">
        <v>1245</v>
      </c>
      <c r="K176" s="13" t="s">
        <v>1245</v>
      </c>
      <c r="L176" s="13" t="s">
        <v>500</v>
      </c>
      <c r="M176" s="15">
        <v>200003102320020</v>
      </c>
      <c r="N176" s="13" t="s">
        <v>924</v>
      </c>
      <c r="O176" s="13">
        <v>1.09120260528002E+17</v>
      </c>
      <c r="P176" s="13" t="s">
        <v>1241</v>
      </c>
      <c r="Q176" s="18">
        <v>3</v>
      </c>
      <c r="R176" s="18">
        <v>1</v>
      </c>
      <c r="S176" s="13">
        <v>8828132633</v>
      </c>
      <c r="T176" s="13" t="s">
        <v>951</v>
      </c>
      <c r="U176" s="19">
        <v>28881900</v>
      </c>
      <c r="V176" s="18">
        <v>1</v>
      </c>
      <c r="W176" s="18">
        <f>_xlfn.XLOOKUP(J176,'Master Data 14-9-2026'!C:C,'Master Data 14-9-2026'!L:L)</f>
        <v>0</v>
      </c>
      <c r="X176" s="23">
        <v>28881900</v>
      </c>
      <c r="Y176" s="13" t="s">
        <v>1135</v>
      </c>
      <c r="Z176" s="24" t="s">
        <v>15</v>
      </c>
      <c r="AA176" s="4" t="s">
        <v>934</v>
      </c>
      <c r="AC176" s="4"/>
      <c r="AD176" s="13" t="s">
        <v>935</v>
      </c>
      <c r="AE176" s="13" t="str">
        <f>_xlfn.XLOOKUP(L176,'[1]ID PROJECT'!E:E,'[1]ID PROJECT'!F:F)</f>
        <v>PRJ-KUT-KPU-TPED-2026-04-00080</v>
      </c>
      <c r="AF176" s="13" t="s">
        <v>1242</v>
      </c>
      <c r="AG176" s="13" t="s">
        <v>1243</v>
      </c>
      <c r="AH176" s="65">
        <v>46197</v>
      </c>
      <c r="AI176" s="27" t="s">
        <v>945</v>
      </c>
    </row>
    <row r="177" spans="1:35" ht="13.5" hidden="1" customHeight="1">
      <c r="A177" s="13" t="s">
        <v>884</v>
      </c>
      <c r="B177" s="13" t="str">
        <f>_xlfn.XLOOKUP(J177,'Master Data 14-9-2026'!C:C,'Master Data 14-9-2026'!D:D)</f>
        <v>Kurnia Rahmawati wx1507140</v>
      </c>
      <c r="C177" s="13"/>
      <c r="D177" s="13" t="str">
        <f>_xlfn.XLOOKUP(J177,'Master Data 14-9-2026'!C:C,'Master Data 14-9-2026'!E:E)</f>
        <v>IOH</v>
      </c>
      <c r="E177" s="13"/>
      <c r="F177" s="13"/>
      <c r="G177" s="13" t="s">
        <v>13</v>
      </c>
      <c r="H177" s="13" t="str">
        <f>_xlfn.XLOOKUP(J177,'Master Data 14-9-2026'!C:C,'Master Data 14-9-2026'!H:H)</f>
        <v>2026-04-01 - 2026-04-30</v>
      </c>
      <c r="I177" s="13" t="str">
        <f t="shared" si="2"/>
        <v>April</v>
      </c>
      <c r="J177" s="13" t="s">
        <v>1246</v>
      </c>
      <c r="K177" s="13" t="s">
        <v>1246</v>
      </c>
      <c r="L177" s="13" t="s">
        <v>500</v>
      </c>
      <c r="M177" s="15">
        <v>200003102325020</v>
      </c>
      <c r="N177" s="13" t="s">
        <v>924</v>
      </c>
      <c r="O177" s="13">
        <v>1.09120260528002E+17</v>
      </c>
      <c r="P177" s="13" t="s">
        <v>1241</v>
      </c>
      <c r="Q177" s="18">
        <v>4</v>
      </c>
      <c r="R177" s="18">
        <v>1</v>
      </c>
      <c r="S177" s="13">
        <v>8828132635</v>
      </c>
      <c r="T177" s="13" t="s">
        <v>926</v>
      </c>
      <c r="U177" s="19">
        <v>34220600</v>
      </c>
      <c r="V177" s="18">
        <v>1</v>
      </c>
      <c r="W177" s="18">
        <f>_xlfn.XLOOKUP(J177,'Master Data 14-9-2026'!C:C,'Master Data 14-9-2026'!L:L)</f>
        <v>0.5</v>
      </c>
      <c r="X177" s="23">
        <v>34220600</v>
      </c>
      <c r="Y177" s="13" t="s">
        <v>1135</v>
      </c>
      <c r="Z177" s="24" t="s">
        <v>15</v>
      </c>
      <c r="AA177" s="4" t="s">
        <v>934</v>
      </c>
      <c r="AC177" s="4"/>
      <c r="AD177" s="13" t="s">
        <v>935</v>
      </c>
      <c r="AE177" s="13" t="str">
        <f>_xlfn.XLOOKUP(L177,'[1]ID PROJECT'!E:E,'[1]ID PROJECT'!F:F)</f>
        <v>PRJ-KUT-KPU-TPED-2026-04-00080</v>
      </c>
      <c r="AF177" s="13" t="s">
        <v>1242</v>
      </c>
      <c r="AG177" s="13" t="s">
        <v>1243</v>
      </c>
      <c r="AH177" s="65">
        <v>46197</v>
      </c>
      <c r="AI177" s="27" t="s">
        <v>945</v>
      </c>
    </row>
    <row r="178" spans="1:35" hidden="1">
      <c r="A178" s="13" t="s">
        <v>738</v>
      </c>
      <c r="B178" s="13" t="str">
        <f>_xlfn.XLOOKUP(J178,'Master Data 14-9-2026'!C:C,'Master Data 14-9-2026'!D:D)</f>
        <v>Kharis Nugraha wx1506943</v>
      </c>
      <c r="C178" s="13"/>
      <c r="D178" s="13" t="str">
        <f>_xlfn.XLOOKUP(J178,'Master Data 14-9-2026'!C:C,'Master Data 14-9-2026'!E:E)</f>
        <v>IOH</v>
      </c>
      <c r="E178" s="13"/>
      <c r="F178" s="13"/>
      <c r="G178" s="13" t="s">
        <v>13</v>
      </c>
      <c r="H178" s="13" t="str">
        <f>_xlfn.XLOOKUP(J178,'Master Data 14-9-2026'!C:C,'Master Data 14-9-2026'!H:H)</f>
        <v>2026-04-01 - 2026-04-30</v>
      </c>
      <c r="I178" s="13" t="str">
        <f t="shared" si="2"/>
        <v>April</v>
      </c>
      <c r="J178" s="13" t="s">
        <v>1247</v>
      </c>
      <c r="K178" s="13" t="s">
        <v>1247</v>
      </c>
      <c r="L178" s="13" t="s">
        <v>441</v>
      </c>
      <c r="M178" s="15">
        <v>200003102326020</v>
      </c>
      <c r="N178" s="13" t="s">
        <v>924</v>
      </c>
      <c r="O178" s="13">
        <v>1.09120260528002E+17</v>
      </c>
      <c r="P178" s="13" t="s">
        <v>1241</v>
      </c>
      <c r="Q178" s="18">
        <v>5</v>
      </c>
      <c r="R178" s="18">
        <v>1</v>
      </c>
      <c r="S178" s="13">
        <v>8828132635</v>
      </c>
      <c r="T178" s="13" t="s">
        <v>926</v>
      </c>
      <c r="U178" s="19">
        <v>34220600</v>
      </c>
      <c r="V178" s="18">
        <v>1</v>
      </c>
      <c r="W178" s="18">
        <f>_xlfn.XLOOKUP(J178,'Master Data 14-9-2026'!C:C,'Master Data 14-9-2026'!L:L)</f>
        <v>1.5</v>
      </c>
      <c r="X178" s="23">
        <v>34220600</v>
      </c>
      <c r="Y178" s="13" t="s">
        <v>1135</v>
      </c>
      <c r="Z178" s="24" t="s">
        <v>15</v>
      </c>
      <c r="AA178" s="4" t="s">
        <v>934</v>
      </c>
      <c r="AC178" s="4"/>
      <c r="AD178" s="13" t="s">
        <v>935</v>
      </c>
      <c r="AE178" s="13" t="str">
        <f>_xlfn.XLOOKUP(L178,'[1]ID PROJECT'!E:E,'[1]ID PROJECT'!F:F)</f>
        <v xml:space="preserve">PRJ-KUT-KPU-TPED-2026-04-00071 </v>
      </c>
      <c r="AF178" s="13" t="s">
        <v>1242</v>
      </c>
      <c r="AG178" s="13" t="s">
        <v>1243</v>
      </c>
      <c r="AH178" s="65">
        <v>46197</v>
      </c>
      <c r="AI178" s="27" t="s">
        <v>945</v>
      </c>
    </row>
    <row r="179" spans="1:35" hidden="1">
      <c r="A179" s="13" t="s">
        <v>750</v>
      </c>
      <c r="B179" s="13" t="str">
        <f>_xlfn.XLOOKUP(J179,'Master Data 14-9-2026'!C:C,'Master Data 14-9-2026'!D:D)</f>
        <v>Muhammad Suprijanto wx1503655</v>
      </c>
      <c r="C179" s="13"/>
      <c r="D179" s="13" t="str">
        <f>_xlfn.XLOOKUP(J179,'Master Data 14-9-2026'!C:C,'Master Data 14-9-2026'!E:E)</f>
        <v>IOH</v>
      </c>
      <c r="E179" s="13"/>
      <c r="F179" s="13"/>
      <c r="G179" s="13" t="s">
        <v>13</v>
      </c>
      <c r="H179" s="13" t="str">
        <f>_xlfn.XLOOKUP(J179,'Master Data 14-9-2026'!C:C,'Master Data 14-9-2026'!H:H)</f>
        <v>2026-04-01 - 2026-04-30</v>
      </c>
      <c r="I179" s="13" t="str">
        <f t="shared" si="2"/>
        <v>April</v>
      </c>
      <c r="J179" s="13" t="s">
        <v>1248</v>
      </c>
      <c r="K179" s="13" t="s">
        <v>1248</v>
      </c>
      <c r="L179" s="13" t="s">
        <v>468</v>
      </c>
      <c r="M179" s="15">
        <v>200003102327020</v>
      </c>
      <c r="N179" s="13" t="s">
        <v>924</v>
      </c>
      <c r="O179" s="13">
        <v>1.09120260528002E+17</v>
      </c>
      <c r="P179" s="13" t="s">
        <v>1241</v>
      </c>
      <c r="Q179" s="18">
        <v>6</v>
      </c>
      <c r="R179" s="18">
        <v>1</v>
      </c>
      <c r="S179" s="13">
        <v>8828132635</v>
      </c>
      <c r="T179" s="13" t="s">
        <v>926</v>
      </c>
      <c r="U179" s="19">
        <v>34220600</v>
      </c>
      <c r="V179" s="18">
        <v>1</v>
      </c>
      <c r="W179" s="18">
        <f>_xlfn.XLOOKUP(J179,'Master Data 14-9-2026'!C:C,'Master Data 14-9-2026'!L:L)</f>
        <v>1</v>
      </c>
      <c r="X179" s="23">
        <v>34220600</v>
      </c>
      <c r="Y179" s="13" t="s">
        <v>1135</v>
      </c>
      <c r="Z179" s="24" t="str">
        <f>_xlfn.XLOOKUP(J179,'Master Data 14-9-2026'!C:C,'Master Data 14-9-2026'!I:I)</f>
        <v>Ended</v>
      </c>
      <c r="AA179" s="4" t="s">
        <v>934</v>
      </c>
      <c r="AC179" s="4"/>
      <c r="AD179" s="13" t="s">
        <v>935</v>
      </c>
      <c r="AE179" s="13" t="str">
        <f>_xlfn.XLOOKUP(L179,'[1]ID PROJECT'!E:E,'[1]ID PROJECT'!F:F)</f>
        <v>PRJ-KUT-KPU-TPED-2026-04-00075</v>
      </c>
      <c r="AF179" s="13" t="s">
        <v>1242</v>
      </c>
      <c r="AG179" s="13" t="s">
        <v>1243</v>
      </c>
      <c r="AH179" s="65">
        <v>46197</v>
      </c>
      <c r="AI179" s="27" t="s">
        <v>945</v>
      </c>
    </row>
    <row r="180" spans="1:35" hidden="1">
      <c r="A180" s="13" t="s">
        <v>878</v>
      </c>
      <c r="B180" s="13" t="str">
        <f>_xlfn.XLOOKUP(J180,'Master Data 14-9-2026'!C:C,'Master Data 14-9-2026'!D:D)</f>
        <v>Farid Aulia Erdianda wx1507365</v>
      </c>
      <c r="C180" s="13"/>
      <c r="D180" s="13" t="str">
        <f>_xlfn.XLOOKUP(J180,'Master Data 14-9-2026'!C:C,'Master Data 14-9-2026'!E:E)</f>
        <v>IOH</v>
      </c>
      <c r="E180" s="13"/>
      <c r="F180" s="13"/>
      <c r="G180" s="13" t="s">
        <v>13</v>
      </c>
      <c r="H180" s="13" t="str">
        <f>_xlfn.XLOOKUP(J180,'Master Data 14-9-2026'!C:C,'Master Data 14-9-2026'!H:H)</f>
        <v>2026-04-01 - 2026-04-30</v>
      </c>
      <c r="I180" s="13" t="str">
        <f t="shared" si="2"/>
        <v>April</v>
      </c>
      <c r="J180" s="13" t="s">
        <v>1249</v>
      </c>
      <c r="K180" s="13" t="s">
        <v>1249</v>
      </c>
      <c r="L180" s="13" t="s">
        <v>441</v>
      </c>
      <c r="M180" s="15">
        <v>200003102328020</v>
      </c>
      <c r="N180" s="13" t="s">
        <v>924</v>
      </c>
      <c r="O180" s="13">
        <v>1.09120260528002E+17</v>
      </c>
      <c r="P180" s="13" t="s">
        <v>1241</v>
      </c>
      <c r="Q180" s="18">
        <v>7</v>
      </c>
      <c r="R180" s="18">
        <v>1</v>
      </c>
      <c r="S180" s="13">
        <v>8828132635</v>
      </c>
      <c r="T180" s="13" t="s">
        <v>926</v>
      </c>
      <c r="U180" s="19">
        <v>34220600</v>
      </c>
      <c r="V180" s="18">
        <v>1</v>
      </c>
      <c r="W180" s="18">
        <f>_xlfn.XLOOKUP(J180,'Master Data 14-9-2026'!C:C,'Master Data 14-9-2026'!L:L)</f>
        <v>0</v>
      </c>
      <c r="X180" s="23">
        <v>34220600</v>
      </c>
      <c r="Y180" s="13" t="s">
        <v>1135</v>
      </c>
      <c r="Z180" s="24" t="s">
        <v>15</v>
      </c>
      <c r="AA180" s="4" t="s">
        <v>934</v>
      </c>
      <c r="AC180" s="4"/>
      <c r="AD180" s="13" t="s">
        <v>935</v>
      </c>
      <c r="AE180" s="13" t="str">
        <f>_xlfn.XLOOKUP(L180,'[1]ID PROJECT'!E:E,'[1]ID PROJECT'!F:F)</f>
        <v xml:space="preserve">PRJ-KUT-KPU-TPED-2026-04-00071 </v>
      </c>
      <c r="AF180" s="13" t="s">
        <v>1242</v>
      </c>
      <c r="AG180" s="13" t="s">
        <v>1243</v>
      </c>
      <c r="AH180" s="65">
        <v>46197</v>
      </c>
      <c r="AI180" s="27" t="s">
        <v>945</v>
      </c>
    </row>
    <row r="181" spans="1:35" hidden="1">
      <c r="A181" s="13" t="s">
        <v>471</v>
      </c>
      <c r="B181" s="13" t="str">
        <f>_xlfn.XLOOKUP(J181,'Master Data 14-9-2026'!C:C,'Master Data 14-9-2026'!D:D)</f>
        <v>Ivan Arfianto wx1503653</v>
      </c>
      <c r="C181" s="13"/>
      <c r="D181" s="13" t="str">
        <f>_xlfn.XLOOKUP(J181,'Master Data 14-9-2026'!C:C,'Master Data 14-9-2026'!E:E)</f>
        <v>IOH</v>
      </c>
      <c r="E181" s="13"/>
      <c r="F181" s="13"/>
      <c r="G181" s="13" t="s">
        <v>13</v>
      </c>
      <c r="H181" s="13" t="str">
        <f>_xlfn.XLOOKUP(J181,'Master Data 14-9-2026'!C:C,'Master Data 14-9-2026'!H:H)</f>
        <v>2026-04-01 - 2026-04-30</v>
      </c>
      <c r="I181" s="13" t="str">
        <f t="shared" si="2"/>
        <v>April</v>
      </c>
      <c r="J181" s="13" t="s">
        <v>1250</v>
      </c>
      <c r="K181" s="13" t="s">
        <v>1250</v>
      </c>
      <c r="L181" s="13" t="s">
        <v>468</v>
      </c>
      <c r="M181" s="15">
        <v>200003102330020</v>
      </c>
      <c r="N181" s="13" t="s">
        <v>924</v>
      </c>
      <c r="O181" s="13">
        <v>1.09120260528002E+17</v>
      </c>
      <c r="P181" s="13" t="s">
        <v>1241</v>
      </c>
      <c r="Q181" s="18">
        <v>8</v>
      </c>
      <c r="R181" s="18">
        <v>1</v>
      </c>
      <c r="S181" s="13">
        <v>8828132636</v>
      </c>
      <c r="T181" s="13" t="s">
        <v>933</v>
      </c>
      <c r="U181" s="19">
        <v>36992000</v>
      </c>
      <c r="V181" s="18">
        <v>1</v>
      </c>
      <c r="W181" s="18">
        <f>_xlfn.XLOOKUP(J181,'Master Data 14-9-2026'!C:C,'Master Data 14-9-2026'!L:L)</f>
        <v>1.5</v>
      </c>
      <c r="X181" s="23">
        <v>36992000</v>
      </c>
      <c r="Y181" s="13" t="s">
        <v>1135</v>
      </c>
      <c r="Z181" s="24" t="s">
        <v>15</v>
      </c>
      <c r="AA181" s="4" t="s">
        <v>934</v>
      </c>
      <c r="AC181" s="4"/>
      <c r="AD181" s="13" t="s">
        <v>935</v>
      </c>
      <c r="AE181" s="13" t="str">
        <f>_xlfn.XLOOKUP(L181,'[1]ID PROJECT'!E:E,'[1]ID PROJECT'!F:F)</f>
        <v>PRJ-KUT-KPU-TPED-2026-04-00075</v>
      </c>
      <c r="AF181" s="13" t="s">
        <v>1242</v>
      </c>
      <c r="AG181" s="13" t="s">
        <v>1243</v>
      </c>
      <c r="AH181" s="65">
        <v>46197</v>
      </c>
      <c r="AI181" s="27" t="s">
        <v>945</v>
      </c>
    </row>
    <row r="182" spans="1:35" ht="13.5" hidden="1" customHeight="1">
      <c r="A182" s="13" t="s">
        <v>153</v>
      </c>
      <c r="B182" s="13" t="str">
        <f>_xlfn.XLOOKUP(J182,'Master Data 14-9-2026'!C:C,'Master Data 14-9-2026'!D:D)</f>
        <v>Zamilah Maulidiana wx1503509</v>
      </c>
      <c r="C182" s="13"/>
      <c r="D182" s="13" t="str">
        <f>_xlfn.XLOOKUP(J182,'Master Data 14-9-2026'!C:C,'Master Data 14-9-2026'!E:E)</f>
        <v>Platform Region</v>
      </c>
      <c r="E182" s="13"/>
      <c r="F182" s="13"/>
      <c r="G182" s="13" t="s">
        <v>13</v>
      </c>
      <c r="H182" s="13" t="str">
        <f>_xlfn.XLOOKUP(J182,'Master Data 14-9-2026'!C:C,'Master Data 14-9-2026'!H:H)</f>
        <v>2026-04-01 - 2026-04-30</v>
      </c>
      <c r="I182" s="13" t="str">
        <f t="shared" si="2"/>
        <v>April</v>
      </c>
      <c r="J182" s="13" t="s">
        <v>1251</v>
      </c>
      <c r="K182" s="13" t="s">
        <v>1251</v>
      </c>
      <c r="L182" s="13" t="s">
        <v>457</v>
      </c>
      <c r="M182" s="15">
        <v>200003102321020</v>
      </c>
      <c r="N182" s="13" t="s">
        <v>924</v>
      </c>
      <c r="O182" s="13">
        <v>1.09120260528002E+17</v>
      </c>
      <c r="P182" s="13" t="s">
        <v>1241</v>
      </c>
      <c r="Q182" s="18">
        <v>9</v>
      </c>
      <c r="R182" s="18">
        <v>1</v>
      </c>
      <c r="S182" s="13">
        <v>8828132633</v>
      </c>
      <c r="T182" s="13" t="s">
        <v>951</v>
      </c>
      <c r="U182" s="19">
        <v>28881900</v>
      </c>
      <c r="V182" s="18">
        <v>1</v>
      </c>
      <c r="W182" s="18">
        <f>_xlfn.XLOOKUP(J182,'Master Data 14-9-2026'!C:C,'Master Data 14-9-2026'!L:L)</f>
        <v>1.5</v>
      </c>
      <c r="X182" s="23">
        <v>28881900</v>
      </c>
      <c r="Y182" s="13" t="s">
        <v>1135</v>
      </c>
      <c r="Z182" s="24" t="s">
        <v>15</v>
      </c>
      <c r="AA182" s="4" t="s">
        <v>934</v>
      </c>
      <c r="AC182" s="4"/>
      <c r="AD182" s="13" t="s">
        <v>935</v>
      </c>
      <c r="AE182" s="13" t="str">
        <f>_xlfn.XLOOKUP(L182,'[1]ID PROJECT'!E:E,'[1]ID PROJECT'!F:F)</f>
        <v>PRJ-KUT-KPU-TPED-2026-04-00076</v>
      </c>
      <c r="AF182" s="13" t="s">
        <v>1242</v>
      </c>
      <c r="AG182" s="13" t="s">
        <v>1243</v>
      </c>
      <c r="AH182" s="65">
        <v>46197</v>
      </c>
      <c r="AI182" s="27" t="s">
        <v>945</v>
      </c>
    </row>
    <row r="183" spans="1:35" hidden="1">
      <c r="A183" s="13" t="s">
        <v>845</v>
      </c>
      <c r="B183" s="13" t="str">
        <f>_xlfn.XLOOKUP(J183,'Master Data 14-9-2026'!C:C,'Master Data 14-9-2026'!D:D)</f>
        <v>Viona Yose Ariani wx1504713</v>
      </c>
      <c r="C183" s="13"/>
      <c r="D183" s="13" t="str">
        <f>_xlfn.XLOOKUP(J183,'Master Data 14-9-2026'!C:C,'Master Data 14-9-2026'!E:E)</f>
        <v>Enterprise</v>
      </c>
      <c r="E183" s="13"/>
      <c r="F183" s="13"/>
      <c r="G183" s="13" t="s">
        <v>18</v>
      </c>
      <c r="H183" s="13" t="str">
        <f>_xlfn.XLOOKUP(J183,'Master Data 14-9-2026'!C:C,'Master Data 14-9-2026'!H:H)</f>
        <v>2026-04-26 - 2026-05-25</v>
      </c>
      <c r="I183" s="13" t="str">
        <f t="shared" si="2"/>
        <v>April</v>
      </c>
      <c r="J183" s="13" t="s">
        <v>1252</v>
      </c>
      <c r="K183" s="13" t="s">
        <v>1252</v>
      </c>
      <c r="L183" s="13" t="s">
        <v>441</v>
      </c>
      <c r="M183" s="15">
        <v>200003101608020</v>
      </c>
      <c r="N183" s="13" t="s">
        <v>924</v>
      </c>
      <c r="O183" s="13">
        <v>1.0912026060400301E+17</v>
      </c>
      <c r="P183" s="13" t="s">
        <v>1253</v>
      </c>
      <c r="Q183" s="18">
        <v>1</v>
      </c>
      <c r="R183" s="18">
        <v>1</v>
      </c>
      <c r="S183" s="13">
        <v>8828132635</v>
      </c>
      <c r="T183" s="13" t="s">
        <v>926</v>
      </c>
      <c r="U183" s="19">
        <v>34220600</v>
      </c>
      <c r="V183" s="18">
        <v>1</v>
      </c>
      <c r="W183" s="18">
        <f>_xlfn.XLOOKUP(J183,'Master Data 14-9-2026'!C:C,'Master Data 14-9-2026'!L:L)</f>
        <v>0</v>
      </c>
      <c r="X183" s="23">
        <v>34220600</v>
      </c>
      <c r="Y183" s="13" t="s">
        <v>1254</v>
      </c>
      <c r="Z183" s="24" t="s">
        <v>15</v>
      </c>
      <c r="AA183" s="4" t="s">
        <v>928</v>
      </c>
      <c r="AB183" s="13" t="s">
        <v>929</v>
      </c>
      <c r="AC183" s="13"/>
      <c r="AD183" s="13"/>
      <c r="AE183" s="13" t="str">
        <f>_xlfn.XLOOKUP(L183,'[1]ID PROJECT'!E:E,'[1]ID PROJECT'!F:F)</f>
        <v xml:space="preserve">PRJ-KUT-KPU-TPED-2026-04-00071 </v>
      </c>
      <c r="AF183" s="13"/>
      <c r="AG183" s="13"/>
      <c r="AH183" s="65"/>
      <c r="AI183" s="27"/>
    </row>
    <row r="184" spans="1:35" hidden="1">
      <c r="A184" s="13" t="s">
        <v>845</v>
      </c>
      <c r="B184" s="13" t="str">
        <f>_xlfn.XLOOKUP(J184,'Master Data 14-9-2026'!C:C,'Master Data 14-9-2026'!D:D)</f>
        <v>Viona Yose Ariani wx1504713</v>
      </c>
      <c r="C184" s="13"/>
      <c r="D184" s="13" t="str">
        <f>_xlfn.XLOOKUP(J184,'Master Data 14-9-2026'!C:C,'Master Data 14-9-2026'!E:E)</f>
        <v>Enterprise</v>
      </c>
      <c r="E184" s="13"/>
      <c r="F184" s="13"/>
      <c r="G184" s="13" t="s">
        <v>22</v>
      </c>
      <c r="H184" s="13" t="str">
        <f>_xlfn.XLOOKUP(J184,'Master Data 14-9-2026'!C:C,'Master Data 14-9-2026'!H:H)</f>
        <v>2026-05-26 - 2026-06-25</v>
      </c>
      <c r="I184" s="13" t="str">
        <f t="shared" si="2"/>
        <v>May</v>
      </c>
      <c r="J184" s="13" t="s">
        <v>1255</v>
      </c>
      <c r="K184" s="13" t="s">
        <v>1255</v>
      </c>
      <c r="L184" s="13" t="s">
        <v>441</v>
      </c>
      <c r="M184" s="15">
        <v>200003102936020</v>
      </c>
      <c r="N184" s="13" t="s">
        <v>924</v>
      </c>
      <c r="O184" s="13">
        <v>1.0912026060400301E+17</v>
      </c>
      <c r="P184" s="13" t="s">
        <v>1253</v>
      </c>
      <c r="Q184" s="18">
        <v>2</v>
      </c>
      <c r="R184" s="18">
        <v>1</v>
      </c>
      <c r="S184" s="13">
        <v>8828132635</v>
      </c>
      <c r="T184" s="13" t="s">
        <v>926</v>
      </c>
      <c r="U184" s="19">
        <v>34220600</v>
      </c>
      <c r="V184" s="18">
        <v>1</v>
      </c>
      <c r="W184" s="18">
        <f>_xlfn.XLOOKUP(J184,'Master Data 14-9-2026'!C:C,'Master Data 14-9-2026'!L:L)</f>
        <v>0</v>
      </c>
      <c r="X184" s="23">
        <v>34220600</v>
      </c>
      <c r="Y184" s="13" t="s">
        <v>1254</v>
      </c>
      <c r="Z184" s="24" t="s">
        <v>15</v>
      </c>
      <c r="AC184" s="4"/>
      <c r="AD184" s="13"/>
      <c r="AE184" s="13" t="str">
        <f>_xlfn.XLOOKUP(L184,'[1]ID PROJECT'!E:E,'[1]ID PROJECT'!F:F)</f>
        <v xml:space="preserve">PRJ-KUT-KPU-TPED-2026-04-00071 </v>
      </c>
      <c r="AF184" s="13"/>
      <c r="AG184" s="13"/>
      <c r="AH184" s="65"/>
      <c r="AI184" s="27"/>
    </row>
    <row r="185" spans="1:35" hidden="1">
      <c r="A185" s="13" t="s">
        <v>412</v>
      </c>
      <c r="B185" s="13" t="str">
        <f>_xlfn.XLOOKUP(J185,'Master Data 14-9-2026'!C:C,'Master Data 14-9-2026'!D:D)</f>
        <v>Prefiks Wahyu Febrina wx1504715</v>
      </c>
      <c r="C185" s="13"/>
      <c r="D185" s="13" t="str">
        <f>_xlfn.XLOOKUP(J185,'Master Data 14-9-2026'!C:C,'Master Data 14-9-2026'!E:E)</f>
        <v>IOH</v>
      </c>
      <c r="E185" s="13"/>
      <c r="F185" s="13"/>
      <c r="G185" s="13" t="s">
        <v>13</v>
      </c>
      <c r="H185" s="13" t="str">
        <f>_xlfn.XLOOKUP(J185,'Master Data 14-9-2026'!C:C,'Master Data 14-9-2026'!H:H)</f>
        <v>2026-03-31 - 2026-04-29</v>
      </c>
      <c r="I185" s="13" t="str">
        <f t="shared" si="2"/>
        <v>March</v>
      </c>
      <c r="J185" s="13" t="s">
        <v>1256</v>
      </c>
      <c r="K185" s="13" t="s">
        <v>1257</v>
      </c>
      <c r="L185" s="13" t="s">
        <v>441</v>
      </c>
      <c r="M185" s="15">
        <v>200003121874020</v>
      </c>
      <c r="N185" s="13" t="s">
        <v>924</v>
      </c>
      <c r="O185" s="13">
        <v>1.09120260608002E+17</v>
      </c>
      <c r="P185" s="13" t="s">
        <v>1258</v>
      </c>
      <c r="Q185" s="18">
        <v>1</v>
      </c>
      <c r="R185" s="18">
        <v>1</v>
      </c>
      <c r="S185" s="13">
        <v>8828132633</v>
      </c>
      <c r="T185" s="13" t="s">
        <v>951</v>
      </c>
      <c r="U185" s="19">
        <v>28881900</v>
      </c>
      <c r="V185" s="18">
        <v>1</v>
      </c>
      <c r="W185" s="18">
        <f>_xlfn.XLOOKUP(J185,'Master Data 14-9-2026'!C:C,'Master Data 14-9-2026'!L:L)</f>
        <v>0.55000000000000004</v>
      </c>
      <c r="X185" s="23">
        <v>28881900</v>
      </c>
      <c r="Y185" s="13" t="s">
        <v>1259</v>
      </c>
      <c r="Z185" s="24" t="s">
        <v>15</v>
      </c>
      <c r="AA185" s="4" t="s">
        <v>934</v>
      </c>
      <c r="AC185" s="4"/>
      <c r="AD185" s="13" t="s">
        <v>935</v>
      </c>
      <c r="AE185" s="13" t="str">
        <f>_xlfn.XLOOKUP(L185,'[1]ID PROJECT'!E:E,'[1]ID PROJECT'!F:F)</f>
        <v xml:space="preserve">PRJ-KUT-KPU-TPED-2026-04-00071 </v>
      </c>
      <c r="AF185" s="13" t="s">
        <v>1260</v>
      </c>
      <c r="AG185" s="13" t="s">
        <v>1261</v>
      </c>
      <c r="AH185" s="65">
        <v>46197</v>
      </c>
      <c r="AI185" s="27" t="s">
        <v>945</v>
      </c>
    </row>
    <row r="186" spans="1:35" hidden="1">
      <c r="A186" s="13" t="s">
        <v>405</v>
      </c>
      <c r="B186" s="13" t="str">
        <f>_xlfn.XLOOKUP(J186,'Master Data 14-9-2026'!C:C,'Master Data 14-9-2026'!D:D)</f>
        <v>Lidya Leoni Mutiara wx1504643</v>
      </c>
      <c r="C186" s="13"/>
      <c r="D186" s="13" t="str">
        <f>_xlfn.XLOOKUP(J186,'Master Data 14-9-2026'!C:C,'Master Data 14-9-2026'!E:E)</f>
        <v>IOH</v>
      </c>
      <c r="E186" s="13"/>
      <c r="F186" s="13"/>
      <c r="G186" s="13" t="s">
        <v>13</v>
      </c>
      <c r="H186" s="13" t="str">
        <f>_xlfn.XLOOKUP(J186,'Master Data 14-9-2026'!C:C,'Master Data 14-9-2026'!H:H)</f>
        <v>2026-03-31 - 2026-04-29</v>
      </c>
      <c r="I186" s="13" t="str">
        <f t="shared" si="2"/>
        <v>March</v>
      </c>
      <c r="J186" s="13" t="s">
        <v>1262</v>
      </c>
      <c r="K186" s="13" t="s">
        <v>1257</v>
      </c>
      <c r="L186" s="13" t="s">
        <v>441</v>
      </c>
      <c r="M186" s="15">
        <v>200003121875020</v>
      </c>
      <c r="N186" s="13" t="s">
        <v>924</v>
      </c>
      <c r="O186" s="13">
        <v>1.09120260608002E+17</v>
      </c>
      <c r="P186" s="13" t="s">
        <v>1258</v>
      </c>
      <c r="Q186" s="18">
        <v>2</v>
      </c>
      <c r="R186" s="18">
        <v>1</v>
      </c>
      <c r="S186" s="13">
        <v>8828132633</v>
      </c>
      <c r="T186" s="13" t="s">
        <v>951</v>
      </c>
      <c r="U186" s="19">
        <v>28881900</v>
      </c>
      <c r="V186" s="18">
        <v>1</v>
      </c>
      <c r="W186" s="18">
        <f>_xlfn.XLOOKUP(J186,'Master Data 14-9-2026'!C:C,'Master Data 14-9-2026'!L:L)</f>
        <v>0.74</v>
      </c>
      <c r="X186" s="23">
        <v>28881900</v>
      </c>
      <c r="Y186" s="13" t="s">
        <v>1259</v>
      </c>
      <c r="Z186" s="24" t="s">
        <v>15</v>
      </c>
      <c r="AA186" s="4" t="s">
        <v>934</v>
      </c>
      <c r="AC186" s="4"/>
      <c r="AD186" s="13" t="s">
        <v>935</v>
      </c>
      <c r="AE186" s="13" t="str">
        <f>_xlfn.XLOOKUP(L186,'[1]ID PROJECT'!E:E,'[1]ID PROJECT'!F:F)</f>
        <v xml:space="preserve">PRJ-KUT-KPU-TPED-2026-04-00071 </v>
      </c>
      <c r="AF186" s="13" t="s">
        <v>1260</v>
      </c>
      <c r="AG186" s="13" t="s">
        <v>1261</v>
      </c>
      <c r="AH186" s="65">
        <v>46197</v>
      </c>
      <c r="AI186" s="27" t="s">
        <v>945</v>
      </c>
    </row>
    <row r="187" spans="1:35" hidden="1">
      <c r="A187" s="13" t="s">
        <v>854</v>
      </c>
      <c r="B187" s="13" t="str">
        <f>_xlfn.XLOOKUP(J187,'Master Data 14-9-2026'!C:C,'Master Data 14-9-2026'!D:D)</f>
        <v>Rahmana Gautama wx1504639</v>
      </c>
      <c r="C187" s="13"/>
      <c r="D187" s="13" t="str">
        <f>_xlfn.XLOOKUP(J187,'Master Data 14-9-2026'!C:C,'Master Data 14-9-2026'!E:E)</f>
        <v>IOH</v>
      </c>
      <c r="E187" s="13"/>
      <c r="F187" s="13"/>
      <c r="G187" s="13" t="s">
        <v>13</v>
      </c>
      <c r="H187" s="13" t="str">
        <f>_xlfn.XLOOKUP(J187,'Master Data 14-9-2026'!C:C,'Master Data 14-9-2026'!H:H)</f>
        <v>2026-03-27 - 2026-04-26</v>
      </c>
      <c r="I187" s="13" t="str">
        <f t="shared" si="2"/>
        <v>March</v>
      </c>
      <c r="J187" s="13" t="s">
        <v>1263</v>
      </c>
      <c r="K187" s="13" t="s">
        <v>1257</v>
      </c>
      <c r="L187" s="13" t="s">
        <v>441</v>
      </c>
      <c r="M187" s="15">
        <v>200003121876020</v>
      </c>
      <c r="N187" s="13" t="s">
        <v>924</v>
      </c>
      <c r="O187" s="13">
        <v>1.09120260608002E+17</v>
      </c>
      <c r="P187" s="13" t="s">
        <v>1258</v>
      </c>
      <c r="Q187" s="18">
        <v>3</v>
      </c>
      <c r="R187" s="18">
        <v>1</v>
      </c>
      <c r="S187" s="13">
        <v>8828132635</v>
      </c>
      <c r="T187" s="13" t="s">
        <v>926</v>
      </c>
      <c r="U187" s="19">
        <v>34220600</v>
      </c>
      <c r="V187" s="18">
        <v>1</v>
      </c>
      <c r="W187" s="18">
        <f>_xlfn.XLOOKUP(J187,'Master Data 14-9-2026'!C:C,'Master Data 14-9-2026'!L:L)</f>
        <v>0</v>
      </c>
      <c r="X187" s="23">
        <v>34220600</v>
      </c>
      <c r="Y187" s="13" t="s">
        <v>1259</v>
      </c>
      <c r="Z187" s="24" t="s">
        <v>15</v>
      </c>
      <c r="AA187" s="4" t="s">
        <v>934</v>
      </c>
      <c r="AC187" s="4"/>
      <c r="AD187" s="13" t="s">
        <v>935</v>
      </c>
      <c r="AE187" s="13" t="str">
        <f>_xlfn.XLOOKUP(L187,'[1]ID PROJECT'!E:E,'[1]ID PROJECT'!F:F)</f>
        <v xml:space="preserve">PRJ-KUT-KPU-TPED-2026-04-00071 </v>
      </c>
      <c r="AF187" s="13" t="s">
        <v>1260</v>
      </c>
      <c r="AG187" s="13" t="s">
        <v>1261</v>
      </c>
      <c r="AH187" s="65">
        <v>46197</v>
      </c>
      <c r="AI187" s="27" t="s">
        <v>945</v>
      </c>
    </row>
    <row r="188" spans="1:35" hidden="1">
      <c r="A188" s="13" t="s">
        <v>752</v>
      </c>
      <c r="B188" s="13" t="str">
        <f>_xlfn.XLOOKUP(J188,'Master Data 14-9-2026'!C:C,'Master Data 14-9-2026'!D:D)</f>
        <v>Akhmad Syaroni wx1504638</v>
      </c>
      <c r="C188" s="13"/>
      <c r="D188" s="13" t="str">
        <f>_xlfn.XLOOKUP(J188,'Master Data 14-9-2026'!C:C,'Master Data 14-9-2026'!E:E)</f>
        <v>IOH</v>
      </c>
      <c r="E188" s="13"/>
      <c r="F188" s="13"/>
      <c r="G188" s="13" t="s">
        <v>13</v>
      </c>
      <c r="H188" s="13" t="str">
        <f>_xlfn.XLOOKUP(J188,'Master Data 14-9-2026'!C:C,'Master Data 14-9-2026'!H:H)</f>
        <v>2026-03-30 - 2026-04-29</v>
      </c>
      <c r="I188" s="13" t="str">
        <f t="shared" si="2"/>
        <v>March</v>
      </c>
      <c r="J188" s="13" t="s">
        <v>1264</v>
      </c>
      <c r="K188" s="13" t="s">
        <v>1257</v>
      </c>
      <c r="L188" s="13" t="s">
        <v>441</v>
      </c>
      <c r="M188" s="15">
        <v>200003121877020</v>
      </c>
      <c r="N188" s="13" t="s">
        <v>924</v>
      </c>
      <c r="O188" s="13">
        <v>1.09120260608002E+17</v>
      </c>
      <c r="P188" s="13" t="s">
        <v>1258</v>
      </c>
      <c r="Q188" s="18">
        <v>4</v>
      </c>
      <c r="R188" s="18">
        <v>1</v>
      </c>
      <c r="S188" s="13">
        <v>8828132635</v>
      </c>
      <c r="T188" s="13" t="s">
        <v>926</v>
      </c>
      <c r="U188" s="19">
        <v>34220600</v>
      </c>
      <c r="V188" s="18">
        <v>1</v>
      </c>
      <c r="W188" s="18">
        <f>_xlfn.XLOOKUP(J188,'Master Data 14-9-2026'!C:C,'Master Data 14-9-2026'!L:L)</f>
        <v>0.78</v>
      </c>
      <c r="X188" s="23">
        <v>34220600</v>
      </c>
      <c r="Y188" s="13" t="s">
        <v>1259</v>
      </c>
      <c r="Z188" s="24" t="s">
        <v>15</v>
      </c>
      <c r="AA188" s="4" t="s">
        <v>934</v>
      </c>
      <c r="AC188" s="4"/>
      <c r="AD188" s="13" t="s">
        <v>935</v>
      </c>
      <c r="AE188" s="13" t="str">
        <f>_xlfn.XLOOKUP(L188,'[1]ID PROJECT'!E:E,'[1]ID PROJECT'!F:F)</f>
        <v xml:space="preserve">PRJ-KUT-KPU-TPED-2026-04-00071 </v>
      </c>
      <c r="AF188" s="13" t="s">
        <v>1260</v>
      </c>
      <c r="AG188" s="13" t="s">
        <v>1261</v>
      </c>
      <c r="AH188" s="65">
        <v>46197</v>
      </c>
      <c r="AI188" s="27" t="s">
        <v>945</v>
      </c>
    </row>
    <row r="189" spans="1:35" hidden="1">
      <c r="A189" s="13" t="s">
        <v>746</v>
      </c>
      <c r="B189" s="13" t="str">
        <f>_xlfn.XLOOKUP(J189,'Master Data 14-9-2026'!C:C,'Master Data 14-9-2026'!D:D)</f>
        <v>Bahagia Aprilia wx1507363</v>
      </c>
      <c r="C189" s="13"/>
      <c r="D189" s="13" t="str">
        <f>_xlfn.XLOOKUP(J189,'Master Data 14-9-2026'!C:C,'Master Data 14-9-2026'!E:E)</f>
        <v>IOH</v>
      </c>
      <c r="E189" s="13"/>
      <c r="F189" s="13"/>
      <c r="G189" s="13" t="s">
        <v>13</v>
      </c>
      <c r="H189" s="13" t="str">
        <f>_xlfn.XLOOKUP(J189,'Master Data 14-9-2026'!C:C,'Master Data 14-9-2026'!H:H)</f>
        <v>2026-04-01 - 2026-04-30</v>
      </c>
      <c r="I189" s="13" t="str">
        <f t="shared" si="2"/>
        <v>April</v>
      </c>
      <c r="J189" s="13" t="s">
        <v>1265</v>
      </c>
      <c r="K189" s="13" t="s">
        <v>1257</v>
      </c>
      <c r="L189" s="13" t="s">
        <v>441</v>
      </c>
      <c r="M189" s="15">
        <v>200003121878020</v>
      </c>
      <c r="N189" s="13" t="s">
        <v>924</v>
      </c>
      <c r="O189" s="13">
        <v>1.09120260608002E+17</v>
      </c>
      <c r="P189" s="13" t="s">
        <v>1258</v>
      </c>
      <c r="Q189" s="18">
        <v>5</v>
      </c>
      <c r="R189" s="18">
        <v>1</v>
      </c>
      <c r="S189" s="13">
        <v>8828132635</v>
      </c>
      <c r="T189" s="13" t="s">
        <v>926</v>
      </c>
      <c r="U189" s="19">
        <v>34220600</v>
      </c>
      <c r="V189" s="18">
        <v>1</v>
      </c>
      <c r="W189" s="18">
        <f>_xlfn.XLOOKUP(J189,'Master Data 14-9-2026'!C:C,'Master Data 14-9-2026'!L:L)</f>
        <v>0.5</v>
      </c>
      <c r="X189" s="23">
        <v>34220600</v>
      </c>
      <c r="Y189" s="13" t="s">
        <v>1259</v>
      </c>
      <c r="Z189" s="24" t="s">
        <v>15</v>
      </c>
      <c r="AA189" s="4" t="s">
        <v>934</v>
      </c>
      <c r="AC189" s="4"/>
      <c r="AD189" s="13" t="s">
        <v>935</v>
      </c>
      <c r="AE189" s="13" t="str">
        <f>_xlfn.XLOOKUP(L189,'[1]ID PROJECT'!E:E,'[1]ID PROJECT'!F:F)</f>
        <v xml:space="preserve">PRJ-KUT-KPU-TPED-2026-04-00071 </v>
      </c>
      <c r="AF189" s="13" t="s">
        <v>1260</v>
      </c>
      <c r="AG189" s="13" t="s">
        <v>1261</v>
      </c>
      <c r="AH189" s="65">
        <v>46197</v>
      </c>
      <c r="AI189" s="27" t="s">
        <v>945</v>
      </c>
    </row>
    <row r="190" spans="1:35" hidden="1">
      <c r="A190" s="13" t="s">
        <v>1266</v>
      </c>
      <c r="B190" s="13" t="e">
        <f>_xlfn.XLOOKUP(J190,'Master Data 14-9-2026'!C:C,'Master Data 14-9-2026'!D:D)</f>
        <v>#N/A</v>
      </c>
      <c r="C190" s="13"/>
      <c r="D190" s="13" t="e">
        <f>_xlfn.XLOOKUP(J190,'Master Data 14-9-2026'!C:C,'Master Data 14-9-2026'!E:E)</f>
        <v>#N/A</v>
      </c>
      <c r="E190" s="13"/>
      <c r="F190" s="13"/>
      <c r="G190" s="13" t="s">
        <v>13</v>
      </c>
      <c r="H190" s="13" t="e">
        <f>_xlfn.XLOOKUP(J190,'Master Data 14-9-2026'!C:C,'Master Data 14-9-2026'!H:H)</f>
        <v>#N/A</v>
      </c>
      <c r="I190" s="13" t="e">
        <f t="shared" si="2"/>
        <v>#N/A</v>
      </c>
      <c r="J190" s="13" t="s">
        <v>1267</v>
      </c>
      <c r="K190" s="13" t="s">
        <v>1268</v>
      </c>
      <c r="L190" s="13" t="s">
        <v>487</v>
      </c>
      <c r="M190" s="15">
        <v>200003138001020</v>
      </c>
      <c r="N190" s="13" t="s">
        <v>924</v>
      </c>
      <c r="O190" s="13">
        <v>1.0912026060800301E+17</v>
      </c>
      <c r="P190" s="13" t="s">
        <v>1269</v>
      </c>
      <c r="Q190" s="18">
        <v>1</v>
      </c>
      <c r="R190" s="18">
        <v>1</v>
      </c>
      <c r="S190" s="13">
        <v>8828132636</v>
      </c>
      <c r="T190" s="13" t="s">
        <v>933</v>
      </c>
      <c r="U190" s="19">
        <v>36992000</v>
      </c>
      <c r="V190" s="18">
        <v>0</v>
      </c>
      <c r="W190" s="18" t="e">
        <f>_xlfn.XLOOKUP(J190,'Master Data 14-9-2026'!C:C,'Master Data 14-9-2026'!L:L)</f>
        <v>#N/A</v>
      </c>
      <c r="X190" s="23">
        <v>0</v>
      </c>
      <c r="Y190" s="13" t="s">
        <v>1259</v>
      </c>
      <c r="Z190" s="24" t="s">
        <v>15</v>
      </c>
      <c r="AC190" s="4"/>
      <c r="AD190" s="13"/>
      <c r="AE190" s="13" t="e">
        <f>_xlfn.XLOOKUP(L190,'[1]ID PROJECT'!E:E,'[1]ID PROJECT'!F:F)</f>
        <v>#N/A</v>
      </c>
      <c r="AF190" s="13"/>
      <c r="AG190" s="13"/>
      <c r="AH190" s="65"/>
      <c r="AI190" s="27"/>
    </row>
    <row r="191" spans="1:35" hidden="1">
      <c r="A191" s="13" t="s">
        <v>1266</v>
      </c>
      <c r="B191" s="13" t="e">
        <f>_xlfn.XLOOKUP(J191,'Master Data 14-9-2026'!C:C,'Master Data 14-9-2026'!D:D)</f>
        <v>#N/A</v>
      </c>
      <c r="C191" s="13"/>
      <c r="D191" s="13" t="e">
        <f>_xlfn.XLOOKUP(J191,'Master Data 14-9-2026'!C:C,'Master Data 14-9-2026'!E:E)</f>
        <v>#N/A</v>
      </c>
      <c r="E191" s="13"/>
      <c r="F191" s="13"/>
      <c r="G191" s="13" t="s">
        <v>18</v>
      </c>
      <c r="H191" s="13" t="e">
        <f>_xlfn.XLOOKUP(J191,'Master Data 14-9-2026'!C:C,'Master Data 14-9-2026'!H:H)</f>
        <v>#N/A</v>
      </c>
      <c r="I191" s="13" t="e">
        <f t="shared" si="2"/>
        <v>#N/A</v>
      </c>
      <c r="J191" s="13" t="s">
        <v>1270</v>
      </c>
      <c r="K191" s="13" t="s">
        <v>1268</v>
      </c>
      <c r="L191" s="13" t="s">
        <v>488</v>
      </c>
      <c r="M191" s="15">
        <v>200003137284020</v>
      </c>
      <c r="N191" s="13" t="s">
        <v>924</v>
      </c>
      <c r="O191" s="13">
        <v>1.0912026060800301E+17</v>
      </c>
      <c r="P191" s="13" t="s">
        <v>1269</v>
      </c>
      <c r="Q191" s="18">
        <v>2</v>
      </c>
      <c r="R191" s="18">
        <v>1</v>
      </c>
      <c r="S191" s="13">
        <v>8828132636</v>
      </c>
      <c r="T191" s="13" t="s">
        <v>933</v>
      </c>
      <c r="U191" s="19">
        <v>36992000</v>
      </c>
      <c r="V191" s="18">
        <v>0</v>
      </c>
      <c r="W191" s="18" t="e">
        <f>_xlfn.XLOOKUP(J191,'Master Data 14-9-2026'!C:C,'Master Data 14-9-2026'!L:L)</f>
        <v>#N/A</v>
      </c>
      <c r="X191" s="23">
        <v>0</v>
      </c>
      <c r="Y191" s="13" t="s">
        <v>1259</v>
      </c>
      <c r="Z191" s="24" t="s">
        <v>15</v>
      </c>
      <c r="AC191" s="4"/>
      <c r="AD191" s="13"/>
      <c r="AE191" s="13" t="e">
        <f>_xlfn.XLOOKUP(L191,'[1]ID PROJECT'!E:E,'[1]ID PROJECT'!F:F)</f>
        <v>#N/A</v>
      </c>
      <c r="AF191" s="13"/>
      <c r="AG191" s="13"/>
      <c r="AH191" s="65"/>
      <c r="AI191" s="27"/>
    </row>
    <row r="192" spans="1:35" hidden="1">
      <c r="A192" s="13" t="s">
        <v>1266</v>
      </c>
      <c r="B192" s="13" t="e">
        <f>_xlfn.XLOOKUP(J192,'Master Data 14-9-2026'!C:C,'Master Data 14-9-2026'!D:D)</f>
        <v>#N/A</v>
      </c>
      <c r="C192" s="13"/>
      <c r="D192" s="13" t="e">
        <f>_xlfn.XLOOKUP(J192,'Master Data 14-9-2026'!C:C,'Master Data 14-9-2026'!E:E)</f>
        <v>#N/A</v>
      </c>
      <c r="E192" s="13"/>
      <c r="F192" s="13"/>
      <c r="G192" s="13" t="s">
        <v>22</v>
      </c>
      <c r="H192" s="13" t="e">
        <f>_xlfn.XLOOKUP(J192,'Master Data 14-9-2026'!C:C,'Master Data 14-9-2026'!H:H)</f>
        <v>#N/A</v>
      </c>
      <c r="I192" s="13" t="e">
        <f t="shared" si="2"/>
        <v>#N/A</v>
      </c>
      <c r="J192" s="13" t="s">
        <v>1271</v>
      </c>
      <c r="K192" s="13" t="s">
        <v>1268</v>
      </c>
      <c r="L192" s="13"/>
      <c r="M192" s="15">
        <v>200003137285020</v>
      </c>
      <c r="N192" s="13" t="s">
        <v>924</v>
      </c>
      <c r="O192" s="13">
        <v>1.0912026060800301E+17</v>
      </c>
      <c r="P192" s="13" t="s">
        <v>1269</v>
      </c>
      <c r="Q192" s="18">
        <v>3</v>
      </c>
      <c r="R192" s="18">
        <v>1</v>
      </c>
      <c r="S192" s="13">
        <v>8828132636</v>
      </c>
      <c r="T192" s="13" t="s">
        <v>933</v>
      </c>
      <c r="U192" s="19">
        <v>36992000</v>
      </c>
      <c r="V192" s="18">
        <v>0</v>
      </c>
      <c r="W192" s="18" t="e">
        <f>_xlfn.XLOOKUP(J192,'Master Data 14-9-2026'!C:C,'Master Data 14-9-2026'!L:L)</f>
        <v>#N/A</v>
      </c>
      <c r="X192" s="23">
        <v>0</v>
      </c>
      <c r="Y192" s="13" t="s">
        <v>1259</v>
      </c>
      <c r="Z192" s="24" t="s">
        <v>33</v>
      </c>
      <c r="AC192" s="4"/>
      <c r="AD192" s="13"/>
      <c r="AE192" s="13">
        <f>_xlfn.XLOOKUP(L192,'[1]ID PROJECT'!E:E,'[1]ID PROJECT'!F:F)</f>
        <v>0</v>
      </c>
      <c r="AF192" s="13"/>
      <c r="AG192" s="13"/>
      <c r="AH192" s="65"/>
      <c r="AI192" s="27"/>
    </row>
    <row r="193" spans="1:35" hidden="1">
      <c r="A193" s="13" t="s">
        <v>870</v>
      </c>
      <c r="B193" s="13" t="str">
        <f>_xlfn.XLOOKUP(J193,'Master Data 14-9-2026'!C:C,'Master Data 14-9-2026'!D:D)</f>
        <v>Abdul Latif Priyadi wx1521188</v>
      </c>
      <c r="C193" s="13"/>
      <c r="D193" s="13" t="str">
        <f>_xlfn.XLOOKUP(J193,'Master Data 14-9-2026'!C:C,'Master Data 14-9-2026'!E:E)</f>
        <v>Surge</v>
      </c>
      <c r="E193" s="13"/>
      <c r="F193" s="13"/>
      <c r="G193" s="13" t="s">
        <v>13</v>
      </c>
      <c r="H193" s="13" t="str">
        <f>_xlfn.XLOOKUP(J193,'Master Data 14-9-2026'!C:C,'Master Data 14-9-2026'!H:H)</f>
        <v>2026-05-27 - 2026-06-26</v>
      </c>
      <c r="I193" s="13" t="str">
        <f t="shared" si="2"/>
        <v>May</v>
      </c>
      <c r="J193" s="13" t="s">
        <v>1272</v>
      </c>
      <c r="K193" s="13" t="s">
        <v>1272</v>
      </c>
      <c r="L193" s="13" t="s">
        <v>475</v>
      </c>
      <c r="M193" s="15">
        <v>200003136007020</v>
      </c>
      <c r="N193" s="13" t="s">
        <v>924</v>
      </c>
      <c r="O193" s="13">
        <v>1.09120260610002E+17</v>
      </c>
      <c r="P193" s="13" t="s">
        <v>1273</v>
      </c>
      <c r="Q193" s="18">
        <v>1</v>
      </c>
      <c r="R193" s="18">
        <v>1</v>
      </c>
      <c r="S193" s="13">
        <v>8828132635</v>
      </c>
      <c r="T193" s="13" t="s">
        <v>926</v>
      </c>
      <c r="U193" s="19">
        <v>34220600</v>
      </c>
      <c r="V193" s="18">
        <v>1</v>
      </c>
      <c r="W193" s="18">
        <f>_xlfn.XLOOKUP(J193,'Master Data 14-9-2026'!C:C,'Master Data 14-9-2026'!L:L)</f>
        <v>0.83</v>
      </c>
      <c r="X193" s="23">
        <v>34220600</v>
      </c>
      <c r="Y193" s="13" t="s">
        <v>1259</v>
      </c>
      <c r="Z193" s="24" t="s">
        <v>15</v>
      </c>
      <c r="AB193" s="13" t="s">
        <v>44</v>
      </c>
      <c r="AC193" s="13"/>
      <c r="AD193" s="13"/>
      <c r="AE193" s="13" t="str">
        <f>_xlfn.XLOOKUP(L193,'[1]ID PROJECT'!E:E,'[1]ID PROJECT'!F:F)</f>
        <v>PRJ-KUT-KPU-TPED-2026-04-00074</v>
      </c>
      <c r="AF193" s="13"/>
      <c r="AG193" s="13"/>
      <c r="AH193" s="65"/>
      <c r="AI193" s="27"/>
    </row>
    <row r="194" spans="1:35" hidden="1">
      <c r="A194" s="13" t="s">
        <v>781</v>
      </c>
      <c r="B194" s="13" t="str">
        <f>_xlfn.XLOOKUP(J194,'Master Data 14-9-2026'!C:C,'Master Data 14-9-2026'!D:D)</f>
        <v>Muhammad Yordan Adi Pramana wx1521223</v>
      </c>
      <c r="C194" s="13"/>
      <c r="D194" s="13" t="str">
        <f>_xlfn.XLOOKUP(J194,'Master Data 14-9-2026'!C:C,'Master Data 14-9-2026'!E:E)</f>
        <v>Surge</v>
      </c>
      <c r="E194" s="13"/>
      <c r="F194" s="13"/>
      <c r="G194" s="13" t="s">
        <v>13</v>
      </c>
      <c r="H194" s="13" t="str">
        <f>_xlfn.XLOOKUP(J194,'Master Data 14-9-2026'!C:C,'Master Data 14-9-2026'!H:H)</f>
        <v>2026-05-19 - 2026-06-18</v>
      </c>
      <c r="I194" s="13" t="str">
        <f t="shared" si="2"/>
        <v>May</v>
      </c>
      <c r="J194" s="13" t="s">
        <v>1274</v>
      </c>
      <c r="K194" s="29" t="s">
        <v>1274</v>
      </c>
      <c r="L194" s="13" t="s">
        <v>457</v>
      </c>
      <c r="M194" s="15">
        <v>200003136008020</v>
      </c>
      <c r="N194" s="13" t="s">
        <v>924</v>
      </c>
      <c r="O194" s="13">
        <v>1.09120260610002E+17</v>
      </c>
      <c r="P194" s="13" t="s">
        <v>1273</v>
      </c>
      <c r="Q194" s="18">
        <v>2</v>
      </c>
      <c r="R194" s="18">
        <v>1</v>
      </c>
      <c r="S194" s="13">
        <v>8828132635</v>
      </c>
      <c r="T194" s="13" t="s">
        <v>926</v>
      </c>
      <c r="U194" s="19">
        <v>34220600</v>
      </c>
      <c r="V194" s="18">
        <v>1</v>
      </c>
      <c r="W194" s="18">
        <f>_xlfn.XLOOKUP(J194,'Master Data 14-9-2026'!C:C,'Master Data 14-9-2026'!L:L)</f>
        <v>1</v>
      </c>
      <c r="X194" s="23">
        <v>34220600</v>
      </c>
      <c r="Y194" s="13" t="s">
        <v>1259</v>
      </c>
      <c r="Z194" s="24" t="str">
        <f>_xlfn.XLOOKUP(J194,'Master Data 14-9-2026'!C:C,'Master Data 14-9-2026'!I:I)</f>
        <v>Ended</v>
      </c>
      <c r="AA194" s="4" t="s">
        <v>928</v>
      </c>
      <c r="AB194" s="13" t="s">
        <v>1010</v>
      </c>
      <c r="AC194" s="13" t="s">
        <v>1275</v>
      </c>
      <c r="AD194" s="13"/>
      <c r="AE194" s="13" t="str">
        <f>_xlfn.XLOOKUP(L194,'[1]ID PROJECT'!E:E,'[1]ID PROJECT'!F:F)</f>
        <v>PRJ-KUT-KPU-TPED-2026-04-00076</v>
      </c>
      <c r="AF194" s="13"/>
      <c r="AG194" s="13"/>
      <c r="AH194" s="65"/>
      <c r="AI194" s="27"/>
    </row>
    <row r="195" spans="1:35" hidden="1">
      <c r="A195" s="13" t="s">
        <v>874</v>
      </c>
      <c r="B195" s="13" t="str">
        <f>_xlfn.XLOOKUP(J195,'Master Data 14-9-2026'!C:C,'Master Data 14-9-2026'!D:D)</f>
        <v>Bayo Nandymawa wx1521187</v>
      </c>
      <c r="C195" s="13"/>
      <c r="D195" s="13" t="str">
        <f>_xlfn.XLOOKUP(J195,'Master Data 14-9-2026'!C:C,'Master Data 14-9-2026'!E:E)</f>
        <v>Surge</v>
      </c>
      <c r="E195" s="13"/>
      <c r="F195" s="13"/>
      <c r="G195" s="13" t="s">
        <v>13</v>
      </c>
      <c r="H195" s="13" t="str">
        <f>_xlfn.XLOOKUP(J195,'Master Data 14-9-2026'!C:C,'Master Data 14-9-2026'!H:H)</f>
        <v>2026-05-26 - 2026-06-25</v>
      </c>
      <c r="I195" s="13" t="str">
        <f t="shared" ref="I195:I258" si="3">TEXT(DATEVALUE(LEFT(H195,10)),"mmmm")</f>
        <v>May</v>
      </c>
      <c r="J195" s="13" t="s">
        <v>1276</v>
      </c>
      <c r="K195" s="13" t="s">
        <v>1276</v>
      </c>
      <c r="L195" s="13" t="s">
        <v>441</v>
      </c>
      <c r="M195" s="15">
        <v>200003136009020</v>
      </c>
      <c r="N195" s="13" t="s">
        <v>924</v>
      </c>
      <c r="O195" s="13">
        <v>1.09120260610002E+17</v>
      </c>
      <c r="P195" s="13" t="s">
        <v>1273</v>
      </c>
      <c r="Q195" s="18">
        <v>3</v>
      </c>
      <c r="R195" s="18">
        <v>1</v>
      </c>
      <c r="S195" s="13">
        <v>8828132635</v>
      </c>
      <c r="T195" s="13" t="s">
        <v>926</v>
      </c>
      <c r="U195" s="19">
        <v>34220600</v>
      </c>
      <c r="V195" s="18">
        <v>1</v>
      </c>
      <c r="W195" s="18">
        <f>_xlfn.XLOOKUP(J195,'Master Data 14-9-2026'!C:C,'Master Data 14-9-2026'!L:L)</f>
        <v>0</v>
      </c>
      <c r="X195" s="23">
        <v>34220600</v>
      </c>
      <c r="Y195" s="13" t="s">
        <v>1259</v>
      </c>
      <c r="Z195" s="24" t="s">
        <v>15</v>
      </c>
      <c r="AB195" s="13" t="s">
        <v>44</v>
      </c>
      <c r="AC195" s="13" t="s">
        <v>1275</v>
      </c>
      <c r="AD195" s="13"/>
      <c r="AE195" s="13" t="str">
        <f>_xlfn.XLOOKUP(L195,'[1]ID PROJECT'!E:E,'[1]ID PROJECT'!F:F)</f>
        <v xml:space="preserve">PRJ-KUT-KPU-TPED-2026-04-00071 </v>
      </c>
      <c r="AF195" s="13"/>
      <c r="AG195" s="13"/>
      <c r="AH195" s="65"/>
      <c r="AI195" s="27"/>
    </row>
    <row r="196" spans="1:35" hidden="1">
      <c r="A196" s="13" t="s">
        <v>816</v>
      </c>
      <c r="B196" s="13" t="str">
        <f>_xlfn.XLOOKUP(J196,'Master Data 14-9-2026'!C:C,'Master Data 14-9-2026'!D:D)</f>
        <v>Andrean Eka Wahyudi wx1521186</v>
      </c>
      <c r="C196" s="13"/>
      <c r="D196" s="13" t="str">
        <f>_xlfn.XLOOKUP(J196,'Master Data 14-9-2026'!C:C,'Master Data 14-9-2026'!E:E)</f>
        <v>Surge</v>
      </c>
      <c r="E196" s="13"/>
      <c r="F196" s="13"/>
      <c r="G196" s="13" t="s">
        <v>13</v>
      </c>
      <c r="H196" s="13" t="str">
        <f>_xlfn.XLOOKUP(J196,'Master Data 14-9-2026'!C:C,'Master Data 14-9-2026'!H:H)</f>
        <v>2026-05-26 - 2026-06-25</v>
      </c>
      <c r="I196" s="13" t="str">
        <f t="shared" si="3"/>
        <v>May</v>
      </c>
      <c r="J196" s="13" t="s">
        <v>1277</v>
      </c>
      <c r="K196" s="13" t="s">
        <v>1277</v>
      </c>
      <c r="L196" s="13" t="s">
        <v>475</v>
      </c>
      <c r="M196" s="15">
        <v>200003136010020</v>
      </c>
      <c r="N196" s="13" t="s">
        <v>924</v>
      </c>
      <c r="O196" s="13">
        <v>1.09120260610002E+17</v>
      </c>
      <c r="P196" s="13" t="s">
        <v>1273</v>
      </c>
      <c r="Q196" s="18">
        <v>4</v>
      </c>
      <c r="R196" s="18">
        <v>1</v>
      </c>
      <c r="S196" s="13">
        <v>8828132635</v>
      </c>
      <c r="T196" s="13" t="s">
        <v>926</v>
      </c>
      <c r="U196" s="19">
        <v>34220600</v>
      </c>
      <c r="V196" s="18">
        <v>1</v>
      </c>
      <c r="W196" s="18">
        <f>_xlfn.XLOOKUP(J196,'Master Data 14-9-2026'!C:C,'Master Data 14-9-2026'!L:L)</f>
        <v>0.6</v>
      </c>
      <c r="X196" s="23">
        <v>34220600</v>
      </c>
      <c r="Y196" s="13" t="s">
        <v>1259</v>
      </c>
      <c r="Z196" s="24" t="s">
        <v>15</v>
      </c>
      <c r="AB196" s="13" t="s">
        <v>44</v>
      </c>
      <c r="AC196" s="13" t="s">
        <v>1275</v>
      </c>
      <c r="AD196" s="13"/>
      <c r="AE196" s="13" t="str">
        <f>_xlfn.XLOOKUP(L196,'[1]ID PROJECT'!E:E,'[1]ID PROJECT'!F:F)</f>
        <v>PRJ-KUT-KPU-TPED-2026-04-00074</v>
      </c>
      <c r="AF196" s="13"/>
      <c r="AG196" s="13"/>
      <c r="AH196" s="65"/>
      <c r="AI196" s="27"/>
    </row>
    <row r="197" spans="1:35" hidden="1">
      <c r="A197" s="13" t="s">
        <v>110</v>
      </c>
      <c r="B197" s="13" t="str">
        <f>_xlfn.XLOOKUP(J197,'Master Data 14-9-2026'!C:C,'Master Data 14-9-2026'!D:D)</f>
        <v>Ayu Berlina wx1521222</v>
      </c>
      <c r="C197" s="13"/>
      <c r="D197" s="13" t="str">
        <f>_xlfn.XLOOKUP(J197,'Master Data 14-9-2026'!C:C,'Master Data 14-9-2026'!E:E)</f>
        <v>Surge</v>
      </c>
      <c r="E197" s="13"/>
      <c r="F197" s="13"/>
      <c r="G197" s="13" t="s">
        <v>13</v>
      </c>
      <c r="H197" s="13" t="str">
        <f>_xlfn.XLOOKUP(J197,'Master Data 14-9-2026'!C:C,'Master Data 14-9-2026'!H:H)</f>
        <v>2026-05-24 - 2026-06-23</v>
      </c>
      <c r="I197" s="13" t="str">
        <f t="shared" si="3"/>
        <v>May</v>
      </c>
      <c r="J197" s="13" t="s">
        <v>1278</v>
      </c>
      <c r="K197" s="13" t="s">
        <v>1278</v>
      </c>
      <c r="L197" s="13" t="s">
        <v>441</v>
      </c>
      <c r="M197" s="15">
        <v>200003136011020</v>
      </c>
      <c r="N197" s="13" t="s">
        <v>924</v>
      </c>
      <c r="O197" s="13">
        <v>1.09120260610002E+17</v>
      </c>
      <c r="P197" s="13" t="s">
        <v>1273</v>
      </c>
      <c r="Q197" s="18">
        <v>5</v>
      </c>
      <c r="R197" s="18">
        <v>1</v>
      </c>
      <c r="S197" s="13">
        <v>8828132633</v>
      </c>
      <c r="T197" s="13" t="s">
        <v>951</v>
      </c>
      <c r="U197" s="19">
        <v>28881900</v>
      </c>
      <c r="V197" s="18">
        <v>1</v>
      </c>
      <c r="W197" s="18">
        <f>_xlfn.XLOOKUP(J197,'Master Data 14-9-2026'!C:C,'Master Data 14-9-2026'!L:L)</f>
        <v>1.5</v>
      </c>
      <c r="X197" s="23">
        <v>28881900</v>
      </c>
      <c r="Y197" s="13" t="s">
        <v>1259</v>
      </c>
      <c r="Z197" s="24" t="s">
        <v>15</v>
      </c>
      <c r="AA197" s="4" t="s">
        <v>928</v>
      </c>
      <c r="AB197" s="13" t="s">
        <v>1010</v>
      </c>
      <c r="AC197" s="13"/>
      <c r="AD197" s="13"/>
      <c r="AE197" s="13" t="str">
        <f>_xlfn.XLOOKUP(L197,'[1]ID PROJECT'!E:E,'[1]ID PROJECT'!F:F)</f>
        <v xml:space="preserve">PRJ-KUT-KPU-TPED-2026-04-00071 </v>
      </c>
      <c r="AF197" s="13"/>
      <c r="AG197" s="13"/>
      <c r="AH197" s="65"/>
      <c r="AI197" s="27"/>
    </row>
    <row r="198" spans="1:35" hidden="1">
      <c r="A198" s="13" t="s">
        <v>133</v>
      </c>
      <c r="B198" s="13" t="str">
        <f>_xlfn.XLOOKUP(J198,'Master Data 14-9-2026'!C:C,'Master Data 14-9-2026'!D:D)</f>
        <v>Amara Auliya Dewanti wx1521185</v>
      </c>
      <c r="C198" s="13"/>
      <c r="D198" s="13" t="str">
        <f>_xlfn.XLOOKUP(J198,'Master Data 14-9-2026'!C:C,'Master Data 14-9-2026'!E:E)</f>
        <v>Surge</v>
      </c>
      <c r="E198" s="13"/>
      <c r="F198" s="13"/>
      <c r="G198" s="13" t="s">
        <v>13</v>
      </c>
      <c r="H198" s="13" t="str">
        <f>_xlfn.XLOOKUP(J198,'Master Data 14-9-2026'!C:C,'Master Data 14-9-2026'!H:H)</f>
        <v>2026-05-24 - 2026-06-23</v>
      </c>
      <c r="I198" s="13" t="str">
        <f t="shared" si="3"/>
        <v>May</v>
      </c>
      <c r="J198" s="13" t="s">
        <v>1279</v>
      </c>
      <c r="K198" s="13" t="s">
        <v>1279</v>
      </c>
      <c r="L198" s="13" t="s">
        <v>475</v>
      </c>
      <c r="M198" s="15">
        <v>200003136012020</v>
      </c>
      <c r="N198" s="13" t="s">
        <v>924</v>
      </c>
      <c r="O198" s="13">
        <v>1.09120260610002E+17</v>
      </c>
      <c r="P198" s="13" t="s">
        <v>1273</v>
      </c>
      <c r="Q198" s="18">
        <v>6</v>
      </c>
      <c r="R198" s="18">
        <v>1</v>
      </c>
      <c r="S198" s="13">
        <v>8828132633</v>
      </c>
      <c r="T198" s="13" t="s">
        <v>951</v>
      </c>
      <c r="U198" s="19">
        <v>28881900</v>
      </c>
      <c r="V198" s="18">
        <v>1</v>
      </c>
      <c r="W198" s="18">
        <f>_xlfn.XLOOKUP(J198,'Master Data 14-9-2026'!C:C,'Master Data 14-9-2026'!L:L)</f>
        <v>1.5</v>
      </c>
      <c r="X198" s="23">
        <v>28881900</v>
      </c>
      <c r="Y198" s="13" t="s">
        <v>1259</v>
      </c>
      <c r="Z198" s="24" t="s">
        <v>15</v>
      </c>
      <c r="AA198" s="13" t="s">
        <v>934</v>
      </c>
      <c r="AC198" s="4"/>
      <c r="AD198" s="13" t="s">
        <v>935</v>
      </c>
      <c r="AE198" s="13" t="str">
        <f>_xlfn.XLOOKUP(L198,'[1]ID PROJECT'!E:E,'[1]ID PROJECT'!F:F)</f>
        <v>PRJ-KUT-KPU-TPED-2026-04-00074</v>
      </c>
      <c r="AF198" s="4" t="s">
        <v>1280</v>
      </c>
      <c r="AG198" s="13" t="s">
        <v>1281</v>
      </c>
      <c r="AH198" s="65">
        <v>46233</v>
      </c>
      <c r="AI198" s="27" t="s">
        <v>938</v>
      </c>
    </row>
    <row r="199" spans="1:35" hidden="1">
      <c r="A199" s="13" t="s">
        <v>192</v>
      </c>
      <c r="B199" s="13" t="str">
        <f>_xlfn.XLOOKUP(J199,'Master Data 14-9-2026'!C:C,'Master Data 14-9-2026'!D:D)</f>
        <v>Alifya Rahma Asy Syaffa wx1504637</v>
      </c>
      <c r="C199" s="13"/>
      <c r="D199" s="13" t="str">
        <f>_xlfn.XLOOKUP(J199,'Master Data 14-9-2026'!C:C,'Master Data 14-9-2026'!E:E)</f>
        <v>Surge</v>
      </c>
      <c r="E199" s="13"/>
      <c r="F199" s="13"/>
      <c r="G199" s="13" t="s">
        <v>18</v>
      </c>
      <c r="H199" s="13" t="str">
        <f>_xlfn.XLOOKUP(J199,'Master Data 14-9-2026'!C:C,'Master Data 14-9-2026'!H:H)</f>
        <v>2026-05-01 - 2026-05-31</v>
      </c>
      <c r="I199" s="13" t="str">
        <f t="shared" si="3"/>
        <v>May</v>
      </c>
      <c r="J199" s="13" t="s">
        <v>1282</v>
      </c>
      <c r="K199" s="16" t="s">
        <v>1282</v>
      </c>
      <c r="L199" s="13" t="s">
        <v>441</v>
      </c>
      <c r="M199" s="15">
        <v>200003149271020</v>
      </c>
      <c r="N199" s="13" t="s">
        <v>924</v>
      </c>
      <c r="O199" s="13">
        <v>1.0912026061000301E+17</v>
      </c>
      <c r="P199" s="13" t="s">
        <v>1283</v>
      </c>
      <c r="Q199" s="18">
        <v>1</v>
      </c>
      <c r="R199" s="18">
        <v>1</v>
      </c>
      <c r="S199" s="13">
        <v>8828132633</v>
      </c>
      <c r="T199" s="13" t="s">
        <v>951</v>
      </c>
      <c r="U199" s="19">
        <v>28881900</v>
      </c>
      <c r="V199" s="18">
        <v>1</v>
      </c>
      <c r="W199" s="18">
        <f>_xlfn.XLOOKUP(J199,'Master Data 14-9-2026'!C:C,'Master Data 14-9-2026'!L:L)</f>
        <v>1</v>
      </c>
      <c r="X199" s="23">
        <v>28881900</v>
      </c>
      <c r="Y199" s="13" t="s">
        <v>1259</v>
      </c>
      <c r="Z199" s="24" t="str">
        <f>_xlfn.XLOOKUP(J199,'Master Data 14-9-2026'!C:C,'Master Data 14-9-2026'!I:I)</f>
        <v>Ended</v>
      </c>
      <c r="AA199" s="13" t="s">
        <v>928</v>
      </c>
      <c r="AB199" s="13" t="s">
        <v>1010</v>
      </c>
      <c r="AC199" s="13"/>
      <c r="AD199" s="13"/>
      <c r="AE199" s="13" t="str">
        <f>_xlfn.XLOOKUP(L199,'[1]ID PROJECT'!E:E,'[1]ID PROJECT'!F:F)</f>
        <v xml:space="preserve">PRJ-KUT-KPU-TPED-2026-04-00071 </v>
      </c>
      <c r="AF199" s="13"/>
      <c r="AG199" s="13"/>
      <c r="AH199" s="65"/>
      <c r="AI199" s="27"/>
    </row>
    <row r="200" spans="1:35" hidden="1">
      <c r="A200" s="13" t="s">
        <v>133</v>
      </c>
      <c r="B200" s="13" t="str">
        <f>_xlfn.XLOOKUP(J200,'Master Data 14-9-2026'!C:C,'Master Data 14-9-2026'!D:D)</f>
        <v>Amara Auliya Dewanti wx1521185</v>
      </c>
      <c r="C200" s="13"/>
      <c r="D200" s="13" t="str">
        <f>_xlfn.XLOOKUP(J200,'Master Data 14-9-2026'!C:C,'Master Data 14-9-2026'!E:E)</f>
        <v>Surge</v>
      </c>
      <c r="E200" s="13"/>
      <c r="F200" s="13"/>
      <c r="G200" s="13" t="s">
        <v>18</v>
      </c>
      <c r="H200" s="13" t="str">
        <f>_xlfn.XLOOKUP(J200,'Master Data 14-9-2026'!C:C,'Master Data 14-9-2026'!H:H)</f>
        <v>2026-06-24 - 2026-07-23</v>
      </c>
      <c r="I200" s="13" t="str">
        <f t="shared" si="3"/>
        <v>June</v>
      </c>
      <c r="J200" s="13" t="s">
        <v>1284</v>
      </c>
      <c r="K200" s="13" t="s">
        <v>1284</v>
      </c>
      <c r="L200" s="13" t="s">
        <v>475</v>
      </c>
      <c r="M200" s="15">
        <v>200003149272020</v>
      </c>
      <c r="N200" s="13" t="s">
        <v>924</v>
      </c>
      <c r="O200" s="13">
        <v>1.0912026061000301E+17</v>
      </c>
      <c r="P200" s="13" t="s">
        <v>1283</v>
      </c>
      <c r="Q200" s="18">
        <v>2</v>
      </c>
      <c r="R200" s="18">
        <v>1</v>
      </c>
      <c r="S200" s="13">
        <v>8828132633</v>
      </c>
      <c r="T200" s="13" t="s">
        <v>951</v>
      </c>
      <c r="U200" s="19">
        <v>28881900</v>
      </c>
      <c r="V200" s="18">
        <v>1</v>
      </c>
      <c r="W200" s="18">
        <f>_xlfn.XLOOKUP(J200,'Master Data 14-9-2026'!C:C,'Master Data 14-9-2026'!L:L)</f>
        <v>1.5</v>
      </c>
      <c r="X200" s="23">
        <v>28881900</v>
      </c>
      <c r="Y200" s="13" t="s">
        <v>1259</v>
      </c>
      <c r="Z200" s="24" t="str">
        <f>_xlfn.XLOOKUP(J200,'Master Data 14-9-2026'!C:C,'Master Data 14-9-2026'!I:I)</f>
        <v>Ended</v>
      </c>
      <c r="AA200" s="13"/>
      <c r="AB200" s="13" t="s">
        <v>44</v>
      </c>
      <c r="AC200" s="13"/>
      <c r="AD200" s="13"/>
      <c r="AE200" s="13" t="str">
        <f>_xlfn.XLOOKUP(L200,'[1]ID PROJECT'!E:E,'[1]ID PROJECT'!F:F)</f>
        <v>PRJ-KUT-KPU-TPED-2026-04-00074</v>
      </c>
      <c r="AF200" s="13"/>
      <c r="AG200" s="13"/>
      <c r="AH200" s="65"/>
      <c r="AI200" s="27"/>
    </row>
    <row r="201" spans="1:35" hidden="1">
      <c r="A201" s="13" t="s">
        <v>110</v>
      </c>
      <c r="B201" s="13" t="str">
        <f>_xlfn.XLOOKUP(J201,'Master Data 14-9-2026'!C:C,'Master Data 14-9-2026'!D:D)</f>
        <v>Ayu Berlina wx1521222</v>
      </c>
      <c r="C201" s="13"/>
      <c r="D201" s="13" t="str">
        <f>_xlfn.XLOOKUP(J201,'Master Data 14-9-2026'!C:C,'Master Data 14-9-2026'!E:E)</f>
        <v>Surge</v>
      </c>
      <c r="E201" s="13"/>
      <c r="F201" s="13"/>
      <c r="G201" s="13" t="s">
        <v>18</v>
      </c>
      <c r="H201" s="13" t="str">
        <f>_xlfn.XLOOKUP(J201,'Master Data 14-9-2026'!C:C,'Master Data 14-9-2026'!H:H)</f>
        <v>2026-06-24 - 2026-07-23</v>
      </c>
      <c r="I201" s="13" t="str">
        <f t="shared" si="3"/>
        <v>June</v>
      </c>
      <c r="J201" s="13" t="s">
        <v>1285</v>
      </c>
      <c r="K201" s="13" t="s">
        <v>1285</v>
      </c>
      <c r="L201" s="13" t="s">
        <v>441</v>
      </c>
      <c r="M201" s="15">
        <v>200003149273020</v>
      </c>
      <c r="N201" s="13" t="s">
        <v>924</v>
      </c>
      <c r="O201" s="13">
        <v>1.0912026061000301E+17</v>
      </c>
      <c r="P201" s="13" t="s">
        <v>1283</v>
      </c>
      <c r="Q201" s="18">
        <v>3</v>
      </c>
      <c r="R201" s="18">
        <v>1</v>
      </c>
      <c r="S201" s="13">
        <v>8828132633</v>
      </c>
      <c r="T201" s="13" t="s">
        <v>951</v>
      </c>
      <c r="U201" s="19">
        <v>28881900</v>
      </c>
      <c r="V201" s="18">
        <v>1</v>
      </c>
      <c r="W201" s="18">
        <f>_xlfn.XLOOKUP(J201,'Master Data 14-9-2026'!C:C,'Master Data 14-9-2026'!L:L)</f>
        <v>1.5</v>
      </c>
      <c r="X201" s="23">
        <v>28881900</v>
      </c>
      <c r="Y201" s="13" t="s">
        <v>1259</v>
      </c>
      <c r="Z201" s="24" t="str">
        <f>_xlfn.XLOOKUP(J201,'Master Data 14-9-2026'!C:C,'Master Data 14-9-2026'!I:I)</f>
        <v>Ended</v>
      </c>
      <c r="AA201" s="13"/>
      <c r="AB201" s="13" t="s">
        <v>44</v>
      </c>
      <c r="AC201" s="13"/>
      <c r="AD201" s="13"/>
      <c r="AE201" s="13" t="str">
        <f>_xlfn.XLOOKUP(L201,'[1]ID PROJECT'!E:E,'[1]ID PROJECT'!F:F)</f>
        <v xml:space="preserve">PRJ-KUT-KPU-TPED-2026-04-00071 </v>
      </c>
      <c r="AF201" s="13"/>
      <c r="AG201" s="13"/>
      <c r="AH201" s="65"/>
      <c r="AI201" s="27"/>
    </row>
    <row r="202" spans="1:35" hidden="1">
      <c r="A202" s="13" t="s">
        <v>829</v>
      </c>
      <c r="B202" s="13" t="str">
        <f>_xlfn.XLOOKUP(J202,'Master Data 14-9-2026'!C:C,'Master Data 14-9-2026'!D:D)</f>
        <v>Wayan Gde Krisna wx1516087</v>
      </c>
      <c r="C202" s="13"/>
      <c r="D202" s="13" t="str">
        <f>_xlfn.XLOOKUP(J202,'Master Data 14-9-2026'!C:C,'Master Data 14-9-2026'!E:E)</f>
        <v>Surge</v>
      </c>
      <c r="E202" s="13"/>
      <c r="F202" s="13"/>
      <c r="G202" s="13" t="s">
        <v>18</v>
      </c>
      <c r="H202" s="13" t="str">
        <f>_xlfn.XLOOKUP(J202,'Master Data 14-9-2026'!C:C,'Master Data 14-9-2026'!H:H)</f>
        <v>2026-05-27 - 2026-06-26</v>
      </c>
      <c r="I202" s="13" t="str">
        <f t="shared" si="3"/>
        <v>May</v>
      </c>
      <c r="J202" s="13" t="s">
        <v>1286</v>
      </c>
      <c r="K202" s="13" t="s">
        <v>1286</v>
      </c>
      <c r="L202" s="13" t="s">
        <v>441</v>
      </c>
      <c r="M202" s="15">
        <v>200003149274020</v>
      </c>
      <c r="N202" s="13" t="s">
        <v>924</v>
      </c>
      <c r="O202" s="13">
        <v>1.0912026061000301E+17</v>
      </c>
      <c r="P202" s="13" t="s">
        <v>1283</v>
      </c>
      <c r="Q202" s="18">
        <v>4</v>
      </c>
      <c r="R202" s="18">
        <v>1</v>
      </c>
      <c r="S202" s="13">
        <v>8828132635</v>
      </c>
      <c r="T202" s="13" t="s">
        <v>926</v>
      </c>
      <c r="U202" s="19">
        <v>34220600</v>
      </c>
      <c r="V202" s="18">
        <v>1</v>
      </c>
      <c r="W202" s="18">
        <f>_xlfn.XLOOKUP(J202,'Master Data 14-9-2026'!C:C,'Master Data 14-9-2026'!L:L)</f>
        <v>0.74</v>
      </c>
      <c r="X202" s="23">
        <v>34220600</v>
      </c>
      <c r="Y202" s="13" t="s">
        <v>1259</v>
      </c>
      <c r="Z202" s="24" t="s">
        <v>15</v>
      </c>
      <c r="AA202" s="13"/>
      <c r="AB202" s="13" t="s">
        <v>44</v>
      </c>
      <c r="AC202" s="13"/>
      <c r="AD202" s="13"/>
      <c r="AE202" s="13" t="str">
        <f>_xlfn.XLOOKUP(L202,'[1]ID PROJECT'!E:E,'[1]ID PROJECT'!F:F)</f>
        <v xml:space="preserve">PRJ-KUT-KPU-TPED-2026-04-00071 </v>
      </c>
      <c r="AF202" s="13"/>
      <c r="AG202" s="13"/>
      <c r="AH202" s="65"/>
      <c r="AI202" s="27"/>
    </row>
    <row r="203" spans="1:35" hidden="1">
      <c r="A203" s="13" t="s">
        <v>816</v>
      </c>
      <c r="B203" s="13" t="str">
        <f>_xlfn.XLOOKUP(J203,'Master Data 14-9-2026'!C:C,'Master Data 14-9-2026'!D:D)</f>
        <v>Andrean Eka Wahyudi wx1521186</v>
      </c>
      <c r="C203" s="13"/>
      <c r="D203" s="13" t="str">
        <f>_xlfn.XLOOKUP(J203,'Master Data 14-9-2026'!C:C,'Master Data 14-9-2026'!E:E)</f>
        <v>Surge</v>
      </c>
      <c r="E203" s="13"/>
      <c r="F203" s="13"/>
      <c r="G203" s="13" t="s">
        <v>18</v>
      </c>
      <c r="H203" s="13" t="str">
        <f>_xlfn.XLOOKUP(J203,'Master Data 14-9-2026'!C:C,'Master Data 14-9-2026'!H:H)</f>
        <v>2026-06-26 - 2026-07-25</v>
      </c>
      <c r="I203" s="13" t="str">
        <f t="shared" si="3"/>
        <v>June</v>
      </c>
      <c r="J203" s="13" t="s">
        <v>1287</v>
      </c>
      <c r="K203" s="16" t="s">
        <v>1287</v>
      </c>
      <c r="L203" s="13" t="s">
        <v>475</v>
      </c>
      <c r="M203" s="15">
        <v>200003149275020</v>
      </c>
      <c r="N203" s="13" t="s">
        <v>924</v>
      </c>
      <c r="O203" s="13">
        <v>1.0912026061000301E+17</v>
      </c>
      <c r="P203" s="13" t="s">
        <v>1283</v>
      </c>
      <c r="Q203" s="18">
        <v>5</v>
      </c>
      <c r="R203" s="18">
        <v>1</v>
      </c>
      <c r="S203" s="13">
        <v>8828132635</v>
      </c>
      <c r="T203" s="13" t="s">
        <v>926</v>
      </c>
      <c r="U203" s="19">
        <v>34220600</v>
      </c>
      <c r="V203" s="18">
        <v>1</v>
      </c>
      <c r="W203" s="18">
        <f>_xlfn.XLOOKUP(J203,'Master Data 14-9-2026'!C:C,'Master Data 14-9-2026'!L:L)</f>
        <v>1</v>
      </c>
      <c r="X203" s="23">
        <v>34220600</v>
      </c>
      <c r="Y203" s="13" t="s">
        <v>1259</v>
      </c>
      <c r="Z203" s="24" t="str">
        <f>_xlfn.XLOOKUP(J203,'Master Data 14-9-2026'!C:C,'Master Data 14-9-2026'!I:I)</f>
        <v>Ended</v>
      </c>
      <c r="AA203" s="40" t="s">
        <v>928</v>
      </c>
      <c r="AB203" s="40" t="s">
        <v>1010</v>
      </c>
      <c r="AC203" s="13"/>
      <c r="AD203" s="13"/>
      <c r="AE203" s="13" t="str">
        <f>_xlfn.XLOOKUP(L203,'[1]ID PROJECT'!E:E,'[1]ID PROJECT'!F:F)</f>
        <v>PRJ-KUT-KPU-TPED-2026-04-00074</v>
      </c>
      <c r="AF203" s="13"/>
      <c r="AG203" s="13"/>
      <c r="AH203" s="65"/>
      <c r="AI203" s="27"/>
    </row>
    <row r="204" spans="1:35" hidden="1">
      <c r="A204" s="13" t="s">
        <v>874</v>
      </c>
      <c r="B204" s="13" t="str">
        <f>_xlfn.XLOOKUP(J204,'Master Data 14-9-2026'!C:C,'Master Data 14-9-2026'!D:D)</f>
        <v>Bayo Nandymawa wx1521187</v>
      </c>
      <c r="C204" s="13"/>
      <c r="D204" s="13" t="str">
        <f>_xlfn.XLOOKUP(J204,'Master Data 14-9-2026'!C:C,'Master Data 14-9-2026'!E:E)</f>
        <v>Surge</v>
      </c>
      <c r="E204" s="13"/>
      <c r="F204" s="13"/>
      <c r="G204" s="13" t="s">
        <v>18</v>
      </c>
      <c r="H204" s="13" t="str">
        <f>_xlfn.XLOOKUP(J204,'Master Data 14-9-2026'!C:C,'Master Data 14-9-2026'!H:H)</f>
        <v>2026-06-26 - 2026-07-25</v>
      </c>
      <c r="I204" s="13" t="str">
        <f t="shared" si="3"/>
        <v>June</v>
      </c>
      <c r="J204" s="13" t="s">
        <v>1290</v>
      </c>
      <c r="K204" s="13" t="s">
        <v>1290</v>
      </c>
      <c r="L204" s="13" t="s">
        <v>441</v>
      </c>
      <c r="M204" s="15">
        <v>200003149276020</v>
      </c>
      <c r="N204" s="13" t="s">
        <v>924</v>
      </c>
      <c r="O204" s="13">
        <v>1.0912026061000301E+17</v>
      </c>
      <c r="P204" s="13" t="s">
        <v>1283</v>
      </c>
      <c r="Q204" s="18">
        <v>6</v>
      </c>
      <c r="R204" s="18">
        <v>1</v>
      </c>
      <c r="S204" s="13">
        <v>8828132635</v>
      </c>
      <c r="T204" s="13" t="s">
        <v>926</v>
      </c>
      <c r="U204" s="19">
        <v>34220600</v>
      </c>
      <c r="V204" s="18">
        <v>1</v>
      </c>
      <c r="W204" s="18">
        <f>_xlfn.XLOOKUP(J204,'Master Data 14-9-2026'!C:C,'Master Data 14-9-2026'!L:L)</f>
        <v>0</v>
      </c>
      <c r="X204" s="23">
        <v>34220600</v>
      </c>
      <c r="Y204" s="13" t="s">
        <v>1259</v>
      </c>
      <c r="Z204" s="24" t="str">
        <f>_xlfn.XLOOKUP(J204,'Master Data 14-9-2026'!C:C,'Master Data 14-9-2026'!I:I)</f>
        <v>Ended</v>
      </c>
      <c r="AA204" s="13" t="s">
        <v>1288</v>
      </c>
      <c r="AB204" s="40" t="s">
        <v>44</v>
      </c>
      <c r="AC204" s="13"/>
      <c r="AD204" s="13"/>
      <c r="AE204" s="13" t="str">
        <f>_xlfn.XLOOKUP(L204,'[1]ID PROJECT'!E:E,'[1]ID PROJECT'!F:F)</f>
        <v xml:space="preserve">PRJ-KUT-KPU-TPED-2026-04-00071 </v>
      </c>
      <c r="AF204" s="13"/>
      <c r="AG204" s="13"/>
      <c r="AH204" s="65"/>
      <c r="AI204" s="27"/>
    </row>
    <row r="205" spans="1:35" hidden="1">
      <c r="A205" s="13" t="s">
        <v>781</v>
      </c>
      <c r="B205" s="13" t="str">
        <f>_xlfn.XLOOKUP(J205,'Master Data 14-9-2026'!C:C,'Master Data 14-9-2026'!D:D)</f>
        <v>Muhammad Yordan Adi Pramana wx1521223</v>
      </c>
      <c r="C205" s="13"/>
      <c r="D205" s="13" t="str">
        <f>_xlfn.XLOOKUP(J205,'Master Data 14-9-2026'!C:C,'Master Data 14-9-2026'!E:E)</f>
        <v>Surge</v>
      </c>
      <c r="E205" s="13"/>
      <c r="F205" s="13"/>
      <c r="G205" s="13" t="s">
        <v>18</v>
      </c>
      <c r="H205" s="13" t="str">
        <f>_xlfn.XLOOKUP(J205,'Master Data 14-9-2026'!C:C,'Master Data 14-9-2026'!H:H)</f>
        <v>2026-06-19 - 2026-07-18</v>
      </c>
      <c r="I205" s="13" t="str">
        <f t="shared" si="3"/>
        <v>June</v>
      </c>
      <c r="J205" s="13" t="s">
        <v>1291</v>
      </c>
      <c r="K205" s="29" t="s">
        <v>1291</v>
      </c>
      <c r="L205" s="13" t="s">
        <v>457</v>
      </c>
      <c r="M205" s="15">
        <v>200003149277020</v>
      </c>
      <c r="N205" s="13" t="s">
        <v>924</v>
      </c>
      <c r="O205" s="13">
        <v>1.0912026061000301E+17</v>
      </c>
      <c r="P205" s="13" t="s">
        <v>1283</v>
      </c>
      <c r="Q205" s="18">
        <v>7</v>
      </c>
      <c r="R205" s="18">
        <v>1</v>
      </c>
      <c r="S205" s="13">
        <v>8828132635</v>
      </c>
      <c r="T205" s="13" t="s">
        <v>926</v>
      </c>
      <c r="U205" s="19">
        <v>34220600</v>
      </c>
      <c r="V205" s="18">
        <v>1</v>
      </c>
      <c r="W205" s="18">
        <f>_xlfn.XLOOKUP(J205,'Master Data 14-9-2026'!C:C,'Master Data 14-9-2026'!L:L)</f>
        <v>1</v>
      </c>
      <c r="X205" s="23">
        <v>34220600</v>
      </c>
      <c r="Y205" s="13" t="s">
        <v>1259</v>
      </c>
      <c r="Z205" s="24" t="str">
        <f>_xlfn.XLOOKUP(J205,'Master Data 14-9-2026'!C:C,'Master Data 14-9-2026'!I:I)</f>
        <v>Ended</v>
      </c>
      <c r="AA205" s="13" t="s">
        <v>928</v>
      </c>
      <c r="AB205" s="13" t="s">
        <v>1010</v>
      </c>
      <c r="AC205" s="13" t="s">
        <v>1275</v>
      </c>
      <c r="AD205" s="13"/>
      <c r="AE205" s="13" t="str">
        <f>_xlfn.XLOOKUP(L205,'[1]ID PROJECT'!E:E,'[1]ID PROJECT'!F:F)</f>
        <v>PRJ-KUT-KPU-TPED-2026-04-00076</v>
      </c>
      <c r="AF205" s="13"/>
      <c r="AG205" s="13"/>
      <c r="AH205" s="65"/>
      <c r="AI205" s="27"/>
    </row>
    <row r="206" spans="1:35" hidden="1">
      <c r="A206" s="13" t="s">
        <v>870</v>
      </c>
      <c r="B206" s="13" t="str">
        <f>_xlfn.XLOOKUP(J206,'Master Data 14-9-2026'!C:C,'Master Data 14-9-2026'!D:D)</f>
        <v>Abdul Latif Priyadi wx1521188</v>
      </c>
      <c r="C206" s="13"/>
      <c r="D206" s="13" t="str">
        <f>_xlfn.XLOOKUP(J206,'Master Data 14-9-2026'!C:C,'Master Data 14-9-2026'!E:E)</f>
        <v>Surge</v>
      </c>
      <c r="E206" s="13"/>
      <c r="F206" s="13"/>
      <c r="G206" s="13" t="s">
        <v>18</v>
      </c>
      <c r="H206" s="13" t="str">
        <f>_xlfn.XLOOKUP(J206,'Master Data 14-9-2026'!C:C,'Master Data 14-9-2026'!H:H)</f>
        <v>2026-06-27 - 2026-07-26</v>
      </c>
      <c r="I206" s="13" t="str">
        <f t="shared" si="3"/>
        <v>June</v>
      </c>
      <c r="J206" s="13" t="s">
        <v>1292</v>
      </c>
      <c r="K206" s="16" t="s">
        <v>1292</v>
      </c>
      <c r="L206" s="13" t="s">
        <v>475</v>
      </c>
      <c r="M206" s="15">
        <v>200003149278020</v>
      </c>
      <c r="N206" s="13" t="s">
        <v>924</v>
      </c>
      <c r="O206" s="13">
        <v>1.0912026061000301E+17</v>
      </c>
      <c r="P206" s="13" t="s">
        <v>1283</v>
      </c>
      <c r="Q206" s="18">
        <v>8</v>
      </c>
      <c r="R206" s="18">
        <v>1</v>
      </c>
      <c r="S206" s="13">
        <v>8828132635</v>
      </c>
      <c r="T206" s="13" t="s">
        <v>926</v>
      </c>
      <c r="U206" s="19">
        <v>34220600</v>
      </c>
      <c r="V206" s="18">
        <v>1</v>
      </c>
      <c r="W206" s="18">
        <f>_xlfn.XLOOKUP(J206,'Master Data 14-9-2026'!C:C,'Master Data 14-9-2026'!L:L)</f>
        <v>1</v>
      </c>
      <c r="X206" s="23">
        <v>34220600</v>
      </c>
      <c r="Y206" s="13" t="s">
        <v>1259</v>
      </c>
      <c r="Z206" s="24" t="str">
        <f>_xlfn.XLOOKUP(J206,'Master Data 14-9-2026'!C:C,'Master Data 14-9-2026'!I:I)</f>
        <v>Ended</v>
      </c>
      <c r="AA206" s="13" t="s">
        <v>928</v>
      </c>
      <c r="AB206" s="13" t="s">
        <v>1010</v>
      </c>
      <c r="AC206" s="13"/>
      <c r="AD206" s="13"/>
      <c r="AE206" s="13" t="str">
        <f>_xlfn.XLOOKUP(L206,'[1]ID PROJECT'!E:E,'[1]ID PROJECT'!F:F)</f>
        <v>PRJ-KUT-KPU-TPED-2026-04-00074</v>
      </c>
      <c r="AF206" s="13"/>
      <c r="AG206" s="13"/>
      <c r="AH206" s="65"/>
      <c r="AI206" s="27"/>
    </row>
    <row r="207" spans="1:35" hidden="1">
      <c r="A207" s="13" t="s">
        <v>192</v>
      </c>
      <c r="B207" s="13" t="str">
        <f>_xlfn.XLOOKUP(J207,'Master Data 14-9-2026'!C:C,'Master Data 14-9-2026'!D:D)</f>
        <v>Alifya Rahma Asy Syaffa wx1504637</v>
      </c>
      <c r="C207" s="13"/>
      <c r="D207" s="13" t="str">
        <f>_xlfn.XLOOKUP(J207,'Master Data 14-9-2026'!C:C,'Master Data 14-9-2026'!E:E)</f>
        <v>Surge</v>
      </c>
      <c r="E207" s="13"/>
      <c r="F207" s="13"/>
      <c r="G207" s="13" t="s">
        <v>22</v>
      </c>
      <c r="H207" s="13" t="str">
        <f>_xlfn.XLOOKUP(J207,'Master Data 14-9-2026'!C:C,'Master Data 14-9-2026'!H:H)</f>
        <v>2026-06-01 - 2026-06-30</v>
      </c>
      <c r="I207" s="13" t="str">
        <f t="shared" si="3"/>
        <v>June</v>
      </c>
      <c r="J207" s="13" t="s">
        <v>1293</v>
      </c>
      <c r="K207" s="13" t="s">
        <v>1293</v>
      </c>
      <c r="L207" s="13" t="s">
        <v>441</v>
      </c>
      <c r="M207" s="15">
        <v>200003149280020</v>
      </c>
      <c r="N207" s="13" t="s">
        <v>924</v>
      </c>
      <c r="O207" s="13">
        <v>1.0912026061000301E+17</v>
      </c>
      <c r="P207" s="13" t="s">
        <v>1283</v>
      </c>
      <c r="Q207" s="18">
        <v>9</v>
      </c>
      <c r="R207" s="18">
        <v>1</v>
      </c>
      <c r="S207" s="13">
        <v>8828132633</v>
      </c>
      <c r="T207" s="13" t="s">
        <v>951</v>
      </c>
      <c r="U207" s="19">
        <v>28881900</v>
      </c>
      <c r="V207" s="18">
        <v>1</v>
      </c>
      <c r="W207" s="18">
        <f>_xlfn.XLOOKUP(J207,'Master Data 14-9-2026'!C:C,'Master Data 14-9-2026'!L:L)</f>
        <v>0.83</v>
      </c>
      <c r="X207" s="23">
        <v>28881900</v>
      </c>
      <c r="Y207" s="13" t="s">
        <v>1259</v>
      </c>
      <c r="Z207" s="24" t="str">
        <f>_xlfn.XLOOKUP(J207,'Master Data 14-9-2026'!C:C,'Master Data 14-9-2026'!I:I)</f>
        <v>Ended</v>
      </c>
      <c r="AC207" s="4"/>
      <c r="AD207" s="13"/>
      <c r="AE207" s="13" t="str">
        <f>_xlfn.XLOOKUP(L207,'[1]ID PROJECT'!E:E,'[1]ID PROJECT'!F:F)</f>
        <v xml:space="preserve">PRJ-KUT-KPU-TPED-2026-04-00071 </v>
      </c>
      <c r="AF207" s="13"/>
      <c r="AG207" s="13"/>
      <c r="AH207" s="65"/>
      <c r="AI207" s="27"/>
    </row>
    <row r="208" spans="1:35" hidden="1">
      <c r="A208" s="13" t="s">
        <v>133</v>
      </c>
      <c r="B208" s="13" t="str">
        <f>_xlfn.XLOOKUP(J208,'Master Data 14-9-2026'!C:C,'Master Data 14-9-2026'!D:D)</f>
        <v>Amara Auliya Dewanti wx1521185</v>
      </c>
      <c r="C208" s="13"/>
      <c r="D208" s="13" t="str">
        <f>_xlfn.XLOOKUP(J208,'Master Data 14-9-2026'!C:C,'Master Data 14-9-2026'!E:E)</f>
        <v>Surge</v>
      </c>
      <c r="E208" s="13"/>
      <c r="F208" s="13"/>
      <c r="G208" s="13" t="s">
        <v>22</v>
      </c>
      <c r="H208" s="13" t="str">
        <f>_xlfn.XLOOKUP(J208,'Master Data 14-9-2026'!C:C,'Master Data 14-9-2026'!H:H)</f>
        <v>2026-07-24 - 2026-08-23</v>
      </c>
      <c r="I208" s="13" t="str">
        <f t="shared" si="3"/>
        <v>July</v>
      </c>
      <c r="J208" s="13" t="s">
        <v>1294</v>
      </c>
      <c r="K208" s="13" t="s">
        <v>1294</v>
      </c>
      <c r="L208" s="13" t="s">
        <v>441</v>
      </c>
      <c r="M208" s="15">
        <v>200003149281020</v>
      </c>
      <c r="N208" s="13" t="s">
        <v>924</v>
      </c>
      <c r="O208" s="13">
        <v>1.0912026061000301E+17</v>
      </c>
      <c r="P208" s="13" t="s">
        <v>1283</v>
      </c>
      <c r="Q208" s="18">
        <v>10</v>
      </c>
      <c r="R208" s="18">
        <v>1</v>
      </c>
      <c r="S208" s="13">
        <v>8828132633</v>
      </c>
      <c r="T208" s="13" t="s">
        <v>951</v>
      </c>
      <c r="U208" s="19">
        <v>28881900</v>
      </c>
      <c r="V208" s="18">
        <v>1</v>
      </c>
      <c r="W208" s="18">
        <f>_xlfn.XLOOKUP(J208,'Master Data 14-9-2026'!C:C,'Master Data 14-9-2026'!L:L)</f>
        <v>1.5</v>
      </c>
      <c r="X208" s="23">
        <v>28881900</v>
      </c>
      <c r="Y208" s="13" t="s">
        <v>1259</v>
      </c>
      <c r="Z208" s="24" t="s">
        <v>984</v>
      </c>
      <c r="AC208" s="4"/>
      <c r="AD208" s="13"/>
      <c r="AE208" s="13" t="str">
        <f>_xlfn.XLOOKUP(L208,'[1]ID PROJECT'!E:E,'[1]ID PROJECT'!F:F)</f>
        <v xml:space="preserve">PRJ-KUT-KPU-TPED-2026-04-00071 </v>
      </c>
      <c r="AF208" s="13"/>
      <c r="AG208" s="13"/>
      <c r="AH208" s="65"/>
      <c r="AI208" s="27"/>
    </row>
    <row r="209" spans="1:35" hidden="1">
      <c r="A209" s="13" t="s">
        <v>110</v>
      </c>
      <c r="B209" s="13" t="str">
        <f>_xlfn.XLOOKUP(J209,'Master Data 14-9-2026'!C:C,'Master Data 14-9-2026'!D:D)</f>
        <v>Ayu Berlina wx1521222</v>
      </c>
      <c r="C209" s="13"/>
      <c r="D209" s="13" t="str">
        <f>_xlfn.XLOOKUP(J209,'Master Data 14-9-2026'!C:C,'Master Data 14-9-2026'!E:E)</f>
        <v>Surge</v>
      </c>
      <c r="E209" s="13"/>
      <c r="F209" s="13"/>
      <c r="G209" s="13" t="s">
        <v>22</v>
      </c>
      <c r="H209" s="13" t="str">
        <f>_xlfn.XLOOKUP(J209,'Master Data 14-9-2026'!C:C,'Master Data 14-9-2026'!H:H)</f>
        <v>2026-07-24 - 2026-08-23</v>
      </c>
      <c r="I209" s="13" t="str">
        <f t="shared" si="3"/>
        <v>July</v>
      </c>
      <c r="J209" s="13" t="s">
        <v>1295</v>
      </c>
      <c r="K209" s="13" t="s">
        <v>1295</v>
      </c>
      <c r="L209" s="13" t="s">
        <v>441</v>
      </c>
      <c r="M209" s="15">
        <v>200003149282020</v>
      </c>
      <c r="N209" s="13" t="s">
        <v>924</v>
      </c>
      <c r="O209" s="13">
        <v>1.0912026061000301E+17</v>
      </c>
      <c r="P209" s="13" t="s">
        <v>1283</v>
      </c>
      <c r="Q209" s="18">
        <v>11</v>
      </c>
      <c r="R209" s="18">
        <v>1</v>
      </c>
      <c r="S209" s="13">
        <v>8828132633</v>
      </c>
      <c r="T209" s="13" t="s">
        <v>951</v>
      </c>
      <c r="U209" s="19">
        <v>28881900</v>
      </c>
      <c r="V209" s="18">
        <v>1</v>
      </c>
      <c r="W209" s="18">
        <f>_xlfn.XLOOKUP(J209,'Master Data 14-9-2026'!C:C,'Master Data 14-9-2026'!L:L)</f>
        <v>1.1499999999999999</v>
      </c>
      <c r="X209" s="23">
        <v>28881900</v>
      </c>
      <c r="Y209" s="13" t="s">
        <v>1259</v>
      </c>
      <c r="Z209" s="24" t="s">
        <v>984</v>
      </c>
      <c r="AC209" s="4"/>
      <c r="AD209" s="13"/>
      <c r="AE209" s="13" t="str">
        <f>_xlfn.XLOOKUP(L209,'[1]ID PROJECT'!E:E,'[1]ID PROJECT'!F:F)</f>
        <v xml:space="preserve">PRJ-KUT-KPU-TPED-2026-04-00071 </v>
      </c>
      <c r="AF209" s="13"/>
      <c r="AG209" s="13"/>
      <c r="AH209" s="65"/>
      <c r="AI209" s="27"/>
    </row>
    <row r="210" spans="1:35" hidden="1">
      <c r="A210" s="13" t="s">
        <v>829</v>
      </c>
      <c r="B210" s="13" t="str">
        <f>_xlfn.XLOOKUP(J210,'Master Data 14-9-2026'!C:C,'Master Data 14-9-2026'!D:D)</f>
        <v>Wayan Gde Krisna wx1516087</v>
      </c>
      <c r="C210" s="13"/>
      <c r="D210" s="13" t="str">
        <f>_xlfn.XLOOKUP(J210,'Master Data 14-9-2026'!C:C,'Master Data 14-9-2026'!E:E)</f>
        <v>Surge</v>
      </c>
      <c r="E210" s="13"/>
      <c r="F210" s="13"/>
      <c r="G210" s="13" t="s">
        <v>22</v>
      </c>
      <c r="H210" s="13" t="str">
        <f>_xlfn.XLOOKUP(J210,'Master Data 14-9-2026'!C:C,'Master Data 14-9-2026'!H:H)</f>
        <v>2026-06-27 - 2026-07-26</v>
      </c>
      <c r="I210" s="13" t="str">
        <f t="shared" si="3"/>
        <v>June</v>
      </c>
      <c r="J210" s="13" t="s">
        <v>1296</v>
      </c>
      <c r="K210" s="16" t="s">
        <v>1296</v>
      </c>
      <c r="L210" s="13" t="s">
        <v>441</v>
      </c>
      <c r="M210" s="15">
        <v>200003149283020</v>
      </c>
      <c r="N210" s="13" t="s">
        <v>924</v>
      </c>
      <c r="O210" s="13">
        <v>1.0912026061000301E+17</v>
      </c>
      <c r="P210" s="13" t="s">
        <v>1283</v>
      </c>
      <c r="Q210" s="18">
        <v>12</v>
      </c>
      <c r="R210" s="18">
        <v>1</v>
      </c>
      <c r="S210" s="13">
        <v>8828132635</v>
      </c>
      <c r="T210" s="13" t="s">
        <v>926</v>
      </c>
      <c r="U210" s="19">
        <v>34220600</v>
      </c>
      <c r="V210" s="18">
        <v>1</v>
      </c>
      <c r="W210" s="18">
        <f>_xlfn.XLOOKUP(J210,'Master Data 14-9-2026'!C:C,'Master Data 14-9-2026'!L:L)</f>
        <v>1</v>
      </c>
      <c r="X210" s="23">
        <v>34220600</v>
      </c>
      <c r="Y210" s="13" t="s">
        <v>1259</v>
      </c>
      <c r="Z210" s="24" t="str">
        <f>_xlfn.XLOOKUP(J210,'Master Data 14-9-2026'!C:C,'Master Data 14-9-2026'!I:I)</f>
        <v>Ended</v>
      </c>
      <c r="AA210" s="4" t="s">
        <v>928</v>
      </c>
      <c r="AB210" s="4" t="s">
        <v>1010</v>
      </c>
      <c r="AC210" s="4"/>
      <c r="AD210" s="13"/>
      <c r="AE210" s="13" t="str">
        <f>_xlfn.XLOOKUP(L210,'[1]ID PROJECT'!E:E,'[1]ID PROJECT'!F:F)</f>
        <v xml:space="preserve">PRJ-KUT-KPU-TPED-2026-04-00071 </v>
      </c>
      <c r="AF210" s="13"/>
      <c r="AG210" s="13"/>
      <c r="AH210" s="65"/>
      <c r="AI210" s="27"/>
    </row>
    <row r="211" spans="1:35" hidden="1">
      <c r="A211" s="13" t="s">
        <v>816</v>
      </c>
      <c r="B211" s="13" t="str">
        <f>_xlfn.XLOOKUP(J211,'Master Data 14-9-2026'!C:C,'Master Data 14-9-2026'!D:D)</f>
        <v>Andrean Eka Wahyudi wx1521186</v>
      </c>
      <c r="C211" s="13"/>
      <c r="D211" s="13" t="str">
        <f>_xlfn.XLOOKUP(J211,'Master Data 14-9-2026'!C:C,'Master Data 14-9-2026'!E:E)</f>
        <v>Surge</v>
      </c>
      <c r="E211" s="13"/>
      <c r="F211" s="13"/>
      <c r="G211" s="13" t="s">
        <v>22</v>
      </c>
      <c r="H211" s="13" t="str">
        <f>_xlfn.XLOOKUP(J211,'Master Data 14-9-2026'!C:C,'Master Data 14-9-2026'!H:H)</f>
        <v>2026-07-26 - 2026-08-25</v>
      </c>
      <c r="I211" s="13" t="str">
        <f t="shared" si="3"/>
        <v>July</v>
      </c>
      <c r="J211" s="13" t="s">
        <v>1297</v>
      </c>
      <c r="K211" s="16" t="s">
        <v>1297</v>
      </c>
      <c r="L211" s="13" t="str">
        <f>_xlfn.XLOOKUP(J211,'Master Data 14-9-2026'!C:C,'Master Data 14-9-2026'!F:F)</f>
        <v>West Java</v>
      </c>
      <c r="M211" s="15">
        <v>200003149284020</v>
      </c>
      <c r="N211" s="13" t="s">
        <v>924</v>
      </c>
      <c r="O211" s="13">
        <v>1.0912026061000301E+17</v>
      </c>
      <c r="P211" s="13" t="s">
        <v>1283</v>
      </c>
      <c r="Q211" s="18">
        <v>13</v>
      </c>
      <c r="R211" s="18">
        <v>1</v>
      </c>
      <c r="S211" s="13">
        <v>8828132635</v>
      </c>
      <c r="T211" s="13" t="s">
        <v>926</v>
      </c>
      <c r="U211" s="19">
        <v>34220600</v>
      </c>
      <c r="V211" s="18">
        <v>1</v>
      </c>
      <c r="W211" s="18">
        <f>_xlfn.XLOOKUP(J211,'Master Data 14-9-2026'!C:C,'Master Data 14-9-2026'!L:L)</f>
        <v>1</v>
      </c>
      <c r="X211" s="23">
        <v>34220600</v>
      </c>
      <c r="Y211" s="13" t="s">
        <v>1259</v>
      </c>
      <c r="Z211" s="24" t="str">
        <f>_xlfn.XLOOKUP(J211,'Master Data 14-9-2026'!C:C,'Master Data 14-9-2026'!I:I)</f>
        <v>Ended</v>
      </c>
      <c r="AA211" s="4" t="s">
        <v>928</v>
      </c>
      <c r="AB211" s="4" t="s">
        <v>1010</v>
      </c>
      <c r="AC211" s="4"/>
      <c r="AD211" s="13"/>
      <c r="AE211" s="13" t="str">
        <f>_xlfn.XLOOKUP(L211,'[1]ID PROJECT'!E:E,'[1]ID PROJECT'!F:F)</f>
        <v>PRJ-KUT-KPU-TPED-2026-04-00074</v>
      </c>
      <c r="AF211" s="13"/>
      <c r="AG211" s="13"/>
      <c r="AH211" s="65"/>
      <c r="AI211" s="27"/>
    </row>
    <row r="212" spans="1:35" hidden="1">
      <c r="A212" s="13" t="s">
        <v>874</v>
      </c>
      <c r="B212" s="13" t="str">
        <f>_xlfn.XLOOKUP(J212,'Master Data 14-9-2026'!C:C,'Master Data 14-9-2026'!D:D)</f>
        <v>Bayo Nandymawa wx1521187</v>
      </c>
      <c r="C212" s="13"/>
      <c r="D212" s="13" t="str">
        <f>_xlfn.XLOOKUP(J212,'Master Data 14-9-2026'!C:C,'Master Data 14-9-2026'!E:E)</f>
        <v>Surge</v>
      </c>
      <c r="E212" s="13"/>
      <c r="F212" s="13"/>
      <c r="G212" s="13" t="s">
        <v>22</v>
      </c>
      <c r="H212" s="13" t="str">
        <f>_xlfn.XLOOKUP(J212,'Master Data 14-9-2026'!C:C,'Master Data 14-9-2026'!H:H)</f>
        <v>2026-07-26 - 2026-08-25</v>
      </c>
      <c r="I212" s="13" t="str">
        <f t="shared" si="3"/>
        <v>July</v>
      </c>
      <c r="J212" s="13" t="s">
        <v>1298</v>
      </c>
      <c r="K212" s="13" t="s">
        <v>1298</v>
      </c>
      <c r="L212" s="13" t="s">
        <v>441</v>
      </c>
      <c r="M212" s="15">
        <v>200003149285020</v>
      </c>
      <c r="N212" s="13" t="s">
        <v>924</v>
      </c>
      <c r="O212" s="13">
        <v>1.0912026061000301E+17</v>
      </c>
      <c r="P212" s="13" t="s">
        <v>1283</v>
      </c>
      <c r="Q212" s="18">
        <v>14</v>
      </c>
      <c r="R212" s="18">
        <v>1</v>
      </c>
      <c r="S212" s="13">
        <v>8828132635</v>
      </c>
      <c r="T212" s="13" t="s">
        <v>926</v>
      </c>
      <c r="U212" s="19">
        <v>34220600</v>
      </c>
      <c r="V212" s="18">
        <v>1</v>
      </c>
      <c r="W212" s="18">
        <f>_xlfn.XLOOKUP(J212,'Master Data 14-9-2026'!C:C,'Master Data 14-9-2026'!L:L)</f>
        <v>0</v>
      </c>
      <c r="X212" s="23">
        <v>34220600</v>
      </c>
      <c r="Y212" s="13" t="s">
        <v>1259</v>
      </c>
      <c r="Z212" s="24" t="s">
        <v>33</v>
      </c>
      <c r="AC212" s="4"/>
      <c r="AD212" s="13"/>
      <c r="AE212" s="13" t="str">
        <f>_xlfn.XLOOKUP(L212,'[1]ID PROJECT'!E:E,'[1]ID PROJECT'!F:F)</f>
        <v xml:space="preserve">PRJ-KUT-KPU-TPED-2026-04-00071 </v>
      </c>
      <c r="AF212" s="13"/>
      <c r="AG212" s="13"/>
      <c r="AH212" s="65"/>
      <c r="AI212" s="27"/>
    </row>
    <row r="213" spans="1:35" hidden="1">
      <c r="A213" s="13" t="s">
        <v>781</v>
      </c>
      <c r="B213" s="13" t="str">
        <f>_xlfn.XLOOKUP(J213,'Master Data 14-9-2026'!C:C,'Master Data 14-9-2026'!D:D)</f>
        <v>Muhammad Yordan Adi Pramana wx1521223</v>
      </c>
      <c r="C213" s="13"/>
      <c r="D213" s="13" t="str">
        <f>_xlfn.XLOOKUP(J213,'Master Data 14-9-2026'!C:C,'Master Data 14-9-2026'!E:E)</f>
        <v>Surge</v>
      </c>
      <c r="E213" s="13"/>
      <c r="F213" s="13"/>
      <c r="G213" s="13" t="s">
        <v>22</v>
      </c>
      <c r="H213" s="13" t="str">
        <f>_xlfn.XLOOKUP(J213,'Master Data 14-9-2026'!C:C,'Master Data 14-9-2026'!H:H)</f>
        <v>2026-07-19 - 2026-08-18</v>
      </c>
      <c r="I213" s="13" t="str">
        <f t="shared" si="3"/>
        <v>July</v>
      </c>
      <c r="J213" s="13" t="s">
        <v>1299</v>
      </c>
      <c r="K213" s="16" t="s">
        <v>1299</v>
      </c>
      <c r="L213" s="13" t="str">
        <f>_xlfn.XLOOKUP(J213,'Master Data 14-9-2026'!C:C,'Master Data 14-9-2026'!F:F)</f>
        <v>East Java</v>
      </c>
      <c r="M213" s="15">
        <v>200003149286020</v>
      </c>
      <c r="N213" s="13" t="s">
        <v>924</v>
      </c>
      <c r="O213" s="13">
        <v>1.0912026061000301E+17</v>
      </c>
      <c r="P213" s="13" t="s">
        <v>1283</v>
      </c>
      <c r="Q213" s="18">
        <v>15</v>
      </c>
      <c r="R213" s="18">
        <v>1</v>
      </c>
      <c r="S213" s="13">
        <v>8828132635</v>
      </c>
      <c r="T213" s="13" t="s">
        <v>926</v>
      </c>
      <c r="U213" s="19">
        <v>34220600</v>
      </c>
      <c r="V213" s="18">
        <v>1</v>
      </c>
      <c r="W213" s="18">
        <f>_xlfn.XLOOKUP(J213,'Master Data 14-9-2026'!C:C,'Master Data 14-9-2026'!L:L)</f>
        <v>1</v>
      </c>
      <c r="X213" s="23">
        <v>34220600</v>
      </c>
      <c r="Y213" s="13" t="s">
        <v>1259</v>
      </c>
      <c r="Z213" s="24" t="str">
        <f>_xlfn.XLOOKUP(J213,'Master Data 14-9-2026'!C:C,'Master Data 14-9-2026'!I:I)</f>
        <v>Ended</v>
      </c>
      <c r="AA213" s="4" t="s">
        <v>928</v>
      </c>
      <c r="AB213" s="4" t="s">
        <v>1010</v>
      </c>
      <c r="AC213" s="4"/>
      <c r="AD213" s="13"/>
      <c r="AE213" s="13" t="str">
        <f>_xlfn.XLOOKUP(L213,'[1]ID PROJECT'!E:E,'[1]ID PROJECT'!F:F)</f>
        <v>PRJ-KUT-KPU-TPED-2026-04-00076</v>
      </c>
      <c r="AF213" s="13"/>
      <c r="AG213" s="13"/>
      <c r="AH213" s="65"/>
      <c r="AI213" s="27"/>
    </row>
    <row r="214" spans="1:35" hidden="1">
      <c r="A214" s="13" t="s">
        <v>870</v>
      </c>
      <c r="B214" s="13" t="str">
        <f>_xlfn.XLOOKUP(J214,'Master Data 14-9-2026'!C:C,'Master Data 14-9-2026'!D:D)</f>
        <v>Abdul Latif Priyadi wx1521188</v>
      </c>
      <c r="C214" s="13"/>
      <c r="D214" s="13" t="str">
        <f>_xlfn.XLOOKUP(J214,'Master Data 14-9-2026'!C:C,'Master Data 14-9-2026'!E:E)</f>
        <v>Surge</v>
      </c>
      <c r="E214" s="13"/>
      <c r="F214" s="13"/>
      <c r="G214" s="13" t="s">
        <v>22</v>
      </c>
      <c r="H214" s="13" t="str">
        <f>_xlfn.XLOOKUP(J214,'Master Data 14-9-2026'!C:C,'Master Data 14-9-2026'!H:H)</f>
        <v>2026-07-27 - 2026-08-26</v>
      </c>
      <c r="I214" s="13" t="str">
        <f t="shared" si="3"/>
        <v>July</v>
      </c>
      <c r="J214" s="13" t="s">
        <v>1300</v>
      </c>
      <c r="K214" s="16" t="s">
        <v>1300</v>
      </c>
      <c r="L214" s="13" t="str">
        <f>_xlfn.XLOOKUP(J214,'Master Data 14-9-2026'!C:C,'Master Data 14-9-2026'!F:F)</f>
        <v>West Java</v>
      </c>
      <c r="M214" s="15">
        <v>200003149287020</v>
      </c>
      <c r="N214" s="13" t="s">
        <v>924</v>
      </c>
      <c r="O214" s="13">
        <v>1.0912026061000301E+17</v>
      </c>
      <c r="P214" s="13" t="s">
        <v>1283</v>
      </c>
      <c r="Q214" s="18">
        <v>16</v>
      </c>
      <c r="R214" s="18">
        <v>1</v>
      </c>
      <c r="S214" s="13">
        <v>8828132635</v>
      </c>
      <c r="T214" s="13" t="s">
        <v>926</v>
      </c>
      <c r="U214" s="19">
        <v>34220600</v>
      </c>
      <c r="V214" s="18">
        <v>1</v>
      </c>
      <c r="W214" s="18">
        <f>_xlfn.XLOOKUP(J214,'Master Data 14-9-2026'!C:C,'Master Data 14-9-2026'!L:L)</f>
        <v>1</v>
      </c>
      <c r="X214" s="23">
        <v>34220600</v>
      </c>
      <c r="Y214" s="13" t="s">
        <v>1259</v>
      </c>
      <c r="Z214" s="24" t="str">
        <f>_xlfn.XLOOKUP(J214,'Master Data 14-9-2026'!C:C,'Master Data 14-9-2026'!I:I)</f>
        <v>Ended</v>
      </c>
      <c r="AA214" s="4" t="s">
        <v>928</v>
      </c>
      <c r="AB214" s="4" t="s">
        <v>1010</v>
      </c>
      <c r="AC214" s="4"/>
      <c r="AD214" s="13"/>
      <c r="AE214" s="13" t="str">
        <f>_xlfn.XLOOKUP(L214,'[1]ID PROJECT'!E:E,'[1]ID PROJECT'!F:F)</f>
        <v>PRJ-KUT-KPU-TPED-2026-04-00074</v>
      </c>
      <c r="AF214" s="13"/>
      <c r="AG214" s="13"/>
      <c r="AH214" s="65"/>
      <c r="AI214" s="27"/>
    </row>
    <row r="215" spans="1:35" hidden="1">
      <c r="A215" s="13" t="s">
        <v>248</v>
      </c>
      <c r="B215" s="13" t="str">
        <f>_xlfn.XLOOKUP(J215,'Master Data 14-9-2026'!C:C,'Master Data 14-9-2026'!D:D)</f>
        <v>Afriana Marisha D wx1525710</v>
      </c>
      <c r="C215" s="13"/>
      <c r="D215" s="13" t="str">
        <f>_xlfn.XLOOKUP(J215,'Master Data 14-9-2026'!C:C,'Master Data 14-9-2026'!E:E)</f>
        <v>TELKOM</v>
      </c>
      <c r="E215" s="13"/>
      <c r="F215" s="13"/>
      <c r="G215" s="13" t="s">
        <v>13</v>
      </c>
      <c r="H215" s="13" t="str">
        <f>_xlfn.XLOOKUP(J215,'Master Data 14-9-2026'!C:C,'Master Data 14-9-2026'!H:H)</f>
        <v>2026-06-04 - 2026-07-03</v>
      </c>
      <c r="I215" s="13" t="str">
        <f t="shared" si="3"/>
        <v>June</v>
      </c>
      <c r="J215" s="13" t="s">
        <v>1301</v>
      </c>
      <c r="K215" s="16" t="s">
        <v>1301</v>
      </c>
      <c r="L215" s="13" t="s">
        <v>441</v>
      </c>
      <c r="M215" s="15">
        <v>200003148370020</v>
      </c>
      <c r="N215" s="13" t="s">
        <v>924</v>
      </c>
      <c r="O215" s="13">
        <v>1.09120260610004E+17</v>
      </c>
      <c r="P215" s="13" t="s">
        <v>1302</v>
      </c>
      <c r="Q215" s="18">
        <v>1</v>
      </c>
      <c r="R215" s="18">
        <v>1</v>
      </c>
      <c r="S215" s="13">
        <v>8828132633</v>
      </c>
      <c r="T215" s="13" t="s">
        <v>951</v>
      </c>
      <c r="U215" s="19">
        <v>28881900</v>
      </c>
      <c r="V215" s="18">
        <v>1</v>
      </c>
      <c r="W215" s="18">
        <f>_xlfn.XLOOKUP(J215,'Master Data 14-9-2026'!C:C,'Master Data 14-9-2026'!L:L)</f>
        <v>1</v>
      </c>
      <c r="X215" s="23">
        <v>28881900</v>
      </c>
      <c r="Y215" s="13" t="s">
        <v>1303</v>
      </c>
      <c r="Z215" s="24" t="str">
        <f>_xlfn.XLOOKUP(J215,'Master Data 14-9-2026'!C:C,'Master Data 14-9-2026'!I:I)</f>
        <v>Ended</v>
      </c>
      <c r="AA215" s="4" t="s">
        <v>928</v>
      </c>
      <c r="AB215" s="4" t="s">
        <v>1010</v>
      </c>
      <c r="AC215" s="4"/>
      <c r="AD215" s="13"/>
      <c r="AE215" s="13" t="str">
        <f>_xlfn.XLOOKUP(L215,'[1]ID PROJECT'!E:E,'[1]ID PROJECT'!F:F)</f>
        <v xml:space="preserve">PRJ-KUT-KPU-TPED-2026-04-00071 </v>
      </c>
      <c r="AF215" s="13"/>
      <c r="AG215" s="13"/>
      <c r="AH215" s="65"/>
      <c r="AI215" s="27"/>
    </row>
    <row r="216" spans="1:35" hidden="1">
      <c r="A216" s="13" t="s">
        <v>248</v>
      </c>
      <c r="B216" s="13" t="str">
        <f>_xlfn.XLOOKUP(J216,'Master Data 14-9-2026'!C:C,'Master Data 14-9-2026'!D:D)</f>
        <v>Afriana Marisha D wx1525710</v>
      </c>
      <c r="C216" s="13"/>
      <c r="D216" s="13" t="str">
        <f>_xlfn.XLOOKUP(J216,'Master Data 14-9-2026'!C:C,'Master Data 14-9-2026'!E:E)</f>
        <v>TELKOM</v>
      </c>
      <c r="E216" s="13"/>
      <c r="F216" s="13"/>
      <c r="G216" s="13" t="s">
        <v>22</v>
      </c>
      <c r="H216" s="13" t="str">
        <f>_xlfn.XLOOKUP(J216,'Master Data 14-9-2026'!C:C,'Master Data 14-9-2026'!H:H)</f>
        <v>2026-08-04 - 2026-09-03</v>
      </c>
      <c r="I216" s="13" t="str">
        <f t="shared" si="3"/>
        <v>August</v>
      </c>
      <c r="J216" s="13" t="s">
        <v>1304</v>
      </c>
      <c r="K216" s="16" t="s">
        <v>1304</v>
      </c>
      <c r="L216" s="13" t="s">
        <v>441</v>
      </c>
      <c r="M216" s="15">
        <v>200003144811020</v>
      </c>
      <c r="N216" s="13" t="s">
        <v>924</v>
      </c>
      <c r="O216" s="13">
        <v>1.09120260610004E+17</v>
      </c>
      <c r="P216" s="13" t="s">
        <v>1305</v>
      </c>
      <c r="Q216" s="18">
        <v>1</v>
      </c>
      <c r="R216" s="18">
        <v>1</v>
      </c>
      <c r="S216" s="13">
        <v>8828132633</v>
      </c>
      <c r="T216" s="13" t="s">
        <v>951</v>
      </c>
      <c r="U216" s="19">
        <v>28881900</v>
      </c>
      <c r="V216" s="18">
        <v>1</v>
      </c>
      <c r="W216" s="18">
        <f>_xlfn.XLOOKUP(J216,'Master Data 14-9-2026'!C:C,'Master Data 14-9-2026'!L:L)</f>
        <v>1</v>
      </c>
      <c r="X216" s="23">
        <v>28881900</v>
      </c>
      <c r="Y216" s="13" t="s">
        <v>1303</v>
      </c>
      <c r="Z216" s="24" t="str">
        <f>_xlfn.XLOOKUP(J216,'Master Data 14-9-2026'!C:C,'Master Data 14-9-2026'!I:I)</f>
        <v>Ended</v>
      </c>
      <c r="AA216" s="39" t="s">
        <v>928</v>
      </c>
      <c r="AB216" s="40" t="s">
        <v>1010</v>
      </c>
      <c r="AC216" s="4"/>
      <c r="AD216" s="13"/>
      <c r="AE216" s="13" t="str">
        <f>_xlfn.XLOOKUP(L216,'[1]ID PROJECT'!E:E,'[1]ID PROJECT'!F:F)</f>
        <v xml:space="preserve">PRJ-KUT-KPU-TPED-2026-04-00071 </v>
      </c>
      <c r="AF216" s="13"/>
      <c r="AG216" s="13"/>
      <c r="AH216" s="65"/>
      <c r="AI216" s="27"/>
    </row>
    <row r="217" spans="1:35" hidden="1">
      <c r="A217" s="13" t="s">
        <v>248</v>
      </c>
      <c r="B217" s="13" t="str">
        <f>_xlfn.XLOOKUP(J217,'Master Data 14-9-2026'!C:C,'Master Data 14-9-2026'!D:D)</f>
        <v>Afriana Marisha D wx1525710</v>
      </c>
      <c r="C217" s="13"/>
      <c r="D217" s="13" t="str">
        <f>_xlfn.XLOOKUP(J217,'Master Data 14-9-2026'!C:C,'Master Data 14-9-2026'!E:E)</f>
        <v>TELKOM</v>
      </c>
      <c r="E217" s="13"/>
      <c r="F217" s="13"/>
      <c r="G217" s="13" t="s">
        <v>18</v>
      </c>
      <c r="H217" s="13" t="str">
        <f>_xlfn.XLOOKUP(J217,'Master Data 14-9-2026'!C:C,'Master Data 14-9-2026'!H:H)</f>
        <v>2026-07-04 - 2026-08-03</v>
      </c>
      <c r="I217" s="13" t="str">
        <f t="shared" si="3"/>
        <v>July</v>
      </c>
      <c r="J217" s="13" t="s">
        <v>1306</v>
      </c>
      <c r="K217" s="16" t="s">
        <v>1306</v>
      </c>
      <c r="L217" s="40" t="s">
        <v>441</v>
      </c>
      <c r="M217" s="15">
        <v>200003148371020</v>
      </c>
      <c r="N217" s="13" t="s">
        <v>924</v>
      </c>
      <c r="O217" s="13">
        <v>1.09120260610004E+17</v>
      </c>
      <c r="P217" s="13" t="s">
        <v>1307</v>
      </c>
      <c r="Q217" s="18">
        <v>1</v>
      </c>
      <c r="R217" s="18">
        <v>1</v>
      </c>
      <c r="S217" s="13">
        <v>8828132633</v>
      </c>
      <c r="T217" s="13" t="s">
        <v>951</v>
      </c>
      <c r="U217" s="19">
        <v>28881900</v>
      </c>
      <c r="V217" s="18">
        <v>1</v>
      </c>
      <c r="W217" s="18">
        <f>_xlfn.XLOOKUP(J217,'Master Data 14-9-2026'!C:C,'Master Data 14-9-2026'!L:L)</f>
        <v>1</v>
      </c>
      <c r="X217" s="23">
        <v>28881900</v>
      </c>
      <c r="Y217" s="13" t="s">
        <v>1303</v>
      </c>
      <c r="Z217" s="24" t="str">
        <f>_xlfn.XLOOKUP(J217,'Master Data 14-9-2026'!C:C,'Master Data 14-9-2026'!I:I)</f>
        <v>Ended</v>
      </c>
      <c r="AA217" s="4" t="s">
        <v>928</v>
      </c>
      <c r="AB217" s="4" t="s">
        <v>1010</v>
      </c>
      <c r="AC217" s="4"/>
      <c r="AD217" s="13"/>
      <c r="AE217" s="13" t="str">
        <f>_xlfn.XLOOKUP(L217,'[1]ID PROJECT'!E:E,'[1]ID PROJECT'!F:F)</f>
        <v xml:space="preserve">PRJ-KUT-KPU-TPED-2026-04-00071 </v>
      </c>
      <c r="AF217" s="13"/>
      <c r="AG217" s="13"/>
      <c r="AH217" s="65"/>
      <c r="AI217" s="27"/>
    </row>
    <row r="218" spans="1:35" hidden="1">
      <c r="A218" s="13" t="s">
        <v>377</v>
      </c>
      <c r="B218" s="13" t="str">
        <f>_xlfn.XLOOKUP(J218,'Master Data 14-9-2026'!C:C,'Master Data 14-9-2026'!D:D)</f>
        <v>Youlanda wx1506944</v>
      </c>
      <c r="C218" s="13"/>
      <c r="D218" s="13" t="str">
        <f>_xlfn.XLOOKUP(J218,'Master Data 14-9-2026'!C:C,'Master Data 14-9-2026'!E:E)</f>
        <v>TELKOM</v>
      </c>
      <c r="E218" s="13"/>
      <c r="F218" s="13"/>
      <c r="G218" s="13" t="s">
        <v>18</v>
      </c>
      <c r="H218" s="13" t="str">
        <f>_xlfn.XLOOKUP(J218,'Master Data 14-9-2026'!C:C,'Master Data 14-9-2026'!H:H)</f>
        <v>2026-05-01 - 2026-05-31</v>
      </c>
      <c r="I218" s="13" t="str">
        <f t="shared" si="3"/>
        <v>May</v>
      </c>
      <c r="J218" s="13" t="s">
        <v>1308</v>
      </c>
      <c r="K218" s="13" t="s">
        <v>1308</v>
      </c>
      <c r="L218" s="13" t="s">
        <v>441</v>
      </c>
      <c r="M218" s="15">
        <v>200003144008020</v>
      </c>
      <c r="N218" s="13" t="s">
        <v>924</v>
      </c>
      <c r="O218" s="13">
        <v>1.09120260612002E+17</v>
      </c>
      <c r="P218" s="13" t="s">
        <v>1309</v>
      </c>
      <c r="Q218" s="18">
        <v>1</v>
      </c>
      <c r="R218" s="18">
        <v>1</v>
      </c>
      <c r="S218" s="13">
        <v>8828132633</v>
      </c>
      <c r="T218" s="13" t="s">
        <v>951</v>
      </c>
      <c r="U218" s="19">
        <v>28881900</v>
      </c>
      <c r="V218" s="18">
        <v>1</v>
      </c>
      <c r="W218" s="18">
        <f>_xlfn.XLOOKUP(J218,'Master Data 14-9-2026'!C:C,'Master Data 14-9-2026'!L:L)</f>
        <v>0</v>
      </c>
      <c r="X218" s="23">
        <v>28881900</v>
      </c>
      <c r="Y218" s="13" t="s">
        <v>1310</v>
      </c>
      <c r="Z218" s="24" t="s">
        <v>15</v>
      </c>
      <c r="AA218" s="4" t="s">
        <v>934</v>
      </c>
      <c r="AB218" s="13"/>
      <c r="AC218" s="4"/>
      <c r="AD218" s="13" t="s">
        <v>935</v>
      </c>
      <c r="AE218" s="13" t="str">
        <f>_xlfn.XLOOKUP(L218,'[1]ID PROJECT'!E:E,'[1]ID PROJECT'!F:F)</f>
        <v xml:space="preserve">PRJ-KUT-KPU-TPED-2026-04-00071 </v>
      </c>
      <c r="AF218" s="4" t="s">
        <v>1311</v>
      </c>
      <c r="AG218" s="13" t="s">
        <v>1312</v>
      </c>
      <c r="AH218" s="65">
        <v>46265</v>
      </c>
      <c r="AI218" s="41" t="s">
        <v>1175</v>
      </c>
    </row>
    <row r="219" spans="1:35" hidden="1">
      <c r="A219" s="13" t="s">
        <v>377</v>
      </c>
      <c r="B219" s="13" t="str">
        <f>_xlfn.XLOOKUP(J219,'Master Data 14-9-2026'!C:C,'Master Data 14-9-2026'!D:D)</f>
        <v>Youlanda wx1506944</v>
      </c>
      <c r="C219" s="13"/>
      <c r="D219" s="13" t="str">
        <f>_xlfn.XLOOKUP(J219,'Master Data 14-9-2026'!C:C,'Master Data 14-9-2026'!E:E)</f>
        <v>TELKOM</v>
      </c>
      <c r="E219" s="13"/>
      <c r="F219" s="13"/>
      <c r="G219" s="13" t="s">
        <v>22</v>
      </c>
      <c r="H219" s="13" t="str">
        <f>_xlfn.XLOOKUP(J219,'Master Data 14-9-2026'!C:C,'Master Data 14-9-2026'!H:H)</f>
        <v>2026-06-01 - 2026-06-30</v>
      </c>
      <c r="I219" s="13" t="str">
        <f t="shared" si="3"/>
        <v>June</v>
      </c>
      <c r="J219" s="13" t="s">
        <v>1313</v>
      </c>
      <c r="K219" s="13" t="s">
        <v>1313</v>
      </c>
      <c r="L219" s="13" t="s">
        <v>441</v>
      </c>
      <c r="M219" s="15">
        <v>200003144805020</v>
      </c>
      <c r="N219" s="13" t="s">
        <v>924</v>
      </c>
      <c r="O219" s="13">
        <v>1.0912026061200301E+17</v>
      </c>
      <c r="P219" s="13" t="s">
        <v>1314</v>
      </c>
      <c r="Q219" s="18">
        <v>1</v>
      </c>
      <c r="R219" s="18">
        <v>1</v>
      </c>
      <c r="S219" s="13">
        <v>8828132633</v>
      </c>
      <c r="T219" s="13" t="s">
        <v>951</v>
      </c>
      <c r="U219" s="19">
        <v>28881900</v>
      </c>
      <c r="V219" s="18">
        <v>1</v>
      </c>
      <c r="W219" s="18">
        <f>_xlfn.XLOOKUP(J219,'Master Data 14-9-2026'!C:C,'Master Data 14-9-2026'!L:L)</f>
        <v>1</v>
      </c>
      <c r="X219" s="23">
        <v>28881900</v>
      </c>
      <c r="Y219" s="13" t="s">
        <v>1310</v>
      </c>
      <c r="Z219" s="24" t="str">
        <f>_xlfn.XLOOKUP(J219,'Master Data 14-9-2026'!C:C,'Master Data 14-9-2026'!I:I)</f>
        <v>Ended</v>
      </c>
      <c r="AA219" s="4" t="s">
        <v>934</v>
      </c>
      <c r="AC219" s="4"/>
      <c r="AD219" s="13" t="s">
        <v>935</v>
      </c>
      <c r="AE219" s="13" t="str">
        <f>_xlfn.XLOOKUP(L219,'[1]ID PROJECT'!E:E,'[1]ID PROJECT'!F:F)</f>
        <v xml:space="preserve">PRJ-KUT-KPU-TPED-2026-04-00071 </v>
      </c>
      <c r="AF219" s="4" t="s">
        <v>1315</v>
      </c>
      <c r="AG219" s="13" t="s">
        <v>1316</v>
      </c>
      <c r="AH219" s="65">
        <v>46265</v>
      </c>
      <c r="AI219" s="27" t="s">
        <v>1095</v>
      </c>
    </row>
    <row r="220" spans="1:35" hidden="1">
      <c r="A220" s="13" t="s">
        <v>266</v>
      </c>
      <c r="B220" s="13" t="str">
        <f>_xlfn.XLOOKUP(J220,'Master Data 14-9-2026'!C:C,'Master Data 14-9-2026'!D:D)</f>
        <v>AINUNAYA MIMA RAHMAN wx1526103</v>
      </c>
      <c r="C220" s="13"/>
      <c r="D220" s="13" t="str">
        <f>_xlfn.XLOOKUP(J220,'Master Data 14-9-2026'!C:C,'Master Data 14-9-2026'!E:E)</f>
        <v>TELKOM</v>
      </c>
      <c r="E220" s="13"/>
      <c r="F220" s="13"/>
      <c r="G220" s="13" t="s">
        <v>18</v>
      </c>
      <c r="H220" s="13" t="str">
        <f>_xlfn.XLOOKUP(J220,'Master Data 14-9-2026'!C:C,'Master Data 14-9-2026'!H:H)</f>
        <v>2026-07-05 - 2026-08-04</v>
      </c>
      <c r="I220" s="13" t="str">
        <f t="shared" si="3"/>
        <v>July</v>
      </c>
      <c r="J220" s="13" t="s">
        <v>1317</v>
      </c>
      <c r="K220" s="16" t="s">
        <v>1317</v>
      </c>
      <c r="L220" s="40" t="s">
        <v>441</v>
      </c>
      <c r="M220" s="15">
        <v>200003147733020</v>
      </c>
      <c r="N220" s="13" t="s">
        <v>924</v>
      </c>
      <c r="O220" s="13">
        <v>1.09120260612002E+17</v>
      </c>
      <c r="P220" s="13" t="s">
        <v>1318</v>
      </c>
      <c r="Q220" s="18">
        <v>1</v>
      </c>
      <c r="R220" s="18">
        <v>1</v>
      </c>
      <c r="S220" s="13">
        <v>8828132633</v>
      </c>
      <c r="T220" s="13" t="s">
        <v>951</v>
      </c>
      <c r="U220" s="19">
        <v>28881900</v>
      </c>
      <c r="V220" s="18">
        <v>1</v>
      </c>
      <c r="W220" s="18">
        <f>_xlfn.XLOOKUP(J220,'Master Data 14-9-2026'!C:C,'Master Data 14-9-2026'!L:L)</f>
        <v>1</v>
      </c>
      <c r="X220" s="23">
        <v>28881900</v>
      </c>
      <c r="Y220" s="13" t="s">
        <v>1310</v>
      </c>
      <c r="Z220" s="24" t="str">
        <f>_xlfn.XLOOKUP(J220,'Master Data 14-9-2026'!C:C,'Master Data 14-9-2026'!I:I)</f>
        <v>Ended</v>
      </c>
      <c r="AA220" s="4" t="s">
        <v>928</v>
      </c>
      <c r="AB220" s="4" t="s">
        <v>1010</v>
      </c>
      <c r="AC220" s="4"/>
      <c r="AD220" s="13"/>
      <c r="AE220" s="13" t="str">
        <f>_xlfn.XLOOKUP(L220,'[1]ID PROJECT'!E:E,'[1]ID PROJECT'!F:F)</f>
        <v xml:space="preserve">PRJ-KUT-KPU-TPED-2026-04-00071 </v>
      </c>
      <c r="AF220" s="13"/>
      <c r="AG220" s="13"/>
      <c r="AH220" s="65"/>
      <c r="AI220" s="27"/>
    </row>
    <row r="221" spans="1:35" hidden="1">
      <c r="A221" s="13" t="s">
        <v>266</v>
      </c>
      <c r="B221" s="13" t="str">
        <f>_xlfn.XLOOKUP(J221,'Master Data 14-9-2026'!C:C,'Master Data 14-9-2026'!D:D)</f>
        <v>AINUNAYA MIMA RAHMAN wx1526103</v>
      </c>
      <c r="C221" s="13"/>
      <c r="D221" s="13" t="str">
        <f>_xlfn.XLOOKUP(J221,'Master Data 14-9-2026'!C:C,'Master Data 14-9-2026'!E:E)</f>
        <v>TELKOM</v>
      </c>
      <c r="E221" s="13"/>
      <c r="F221" s="13"/>
      <c r="G221" s="13" t="s">
        <v>13</v>
      </c>
      <c r="H221" s="13" t="str">
        <f>_xlfn.XLOOKUP(J221,'Master Data 14-9-2026'!C:C,'Master Data 14-9-2026'!H:H)</f>
        <v>2026-06-05 - 2026-07-04</v>
      </c>
      <c r="I221" s="13" t="str">
        <f t="shared" si="3"/>
        <v>June</v>
      </c>
      <c r="J221" s="13" t="s">
        <v>1319</v>
      </c>
      <c r="K221" s="16" t="s">
        <v>1319</v>
      </c>
      <c r="L221" s="13" t="s">
        <v>441</v>
      </c>
      <c r="M221" s="15">
        <v>200003147732020</v>
      </c>
      <c r="N221" s="13" t="s">
        <v>924</v>
      </c>
      <c r="O221" s="13">
        <v>1.09120260612002E+17</v>
      </c>
      <c r="P221" s="13" t="s">
        <v>1320</v>
      </c>
      <c r="Q221" s="18">
        <v>1</v>
      </c>
      <c r="R221" s="18">
        <v>1</v>
      </c>
      <c r="S221" s="13">
        <v>8828132633</v>
      </c>
      <c r="T221" s="13" t="s">
        <v>951</v>
      </c>
      <c r="U221" s="19">
        <v>28881900</v>
      </c>
      <c r="V221" s="18">
        <v>1</v>
      </c>
      <c r="W221" s="18">
        <f>_xlfn.XLOOKUP(J221,'Master Data 14-9-2026'!C:C,'Master Data 14-9-2026'!L:L)</f>
        <v>1</v>
      </c>
      <c r="X221" s="23">
        <v>28881900</v>
      </c>
      <c r="Y221" s="13" t="s">
        <v>1310</v>
      </c>
      <c r="Z221" s="24" t="str">
        <f>_xlfn.XLOOKUP(J221,'Master Data 14-9-2026'!C:C,'Master Data 14-9-2026'!I:I)</f>
        <v>Ended</v>
      </c>
      <c r="AA221" s="4" t="s">
        <v>928</v>
      </c>
      <c r="AB221" s="4" t="s">
        <v>1010</v>
      </c>
      <c r="AC221" s="4"/>
      <c r="AD221" s="13"/>
      <c r="AE221" s="13" t="str">
        <f>_xlfn.XLOOKUP(L221,'[1]ID PROJECT'!E:E,'[1]ID PROJECT'!F:F)</f>
        <v xml:space="preserve">PRJ-KUT-KPU-TPED-2026-04-00071 </v>
      </c>
      <c r="AF221" s="13"/>
      <c r="AG221" s="13"/>
      <c r="AH221" s="65"/>
      <c r="AI221" s="27"/>
    </row>
    <row r="222" spans="1:35">
      <c r="A222" s="13" t="s">
        <v>266</v>
      </c>
      <c r="B222" s="13" t="str">
        <f>_xlfn.XLOOKUP(J222,'Master Data 14-9-2026'!C:C,'Master Data 14-9-2026'!D:D)</f>
        <v>AINUNAYA MIMA RAHMAN wx1526103</v>
      </c>
      <c r="C222" s="13"/>
      <c r="D222" s="13" t="str">
        <f>_xlfn.XLOOKUP(J222,'Master Data 14-9-2026'!C:C,'Master Data 14-9-2026'!E:E)</f>
        <v>TELKOM</v>
      </c>
      <c r="E222" s="13"/>
      <c r="F222" s="13"/>
      <c r="G222" s="13" t="s">
        <v>22</v>
      </c>
      <c r="H222" s="13" t="str">
        <f>_xlfn.XLOOKUP(J222,'Master Data 14-9-2026'!C:C,'Master Data 14-9-2026'!H:H)</f>
        <v>2026-08-05 - 2026-09-04</v>
      </c>
      <c r="I222" s="13" t="str">
        <f t="shared" si="3"/>
        <v>August</v>
      </c>
      <c r="J222" s="13" t="s">
        <v>1321</v>
      </c>
      <c r="K222" s="13" t="s">
        <v>1321</v>
      </c>
      <c r="L222" s="13" t="s">
        <v>441</v>
      </c>
      <c r="M222" s="15">
        <v>200003147734020</v>
      </c>
      <c r="N222" s="13" t="s">
        <v>924</v>
      </c>
      <c r="O222" s="13">
        <v>1.0912026061200301E+17</v>
      </c>
      <c r="P222" s="13" t="s">
        <v>1322</v>
      </c>
      <c r="Q222" s="18">
        <v>1</v>
      </c>
      <c r="R222" s="18">
        <v>1</v>
      </c>
      <c r="S222" s="13">
        <v>8828132633</v>
      </c>
      <c r="T222" s="13" t="s">
        <v>951</v>
      </c>
      <c r="U222" s="19">
        <v>28881900</v>
      </c>
      <c r="V222" s="18">
        <v>1</v>
      </c>
      <c r="W222" s="18">
        <f>_xlfn.XLOOKUP(J222,'Master Data 14-9-2026'!C:C,'Master Data 14-9-2026'!L:L)</f>
        <v>1</v>
      </c>
      <c r="X222" s="23">
        <v>28881900</v>
      </c>
      <c r="Y222" s="13" t="s">
        <v>1310</v>
      </c>
      <c r="Z222" s="24" t="str">
        <f>_xlfn.XLOOKUP(J222,'Master Data 14-9-2026'!C:C,'Master Data 14-9-2026'!I:I)</f>
        <v>Ended</v>
      </c>
      <c r="AA222" s="39" t="s">
        <v>934</v>
      </c>
      <c r="AB222" s="13"/>
      <c r="AC222" s="4"/>
      <c r="AD222" s="40" t="s">
        <v>935</v>
      </c>
      <c r="AE222" s="13" t="str">
        <f>_xlfn.XLOOKUP(L222,'[1]ID PROJECT'!E:E,'[1]ID PROJECT'!F:F)</f>
        <v xml:space="preserve">PRJ-KUT-KPU-TPED-2026-04-00071 </v>
      </c>
      <c r="AF222" s="50" t="s">
        <v>4158</v>
      </c>
      <c r="AG222" s="40" t="s">
        <v>4190</v>
      </c>
      <c r="AH222" s="64">
        <v>46281</v>
      </c>
      <c r="AI222" s="51" t="s">
        <v>967</v>
      </c>
    </row>
    <row r="223" spans="1:35" hidden="1">
      <c r="A223" s="13" t="s">
        <v>744</v>
      </c>
      <c r="B223" s="13" t="str">
        <f>_xlfn.XLOOKUP(J223,'Master Data 14-9-2026'!C:C,'Master Data 14-9-2026'!D:D)</f>
        <v>Vina Putri Saffanah wx1503974</v>
      </c>
      <c r="C223" s="13"/>
      <c r="D223" s="13" t="str">
        <f>_xlfn.XLOOKUP(J223,'Master Data 14-9-2026'!C:C,'Master Data 14-9-2026'!E:E)</f>
        <v>TELKOMSEL</v>
      </c>
      <c r="E223" s="13"/>
      <c r="F223" s="13"/>
      <c r="G223" s="13" t="s">
        <v>18</v>
      </c>
      <c r="H223" s="13" t="str">
        <f>_xlfn.XLOOKUP(J223,'Master Data 14-9-2026'!C:C,'Master Data 14-9-2026'!H:H)</f>
        <v>2026-04-30 - 2026-05-30</v>
      </c>
      <c r="I223" s="13" t="str">
        <f t="shared" si="3"/>
        <v>April</v>
      </c>
      <c r="J223" s="13" t="s">
        <v>1323</v>
      </c>
      <c r="K223" s="13" t="s">
        <v>1323</v>
      </c>
      <c r="L223" s="13" t="s">
        <v>441</v>
      </c>
      <c r="M223" s="15">
        <v>200003133414020</v>
      </c>
      <c r="N223" s="13" t="s">
        <v>924</v>
      </c>
      <c r="O223" s="13">
        <v>1.0912026061800301E+17</v>
      </c>
      <c r="P223" s="13" t="s">
        <v>1324</v>
      </c>
      <c r="Q223" s="18">
        <v>1</v>
      </c>
      <c r="R223" s="18">
        <v>1</v>
      </c>
      <c r="S223" s="13">
        <v>8828132635</v>
      </c>
      <c r="T223" s="13" t="s">
        <v>926</v>
      </c>
      <c r="U223" s="19">
        <v>34220600</v>
      </c>
      <c r="V223" s="18">
        <v>1</v>
      </c>
      <c r="W223" s="18">
        <f>_xlfn.XLOOKUP(J223,'Master Data 14-9-2026'!C:C,'Master Data 14-9-2026'!L:L)</f>
        <v>1</v>
      </c>
      <c r="X223" s="23">
        <v>34220600</v>
      </c>
      <c r="Y223" s="13" t="s">
        <v>1325</v>
      </c>
      <c r="Z223" s="24" t="str">
        <f>_xlfn.XLOOKUP(J223,'Master Data 14-9-2026'!C:C,'Master Data 14-9-2026'!I:I)</f>
        <v>Ended</v>
      </c>
      <c r="AA223" s="13" t="s">
        <v>934</v>
      </c>
      <c r="AB223" s="13"/>
      <c r="AC223" s="13"/>
      <c r="AD223" s="13" t="s">
        <v>935</v>
      </c>
      <c r="AE223" s="13" t="str">
        <f>_xlfn.XLOOKUP(L223,'[1]ID PROJECT'!E:E,'[1]ID PROJECT'!F:F)</f>
        <v xml:space="preserve">PRJ-KUT-KPU-TPED-2026-04-00071 </v>
      </c>
      <c r="AF223" s="4" t="s">
        <v>1326</v>
      </c>
      <c r="AG223" s="13" t="s">
        <v>1327</v>
      </c>
      <c r="AH223" s="65">
        <v>46221</v>
      </c>
      <c r="AI223" s="27" t="s">
        <v>938</v>
      </c>
    </row>
    <row r="224" spans="1:35" hidden="1">
      <c r="A224" s="13" t="s">
        <v>162</v>
      </c>
      <c r="B224" s="13" t="str">
        <f>_xlfn.XLOOKUP(J224,'Master Data 14-9-2026'!C:C,'Master Data 14-9-2026'!D:D)</f>
        <v>Mona Margaretha Tobing wx1507282</v>
      </c>
      <c r="C224" s="13"/>
      <c r="D224" s="13" t="str">
        <f>_xlfn.XLOOKUP(J224,'Master Data 14-9-2026'!C:C,'Master Data 14-9-2026'!E:E)</f>
        <v>TELKOMSEL</v>
      </c>
      <c r="E224" s="13"/>
      <c r="F224" s="13"/>
      <c r="G224" s="13" t="s">
        <v>18</v>
      </c>
      <c r="H224" s="13" t="str">
        <f>_xlfn.XLOOKUP(J224,'Master Data 14-9-2026'!C:C,'Master Data 14-9-2026'!H:H)</f>
        <v>2026-05-01 - 2026-05-31</v>
      </c>
      <c r="I224" s="13" t="str">
        <f t="shared" si="3"/>
        <v>May</v>
      </c>
      <c r="J224" s="13" t="s">
        <v>1328</v>
      </c>
      <c r="K224" s="13" t="s">
        <v>1328</v>
      </c>
      <c r="L224" s="13" t="s">
        <v>441</v>
      </c>
      <c r="M224" s="15">
        <v>200003133412020</v>
      </c>
      <c r="N224" s="13" t="s">
        <v>924</v>
      </c>
      <c r="O224" s="13">
        <v>1.0912026061800301E+17</v>
      </c>
      <c r="P224" s="13" t="s">
        <v>1329</v>
      </c>
      <c r="Q224" s="18">
        <v>1</v>
      </c>
      <c r="R224" s="18">
        <v>1</v>
      </c>
      <c r="S224" s="13">
        <v>8828132633</v>
      </c>
      <c r="T224" s="13" t="s">
        <v>951</v>
      </c>
      <c r="U224" s="19">
        <v>28881900</v>
      </c>
      <c r="V224" s="18">
        <v>1</v>
      </c>
      <c r="W224" s="18">
        <f>_xlfn.XLOOKUP(J224,'Master Data 14-9-2026'!C:C,'Master Data 14-9-2026'!L:L)</f>
        <v>1.5</v>
      </c>
      <c r="X224" s="23">
        <v>28881900</v>
      </c>
      <c r="Y224" s="13" t="s">
        <v>1325</v>
      </c>
      <c r="Z224" s="24" t="s">
        <v>15</v>
      </c>
      <c r="AA224" s="13" t="s">
        <v>934</v>
      </c>
      <c r="AB224" s="13"/>
      <c r="AC224" s="13"/>
      <c r="AD224" s="13" t="s">
        <v>935</v>
      </c>
      <c r="AE224" s="13" t="str">
        <f>_xlfn.XLOOKUP(L224,'[1]ID PROJECT'!E:E,'[1]ID PROJECT'!F:F)</f>
        <v xml:space="preserve">PRJ-KUT-KPU-TPED-2026-04-00071 </v>
      </c>
      <c r="AF224" s="4" t="s">
        <v>1330</v>
      </c>
      <c r="AG224" s="13" t="s">
        <v>1331</v>
      </c>
      <c r="AH224" s="65">
        <v>46221</v>
      </c>
      <c r="AI224" s="27" t="s">
        <v>938</v>
      </c>
    </row>
    <row r="225" spans="1:35" hidden="1">
      <c r="A225" s="13" t="s">
        <v>1066</v>
      </c>
      <c r="B225" s="13" t="e">
        <f>_xlfn.XLOOKUP(J225,'Master Data 14-9-2026'!C:C,'Master Data 14-9-2026'!D:D)</f>
        <v>#N/A</v>
      </c>
      <c r="C225" s="13"/>
      <c r="D225" s="13" t="e">
        <f>_xlfn.XLOOKUP(J225,'Master Data 14-9-2026'!C:C,'Master Data 14-9-2026'!E:E)</f>
        <v>#N/A</v>
      </c>
      <c r="E225" s="13" t="s">
        <v>1068</v>
      </c>
      <c r="F225" s="13"/>
      <c r="G225" s="13" t="s">
        <v>18</v>
      </c>
      <c r="H225" s="13" t="e">
        <f>_xlfn.XLOOKUP(J225,'Master Data 14-9-2026'!C:C,'Master Data 14-9-2026'!H:H)</f>
        <v>#N/A</v>
      </c>
      <c r="I225" s="13" t="e">
        <f t="shared" si="3"/>
        <v>#N/A</v>
      </c>
      <c r="J225" s="13" t="s">
        <v>1332</v>
      </c>
      <c r="K225" s="13" t="s">
        <v>1332</v>
      </c>
      <c r="L225" s="13" t="s">
        <v>441</v>
      </c>
      <c r="M225" s="15">
        <v>200003133423020</v>
      </c>
      <c r="N225" s="13" t="s">
        <v>924</v>
      </c>
      <c r="O225" s="13">
        <v>1.0912026061800301E+17</v>
      </c>
      <c r="P225" s="13" t="s">
        <v>1333</v>
      </c>
      <c r="Q225" s="18">
        <v>1</v>
      </c>
      <c r="R225" s="18">
        <v>1</v>
      </c>
      <c r="S225" s="13">
        <v>8828132634</v>
      </c>
      <c r="T225" s="13" t="s">
        <v>978</v>
      </c>
      <c r="U225" s="19">
        <v>32542400</v>
      </c>
      <c r="V225" s="18">
        <v>1</v>
      </c>
      <c r="W225" s="18" t="e">
        <f>_xlfn.XLOOKUP(J225,'Master Data 14-9-2026'!C:C,'Master Data 14-9-2026'!L:L)</f>
        <v>#N/A</v>
      </c>
      <c r="X225" s="23">
        <v>32542400</v>
      </c>
      <c r="Y225" s="13" t="s">
        <v>1325</v>
      </c>
      <c r="Z225" s="24" t="s">
        <v>984</v>
      </c>
      <c r="AA225" s="39" t="s">
        <v>928</v>
      </c>
      <c r="AB225" s="40" t="s">
        <v>4157</v>
      </c>
      <c r="AC225" s="13" t="s">
        <v>965</v>
      </c>
      <c r="AD225" s="13"/>
      <c r="AE225" s="13" t="str">
        <f>_xlfn.XLOOKUP(L225,'[1]ID PROJECT'!E:E,'[1]ID PROJECT'!F:F)</f>
        <v xml:space="preserve">PRJ-KUT-KPU-TPED-2026-04-00071 </v>
      </c>
      <c r="AF225" s="13"/>
      <c r="AG225" s="13"/>
      <c r="AH225" s="65"/>
      <c r="AI225" s="27"/>
    </row>
    <row r="226" spans="1:35" hidden="1">
      <c r="A226" s="13" t="s">
        <v>162</v>
      </c>
      <c r="B226" s="13" t="str">
        <f>_xlfn.XLOOKUP(J226,'Master Data 14-9-2026'!C:C,'Master Data 14-9-2026'!D:D)</f>
        <v>Mona Margaretha Tobing wx1507282</v>
      </c>
      <c r="C226" s="13"/>
      <c r="D226" s="13" t="str">
        <f>_xlfn.XLOOKUP(J226,'Master Data 14-9-2026'!C:C,'Master Data 14-9-2026'!E:E)</f>
        <v>TELKOMSEL</v>
      </c>
      <c r="E226" s="13"/>
      <c r="F226" s="13"/>
      <c r="G226" s="13" t="s">
        <v>22</v>
      </c>
      <c r="H226" s="13" t="str">
        <f>_xlfn.XLOOKUP(J226,'Master Data 14-9-2026'!C:C,'Master Data 14-9-2026'!H:H)</f>
        <v>2026-06-01 - 2026-06-30</v>
      </c>
      <c r="I226" s="13" t="str">
        <f t="shared" si="3"/>
        <v>June</v>
      </c>
      <c r="J226" s="13" t="s">
        <v>1334</v>
      </c>
      <c r="K226" s="13" t="s">
        <v>1334</v>
      </c>
      <c r="L226" s="13" t="s">
        <v>441</v>
      </c>
      <c r="M226" s="15">
        <v>200003133431020</v>
      </c>
      <c r="N226" s="13" t="s">
        <v>924</v>
      </c>
      <c r="O226" s="13">
        <v>1.0912026061800301E+17</v>
      </c>
      <c r="P226" s="13" t="s">
        <v>1335</v>
      </c>
      <c r="Q226" s="18">
        <v>1</v>
      </c>
      <c r="R226" s="18">
        <v>1</v>
      </c>
      <c r="S226" s="13">
        <v>8828132633</v>
      </c>
      <c r="T226" s="13" t="s">
        <v>951</v>
      </c>
      <c r="U226" s="19">
        <v>28881900</v>
      </c>
      <c r="V226" s="18">
        <v>1</v>
      </c>
      <c r="W226" s="18">
        <f>_xlfn.XLOOKUP(J226,'Master Data 14-9-2026'!C:C,'Master Data 14-9-2026'!L:L)</f>
        <v>1.5</v>
      </c>
      <c r="X226" s="23">
        <v>28881900</v>
      </c>
      <c r="Y226" s="13" t="s">
        <v>1325</v>
      </c>
      <c r="Z226" s="24" t="str">
        <f>_xlfn.XLOOKUP(J226,'Master Data 14-9-2026'!C:C,'Master Data 14-9-2026'!I:I)</f>
        <v>Ended</v>
      </c>
      <c r="AA226" s="13"/>
      <c r="AC226" s="4"/>
      <c r="AD226" s="13"/>
      <c r="AE226" s="13" t="str">
        <f>_xlfn.XLOOKUP(L226,'[1]ID PROJECT'!E:E,'[1]ID PROJECT'!F:F)</f>
        <v xml:space="preserve">PRJ-KUT-KPU-TPED-2026-04-00071 </v>
      </c>
      <c r="AF226" s="13"/>
      <c r="AG226" s="13"/>
      <c r="AH226" s="65"/>
      <c r="AI226" s="27"/>
    </row>
    <row r="227" spans="1:35" hidden="1">
      <c r="A227" s="13" t="s">
        <v>1066</v>
      </c>
      <c r="B227" s="13" t="e">
        <f>_xlfn.XLOOKUP(J227,'Master Data 14-9-2026'!C:C,'Master Data 14-9-2026'!D:D)</f>
        <v>#N/A</v>
      </c>
      <c r="C227" s="13"/>
      <c r="D227" s="13" t="e">
        <f>_xlfn.XLOOKUP(J227,'Master Data 14-9-2026'!C:C,'Master Data 14-9-2026'!E:E)</f>
        <v>#N/A</v>
      </c>
      <c r="E227" s="13"/>
      <c r="F227" s="13"/>
      <c r="G227" s="13" t="s">
        <v>22</v>
      </c>
      <c r="H227" s="13" t="e">
        <f>_xlfn.XLOOKUP(J227,'Master Data 14-9-2026'!C:C,'Master Data 14-9-2026'!H:H)</f>
        <v>#N/A</v>
      </c>
      <c r="I227" s="13" t="e">
        <f t="shared" si="3"/>
        <v>#N/A</v>
      </c>
      <c r="J227" s="13" t="s">
        <v>1336</v>
      </c>
      <c r="K227" s="13" t="s">
        <v>1336</v>
      </c>
      <c r="L227" s="13" t="s">
        <v>441</v>
      </c>
      <c r="M227" s="15">
        <v>200003133442020</v>
      </c>
      <c r="N227" s="13" t="s">
        <v>924</v>
      </c>
      <c r="O227" s="13">
        <v>1.0912026061800301E+17</v>
      </c>
      <c r="P227" s="13" t="s">
        <v>1337</v>
      </c>
      <c r="Q227" s="18">
        <v>1</v>
      </c>
      <c r="R227" s="18">
        <v>1</v>
      </c>
      <c r="S227" s="13">
        <v>8828132634</v>
      </c>
      <c r="T227" s="13" t="s">
        <v>978</v>
      </c>
      <c r="U227" s="19">
        <v>32542400</v>
      </c>
      <c r="V227" s="18">
        <v>1</v>
      </c>
      <c r="W227" s="18" t="e">
        <f>_xlfn.XLOOKUP(J227,'Master Data 14-9-2026'!C:C,'Master Data 14-9-2026'!L:L)</f>
        <v>#N/A</v>
      </c>
      <c r="X227" s="23">
        <v>32542400</v>
      </c>
      <c r="Y227" s="13" t="s">
        <v>1325</v>
      </c>
      <c r="Z227" s="24" t="s">
        <v>984</v>
      </c>
      <c r="AA227" s="13"/>
      <c r="AC227" s="4"/>
      <c r="AD227" s="13"/>
      <c r="AE227" s="13" t="str">
        <f>_xlfn.XLOOKUP(L227,'[1]ID PROJECT'!E:E,'[1]ID PROJECT'!F:F)</f>
        <v xml:space="preserve">PRJ-KUT-KPU-TPED-2026-04-00071 </v>
      </c>
      <c r="AF227" s="13"/>
      <c r="AG227" s="13"/>
      <c r="AH227" s="65"/>
      <c r="AI227" s="27"/>
    </row>
    <row r="228" spans="1:35" hidden="1">
      <c r="A228" s="13" t="s">
        <v>170</v>
      </c>
      <c r="B228" s="13" t="str">
        <f>_xlfn.XLOOKUP(J228,'Master Data 14-9-2026'!C:C,'Master Data 14-9-2026'!D:D)</f>
        <v>Yosephine Yudianto wx1503656</v>
      </c>
      <c r="C228" s="13"/>
      <c r="D228" s="13" t="str">
        <f>_xlfn.XLOOKUP(J228,'Master Data 14-9-2026'!C:C,'Master Data 14-9-2026'!E:E)</f>
        <v>TELKOMSEL</v>
      </c>
      <c r="E228" s="13"/>
      <c r="F228" s="13"/>
      <c r="G228" s="13" t="s">
        <v>18</v>
      </c>
      <c r="H228" s="13" t="str">
        <f>_xlfn.XLOOKUP(J228,'Master Data 14-9-2026'!C:C,'Master Data 14-9-2026'!H:H)</f>
        <v>2026-04-30 - 2026-05-29</v>
      </c>
      <c r="I228" s="13" t="str">
        <f t="shared" si="3"/>
        <v>April</v>
      </c>
      <c r="J228" s="13" t="s">
        <v>1338</v>
      </c>
      <c r="K228" s="13" t="s">
        <v>1338</v>
      </c>
      <c r="L228" s="13" t="s">
        <v>468</v>
      </c>
      <c r="M228" s="15">
        <v>200003133410020</v>
      </c>
      <c r="N228" s="13" t="s">
        <v>924</v>
      </c>
      <c r="O228" s="13">
        <v>1.0912026061800301E+17</v>
      </c>
      <c r="P228" s="13" t="s">
        <v>1339</v>
      </c>
      <c r="Q228" s="18">
        <v>1</v>
      </c>
      <c r="R228" s="18">
        <v>1</v>
      </c>
      <c r="S228" s="13">
        <v>8828132633</v>
      </c>
      <c r="T228" s="13" t="s">
        <v>951</v>
      </c>
      <c r="U228" s="19">
        <v>28881900</v>
      </c>
      <c r="V228" s="18">
        <v>1</v>
      </c>
      <c r="W228" s="18">
        <f>_xlfn.XLOOKUP(J228,'Master Data 14-9-2026'!C:C,'Master Data 14-9-2026'!L:L)</f>
        <v>1.44</v>
      </c>
      <c r="X228" s="23">
        <v>28881900</v>
      </c>
      <c r="Y228" s="13" t="s">
        <v>1325</v>
      </c>
      <c r="Z228" s="24" t="s">
        <v>15</v>
      </c>
      <c r="AA228" s="13" t="s">
        <v>934</v>
      </c>
      <c r="AB228" s="13"/>
      <c r="AC228" s="13"/>
      <c r="AD228" s="13" t="s">
        <v>935</v>
      </c>
      <c r="AE228" s="13" t="str">
        <f>_xlfn.XLOOKUP(L228,'[1]ID PROJECT'!E:E,'[1]ID PROJECT'!F:F)</f>
        <v>PRJ-KUT-KPU-TPED-2026-04-00075</v>
      </c>
      <c r="AF228" s="4" t="s">
        <v>1340</v>
      </c>
      <c r="AG228" s="13" t="s">
        <v>1341</v>
      </c>
      <c r="AH228" s="65">
        <v>46221</v>
      </c>
      <c r="AI228" s="27" t="s">
        <v>938</v>
      </c>
    </row>
    <row r="229" spans="1:35" hidden="1">
      <c r="A229" s="13" t="s">
        <v>482</v>
      </c>
      <c r="B229" s="13" t="str">
        <f>_xlfn.XLOOKUP(J229,'Master Data 14-9-2026'!C:C,'Master Data 14-9-2026'!D:D)</f>
        <v>Adhelina Zulfiana wx1505386</v>
      </c>
      <c r="C229" s="13"/>
      <c r="D229" s="13" t="str">
        <f>_xlfn.XLOOKUP(J229,'Master Data 14-9-2026'!C:C,'Master Data 14-9-2026'!E:E)</f>
        <v>Platform DMD</v>
      </c>
      <c r="E229" s="13"/>
      <c r="F229" s="13"/>
      <c r="G229" s="13" t="s">
        <v>22</v>
      </c>
      <c r="H229" s="13" t="str">
        <f>_xlfn.XLOOKUP(J229,'Master Data 14-9-2026'!C:C,'Master Data 14-9-2026'!H:H)</f>
        <v>2026-05-30 - 2026-06-29</v>
      </c>
      <c r="I229" s="13" t="str">
        <f t="shared" si="3"/>
        <v>May</v>
      </c>
      <c r="J229" s="13" t="s">
        <v>1342</v>
      </c>
      <c r="K229" s="13" t="s">
        <v>1342</v>
      </c>
      <c r="L229" s="13" t="s">
        <v>441</v>
      </c>
      <c r="M229" s="15">
        <v>200003133439020</v>
      </c>
      <c r="N229" s="13" t="s">
        <v>924</v>
      </c>
      <c r="O229" s="13">
        <v>1.0912026061800301E+17</v>
      </c>
      <c r="P229" s="13" t="s">
        <v>1343</v>
      </c>
      <c r="Q229" s="18">
        <v>1</v>
      </c>
      <c r="R229" s="18">
        <v>1</v>
      </c>
      <c r="S229" s="13">
        <v>8828132636</v>
      </c>
      <c r="T229" s="13" t="s">
        <v>933</v>
      </c>
      <c r="U229" s="19">
        <v>36992000</v>
      </c>
      <c r="V229" s="18">
        <v>1</v>
      </c>
      <c r="W229" s="18">
        <f>_xlfn.XLOOKUP(J229,'Master Data 14-9-2026'!C:C,'Master Data 14-9-2026'!L:L)</f>
        <v>0.5</v>
      </c>
      <c r="X229" s="23">
        <v>36992000</v>
      </c>
      <c r="Y229" s="13" t="s">
        <v>1325</v>
      </c>
      <c r="Z229" s="24" t="s">
        <v>15</v>
      </c>
      <c r="AA229" s="13"/>
      <c r="AB229" s="4" t="s">
        <v>1149</v>
      </c>
      <c r="AC229" s="4" t="s">
        <v>1344</v>
      </c>
      <c r="AD229" s="13"/>
      <c r="AE229" s="13" t="str">
        <f>_xlfn.XLOOKUP(L229,'[1]ID PROJECT'!E:E,'[1]ID PROJECT'!F:F)</f>
        <v xml:space="preserve">PRJ-KUT-KPU-TPED-2026-04-00071 </v>
      </c>
      <c r="AF229" s="13"/>
      <c r="AG229" s="13"/>
      <c r="AH229" s="65"/>
      <c r="AI229" s="27"/>
    </row>
    <row r="230" spans="1:35" hidden="1">
      <c r="A230" s="13" t="s">
        <v>482</v>
      </c>
      <c r="B230" s="13" t="str">
        <f>_xlfn.XLOOKUP(J230,'Master Data 14-9-2026'!C:C,'Master Data 14-9-2026'!D:D)</f>
        <v>Adhelina Zulfiana wx1505386</v>
      </c>
      <c r="C230" s="13"/>
      <c r="D230" s="13" t="str">
        <f>_xlfn.XLOOKUP(J230,'Master Data 14-9-2026'!C:C,'Master Data 14-9-2026'!E:E)</f>
        <v>Platform DMD</v>
      </c>
      <c r="E230" s="13"/>
      <c r="F230" s="13"/>
      <c r="G230" s="13" t="s">
        <v>18</v>
      </c>
      <c r="H230" s="13" t="str">
        <f>_xlfn.XLOOKUP(J230,'Master Data 14-9-2026'!C:C,'Master Data 14-9-2026'!H:H)</f>
        <v>2026-04-30 - 2026-05-29</v>
      </c>
      <c r="I230" s="13" t="str">
        <f t="shared" si="3"/>
        <v>April</v>
      </c>
      <c r="J230" s="13" t="s">
        <v>1345</v>
      </c>
      <c r="K230" s="13" t="s">
        <v>1345</v>
      </c>
      <c r="L230" s="13" t="s">
        <v>441</v>
      </c>
      <c r="M230" s="15">
        <v>200003133420020</v>
      </c>
      <c r="N230" s="13" t="s">
        <v>924</v>
      </c>
      <c r="O230" s="13">
        <v>1.0912026061800301E+17</v>
      </c>
      <c r="P230" s="13" t="s">
        <v>1346</v>
      </c>
      <c r="Q230" s="18">
        <v>1</v>
      </c>
      <c r="R230" s="18">
        <v>1</v>
      </c>
      <c r="S230" s="13">
        <v>8828132636</v>
      </c>
      <c r="T230" s="13" t="s">
        <v>933</v>
      </c>
      <c r="U230" s="19">
        <v>36992000</v>
      </c>
      <c r="V230" s="18">
        <v>1</v>
      </c>
      <c r="W230" s="18">
        <f>_xlfn.XLOOKUP(J230,'Master Data 14-9-2026'!C:C,'Master Data 14-9-2026'!L:L)</f>
        <v>1.5</v>
      </c>
      <c r="X230" s="23">
        <v>36992000</v>
      </c>
      <c r="Y230" s="13" t="s">
        <v>1325</v>
      </c>
      <c r="Z230" s="24" t="s">
        <v>15</v>
      </c>
      <c r="AA230" s="13" t="s">
        <v>934</v>
      </c>
      <c r="AB230" s="13"/>
      <c r="AC230" s="13"/>
      <c r="AD230" s="13" t="s">
        <v>935</v>
      </c>
      <c r="AE230" s="13" t="str">
        <f>_xlfn.XLOOKUP(L230,'[1]ID PROJECT'!E:E,'[1]ID PROJECT'!F:F)</f>
        <v xml:space="preserve">PRJ-KUT-KPU-TPED-2026-04-00071 </v>
      </c>
      <c r="AF230" s="4" t="s">
        <v>1347</v>
      </c>
      <c r="AG230" s="13" t="s">
        <v>1348</v>
      </c>
      <c r="AH230" s="65">
        <v>46241</v>
      </c>
      <c r="AI230" s="27" t="s">
        <v>1175</v>
      </c>
    </row>
    <row r="231" spans="1:35" hidden="1">
      <c r="A231" s="13" t="s">
        <v>744</v>
      </c>
      <c r="B231" s="13" t="str">
        <f>_xlfn.XLOOKUP(J231,'Master Data 14-9-2026'!C:C,'Master Data 14-9-2026'!D:D)</f>
        <v>Vina Putri Saffanah wx1503974</v>
      </c>
      <c r="C231" s="13"/>
      <c r="D231" s="13" t="str">
        <f>_xlfn.XLOOKUP(J231,'Master Data 14-9-2026'!C:C,'Master Data 14-9-2026'!E:E)</f>
        <v>TELKOMSEL</v>
      </c>
      <c r="E231" s="13"/>
      <c r="F231" s="13"/>
      <c r="G231" s="13" t="s">
        <v>22</v>
      </c>
      <c r="H231" s="13" t="str">
        <f>_xlfn.XLOOKUP(J231,'Master Data 14-9-2026'!C:C,'Master Data 14-9-2026'!H:H)</f>
        <v>2026-05-31 - 2026-06-29</v>
      </c>
      <c r="I231" s="13" t="str">
        <f t="shared" si="3"/>
        <v>May</v>
      </c>
      <c r="J231" s="13" t="s">
        <v>1349</v>
      </c>
      <c r="K231" s="13" t="s">
        <v>1349</v>
      </c>
      <c r="L231" s="13" t="s">
        <v>441</v>
      </c>
      <c r="M231" s="15">
        <v>200003133433020</v>
      </c>
      <c r="N231" s="13" t="s">
        <v>924</v>
      </c>
      <c r="O231" s="13">
        <v>1.0912026061800301E+17</v>
      </c>
      <c r="P231" s="13" t="s">
        <v>1350</v>
      </c>
      <c r="Q231" s="18">
        <v>1</v>
      </c>
      <c r="R231" s="18">
        <v>1</v>
      </c>
      <c r="S231" s="13">
        <v>8828132635</v>
      </c>
      <c r="T231" s="13" t="s">
        <v>926</v>
      </c>
      <c r="U231" s="19">
        <v>34220600</v>
      </c>
      <c r="V231" s="18">
        <v>1</v>
      </c>
      <c r="W231" s="18">
        <f>_xlfn.XLOOKUP(J231,'Master Data 14-9-2026'!C:C,'Master Data 14-9-2026'!L:L)</f>
        <v>1</v>
      </c>
      <c r="X231" s="23">
        <v>34220600</v>
      </c>
      <c r="Y231" s="13" t="s">
        <v>1325</v>
      </c>
      <c r="Z231" s="24" t="str">
        <f>_xlfn.XLOOKUP(J231,'Master Data 14-9-2026'!C:C,'Master Data 14-9-2026'!I:I)</f>
        <v>Ended</v>
      </c>
      <c r="AA231" s="13" t="s">
        <v>934</v>
      </c>
      <c r="AC231" s="4"/>
      <c r="AD231" s="13" t="s">
        <v>935</v>
      </c>
      <c r="AE231" s="13" t="str">
        <f>_xlfn.XLOOKUP(L231,'[1]ID PROJECT'!E:E,'[1]ID PROJECT'!F:F)</f>
        <v xml:space="preserve">PRJ-KUT-KPU-TPED-2026-04-00071 </v>
      </c>
      <c r="AF231" s="4" t="s">
        <v>1351</v>
      </c>
      <c r="AG231" s="13" t="s">
        <v>1352</v>
      </c>
      <c r="AH231" s="65">
        <v>46262</v>
      </c>
      <c r="AI231" s="27" t="s">
        <v>1175</v>
      </c>
    </row>
    <row r="232" spans="1:35" hidden="1">
      <c r="A232" s="13" t="s">
        <v>170</v>
      </c>
      <c r="B232" s="13" t="str">
        <f>_xlfn.XLOOKUP(J232,'Master Data 14-9-2026'!C:C,'Master Data 14-9-2026'!D:D)</f>
        <v>Yosephine Yudianto wx1503656</v>
      </c>
      <c r="C232" s="13"/>
      <c r="D232" s="13" t="str">
        <f>_xlfn.XLOOKUP(J232,'Master Data 14-9-2026'!C:C,'Master Data 14-9-2026'!E:E)</f>
        <v>TELKOMSEL</v>
      </c>
      <c r="E232" s="13"/>
      <c r="F232" s="13"/>
      <c r="G232" s="13" t="s">
        <v>22</v>
      </c>
      <c r="H232" s="13" t="str">
        <f>_xlfn.XLOOKUP(J232,'Master Data 14-9-2026'!C:C,'Master Data 14-9-2026'!H:H)</f>
        <v>2026-05-30 - 2026-06-29</v>
      </c>
      <c r="I232" s="13" t="str">
        <f t="shared" si="3"/>
        <v>May</v>
      </c>
      <c r="J232" s="13" t="s">
        <v>1353</v>
      </c>
      <c r="K232" s="13" t="s">
        <v>1353</v>
      </c>
      <c r="L232" s="13" t="s">
        <v>441</v>
      </c>
      <c r="M232" s="15">
        <v>200003133429020</v>
      </c>
      <c r="N232" s="13" t="s">
        <v>924</v>
      </c>
      <c r="O232" s="13">
        <v>1.0912026061800301E+17</v>
      </c>
      <c r="P232" s="13" t="s">
        <v>1354</v>
      </c>
      <c r="Q232" s="18">
        <v>1</v>
      </c>
      <c r="R232" s="18">
        <v>1</v>
      </c>
      <c r="S232" s="13">
        <v>8828132633</v>
      </c>
      <c r="T232" s="13" t="s">
        <v>951</v>
      </c>
      <c r="U232" s="19">
        <v>28881900</v>
      </c>
      <c r="V232" s="18">
        <v>1</v>
      </c>
      <c r="W232" s="18">
        <f>_xlfn.XLOOKUP(J232,'Master Data 14-9-2026'!C:C,'Master Data 14-9-2026'!L:L)</f>
        <v>1.5</v>
      </c>
      <c r="X232" s="23">
        <v>28881900</v>
      </c>
      <c r="Y232" s="13" t="s">
        <v>1325</v>
      </c>
      <c r="Z232" s="24" t="s">
        <v>984</v>
      </c>
      <c r="AA232" s="13"/>
      <c r="AC232" s="4"/>
      <c r="AD232" s="13"/>
      <c r="AE232" s="13" t="str">
        <f>_xlfn.XLOOKUP(L232,'[1]ID PROJECT'!E:E,'[1]ID PROJECT'!F:F)</f>
        <v xml:space="preserve">PRJ-KUT-KPU-TPED-2026-04-00071 </v>
      </c>
      <c r="AF232" s="13"/>
      <c r="AG232" s="13"/>
      <c r="AH232" s="65"/>
      <c r="AI232" s="27"/>
    </row>
    <row r="233" spans="1:35" hidden="1">
      <c r="A233" s="13" t="s">
        <v>756</v>
      </c>
      <c r="B233" s="13" t="str">
        <f>_xlfn.XLOOKUP(J233,'Master Data 14-9-2026'!C:C,'Master Data 14-9-2026'!D:D)</f>
        <v>Triana Sukeci wx1503625</v>
      </c>
      <c r="C233" s="13"/>
      <c r="D233" s="13" t="str">
        <f>_xlfn.XLOOKUP(J233,'Master Data 14-9-2026'!C:C,'Master Data 14-9-2026'!E:E)</f>
        <v>TELKOMSEL</v>
      </c>
      <c r="E233" s="13"/>
      <c r="F233" s="13"/>
      <c r="G233" s="13" t="s">
        <v>22</v>
      </c>
      <c r="H233" s="13" t="str">
        <f>_xlfn.XLOOKUP(J233,'Master Data 14-9-2026'!C:C,'Master Data 14-9-2026'!H:H)</f>
        <v>2026-05-27 - 2026-06-26</v>
      </c>
      <c r="I233" s="13" t="str">
        <f t="shared" si="3"/>
        <v>May</v>
      </c>
      <c r="J233" s="13" t="s">
        <v>1355</v>
      </c>
      <c r="K233" s="13" t="s">
        <v>1355</v>
      </c>
      <c r="L233" s="13" t="s">
        <v>461</v>
      </c>
      <c r="M233" s="15">
        <v>200003133432020</v>
      </c>
      <c r="N233" s="13" t="s">
        <v>924</v>
      </c>
      <c r="O233" s="13">
        <v>1.0912026061800301E+17</v>
      </c>
      <c r="P233" s="13" t="s">
        <v>1356</v>
      </c>
      <c r="Q233" s="18">
        <v>1</v>
      </c>
      <c r="R233" s="18">
        <v>1</v>
      </c>
      <c r="S233" s="13">
        <v>8828132635</v>
      </c>
      <c r="T233" s="13" t="s">
        <v>926</v>
      </c>
      <c r="U233" s="19">
        <v>34220600</v>
      </c>
      <c r="V233" s="18">
        <v>1</v>
      </c>
      <c r="W233" s="18">
        <f>_xlfn.XLOOKUP(J233,'Master Data 14-9-2026'!C:C,'Master Data 14-9-2026'!L:L)</f>
        <v>1.41</v>
      </c>
      <c r="X233" s="23">
        <v>34220600</v>
      </c>
      <c r="Y233" s="13" t="s">
        <v>1325</v>
      </c>
      <c r="Z233" s="24" t="s">
        <v>15</v>
      </c>
      <c r="AA233" s="13"/>
      <c r="AC233" s="4"/>
      <c r="AD233" s="13"/>
      <c r="AE233" s="13" t="str">
        <f>_xlfn.XLOOKUP(L233,'[1]ID PROJECT'!E:E,'[1]ID PROJECT'!F:F)</f>
        <v>PRJ-KUT-KPU-TPED-2026-04-00078</v>
      </c>
      <c r="AF233" s="13"/>
      <c r="AG233" s="13"/>
      <c r="AH233" s="65"/>
      <c r="AI233" s="27"/>
    </row>
    <row r="234" spans="1:35" hidden="1">
      <c r="A234" s="13" t="s">
        <v>756</v>
      </c>
      <c r="B234" s="13" t="str">
        <f>_xlfn.XLOOKUP(J234,'Master Data 14-9-2026'!C:C,'Master Data 14-9-2026'!D:D)</f>
        <v>Triana Sukeci wx1503625</v>
      </c>
      <c r="C234" s="13"/>
      <c r="D234" s="13" t="str">
        <f>_xlfn.XLOOKUP(J234,'Master Data 14-9-2026'!C:C,'Master Data 14-9-2026'!E:E)</f>
        <v>TELKOMSEL</v>
      </c>
      <c r="E234" s="13"/>
      <c r="F234" s="13"/>
      <c r="G234" s="13" t="s">
        <v>18</v>
      </c>
      <c r="H234" s="13" t="str">
        <f>_xlfn.XLOOKUP(J234,'Master Data 14-9-2026'!C:C,'Master Data 14-9-2026'!H:H)</f>
        <v>2026-04-27 - 2026-05-26</v>
      </c>
      <c r="I234" s="13" t="str">
        <f t="shared" si="3"/>
        <v>April</v>
      </c>
      <c r="J234" s="13" t="s">
        <v>1357</v>
      </c>
      <c r="K234" s="13" t="s">
        <v>1357</v>
      </c>
      <c r="L234" s="13" t="s">
        <v>461</v>
      </c>
      <c r="M234" s="15">
        <v>200003133413020</v>
      </c>
      <c r="N234" s="13" t="s">
        <v>924</v>
      </c>
      <c r="O234" s="13">
        <v>1.0912026061800301E+17</v>
      </c>
      <c r="P234" s="13" t="s">
        <v>1358</v>
      </c>
      <c r="Q234" s="18">
        <v>1</v>
      </c>
      <c r="R234" s="18">
        <v>1</v>
      </c>
      <c r="S234" s="13">
        <v>8828132635</v>
      </c>
      <c r="T234" s="13" t="s">
        <v>926</v>
      </c>
      <c r="U234" s="19">
        <v>34220600</v>
      </c>
      <c r="V234" s="18">
        <v>1</v>
      </c>
      <c r="W234" s="18">
        <f>_xlfn.XLOOKUP(J234,'Master Data 14-9-2026'!C:C,'Master Data 14-9-2026'!L:L)</f>
        <v>1.5</v>
      </c>
      <c r="X234" s="23">
        <v>34220600</v>
      </c>
      <c r="Y234" s="13" t="s">
        <v>1325</v>
      </c>
      <c r="Z234" s="24" t="s">
        <v>15</v>
      </c>
      <c r="AA234" s="13" t="s">
        <v>934</v>
      </c>
      <c r="AB234" s="13"/>
      <c r="AC234" s="13"/>
      <c r="AD234" s="13" t="s">
        <v>935</v>
      </c>
      <c r="AE234" s="13" t="str">
        <f>_xlfn.XLOOKUP(L234,'[1]ID PROJECT'!E:E,'[1]ID PROJECT'!F:F)</f>
        <v>PRJ-KUT-KPU-TPED-2026-04-00078</v>
      </c>
      <c r="AF234" s="4" t="s">
        <v>1359</v>
      </c>
      <c r="AG234" s="13" t="s">
        <v>1360</v>
      </c>
      <c r="AH234" s="65">
        <v>46221</v>
      </c>
      <c r="AI234" s="27" t="s">
        <v>938</v>
      </c>
    </row>
    <row r="235" spans="1:35">
      <c r="A235" s="13" t="s">
        <v>779</v>
      </c>
      <c r="B235" s="13" t="str">
        <f>_xlfn.XLOOKUP(J235,'Master Data 14-9-2026'!C:C,'Master Data 14-9-2026'!D:D)</f>
        <v>Kristina Tambunan wx1517408</v>
      </c>
      <c r="C235" s="13"/>
      <c r="D235" s="13" t="str">
        <f>_xlfn.XLOOKUP(J235,'Master Data 14-9-2026'!C:C,'Master Data 14-9-2026'!E:E)</f>
        <v>TELKOMSEL</v>
      </c>
      <c r="E235" s="13" t="s">
        <v>1050</v>
      </c>
      <c r="F235" s="13"/>
      <c r="G235" s="13" t="s">
        <v>18</v>
      </c>
      <c r="H235" s="13" t="str">
        <f>_xlfn.XLOOKUP(J235,'Master Data 14-9-2026'!C:C,'Master Data 14-9-2026'!H:H)</f>
        <v>2026-06-05 - 2026-07-04</v>
      </c>
      <c r="I235" s="13" t="str">
        <f t="shared" si="3"/>
        <v>June</v>
      </c>
      <c r="J235" s="13" t="s">
        <v>1361</v>
      </c>
      <c r="K235" s="13" t="s">
        <v>1361</v>
      </c>
      <c r="L235" s="13" t="s">
        <v>441</v>
      </c>
      <c r="M235" s="15">
        <v>200003133416020</v>
      </c>
      <c r="N235" s="13" t="s">
        <v>924</v>
      </c>
      <c r="O235" s="13">
        <v>1.0912026061800301E+17</v>
      </c>
      <c r="P235" s="13" t="s">
        <v>1362</v>
      </c>
      <c r="Q235" s="18">
        <v>1</v>
      </c>
      <c r="R235" s="18">
        <v>1</v>
      </c>
      <c r="S235" s="13">
        <v>8828132635</v>
      </c>
      <c r="T235" s="13" t="s">
        <v>926</v>
      </c>
      <c r="U235" s="19">
        <v>34220600</v>
      </c>
      <c r="V235" s="18">
        <v>1</v>
      </c>
      <c r="W235" s="18">
        <f>_xlfn.XLOOKUP(J235,'Master Data 14-9-2026'!C:C,'Master Data 14-9-2026'!L:L)</f>
        <v>1</v>
      </c>
      <c r="X235" s="23">
        <v>34220600</v>
      </c>
      <c r="Y235" s="13" t="s">
        <v>1325</v>
      </c>
      <c r="Z235" s="24" t="str">
        <f>_xlfn.XLOOKUP(J235,'Master Data 14-9-2026'!C:C,'Master Data 14-9-2026'!I:I)</f>
        <v>Ended</v>
      </c>
      <c r="AA235" s="13" t="s">
        <v>934</v>
      </c>
      <c r="AB235" s="13"/>
      <c r="AC235" s="13" t="s">
        <v>965</v>
      </c>
      <c r="AD235" s="40" t="s">
        <v>935</v>
      </c>
      <c r="AE235" s="13" t="str">
        <f>_xlfn.XLOOKUP(L235,'[1]ID PROJECT'!E:E,'[1]ID PROJECT'!F:F)</f>
        <v xml:space="preserve">PRJ-KUT-KPU-TPED-2026-04-00071 </v>
      </c>
      <c r="AF235" s="39" t="s">
        <v>3370</v>
      </c>
      <c r="AG235" s="40" t="s">
        <v>3398</v>
      </c>
      <c r="AH235" s="65">
        <v>46269</v>
      </c>
      <c r="AI235" s="41" t="s">
        <v>967</v>
      </c>
    </row>
    <row r="236" spans="1:35" hidden="1">
      <c r="A236" s="13" t="s">
        <v>779</v>
      </c>
      <c r="B236" s="13" t="str">
        <f>_xlfn.XLOOKUP(J236,'Master Data 14-9-2026'!C:C,'Master Data 14-9-2026'!D:D)</f>
        <v>Kristina Tambunan wx1517408</v>
      </c>
      <c r="C236" s="13"/>
      <c r="D236" s="13" t="str">
        <f>_xlfn.XLOOKUP(J236,'Master Data 14-9-2026'!C:C,'Master Data 14-9-2026'!E:E)</f>
        <v>TELKOMSEL</v>
      </c>
      <c r="E236" s="13" t="s">
        <v>1363</v>
      </c>
      <c r="F236" s="13"/>
      <c r="G236" s="13" t="s">
        <v>22</v>
      </c>
      <c r="H236" s="13" t="str">
        <f>_xlfn.XLOOKUP(J236,'Master Data 14-9-2026'!C:C,'Master Data 14-9-2026'!H:H)</f>
        <v>2026-07-05 - 2026-08-04</v>
      </c>
      <c r="I236" s="13" t="str">
        <f t="shared" si="3"/>
        <v>July</v>
      </c>
      <c r="J236" s="13" t="s">
        <v>1364</v>
      </c>
      <c r="K236" s="13" t="s">
        <v>1364</v>
      </c>
      <c r="L236" s="13" t="s">
        <v>441</v>
      </c>
      <c r="M236" s="15">
        <v>200003133435020</v>
      </c>
      <c r="N236" s="13" t="s">
        <v>924</v>
      </c>
      <c r="O236" s="13">
        <v>1.0912026061800301E+17</v>
      </c>
      <c r="P236" s="13" t="s">
        <v>1365</v>
      </c>
      <c r="Q236" s="18">
        <v>1</v>
      </c>
      <c r="R236" s="18">
        <v>1</v>
      </c>
      <c r="S236" s="13">
        <v>8828132635</v>
      </c>
      <c r="T236" s="13" t="s">
        <v>926</v>
      </c>
      <c r="U236" s="19">
        <v>34220600</v>
      </c>
      <c r="V236" s="18">
        <v>1</v>
      </c>
      <c r="W236" s="18">
        <f>_xlfn.XLOOKUP(J236,'Master Data 14-9-2026'!C:C,'Master Data 14-9-2026'!L:L)</f>
        <v>1</v>
      </c>
      <c r="X236" s="23">
        <v>34220600</v>
      </c>
      <c r="Y236" s="13" t="s">
        <v>1325</v>
      </c>
      <c r="Z236" s="24" t="str">
        <f>_xlfn.XLOOKUP(J236,'Master Data 14-9-2026'!C:C,'Master Data 14-9-2026'!I:I)</f>
        <v>Ended</v>
      </c>
      <c r="AA236" s="4" t="s">
        <v>934</v>
      </c>
      <c r="AC236" s="4"/>
      <c r="AD236" s="13" t="s">
        <v>935</v>
      </c>
      <c r="AE236" s="13" t="str">
        <f>_xlfn.XLOOKUP(L236,'[1]ID PROJECT'!E:E,'[1]ID PROJECT'!F:F)</f>
        <v xml:space="preserve">PRJ-KUT-KPU-TPED-2026-04-00071 </v>
      </c>
      <c r="AF236" s="4" t="s">
        <v>1366</v>
      </c>
      <c r="AG236" s="13" t="s">
        <v>1367</v>
      </c>
      <c r="AH236" s="65">
        <v>46262</v>
      </c>
      <c r="AI236" s="27" t="s">
        <v>1095</v>
      </c>
    </row>
    <row r="237" spans="1:35" hidden="1">
      <c r="A237" s="13" t="s">
        <v>534</v>
      </c>
      <c r="B237" s="13" t="str">
        <f>_xlfn.XLOOKUP(J237,'Master Data 14-9-2026'!C:C,'Master Data 14-9-2026'!D:D)</f>
        <v>Risky Septiadi Hartono wx1503496</v>
      </c>
      <c r="C237" s="13"/>
      <c r="D237" s="13" t="str">
        <f>_xlfn.XLOOKUP(J237,'Master Data 14-9-2026'!C:C,'Master Data 14-9-2026'!E:E)</f>
        <v>TELKOMSEL</v>
      </c>
      <c r="E237" s="13"/>
      <c r="F237" s="13"/>
      <c r="G237" s="13" t="s">
        <v>22</v>
      </c>
      <c r="H237" s="13" t="str">
        <f>_xlfn.XLOOKUP(J237,'Master Data 14-9-2026'!C:C,'Master Data 14-9-2026'!H:H)</f>
        <v>2026-05-23 - 2026-06-22</v>
      </c>
      <c r="I237" s="13" t="str">
        <f t="shared" si="3"/>
        <v>May</v>
      </c>
      <c r="J237" s="13" t="s">
        <v>1368</v>
      </c>
      <c r="K237" s="13" t="s">
        <v>1368</v>
      </c>
      <c r="L237" s="13" t="s">
        <v>457</v>
      </c>
      <c r="M237" s="15">
        <v>200003133437020</v>
      </c>
      <c r="N237" s="13" t="s">
        <v>924</v>
      </c>
      <c r="O237" s="13">
        <v>1.0912026061800301E+17</v>
      </c>
      <c r="P237" s="13" t="s">
        <v>1369</v>
      </c>
      <c r="Q237" s="18">
        <v>1</v>
      </c>
      <c r="R237" s="18">
        <v>1</v>
      </c>
      <c r="S237" s="13">
        <v>8828132636</v>
      </c>
      <c r="T237" s="13" t="s">
        <v>933</v>
      </c>
      <c r="U237" s="19">
        <v>36992000</v>
      </c>
      <c r="V237" s="18">
        <v>1</v>
      </c>
      <c r="W237" s="18">
        <f>_xlfn.XLOOKUP(J237,'Master Data 14-9-2026'!C:C,'Master Data 14-9-2026'!L:L)</f>
        <v>1.5</v>
      </c>
      <c r="X237" s="23">
        <v>36992000</v>
      </c>
      <c r="Y237" s="13" t="s">
        <v>1325</v>
      </c>
      <c r="Z237" s="24" t="s">
        <v>15</v>
      </c>
      <c r="AA237" s="13"/>
      <c r="AC237" s="4"/>
      <c r="AD237" s="13"/>
      <c r="AE237" s="13" t="str">
        <f>_xlfn.XLOOKUP(L237,'[1]ID PROJECT'!E:E,'[1]ID PROJECT'!F:F)</f>
        <v>PRJ-KUT-KPU-TPED-2026-04-00076</v>
      </c>
      <c r="AF237" s="13"/>
      <c r="AG237" s="13"/>
      <c r="AH237" s="65"/>
      <c r="AI237" s="27"/>
    </row>
    <row r="238" spans="1:35" hidden="1">
      <c r="A238" s="13" t="s">
        <v>9</v>
      </c>
      <c r="B238" s="13" t="str">
        <f>_xlfn.XLOOKUP(J238,'Master Data 14-9-2026'!C:C,'Master Data 14-9-2026'!D:D)</f>
        <v>Winarsih wx1503649</v>
      </c>
      <c r="C238" s="13"/>
      <c r="D238" s="13" t="str">
        <f>_xlfn.XLOOKUP(J238,'Master Data 14-9-2026'!C:C,'Master Data 14-9-2026'!E:E)</f>
        <v>TELKOMSEL</v>
      </c>
      <c r="E238" s="13"/>
      <c r="F238" s="13"/>
      <c r="G238" s="13" t="s">
        <v>18</v>
      </c>
      <c r="H238" s="13" t="str">
        <f>_xlfn.XLOOKUP(J238,'Master Data 14-9-2026'!C:C,'Master Data 14-9-2026'!H:H)</f>
        <v>2026-05-01 - 2026-05-31</v>
      </c>
      <c r="I238" s="13" t="str">
        <f t="shared" si="3"/>
        <v>May</v>
      </c>
      <c r="J238" s="13" t="s">
        <v>1370</v>
      </c>
      <c r="K238" s="13" t="s">
        <v>1370</v>
      </c>
      <c r="L238" s="13" t="s">
        <v>468</v>
      </c>
      <c r="M238" s="15">
        <v>200003133411020</v>
      </c>
      <c r="N238" s="13" t="s">
        <v>924</v>
      </c>
      <c r="O238" s="13">
        <v>1.0912026061800301E+17</v>
      </c>
      <c r="P238" s="13" t="s">
        <v>1371</v>
      </c>
      <c r="Q238" s="18">
        <v>1</v>
      </c>
      <c r="R238" s="18">
        <v>1</v>
      </c>
      <c r="S238" s="13">
        <v>8828132633</v>
      </c>
      <c r="T238" s="13" t="s">
        <v>951</v>
      </c>
      <c r="U238" s="19">
        <v>28881900</v>
      </c>
      <c r="V238" s="18">
        <v>1</v>
      </c>
      <c r="W238" s="18">
        <f>_xlfn.XLOOKUP(J238,'Master Data 14-9-2026'!C:C,'Master Data 14-9-2026'!L:L)</f>
        <v>1</v>
      </c>
      <c r="X238" s="23">
        <v>28881900</v>
      </c>
      <c r="Y238" s="13" t="s">
        <v>1325</v>
      </c>
      <c r="Z238" s="24" t="str">
        <f>_xlfn.XLOOKUP(J238,'Master Data 14-9-2026'!C:C,'Master Data 14-9-2026'!I:I)</f>
        <v>Ended</v>
      </c>
      <c r="AA238" s="13" t="s">
        <v>934</v>
      </c>
      <c r="AB238" s="13"/>
      <c r="AC238" s="13"/>
      <c r="AD238" s="13" t="s">
        <v>935</v>
      </c>
      <c r="AE238" s="13" t="str">
        <f>_xlfn.XLOOKUP(L238,'[1]ID PROJECT'!E:E,'[1]ID PROJECT'!F:F)</f>
        <v>PRJ-KUT-KPU-TPED-2026-04-00075</v>
      </c>
      <c r="AF238" s="4" t="s">
        <v>1372</v>
      </c>
      <c r="AG238" s="13" t="s">
        <v>1373</v>
      </c>
      <c r="AH238" s="65">
        <v>46221</v>
      </c>
      <c r="AI238" s="27" t="s">
        <v>938</v>
      </c>
    </row>
    <row r="239" spans="1:35" hidden="1">
      <c r="A239" s="13" t="s">
        <v>9</v>
      </c>
      <c r="B239" s="13" t="str">
        <f>_xlfn.XLOOKUP(J239,'Master Data 14-9-2026'!C:C,'Master Data 14-9-2026'!D:D)</f>
        <v>Winarsih wx1503649</v>
      </c>
      <c r="C239" s="13"/>
      <c r="D239" s="13" t="str">
        <f>_xlfn.XLOOKUP(J239,'Master Data 14-9-2026'!C:C,'Master Data 14-9-2026'!E:E)</f>
        <v>TELKOMSEL</v>
      </c>
      <c r="E239" s="13"/>
      <c r="F239" s="13"/>
      <c r="G239" s="13" t="s">
        <v>22</v>
      </c>
      <c r="H239" s="13" t="str">
        <f>_xlfn.XLOOKUP(J239,'Master Data 14-9-2026'!C:C,'Master Data 14-9-2026'!H:H)</f>
        <v>2026-06-01 - 2026-06-30</v>
      </c>
      <c r="I239" s="13" t="str">
        <f t="shared" si="3"/>
        <v>June</v>
      </c>
      <c r="J239" s="13" t="s">
        <v>1374</v>
      </c>
      <c r="K239" s="13" t="s">
        <v>1374</v>
      </c>
      <c r="L239" s="13" t="s">
        <v>441</v>
      </c>
      <c r="M239" s="15">
        <v>200003133430020</v>
      </c>
      <c r="N239" s="13" t="s">
        <v>924</v>
      </c>
      <c r="O239" s="13">
        <v>1.0912026061800301E+17</v>
      </c>
      <c r="P239" s="13" t="s">
        <v>1375</v>
      </c>
      <c r="Q239" s="18">
        <v>1</v>
      </c>
      <c r="R239" s="18">
        <v>1</v>
      </c>
      <c r="S239" s="13">
        <v>8828132633</v>
      </c>
      <c r="T239" s="13" t="s">
        <v>951</v>
      </c>
      <c r="U239" s="19">
        <v>28881900</v>
      </c>
      <c r="V239" s="18">
        <v>1</v>
      </c>
      <c r="W239" s="18">
        <f>_xlfn.XLOOKUP(J239,'Master Data 14-9-2026'!C:C,'Master Data 14-9-2026'!L:L)</f>
        <v>1.5</v>
      </c>
      <c r="X239" s="23">
        <v>28881900</v>
      </c>
      <c r="Y239" s="13" t="s">
        <v>1325</v>
      </c>
      <c r="Z239" s="24" t="str">
        <f>_xlfn.XLOOKUP(J239,'Master Data 14-9-2026'!C:C,'Master Data 14-9-2026'!I:I)</f>
        <v>Ended</v>
      </c>
      <c r="AA239" s="13"/>
      <c r="AC239" s="4"/>
      <c r="AD239" s="13"/>
      <c r="AE239" s="13" t="str">
        <f>_xlfn.XLOOKUP(L239,'[1]ID PROJECT'!E:E,'[1]ID PROJECT'!F:F)</f>
        <v xml:space="preserve">PRJ-KUT-KPU-TPED-2026-04-00071 </v>
      </c>
      <c r="AF239" s="13"/>
      <c r="AG239" s="13"/>
      <c r="AH239" s="65"/>
      <c r="AI239" s="27"/>
    </row>
    <row r="240" spans="1:35" hidden="1">
      <c r="A240" s="13" t="s">
        <v>534</v>
      </c>
      <c r="B240" s="13" t="str">
        <f>_xlfn.XLOOKUP(J240,'Master Data 14-9-2026'!C:C,'Master Data 14-9-2026'!D:D)</f>
        <v>Risky Septiadi Hartono wx1503496</v>
      </c>
      <c r="C240" s="13"/>
      <c r="D240" s="13" t="str">
        <f>_xlfn.XLOOKUP(J240,'Master Data 14-9-2026'!C:C,'Master Data 14-9-2026'!E:E)</f>
        <v>TELKOMSEL</v>
      </c>
      <c r="E240" s="13"/>
      <c r="F240" s="13"/>
      <c r="G240" s="13" t="s">
        <v>18</v>
      </c>
      <c r="H240" s="13" t="str">
        <f>_xlfn.XLOOKUP(J240,'Master Data 14-9-2026'!C:C,'Master Data 14-9-2026'!H:H)</f>
        <v>2026-04-23 - 2026-05-22</v>
      </c>
      <c r="I240" s="13" t="str">
        <f t="shared" si="3"/>
        <v>April</v>
      </c>
      <c r="J240" s="13" t="s">
        <v>1376</v>
      </c>
      <c r="K240" s="13" t="s">
        <v>1376</v>
      </c>
      <c r="L240" s="13" t="s">
        <v>457</v>
      </c>
      <c r="M240" s="15">
        <v>200003133418020</v>
      </c>
      <c r="N240" s="13" t="s">
        <v>924</v>
      </c>
      <c r="O240" s="13">
        <v>1.0912026061800301E+17</v>
      </c>
      <c r="P240" s="13" t="s">
        <v>1377</v>
      </c>
      <c r="Q240" s="18">
        <v>1</v>
      </c>
      <c r="R240" s="18">
        <v>1</v>
      </c>
      <c r="S240" s="13">
        <v>8828132636</v>
      </c>
      <c r="T240" s="13" t="s">
        <v>933</v>
      </c>
      <c r="U240" s="19">
        <v>36992000</v>
      </c>
      <c r="V240" s="18">
        <v>1</v>
      </c>
      <c r="W240" s="18">
        <f>_xlfn.XLOOKUP(J240,'Master Data 14-9-2026'!C:C,'Master Data 14-9-2026'!L:L)</f>
        <v>1.5</v>
      </c>
      <c r="X240" s="23">
        <v>36992000</v>
      </c>
      <c r="Y240" s="13" t="s">
        <v>1325</v>
      </c>
      <c r="Z240" s="24" t="s">
        <v>15</v>
      </c>
      <c r="AA240" s="13" t="s">
        <v>934</v>
      </c>
      <c r="AB240" s="13"/>
      <c r="AC240" s="13"/>
      <c r="AD240" s="13" t="s">
        <v>935</v>
      </c>
      <c r="AE240" s="13" t="str">
        <f>_xlfn.XLOOKUP(L240,'[1]ID PROJECT'!E:E,'[1]ID PROJECT'!F:F)</f>
        <v>PRJ-KUT-KPU-TPED-2026-04-00076</v>
      </c>
      <c r="AF240" s="4" t="s">
        <v>1378</v>
      </c>
      <c r="AG240" s="13" t="s">
        <v>1379</v>
      </c>
      <c r="AH240" s="65">
        <v>46221</v>
      </c>
      <c r="AI240" s="27" t="s">
        <v>938</v>
      </c>
    </row>
    <row r="241" spans="1:35" hidden="1">
      <c r="A241" s="13" t="s">
        <v>400</v>
      </c>
      <c r="B241" s="13" t="str">
        <f>_xlfn.XLOOKUP(J241,'Master Data 14-9-2026'!C:C,'Master Data 14-9-2026'!D:D)</f>
        <v>Eka Maudyna Isdyanti wx1504640</v>
      </c>
      <c r="C241" s="13"/>
      <c r="D241" s="13" t="str">
        <f>_xlfn.XLOOKUP(J241,'Master Data 14-9-2026'!C:C,'Master Data 14-9-2026'!E:E)</f>
        <v>IOH</v>
      </c>
      <c r="E241" s="13"/>
      <c r="F241" s="13"/>
      <c r="G241" s="13" t="s">
        <v>22</v>
      </c>
      <c r="H241" s="13" t="str">
        <f>_xlfn.XLOOKUP(J241,'Master Data 14-9-2026'!C:C,'Master Data 14-9-2026'!H:H)</f>
        <v>2026-05-30 - 2026-06-29</v>
      </c>
      <c r="I241" s="13" t="str">
        <f t="shared" si="3"/>
        <v>May</v>
      </c>
      <c r="J241" s="13" t="s">
        <v>1380</v>
      </c>
      <c r="K241" s="13" t="s">
        <v>1380</v>
      </c>
      <c r="L241" s="13" t="s">
        <v>441</v>
      </c>
      <c r="M241" s="15">
        <v>200003157553020</v>
      </c>
      <c r="N241" s="13" t="s">
        <v>924</v>
      </c>
      <c r="O241" s="13">
        <v>1.0912026062000099E+17</v>
      </c>
      <c r="P241" s="13" t="s">
        <v>1381</v>
      </c>
      <c r="Q241" s="18">
        <v>1</v>
      </c>
      <c r="R241" s="18">
        <v>1</v>
      </c>
      <c r="S241" s="13">
        <v>8828132633</v>
      </c>
      <c r="T241" s="13" t="s">
        <v>951</v>
      </c>
      <c r="U241" s="19">
        <v>28881900</v>
      </c>
      <c r="V241" s="18">
        <v>1</v>
      </c>
      <c r="W241" s="18">
        <f>_xlfn.XLOOKUP(J241,'Master Data 14-9-2026'!C:C,'Master Data 14-9-2026'!L:L)</f>
        <v>0</v>
      </c>
      <c r="X241" s="23">
        <v>28881900</v>
      </c>
      <c r="Y241" s="13" t="s">
        <v>1325</v>
      </c>
      <c r="Z241" s="24" t="s">
        <v>984</v>
      </c>
      <c r="AA241" s="13"/>
      <c r="AC241" s="4"/>
      <c r="AD241" s="13"/>
      <c r="AE241" s="13" t="str">
        <f>_xlfn.XLOOKUP(L241,'[1]ID PROJECT'!E:E,'[1]ID PROJECT'!F:F)</f>
        <v xml:space="preserve">PRJ-KUT-KPU-TPED-2026-04-00071 </v>
      </c>
      <c r="AF241" s="13"/>
      <c r="AG241" s="13"/>
      <c r="AH241" s="65"/>
      <c r="AI241" s="27"/>
    </row>
    <row r="242" spans="1:35" hidden="1">
      <c r="A242" s="13" t="s">
        <v>351</v>
      </c>
      <c r="B242" s="13" t="str">
        <f>_xlfn.XLOOKUP(J242,'Master Data 14-9-2026'!C:C,'Master Data 14-9-2026'!D:D)</f>
        <v>Rahma Nihayatul Nur M WX1524121</v>
      </c>
      <c r="C242" s="13"/>
      <c r="D242" s="13" t="str">
        <f>_xlfn.XLOOKUP(J242,'Master Data 14-9-2026'!C:C,'Master Data 14-9-2026'!E:E)</f>
        <v>IOH</v>
      </c>
      <c r="E242" s="13"/>
      <c r="F242" s="13"/>
      <c r="G242" s="13" t="s">
        <v>18</v>
      </c>
      <c r="H242" s="13" t="str">
        <f>_xlfn.XLOOKUP(J242,'Master Data 14-9-2026'!C:C,'Master Data 14-9-2026'!H:H)</f>
        <v>2026-07-01 - 2026-07-31</v>
      </c>
      <c r="I242" s="13" t="str">
        <f t="shared" si="3"/>
        <v>July</v>
      </c>
      <c r="J242" s="13" t="s">
        <v>1382</v>
      </c>
      <c r="K242" s="13" t="s">
        <v>1382</v>
      </c>
      <c r="L242" s="13" t="s">
        <v>441</v>
      </c>
      <c r="M242" s="15">
        <v>200003157593020</v>
      </c>
      <c r="N242" s="13" t="s">
        <v>924</v>
      </c>
      <c r="O242" s="13">
        <v>1.0912026062000099E+17</v>
      </c>
      <c r="P242" s="13" t="s">
        <v>1381</v>
      </c>
      <c r="Q242" s="18">
        <v>2</v>
      </c>
      <c r="R242" s="18">
        <v>1</v>
      </c>
      <c r="S242" s="13">
        <v>8828132633</v>
      </c>
      <c r="T242" s="13" t="s">
        <v>951</v>
      </c>
      <c r="U242" s="19">
        <v>28881900</v>
      </c>
      <c r="V242" s="18">
        <v>1</v>
      </c>
      <c r="W242" s="18">
        <f>_xlfn.XLOOKUP(J242,'Master Data 14-9-2026'!C:C,'Master Data 14-9-2026'!L:L)</f>
        <v>0</v>
      </c>
      <c r="X242" s="23">
        <v>28881900</v>
      </c>
      <c r="Y242" s="13" t="s">
        <v>1325</v>
      </c>
      <c r="Z242" s="24" t="s">
        <v>984</v>
      </c>
      <c r="AA242" s="13"/>
      <c r="AB242" s="13"/>
      <c r="AC242" s="13" t="s">
        <v>1383</v>
      </c>
      <c r="AD242" s="13"/>
      <c r="AE242" s="13" t="str">
        <f>_xlfn.XLOOKUP(L242,'[1]ID PROJECT'!E:E,'[1]ID PROJECT'!F:F)</f>
        <v xml:space="preserve">PRJ-KUT-KPU-TPED-2026-04-00071 </v>
      </c>
      <c r="AF242" s="13"/>
      <c r="AG242" s="13"/>
      <c r="AH242" s="65"/>
      <c r="AI242" s="27"/>
    </row>
    <row r="243" spans="1:35">
      <c r="A243" s="13" t="s">
        <v>833</v>
      </c>
      <c r="B243" s="13" t="str">
        <f>_xlfn.XLOOKUP(J243,'Master Data 14-9-2026'!C:C,'Master Data 14-9-2026'!D:D)</f>
        <v>Yusup wx1504641</v>
      </c>
      <c r="C243" s="13"/>
      <c r="D243" s="13" t="str">
        <f>_xlfn.XLOOKUP(J243,'Master Data 14-9-2026'!C:C,'Master Data 14-9-2026'!E:E)</f>
        <v>IOH</v>
      </c>
      <c r="E243" s="13"/>
      <c r="F243" s="13"/>
      <c r="G243" s="13" t="s">
        <v>22</v>
      </c>
      <c r="H243" s="13" t="str">
        <f>_xlfn.XLOOKUP(J243,'Master Data 14-9-2026'!C:C,'Master Data 14-9-2026'!H:H)</f>
        <v>2026-05-24 - 2026-06-23</v>
      </c>
      <c r="I243" s="13" t="str">
        <f t="shared" si="3"/>
        <v>May</v>
      </c>
      <c r="J243" s="13" t="s">
        <v>1384</v>
      </c>
      <c r="K243" s="13" t="s">
        <v>1384</v>
      </c>
      <c r="L243" s="13" t="s">
        <v>441</v>
      </c>
      <c r="M243" s="15">
        <v>200003157609020</v>
      </c>
      <c r="N243" s="13" t="s">
        <v>924</v>
      </c>
      <c r="O243" s="13">
        <v>1.0912026062000099E+17</v>
      </c>
      <c r="P243" s="13" t="s">
        <v>1381</v>
      </c>
      <c r="Q243" s="18">
        <v>3</v>
      </c>
      <c r="R243" s="18">
        <v>1</v>
      </c>
      <c r="S243" s="13">
        <v>8828132635</v>
      </c>
      <c r="T243" s="13" t="s">
        <v>926</v>
      </c>
      <c r="U243" s="19">
        <v>34220600</v>
      </c>
      <c r="V243" s="18">
        <v>1</v>
      </c>
      <c r="W243" s="18">
        <f>_xlfn.XLOOKUP(J243,'Master Data 14-9-2026'!C:C,'Master Data 14-9-2026'!L:L)</f>
        <v>0</v>
      </c>
      <c r="X243" s="23">
        <v>34220600</v>
      </c>
      <c r="Y243" s="13" t="s">
        <v>1325</v>
      </c>
      <c r="Z243" s="24" t="s">
        <v>15</v>
      </c>
      <c r="AA243" s="40" t="s">
        <v>934</v>
      </c>
      <c r="AC243" s="4"/>
      <c r="AD243" s="40" t="s">
        <v>935</v>
      </c>
      <c r="AE243" s="13" t="str">
        <f>_xlfn.XLOOKUP(L243,'[1]ID PROJECT'!E:E,'[1]ID PROJECT'!F:F)</f>
        <v xml:space="preserve">PRJ-KUT-KPU-TPED-2026-04-00071 </v>
      </c>
      <c r="AF243" s="39" t="s">
        <v>4119</v>
      </c>
      <c r="AG243" s="40" t="s">
        <v>4123</v>
      </c>
      <c r="AH243" s="66">
        <v>46275</v>
      </c>
      <c r="AI243" s="41" t="s">
        <v>967</v>
      </c>
    </row>
    <row r="244" spans="1:35" hidden="1">
      <c r="A244" s="13" t="s">
        <v>400</v>
      </c>
      <c r="B244" s="13" t="str">
        <f>_xlfn.XLOOKUP(J244,'Master Data 14-9-2026'!C:C,'Master Data 14-9-2026'!D:D)</f>
        <v>Eka Maudyna Isdyanti wx1504640</v>
      </c>
      <c r="C244" s="13"/>
      <c r="D244" s="13" t="str">
        <f>_xlfn.XLOOKUP(J244,'Master Data 14-9-2026'!C:C,'Master Data 14-9-2026'!E:E)</f>
        <v>IOH</v>
      </c>
      <c r="E244" s="13"/>
      <c r="F244" s="13"/>
      <c r="G244" s="13" t="s">
        <v>25</v>
      </c>
      <c r="H244" s="13" t="str">
        <f>_xlfn.XLOOKUP(J244,'Master Data 14-9-2026'!C:C,'Master Data 14-9-2026'!H:H)</f>
        <v>2026-06-30 - 2026-07-29</v>
      </c>
      <c r="I244" s="13" t="str">
        <f t="shared" si="3"/>
        <v>June</v>
      </c>
      <c r="J244" s="13" t="s">
        <v>1385</v>
      </c>
      <c r="K244" s="13" t="s">
        <v>1385</v>
      </c>
      <c r="L244" s="13" t="s">
        <v>441</v>
      </c>
      <c r="M244" s="15">
        <v>200003157554020</v>
      </c>
      <c r="N244" s="13" t="s">
        <v>924</v>
      </c>
      <c r="O244" s="13">
        <v>1.0912026062000099E+17</v>
      </c>
      <c r="P244" s="13" t="s">
        <v>1381</v>
      </c>
      <c r="Q244" s="18">
        <v>4</v>
      </c>
      <c r="R244" s="18">
        <v>1</v>
      </c>
      <c r="S244" s="13">
        <v>8828132633</v>
      </c>
      <c r="T244" s="13" t="s">
        <v>951</v>
      </c>
      <c r="U244" s="19">
        <v>28881900</v>
      </c>
      <c r="V244" s="18">
        <v>1</v>
      </c>
      <c r="W244" s="18">
        <f>_xlfn.XLOOKUP(J244,'Master Data 14-9-2026'!C:C,'Master Data 14-9-2026'!L:L)</f>
        <v>0</v>
      </c>
      <c r="X244" s="23">
        <v>28881900</v>
      </c>
      <c r="Y244" s="13" t="s">
        <v>1325</v>
      </c>
      <c r="Z244" s="24" t="str">
        <f>_xlfn.XLOOKUP(J244,'Master Data 14-9-2026'!C:C,'Master Data 14-9-2026'!I:I)</f>
        <v>Ended</v>
      </c>
      <c r="AA244" s="13"/>
      <c r="AC244" s="4"/>
      <c r="AD244" s="13"/>
      <c r="AE244" s="13" t="str">
        <f>_xlfn.XLOOKUP(L244,'[1]ID PROJECT'!E:E,'[1]ID PROJECT'!F:F)</f>
        <v xml:space="preserve">PRJ-KUT-KPU-TPED-2026-04-00071 </v>
      </c>
      <c r="AF244" s="13"/>
      <c r="AG244" s="13"/>
      <c r="AH244" s="65"/>
      <c r="AI244" s="27"/>
    </row>
    <row r="245" spans="1:35" hidden="1">
      <c r="A245" s="13" t="s">
        <v>833</v>
      </c>
      <c r="B245" s="13" t="str">
        <f>_xlfn.XLOOKUP(J245,'Master Data 14-9-2026'!C:C,'Master Data 14-9-2026'!D:D)</f>
        <v>Yusup wx1504641</v>
      </c>
      <c r="C245" s="13"/>
      <c r="D245" s="13" t="str">
        <f>_xlfn.XLOOKUP(J245,'Master Data 14-9-2026'!C:C,'Master Data 14-9-2026'!E:E)</f>
        <v>IOH</v>
      </c>
      <c r="E245" s="13"/>
      <c r="F245" s="13"/>
      <c r="G245" s="13" t="s">
        <v>25</v>
      </c>
      <c r="H245" s="13" t="str">
        <f>_xlfn.XLOOKUP(J245,'Master Data 14-9-2026'!C:C,'Master Data 14-9-2026'!H:H)</f>
        <v>2026-06-24 - 2026-07-23</v>
      </c>
      <c r="I245" s="13" t="str">
        <f t="shared" si="3"/>
        <v>June</v>
      </c>
      <c r="J245" s="13" t="s">
        <v>1386</v>
      </c>
      <c r="K245" s="13" t="s">
        <v>1386</v>
      </c>
      <c r="L245" s="13" t="s">
        <v>441</v>
      </c>
      <c r="M245" s="15">
        <v>200003157610020</v>
      </c>
      <c r="N245" s="13" t="s">
        <v>924</v>
      </c>
      <c r="O245" s="13">
        <v>1.0912026062000099E+17</v>
      </c>
      <c r="P245" s="13" t="s">
        <v>1381</v>
      </c>
      <c r="Q245" s="18">
        <v>5</v>
      </c>
      <c r="R245" s="18">
        <v>1</v>
      </c>
      <c r="S245" s="13">
        <v>8828132635</v>
      </c>
      <c r="T245" s="13" t="s">
        <v>926</v>
      </c>
      <c r="U245" s="19">
        <v>34220600</v>
      </c>
      <c r="V245" s="18">
        <v>1</v>
      </c>
      <c r="W245" s="18">
        <f>_xlfn.XLOOKUP(J245,'Master Data 14-9-2026'!C:C,'Master Data 14-9-2026'!L:L)</f>
        <v>0</v>
      </c>
      <c r="X245" s="23">
        <v>34220600</v>
      </c>
      <c r="Y245" s="13" t="s">
        <v>1325</v>
      </c>
      <c r="Z245" s="24" t="str">
        <f>_xlfn.XLOOKUP(J245,'Master Data 14-9-2026'!C:C,'Master Data 14-9-2026'!I:I)</f>
        <v>Ended</v>
      </c>
      <c r="AA245" s="13"/>
      <c r="AC245" s="4"/>
      <c r="AD245" s="13"/>
      <c r="AE245" s="13" t="str">
        <f>_xlfn.XLOOKUP(L245,'[1]ID PROJECT'!E:E,'[1]ID PROJECT'!F:F)</f>
        <v xml:space="preserve">PRJ-KUT-KPU-TPED-2026-04-00071 </v>
      </c>
      <c r="AF245" s="13"/>
      <c r="AG245" s="13"/>
      <c r="AH245" s="65"/>
      <c r="AI245" s="27"/>
    </row>
    <row r="246" spans="1:35" hidden="1">
      <c r="A246" s="13" t="s">
        <v>1387</v>
      </c>
      <c r="B246" s="13" t="e">
        <f>_xlfn.XLOOKUP(J246,'Master Data 14-9-2026'!C:C,'Master Data 14-9-2026'!D:D)</f>
        <v>#N/A</v>
      </c>
      <c r="C246" s="13"/>
      <c r="D246" s="13" t="e">
        <f>_xlfn.XLOOKUP(J246,'Master Data 14-9-2026'!C:C,'Master Data 14-9-2026'!E:E)</f>
        <v>#N/A</v>
      </c>
      <c r="E246" s="13"/>
      <c r="F246" s="13"/>
      <c r="G246" s="13" t="s">
        <v>13</v>
      </c>
      <c r="H246" s="13" t="e">
        <f>_xlfn.XLOOKUP(J246,'Master Data 14-9-2026'!C:C,'Master Data 14-9-2026'!H:H)</f>
        <v>#N/A</v>
      </c>
      <c r="I246" s="13" t="e">
        <f t="shared" si="3"/>
        <v>#N/A</v>
      </c>
      <c r="J246" s="13" t="s">
        <v>1388</v>
      </c>
      <c r="K246" s="13" t="s">
        <v>1388</v>
      </c>
      <c r="L246" s="13" t="s">
        <v>441</v>
      </c>
      <c r="M246" s="15">
        <v>200003157540020</v>
      </c>
      <c r="N246" s="13" t="s">
        <v>924</v>
      </c>
      <c r="O246" s="13">
        <v>1.0912026062000099E+17</v>
      </c>
      <c r="P246" s="13" t="s">
        <v>1381</v>
      </c>
      <c r="Q246" s="18">
        <v>6</v>
      </c>
      <c r="R246" s="18">
        <v>1</v>
      </c>
      <c r="S246" s="13">
        <v>8828132635</v>
      </c>
      <c r="T246" s="13" t="s">
        <v>926</v>
      </c>
      <c r="U246" s="19">
        <v>34220600</v>
      </c>
      <c r="V246" s="18">
        <v>1</v>
      </c>
      <c r="W246" s="18" t="e">
        <f>_xlfn.XLOOKUP(J246,'Master Data 14-9-2026'!C:C,'Master Data 14-9-2026'!L:L)</f>
        <v>#N/A</v>
      </c>
      <c r="X246" s="23">
        <v>34220600</v>
      </c>
      <c r="Y246" s="13" t="s">
        <v>1325</v>
      </c>
      <c r="Z246" s="24" t="s">
        <v>15</v>
      </c>
      <c r="AB246" s="13" t="s">
        <v>1126</v>
      </c>
      <c r="AC246" s="13"/>
      <c r="AD246" s="13"/>
      <c r="AE246" s="13" t="str">
        <f>_xlfn.XLOOKUP(L246,'[1]ID PROJECT'!E:E,'[1]ID PROJECT'!F:F)</f>
        <v xml:space="preserve">PRJ-KUT-KPU-TPED-2026-04-00071 </v>
      </c>
      <c r="AF246" s="13"/>
      <c r="AG246" s="13"/>
      <c r="AH246" s="65"/>
      <c r="AI246" s="27"/>
    </row>
    <row r="247" spans="1:35" hidden="1">
      <c r="A247" s="13" t="s">
        <v>566</v>
      </c>
      <c r="B247" s="13" t="str">
        <f>_xlfn.XLOOKUP(J247,'Master Data 14-9-2026'!C:C,'Master Data 14-9-2026'!D:D)</f>
        <v>Donny Kesumo Widodo wx1524105</v>
      </c>
      <c r="C247" s="13"/>
      <c r="D247" s="13" t="str">
        <f>_xlfn.XLOOKUP(J247,'Master Data 14-9-2026'!C:C,'Master Data 14-9-2026'!E:E)</f>
        <v>IOH</v>
      </c>
      <c r="E247" s="13"/>
      <c r="F247" s="13"/>
      <c r="G247" s="13" t="s">
        <v>18</v>
      </c>
      <c r="H247" s="13" t="str">
        <f>_xlfn.XLOOKUP(J247,'Master Data 14-9-2026'!C:C,'Master Data 14-9-2026'!H:H)</f>
        <v>2026-07-03 - 2026-08-02</v>
      </c>
      <c r="I247" s="13" t="str">
        <f t="shared" si="3"/>
        <v>July</v>
      </c>
      <c r="J247" s="13" t="s">
        <v>1389</v>
      </c>
      <c r="K247" s="13" t="s">
        <v>1389</v>
      </c>
      <c r="L247" s="13" t="s">
        <v>457</v>
      </c>
      <c r="M247" s="15">
        <v>200003157549020</v>
      </c>
      <c r="N247" s="13" t="s">
        <v>924</v>
      </c>
      <c r="O247" s="13">
        <v>1.0912026062000099E+17</v>
      </c>
      <c r="P247" s="13" t="s">
        <v>1381</v>
      </c>
      <c r="Q247" s="18">
        <v>7</v>
      </c>
      <c r="R247" s="18">
        <v>1</v>
      </c>
      <c r="S247" s="13">
        <v>8828132634</v>
      </c>
      <c r="T247" s="13" t="s">
        <v>978</v>
      </c>
      <c r="U247" s="19">
        <v>32542400</v>
      </c>
      <c r="V247" s="18">
        <v>1</v>
      </c>
      <c r="W247" s="18">
        <f>_xlfn.XLOOKUP(J247,'Master Data 14-9-2026'!C:C,'Master Data 14-9-2026'!L:L)</f>
        <v>0.5</v>
      </c>
      <c r="X247" s="23">
        <v>32542400</v>
      </c>
      <c r="Y247" s="13" t="s">
        <v>1325</v>
      </c>
      <c r="Z247" s="24" t="s">
        <v>15</v>
      </c>
      <c r="AA247" s="13" t="s">
        <v>1288</v>
      </c>
      <c r="AB247" s="13" t="s">
        <v>1289</v>
      </c>
      <c r="AC247" s="13"/>
      <c r="AD247" s="13"/>
      <c r="AE247" s="13" t="str">
        <f>_xlfn.XLOOKUP(L247,'[1]ID PROJECT'!E:E,'[1]ID PROJECT'!F:F)</f>
        <v>PRJ-KUT-KPU-TPED-2026-04-00076</v>
      </c>
      <c r="AF247" s="13"/>
      <c r="AG247" s="13"/>
      <c r="AH247" s="65"/>
      <c r="AI247" s="27"/>
    </row>
    <row r="248" spans="1:35" hidden="1">
      <c r="A248" s="13" t="s">
        <v>1387</v>
      </c>
      <c r="B248" s="13" t="e">
        <f>_xlfn.XLOOKUP(J248,'Master Data 14-9-2026'!C:C,'Master Data 14-9-2026'!D:D)</f>
        <v>#N/A</v>
      </c>
      <c r="C248" s="13"/>
      <c r="D248" s="13" t="e">
        <f>_xlfn.XLOOKUP(J248,'Master Data 14-9-2026'!C:C,'Master Data 14-9-2026'!E:E)</f>
        <v>#N/A</v>
      </c>
      <c r="E248" s="13"/>
      <c r="F248" s="13"/>
      <c r="G248" s="13" t="s">
        <v>18</v>
      </c>
      <c r="H248" s="13" t="e">
        <f>_xlfn.XLOOKUP(J248,'Master Data 14-9-2026'!C:C,'Master Data 14-9-2026'!H:H)</f>
        <v>#N/A</v>
      </c>
      <c r="I248" s="13" t="e">
        <f t="shared" si="3"/>
        <v>#N/A</v>
      </c>
      <c r="J248" s="13" t="s">
        <v>1390</v>
      </c>
      <c r="K248" s="13" t="s">
        <v>1390</v>
      </c>
      <c r="L248" s="13" t="s">
        <v>441</v>
      </c>
      <c r="M248" s="15">
        <v>200003157541020</v>
      </c>
      <c r="N248" s="13" t="s">
        <v>924</v>
      </c>
      <c r="O248" s="13">
        <v>1.0912026062000099E+17</v>
      </c>
      <c r="P248" s="13" t="s">
        <v>1381</v>
      </c>
      <c r="Q248" s="18">
        <v>8</v>
      </c>
      <c r="R248" s="18">
        <v>1</v>
      </c>
      <c r="S248" s="13">
        <v>8828132635</v>
      </c>
      <c r="T248" s="13" t="s">
        <v>926</v>
      </c>
      <c r="U248" s="19">
        <v>34220600</v>
      </c>
      <c r="V248" s="18">
        <v>1</v>
      </c>
      <c r="W248" s="18" t="e">
        <f>_xlfn.XLOOKUP(J248,'Master Data 14-9-2026'!C:C,'Master Data 14-9-2026'!L:L)</f>
        <v>#N/A</v>
      </c>
      <c r="X248" s="23">
        <v>34220600</v>
      </c>
      <c r="Y248" s="13" t="s">
        <v>1325</v>
      </c>
      <c r="Z248" s="24" t="s">
        <v>15</v>
      </c>
      <c r="AB248" s="13" t="s">
        <v>1126</v>
      </c>
      <c r="AC248" s="13"/>
      <c r="AD248" s="13"/>
      <c r="AE248" s="13" t="str">
        <f>_xlfn.XLOOKUP(L248,'[1]ID PROJECT'!E:E,'[1]ID PROJECT'!F:F)</f>
        <v xml:space="preserve">PRJ-KUT-KPU-TPED-2026-04-00071 </v>
      </c>
      <c r="AF248" s="13"/>
      <c r="AG248" s="13"/>
      <c r="AH248" s="65"/>
      <c r="AI248" s="27"/>
    </row>
    <row r="249" spans="1:35">
      <c r="A249" s="13" t="s">
        <v>46</v>
      </c>
      <c r="B249" s="13" t="str">
        <f>_xlfn.XLOOKUP(J249,'Master Data 14-9-2026'!C:C,'Master Data 14-9-2026'!D:D)</f>
        <v>Hyang Iman Kinasih Gusti wx1503650</v>
      </c>
      <c r="C249" s="13"/>
      <c r="D249" s="13" t="str">
        <f>_xlfn.XLOOKUP(J249,'Master Data 14-9-2026'!C:C,'Master Data 14-9-2026'!E:E)</f>
        <v>IOH</v>
      </c>
      <c r="E249" s="13" t="s">
        <v>1033</v>
      </c>
      <c r="F249" s="13"/>
      <c r="G249" s="13" t="s">
        <v>18</v>
      </c>
      <c r="H249" s="13" t="str">
        <f>_xlfn.XLOOKUP(J249,'Master Data 14-9-2026'!C:C,'Master Data 14-9-2026'!H:H)</f>
        <v>2026-04-23 - 2026-05-22</v>
      </c>
      <c r="I249" s="13" t="str">
        <f t="shared" si="3"/>
        <v>April</v>
      </c>
      <c r="J249" s="13" t="s">
        <v>1391</v>
      </c>
      <c r="K249" s="13" t="s">
        <v>1391</v>
      </c>
      <c r="L249" s="13" t="s">
        <v>457</v>
      </c>
      <c r="M249" s="15">
        <v>200003157565020</v>
      </c>
      <c r="N249" s="13" t="s">
        <v>924</v>
      </c>
      <c r="O249" s="13">
        <v>1.0912026062000099E+17</v>
      </c>
      <c r="P249" s="13" t="s">
        <v>1381</v>
      </c>
      <c r="Q249" s="18">
        <v>9</v>
      </c>
      <c r="R249" s="18">
        <v>1</v>
      </c>
      <c r="S249" s="13">
        <v>8828132633</v>
      </c>
      <c r="T249" s="13" t="s">
        <v>951</v>
      </c>
      <c r="U249" s="19">
        <v>28881900</v>
      </c>
      <c r="V249" s="18">
        <v>1</v>
      </c>
      <c r="W249" s="18">
        <f>_xlfn.XLOOKUP(J249,'Master Data 14-9-2026'!C:C,'Master Data 14-9-2026'!L:L)</f>
        <v>1.5</v>
      </c>
      <c r="X249" s="23">
        <v>28881900</v>
      </c>
      <c r="Y249" s="13" t="s">
        <v>1325</v>
      </c>
      <c r="Z249" s="24" t="s">
        <v>15</v>
      </c>
      <c r="AA249" s="4" t="s">
        <v>934</v>
      </c>
      <c r="AB249" s="13"/>
      <c r="AC249" s="13" t="s">
        <v>965</v>
      </c>
      <c r="AD249" s="13" t="s">
        <v>935</v>
      </c>
      <c r="AE249" s="13" t="str">
        <f>_xlfn.XLOOKUP(L249,'[1]ID PROJECT'!E:E,'[1]ID PROJECT'!F:F)</f>
        <v>PRJ-KUT-KPU-TPED-2026-04-00076</v>
      </c>
      <c r="AF249" s="4" t="s">
        <v>1392</v>
      </c>
      <c r="AG249" s="40" t="s">
        <v>3393</v>
      </c>
      <c r="AH249" s="65">
        <v>46267</v>
      </c>
      <c r="AI249" s="27" t="s">
        <v>967</v>
      </c>
    </row>
    <row r="250" spans="1:35" hidden="1">
      <c r="A250" s="13" t="s">
        <v>641</v>
      </c>
      <c r="B250" s="13" t="str">
        <f>_xlfn.XLOOKUP(J250,'Master Data 14-9-2026'!C:C,'Master Data 14-9-2026'!D:D)</f>
        <v>Boy Frahansah Berutu wx1520523</v>
      </c>
      <c r="C250" s="13"/>
      <c r="D250" s="13" t="str">
        <f>_xlfn.XLOOKUP(J250,'Master Data 14-9-2026'!C:C,'Master Data 14-9-2026'!E:E)</f>
        <v>IOH</v>
      </c>
      <c r="E250" s="13"/>
      <c r="F250" s="13"/>
      <c r="G250" s="13" t="s">
        <v>18</v>
      </c>
      <c r="H250" s="13" t="str">
        <f>_xlfn.XLOOKUP(J250,'Master Data 14-9-2026'!C:C,'Master Data 14-9-2026'!H:H)</f>
        <v>2026-06-15 - 2026-07-14</v>
      </c>
      <c r="I250" s="13" t="str">
        <f t="shared" si="3"/>
        <v>June</v>
      </c>
      <c r="J250" s="13" t="s">
        <v>1393</v>
      </c>
      <c r="K250" s="13" t="s">
        <v>1393</v>
      </c>
      <c r="L250" s="13" t="s">
        <v>441</v>
      </c>
      <c r="M250" s="15">
        <v>200003157542020</v>
      </c>
      <c r="N250" s="13" t="s">
        <v>924</v>
      </c>
      <c r="O250" s="13">
        <v>1.0912026062000099E+17</v>
      </c>
      <c r="P250" s="13" t="s">
        <v>1381</v>
      </c>
      <c r="Q250" s="18">
        <v>10</v>
      </c>
      <c r="R250" s="18">
        <v>1</v>
      </c>
      <c r="S250" s="13">
        <v>8828132634</v>
      </c>
      <c r="T250" s="13" t="s">
        <v>978</v>
      </c>
      <c r="U250" s="19">
        <v>32542400</v>
      </c>
      <c r="V250" s="18">
        <v>1</v>
      </c>
      <c r="W250" s="18">
        <f>_xlfn.XLOOKUP(J250,'Master Data 14-9-2026'!C:C,'Master Data 14-9-2026'!L:L)</f>
        <v>0</v>
      </c>
      <c r="X250" s="23">
        <v>32542400</v>
      </c>
      <c r="Y250" s="13" t="s">
        <v>1325</v>
      </c>
      <c r="Z250" s="24" t="str">
        <f>_xlfn.XLOOKUP(J250,'Master Data 14-9-2026'!C:C,'Master Data 14-9-2026'!I:I)</f>
        <v>Ended</v>
      </c>
      <c r="AA250" s="13"/>
      <c r="AB250" s="39" t="s">
        <v>44</v>
      </c>
      <c r="AC250" s="4" t="s">
        <v>1113</v>
      </c>
      <c r="AD250" s="13"/>
      <c r="AE250" s="13" t="str">
        <f>_xlfn.XLOOKUP(L250,'[1]ID PROJECT'!E:E,'[1]ID PROJECT'!F:F)</f>
        <v xml:space="preserve">PRJ-KUT-KPU-TPED-2026-04-00071 </v>
      </c>
      <c r="AF250" s="13"/>
      <c r="AG250" s="13"/>
      <c r="AH250" s="65"/>
      <c r="AI250" s="27"/>
    </row>
    <row r="251" spans="1:35" hidden="1">
      <c r="A251" s="13" t="s">
        <v>717</v>
      </c>
      <c r="B251" s="13" t="str">
        <f>_xlfn.XLOOKUP(J251,'Master Data 14-9-2026'!C:C,'Master Data 14-9-2026'!D:D)</f>
        <v>Johannes Julfery Damanik wx1504705</v>
      </c>
      <c r="C251" s="13"/>
      <c r="D251" s="13" t="str">
        <f>_xlfn.XLOOKUP(J251,'Master Data 14-9-2026'!C:C,'Master Data 14-9-2026'!E:E)</f>
        <v>IOH</v>
      </c>
      <c r="E251" s="13"/>
      <c r="F251" s="13"/>
      <c r="G251" s="13" t="s">
        <v>18</v>
      </c>
      <c r="H251" s="13" t="str">
        <f>_xlfn.XLOOKUP(J251,'Master Data 14-9-2026'!C:C,'Master Data 14-9-2026'!H:H)</f>
        <v>2026-04-23 - 2026-05-22</v>
      </c>
      <c r="I251" s="13" t="str">
        <f t="shared" si="3"/>
        <v>April</v>
      </c>
      <c r="J251" s="13" t="s">
        <v>1394</v>
      </c>
      <c r="K251" s="13" t="s">
        <v>1394</v>
      </c>
      <c r="L251" s="13" t="s">
        <v>493</v>
      </c>
      <c r="M251" s="15">
        <v>200003157571020</v>
      </c>
      <c r="N251" s="13" t="s">
        <v>924</v>
      </c>
      <c r="O251" s="13">
        <v>1.0912026062000099E+17</v>
      </c>
      <c r="P251" s="13" t="s">
        <v>1381</v>
      </c>
      <c r="Q251" s="18">
        <v>11</v>
      </c>
      <c r="R251" s="18">
        <v>1</v>
      </c>
      <c r="S251" s="13">
        <v>8828132635</v>
      </c>
      <c r="T251" s="13" t="s">
        <v>926</v>
      </c>
      <c r="U251" s="19">
        <v>34220600</v>
      </c>
      <c r="V251" s="18">
        <v>1</v>
      </c>
      <c r="W251" s="18">
        <f>_xlfn.XLOOKUP(J251,'Master Data 14-9-2026'!C:C,'Master Data 14-9-2026'!L:L)</f>
        <v>1.5</v>
      </c>
      <c r="X251" s="23">
        <v>34220600</v>
      </c>
      <c r="Y251" s="13" t="s">
        <v>1325</v>
      </c>
      <c r="Z251" s="24" t="s">
        <v>15</v>
      </c>
      <c r="AA251" s="13" t="s">
        <v>934</v>
      </c>
      <c r="AC251" s="4"/>
      <c r="AD251" s="13" t="s">
        <v>935</v>
      </c>
      <c r="AE251" s="13" t="str">
        <f>_xlfn.XLOOKUP(L251,'[1]ID PROJECT'!E:E,'[1]ID PROJECT'!F:F)</f>
        <v>PRJ-KUT-KPU-TPED-2026-04-00079</v>
      </c>
      <c r="AF251" s="4" t="s">
        <v>1395</v>
      </c>
      <c r="AG251" s="13" t="s">
        <v>1396</v>
      </c>
      <c r="AH251" s="65">
        <v>46226</v>
      </c>
      <c r="AI251" s="27" t="s">
        <v>938</v>
      </c>
    </row>
    <row r="252" spans="1:35" hidden="1">
      <c r="A252" s="13" t="s">
        <v>46</v>
      </c>
      <c r="B252" s="13" t="str">
        <f>_xlfn.XLOOKUP(J252,'Master Data 14-9-2026'!C:C,'Master Data 14-9-2026'!D:D)</f>
        <v>Hyang Iman Kinasih Gusti wx1503650</v>
      </c>
      <c r="C252" s="13"/>
      <c r="D252" s="13" t="str">
        <f>_xlfn.XLOOKUP(J252,'Master Data 14-9-2026'!C:C,'Master Data 14-9-2026'!E:E)</f>
        <v>IOH</v>
      </c>
      <c r="E252" s="13"/>
      <c r="F252" s="13"/>
      <c r="G252" s="13" t="s">
        <v>22</v>
      </c>
      <c r="H252" s="13" t="str">
        <f>_xlfn.XLOOKUP(J252,'Master Data 14-9-2026'!C:C,'Master Data 14-9-2026'!H:H)</f>
        <v>2026-05-23 - 2026-06-22</v>
      </c>
      <c r="I252" s="13" t="str">
        <f t="shared" si="3"/>
        <v>May</v>
      </c>
      <c r="J252" s="13" t="s">
        <v>1397</v>
      </c>
      <c r="K252" s="13" t="s">
        <v>1397</v>
      </c>
      <c r="L252" s="13" t="s">
        <v>457</v>
      </c>
      <c r="M252" s="15">
        <v>200003157566020</v>
      </c>
      <c r="N252" s="13" t="s">
        <v>924</v>
      </c>
      <c r="O252" s="13">
        <v>1.0912026062000099E+17</v>
      </c>
      <c r="P252" s="13" t="s">
        <v>1381</v>
      </c>
      <c r="Q252" s="18">
        <v>12</v>
      </c>
      <c r="R252" s="18">
        <v>1</v>
      </c>
      <c r="S252" s="13">
        <v>8828132633</v>
      </c>
      <c r="T252" s="13" t="s">
        <v>951</v>
      </c>
      <c r="U252" s="19">
        <v>28881900</v>
      </c>
      <c r="V252" s="18">
        <v>1</v>
      </c>
      <c r="W252" s="18">
        <f>_xlfn.XLOOKUP(J252,'Master Data 14-9-2026'!C:C,'Master Data 14-9-2026'!L:L)</f>
        <v>1.5</v>
      </c>
      <c r="X252" s="23">
        <v>28881900</v>
      </c>
      <c r="Y252" s="13" t="s">
        <v>1325</v>
      </c>
      <c r="Z252" s="24" t="s">
        <v>984</v>
      </c>
      <c r="AA252" s="13"/>
      <c r="AC252" s="4"/>
      <c r="AD252" s="13"/>
      <c r="AE252" s="13" t="str">
        <f>_xlfn.XLOOKUP(L252,'[1]ID PROJECT'!E:E,'[1]ID PROJECT'!F:F)</f>
        <v>PRJ-KUT-KPU-TPED-2026-04-00076</v>
      </c>
      <c r="AF252" s="13"/>
      <c r="AG252" s="13"/>
      <c r="AH252" s="65"/>
      <c r="AI252" s="27"/>
    </row>
    <row r="253" spans="1:35" hidden="1">
      <c r="A253" s="13" t="s">
        <v>666</v>
      </c>
      <c r="B253" s="13" t="str">
        <f>_xlfn.XLOOKUP(J253,'Master Data 14-9-2026'!C:C,'Master Data 14-9-2026'!D:D)</f>
        <v>Amar Aditia Wilujeng wx1520521</v>
      </c>
      <c r="C253" s="13"/>
      <c r="D253" s="13" t="str">
        <f>_xlfn.XLOOKUP(J253,'Master Data 14-9-2026'!C:C,'Master Data 14-9-2026'!E:E)</f>
        <v>IOH</v>
      </c>
      <c r="E253" s="13"/>
      <c r="F253" s="13"/>
      <c r="G253" s="13" t="s">
        <v>22</v>
      </c>
      <c r="H253" s="13" t="str">
        <f>_xlfn.XLOOKUP(J253,'Master Data 14-9-2026'!C:C,'Master Data 14-9-2026'!H:H)</f>
        <v>2026-07-15 - 2026-08-14</v>
      </c>
      <c r="I253" s="13" t="str">
        <f t="shared" si="3"/>
        <v>July</v>
      </c>
      <c r="J253" s="13" t="s">
        <v>1398</v>
      </c>
      <c r="K253" s="13" t="s">
        <v>1398</v>
      </c>
      <c r="L253" s="13" t="s">
        <v>441</v>
      </c>
      <c r="M253" s="15">
        <v>200003157536020</v>
      </c>
      <c r="N253" s="13" t="s">
        <v>924</v>
      </c>
      <c r="O253" s="13">
        <v>1.0912026062000099E+17</v>
      </c>
      <c r="P253" s="13" t="s">
        <v>1381</v>
      </c>
      <c r="Q253" s="18">
        <v>13</v>
      </c>
      <c r="R253" s="18">
        <v>1</v>
      </c>
      <c r="S253" s="13">
        <v>8828132634</v>
      </c>
      <c r="T253" s="13" t="s">
        <v>978</v>
      </c>
      <c r="U253" s="19">
        <v>32542400</v>
      </c>
      <c r="V253" s="18">
        <v>1</v>
      </c>
      <c r="W253" s="18">
        <f>_xlfn.XLOOKUP(J253,'Master Data 14-9-2026'!C:C,'Master Data 14-9-2026'!L:L)</f>
        <v>0</v>
      </c>
      <c r="X253" s="23">
        <v>32542400</v>
      </c>
      <c r="Y253" s="13" t="s">
        <v>1325</v>
      </c>
      <c r="Z253" s="24" t="s">
        <v>15</v>
      </c>
      <c r="AA253" s="13"/>
      <c r="AC253" s="4"/>
      <c r="AD253" s="13"/>
      <c r="AE253" s="13" t="str">
        <f>_xlfn.XLOOKUP(L253,'[1]ID PROJECT'!E:E,'[1]ID PROJECT'!F:F)</f>
        <v xml:space="preserve">PRJ-KUT-KPU-TPED-2026-04-00071 </v>
      </c>
      <c r="AF253" s="13"/>
      <c r="AG253" s="13"/>
      <c r="AH253" s="65"/>
      <c r="AI253" s="27"/>
    </row>
    <row r="254" spans="1:35" hidden="1">
      <c r="A254" s="13" t="s">
        <v>65</v>
      </c>
      <c r="B254" s="13" t="str">
        <f>_xlfn.XLOOKUP(J254,'Master Data 14-9-2026'!C:C,'Master Data 14-9-2026'!D:D)</f>
        <v>Dwi Nofianti wx1524844</v>
      </c>
      <c r="C254" s="13"/>
      <c r="D254" s="13" t="str">
        <f>_xlfn.XLOOKUP(J254,'Master Data 14-9-2026'!C:C,'Master Data 14-9-2026'!E:E)</f>
        <v>IOH</v>
      </c>
      <c r="E254" s="13"/>
      <c r="F254" s="13"/>
      <c r="G254" s="13" t="s">
        <v>13</v>
      </c>
      <c r="H254" s="13" t="str">
        <f>_xlfn.XLOOKUP(J254,'Master Data 14-9-2026'!C:C,'Master Data 14-9-2026'!H:H)</f>
        <v>2026-06-03 - 2026-07-02</v>
      </c>
      <c r="I254" s="13" t="str">
        <f t="shared" si="3"/>
        <v>June</v>
      </c>
      <c r="J254" s="13" t="s">
        <v>1399</v>
      </c>
      <c r="K254" s="13" t="s">
        <v>1399</v>
      </c>
      <c r="L254" s="13" t="s">
        <v>468</v>
      </c>
      <c r="M254" s="15">
        <v>200003157550020</v>
      </c>
      <c r="N254" s="13" t="s">
        <v>924</v>
      </c>
      <c r="O254" s="13">
        <v>1.0912026062000099E+17</v>
      </c>
      <c r="P254" s="13" t="s">
        <v>1381</v>
      </c>
      <c r="Q254" s="18">
        <v>14</v>
      </c>
      <c r="R254" s="18">
        <v>1</v>
      </c>
      <c r="S254" s="13">
        <v>8828132633</v>
      </c>
      <c r="T254" s="13" t="s">
        <v>951</v>
      </c>
      <c r="U254" s="19">
        <v>28881900</v>
      </c>
      <c r="V254" s="18">
        <v>1</v>
      </c>
      <c r="W254" s="18">
        <f>_xlfn.XLOOKUP(J254,'Master Data 14-9-2026'!C:C,'Master Data 14-9-2026'!L:L)</f>
        <v>1.5</v>
      </c>
      <c r="X254" s="23">
        <v>28881900</v>
      </c>
      <c r="Y254" s="13" t="s">
        <v>1325</v>
      </c>
      <c r="Z254" s="24" t="str">
        <f>_xlfn.XLOOKUP(J254,'Master Data 14-9-2026'!C:C,'Master Data 14-9-2026'!I:I)</f>
        <v>Ended</v>
      </c>
      <c r="AA254" s="4" t="s">
        <v>1288</v>
      </c>
      <c r="AB254" s="40" t="s">
        <v>4189</v>
      </c>
      <c r="AC254" s="13"/>
      <c r="AD254" s="13"/>
      <c r="AE254" s="13" t="str">
        <f>_xlfn.XLOOKUP(L254,'[1]ID PROJECT'!E:E,'[1]ID PROJECT'!F:F)</f>
        <v>PRJ-KUT-KPU-TPED-2026-04-00075</v>
      </c>
      <c r="AF254" s="13"/>
      <c r="AG254" s="13"/>
      <c r="AH254" s="65"/>
      <c r="AI254" s="27"/>
    </row>
    <row r="255" spans="1:35" hidden="1">
      <c r="A255" s="13" t="s">
        <v>1400</v>
      </c>
      <c r="B255" s="13" t="str">
        <f>_xlfn.XLOOKUP(J255,'Master Data 14-9-2026'!C:C,'Master Data 14-9-2026'!D:D)</f>
        <v>Wahyuni wx1504701</v>
      </c>
      <c r="C255" s="13"/>
      <c r="D255" s="13" t="str">
        <f>_xlfn.XLOOKUP(J255,'Master Data 14-9-2026'!C:C,'Master Data 14-9-2026'!E:E)</f>
        <v>Platform Region</v>
      </c>
      <c r="E255" s="13"/>
      <c r="F255" s="13"/>
      <c r="G255" s="13" t="s">
        <v>18</v>
      </c>
      <c r="H255" s="13" t="str">
        <f>_xlfn.XLOOKUP(J255,'Master Data 14-9-2026'!C:C,'Master Data 14-9-2026'!H:H)</f>
        <v>2026-04-30 - 2026-05-29</v>
      </c>
      <c r="I255" s="13" t="str">
        <f t="shared" si="3"/>
        <v>April</v>
      </c>
      <c r="J255" s="13" t="s">
        <v>1401</v>
      </c>
      <c r="K255" s="13" t="s">
        <v>1401</v>
      </c>
      <c r="L255" s="13" t="s">
        <v>500</v>
      </c>
      <c r="M255" s="15">
        <v>200003157605020</v>
      </c>
      <c r="N255" s="13" t="s">
        <v>924</v>
      </c>
      <c r="O255" s="13">
        <v>1.0912026062000099E+17</v>
      </c>
      <c r="P255" s="13" t="s">
        <v>1381</v>
      </c>
      <c r="Q255" s="18">
        <v>15</v>
      </c>
      <c r="R255" s="18">
        <v>1</v>
      </c>
      <c r="S255" s="13">
        <v>8828132633</v>
      </c>
      <c r="T255" s="13" t="s">
        <v>951</v>
      </c>
      <c r="U255" s="19">
        <v>28881900</v>
      </c>
      <c r="V255" s="18">
        <v>1</v>
      </c>
      <c r="W255" s="18">
        <f>_xlfn.XLOOKUP(J255,'Master Data 14-9-2026'!C:C,'Master Data 14-9-2026'!L:L)</f>
        <v>0.57999999999999996</v>
      </c>
      <c r="X255" s="23">
        <v>28881900</v>
      </c>
      <c r="Y255" s="13" t="s">
        <v>1325</v>
      </c>
      <c r="Z255" s="24" t="s">
        <v>15</v>
      </c>
      <c r="AA255" s="13" t="s">
        <v>934</v>
      </c>
      <c r="AC255" s="4"/>
      <c r="AD255" s="13" t="s">
        <v>935</v>
      </c>
      <c r="AE255" s="13" t="str">
        <f>_xlfn.XLOOKUP(L255,'[1]ID PROJECT'!E:E,'[1]ID PROJECT'!F:F)</f>
        <v>PRJ-KUT-KPU-TPED-2026-04-00080</v>
      </c>
      <c r="AF255" s="4" t="s">
        <v>1402</v>
      </c>
      <c r="AG255" s="4" t="s">
        <v>1403</v>
      </c>
      <c r="AH255" s="65">
        <v>46223</v>
      </c>
      <c r="AI255" s="27" t="s">
        <v>938</v>
      </c>
    </row>
    <row r="256" spans="1:35" hidden="1">
      <c r="A256" s="13" t="s">
        <v>435</v>
      </c>
      <c r="B256" s="13" t="str">
        <f>_xlfn.XLOOKUP(J256,'Master Data 14-9-2026'!C:C,'Master Data 14-9-2026'!D:D)</f>
        <v>Fasya Fatimma Azzhra wx1504711</v>
      </c>
      <c r="C256" s="13"/>
      <c r="D256" s="13" t="str">
        <f>_xlfn.XLOOKUP(J256,'Master Data 14-9-2026'!C:C,'Master Data 14-9-2026'!E:E)</f>
        <v>IOH</v>
      </c>
      <c r="E256" s="13"/>
      <c r="F256" s="13"/>
      <c r="G256" s="13" t="s">
        <v>25</v>
      </c>
      <c r="H256" s="13" t="str">
        <f>_xlfn.XLOOKUP(J256,'Master Data 14-9-2026'!C:C,'Master Data 14-9-2026'!H:H)</f>
        <v>2026-06-30 - 2026-07-30</v>
      </c>
      <c r="I256" s="13" t="str">
        <f t="shared" si="3"/>
        <v>June</v>
      </c>
      <c r="J256" s="13" t="s">
        <v>1404</v>
      </c>
      <c r="K256" s="13" t="s">
        <v>1404</v>
      </c>
      <c r="L256" s="13" t="s">
        <v>441</v>
      </c>
      <c r="M256" s="15">
        <v>200003157560020</v>
      </c>
      <c r="N256" s="13" t="s">
        <v>924</v>
      </c>
      <c r="O256" s="13">
        <v>1.0912026062000099E+17</v>
      </c>
      <c r="P256" s="13" t="s">
        <v>1381</v>
      </c>
      <c r="Q256" s="18">
        <v>16</v>
      </c>
      <c r="R256" s="18">
        <v>1</v>
      </c>
      <c r="S256" s="13">
        <v>8828132633</v>
      </c>
      <c r="T256" s="13" t="s">
        <v>951</v>
      </c>
      <c r="U256" s="19">
        <v>28881900</v>
      </c>
      <c r="V256" s="18">
        <v>1</v>
      </c>
      <c r="W256" s="18">
        <f>_xlfn.XLOOKUP(J256,'Master Data 14-9-2026'!C:C,'Master Data 14-9-2026'!L:L)</f>
        <v>0</v>
      </c>
      <c r="X256" s="23">
        <v>28881900</v>
      </c>
      <c r="Y256" s="13" t="s">
        <v>1325</v>
      </c>
      <c r="Z256" s="24" t="str">
        <f>_xlfn.XLOOKUP(J256,'Master Data 14-9-2026'!C:C,'Master Data 14-9-2026'!I:I)</f>
        <v>Ended</v>
      </c>
      <c r="AA256" s="13"/>
      <c r="AC256" s="4"/>
      <c r="AD256" s="13"/>
      <c r="AE256" s="13" t="str">
        <f>_xlfn.XLOOKUP(L256,'[1]ID PROJECT'!E:E,'[1]ID PROJECT'!F:F)</f>
        <v xml:space="preserve">PRJ-KUT-KPU-TPED-2026-04-00071 </v>
      </c>
      <c r="AF256" s="13"/>
      <c r="AG256" s="13"/>
      <c r="AH256" s="65"/>
      <c r="AI256" s="27"/>
    </row>
    <row r="257" spans="1:35" hidden="1">
      <c r="A257" s="13" t="s">
        <v>1405</v>
      </c>
      <c r="B257" s="13" t="str">
        <f>_xlfn.XLOOKUP(J257,'Master Data 14-9-2026'!C:C,'Master Data 14-9-2026'!D:D)</f>
        <v>Fitra Faradilla wx1504702</v>
      </c>
      <c r="C257" s="13"/>
      <c r="D257" s="13" t="str">
        <f>_xlfn.XLOOKUP(J257,'Master Data 14-9-2026'!C:C,'Master Data 14-9-2026'!E:E)</f>
        <v>IOH</v>
      </c>
      <c r="E257" s="13"/>
      <c r="F257" s="13"/>
      <c r="G257" s="13" t="s">
        <v>18</v>
      </c>
      <c r="H257" s="13" t="str">
        <f>_xlfn.XLOOKUP(J257,'Master Data 14-9-2026'!C:C,'Master Data 14-9-2026'!H:H)</f>
        <v>2026-04-30 - 2026-05-29</v>
      </c>
      <c r="I257" s="13" t="str">
        <f t="shared" si="3"/>
        <v>April</v>
      </c>
      <c r="J257" s="13" t="s">
        <v>1406</v>
      </c>
      <c r="K257" s="13" t="s">
        <v>1406</v>
      </c>
      <c r="L257" s="13" t="s">
        <v>500</v>
      </c>
      <c r="M257" s="15">
        <v>200003157561020</v>
      </c>
      <c r="N257" s="13" t="s">
        <v>924</v>
      </c>
      <c r="O257" s="13">
        <v>1.0912026062000099E+17</v>
      </c>
      <c r="P257" s="13" t="s">
        <v>1381</v>
      </c>
      <c r="Q257" s="18">
        <v>17</v>
      </c>
      <c r="R257" s="18">
        <v>1</v>
      </c>
      <c r="S257" s="13">
        <v>8828132633</v>
      </c>
      <c r="T257" s="13" t="s">
        <v>951</v>
      </c>
      <c r="U257" s="19">
        <v>28881900</v>
      </c>
      <c r="V257" s="18">
        <v>1</v>
      </c>
      <c r="W257" s="18">
        <f>_xlfn.XLOOKUP(J257,'Master Data 14-9-2026'!C:C,'Master Data 14-9-2026'!L:L)</f>
        <v>0.75</v>
      </c>
      <c r="X257" s="23">
        <v>28881900</v>
      </c>
      <c r="Y257" s="13" t="s">
        <v>1325</v>
      </c>
      <c r="Z257" s="24" t="s">
        <v>15</v>
      </c>
      <c r="AA257" s="13" t="s">
        <v>934</v>
      </c>
      <c r="AC257" s="4"/>
      <c r="AD257" s="13" t="s">
        <v>935</v>
      </c>
      <c r="AE257" s="13" t="str">
        <f>_xlfn.XLOOKUP(L257,'[1]ID PROJECT'!E:E,'[1]ID PROJECT'!F:F)</f>
        <v>PRJ-KUT-KPU-TPED-2026-04-00080</v>
      </c>
      <c r="AF257" s="4" t="s">
        <v>1402</v>
      </c>
      <c r="AG257" s="4" t="s">
        <v>1403</v>
      </c>
      <c r="AH257" s="65">
        <v>46223</v>
      </c>
      <c r="AI257" s="27" t="s">
        <v>938</v>
      </c>
    </row>
    <row r="258" spans="1:35">
      <c r="A258" s="13" t="s">
        <v>232</v>
      </c>
      <c r="B258" s="13" t="str">
        <f>_xlfn.XLOOKUP(J258,'Master Data 14-9-2026'!C:C,'Master Data 14-9-2026'!D:D)</f>
        <v>Fitra Faradilla wx1504702</v>
      </c>
      <c r="C258" s="13"/>
      <c r="D258" s="13" t="str">
        <f>_xlfn.XLOOKUP(J258,'Master Data 14-9-2026'!C:C,'Master Data 14-9-2026'!E:E)</f>
        <v>IOH</v>
      </c>
      <c r="E258" s="13"/>
      <c r="F258" s="13"/>
      <c r="G258" s="13" t="s">
        <v>22</v>
      </c>
      <c r="H258" s="13" t="str">
        <f>_xlfn.XLOOKUP(J258,'Master Data 14-9-2026'!C:C,'Master Data 14-9-2026'!H:H)</f>
        <v>2026-05-30 - 2026-06-29</v>
      </c>
      <c r="I258" s="13" t="str">
        <f t="shared" si="3"/>
        <v>May</v>
      </c>
      <c r="J258" s="13" t="s">
        <v>1407</v>
      </c>
      <c r="K258" s="13" t="s">
        <v>1407</v>
      </c>
      <c r="L258" s="13" t="s">
        <v>500</v>
      </c>
      <c r="M258" s="15">
        <v>200003157562020</v>
      </c>
      <c r="N258" s="13" t="s">
        <v>924</v>
      </c>
      <c r="O258" s="13">
        <v>1.0912026062000099E+17</v>
      </c>
      <c r="P258" s="13" t="s">
        <v>1381</v>
      </c>
      <c r="Q258" s="18">
        <v>18</v>
      </c>
      <c r="R258" s="18">
        <v>1</v>
      </c>
      <c r="S258" s="13">
        <v>8828132633</v>
      </c>
      <c r="T258" s="13" t="s">
        <v>951</v>
      </c>
      <c r="U258" s="19">
        <v>28881900</v>
      </c>
      <c r="V258" s="18">
        <v>1</v>
      </c>
      <c r="W258" s="18">
        <f>_xlfn.XLOOKUP(J258,'Master Data 14-9-2026'!C:C,'Master Data 14-9-2026'!L:L)</f>
        <v>1</v>
      </c>
      <c r="X258" s="23">
        <v>28881900</v>
      </c>
      <c r="Y258" s="13" t="s">
        <v>1325</v>
      </c>
      <c r="Z258" s="24" t="str">
        <f>_xlfn.XLOOKUP(J258,'Master Data 14-9-2026'!C:C,'Master Data 14-9-2026'!I:I)</f>
        <v>Ended</v>
      </c>
      <c r="AA258" s="13" t="s">
        <v>934</v>
      </c>
      <c r="AC258" s="4"/>
      <c r="AD258" s="13" t="s">
        <v>935</v>
      </c>
      <c r="AE258" s="13" t="str">
        <f>_xlfn.XLOOKUP(L258,'[1]ID PROJECT'!E:E,'[1]ID PROJECT'!F:F)</f>
        <v>PRJ-KUT-KPU-TPED-2026-04-00080</v>
      </c>
      <c r="AF258" s="4" t="s">
        <v>1392</v>
      </c>
      <c r="AG258" s="40" t="s">
        <v>3393</v>
      </c>
      <c r="AH258" s="65">
        <v>46267</v>
      </c>
      <c r="AI258" s="27" t="s">
        <v>967</v>
      </c>
    </row>
    <row r="259" spans="1:35" hidden="1">
      <c r="A259" s="13" t="s">
        <v>232</v>
      </c>
      <c r="B259" s="13" t="str">
        <f>_xlfn.XLOOKUP(J259,'Master Data 14-9-2026'!C:C,'Master Data 14-9-2026'!D:D)</f>
        <v>Fitra Faradilla wx1504702</v>
      </c>
      <c r="C259" s="13"/>
      <c r="D259" s="13" t="str">
        <f>_xlfn.XLOOKUP(J259,'Master Data 14-9-2026'!C:C,'Master Data 14-9-2026'!E:E)</f>
        <v>IOH</v>
      </c>
      <c r="E259" s="13"/>
      <c r="F259" s="13"/>
      <c r="G259" s="13" t="s">
        <v>25</v>
      </c>
      <c r="H259" s="13" t="str">
        <f>_xlfn.XLOOKUP(J259,'Master Data 14-9-2026'!C:C,'Master Data 14-9-2026'!H:H)</f>
        <v>2026-06-30 - 2026-07-29</v>
      </c>
      <c r="I259" s="13" t="str">
        <f t="shared" ref="I259:I322" si="4">TEXT(DATEVALUE(LEFT(H259,10)),"mmmm")</f>
        <v>June</v>
      </c>
      <c r="J259" s="13" t="s">
        <v>1408</v>
      </c>
      <c r="K259" s="13" t="s">
        <v>1408</v>
      </c>
      <c r="L259" s="13" t="s">
        <v>500</v>
      </c>
      <c r="M259" s="15">
        <v>200003157563020</v>
      </c>
      <c r="N259" s="13" t="s">
        <v>924</v>
      </c>
      <c r="O259" s="13">
        <v>1.0912026062000099E+17</v>
      </c>
      <c r="P259" s="13" t="s">
        <v>1381</v>
      </c>
      <c r="Q259" s="18">
        <v>19</v>
      </c>
      <c r="R259" s="18">
        <v>1</v>
      </c>
      <c r="S259" s="13">
        <v>8828132633</v>
      </c>
      <c r="T259" s="13" t="s">
        <v>951</v>
      </c>
      <c r="U259" s="19">
        <v>28881900</v>
      </c>
      <c r="V259" s="18">
        <v>1</v>
      </c>
      <c r="W259" s="18">
        <f>_xlfn.XLOOKUP(J259,'Master Data 14-9-2026'!C:C,'Master Data 14-9-2026'!L:L)</f>
        <v>1.44</v>
      </c>
      <c r="X259" s="23">
        <v>28881900</v>
      </c>
      <c r="Y259" s="13" t="s">
        <v>1325</v>
      </c>
      <c r="Z259" s="24" t="str">
        <f>_xlfn.XLOOKUP(J259,'Master Data 14-9-2026'!C:C,'Master Data 14-9-2026'!I:I)</f>
        <v>Ended</v>
      </c>
      <c r="AA259" s="13"/>
      <c r="AC259" s="4"/>
      <c r="AD259" s="13"/>
      <c r="AE259" s="13" t="str">
        <f>_xlfn.XLOOKUP(L259,'[1]ID PROJECT'!E:E,'[1]ID PROJECT'!F:F)</f>
        <v>PRJ-KUT-KPU-TPED-2026-04-00080</v>
      </c>
      <c r="AF259" s="13"/>
      <c r="AG259" s="13"/>
      <c r="AH259" s="65"/>
      <c r="AI259" s="27"/>
    </row>
    <row r="260" spans="1:35" hidden="1">
      <c r="A260" s="13" t="s">
        <v>516</v>
      </c>
      <c r="B260" s="13" t="str">
        <f>_xlfn.XLOOKUP(J260,'Master Data 14-9-2026'!C:C,'Master Data 14-9-2026'!D:D)</f>
        <v>Gusti Wahyu Utomo wx1524845</v>
      </c>
      <c r="C260" s="13"/>
      <c r="D260" s="13" t="str">
        <f>_xlfn.XLOOKUP(J260,'Master Data 14-9-2026'!C:C,'Master Data 14-9-2026'!E:E)</f>
        <v>IOH</v>
      </c>
      <c r="E260" s="13"/>
      <c r="F260" s="13"/>
      <c r="G260" s="13" t="s">
        <v>13</v>
      </c>
      <c r="H260" s="13" t="str">
        <f>_xlfn.XLOOKUP(J260,'Master Data 14-9-2026'!C:C,'Master Data 14-9-2026'!H:H)</f>
        <v>2026-07-04 - 2026-08-03</v>
      </c>
      <c r="I260" s="13" t="str">
        <f t="shared" si="4"/>
        <v>July</v>
      </c>
      <c r="J260" s="13" t="s">
        <v>1409</v>
      </c>
      <c r="K260" s="13" t="s">
        <v>1409</v>
      </c>
      <c r="L260" s="13" t="s">
        <v>468</v>
      </c>
      <c r="M260" s="15">
        <v>200003157564020</v>
      </c>
      <c r="N260" s="13" t="s">
        <v>924</v>
      </c>
      <c r="O260" s="13">
        <v>1.0912026062000099E+17</v>
      </c>
      <c r="P260" s="13" t="s">
        <v>1381</v>
      </c>
      <c r="Q260" s="18">
        <v>20</v>
      </c>
      <c r="R260" s="18">
        <v>1</v>
      </c>
      <c r="S260" s="13">
        <v>8828132636</v>
      </c>
      <c r="T260" s="13" t="s">
        <v>933</v>
      </c>
      <c r="U260" s="19">
        <v>36992000</v>
      </c>
      <c r="V260" s="18">
        <v>1</v>
      </c>
      <c r="W260" s="18">
        <f>_xlfn.XLOOKUP(J260,'Master Data 14-9-2026'!C:C,'Master Data 14-9-2026'!L:L)</f>
        <v>0.5</v>
      </c>
      <c r="X260" s="23">
        <v>36992000</v>
      </c>
      <c r="Y260" s="13" t="s">
        <v>1325</v>
      </c>
      <c r="Z260" s="24" t="s">
        <v>15</v>
      </c>
      <c r="AB260" s="13" t="s">
        <v>1289</v>
      </c>
      <c r="AC260" s="13" t="s">
        <v>1113</v>
      </c>
      <c r="AD260" s="13"/>
      <c r="AE260" s="13" t="str">
        <f>_xlfn.XLOOKUP(L260,'[1]ID PROJECT'!E:E,'[1]ID PROJECT'!F:F)</f>
        <v>PRJ-KUT-KPU-TPED-2026-04-00075</v>
      </c>
      <c r="AF260" s="13"/>
      <c r="AG260" s="13"/>
      <c r="AH260" s="65"/>
      <c r="AI260" s="27"/>
    </row>
    <row r="261" spans="1:35" hidden="1">
      <c r="A261" s="13" t="s">
        <v>641</v>
      </c>
      <c r="B261" s="13" t="str">
        <f>_xlfn.XLOOKUP(J261,'Master Data 14-9-2026'!C:C,'Master Data 14-9-2026'!D:D)</f>
        <v>Boy Frahansah Berutu wx1520523</v>
      </c>
      <c r="C261" s="13"/>
      <c r="D261" s="13" t="str">
        <f>_xlfn.XLOOKUP(J261,'Master Data 14-9-2026'!C:C,'Master Data 14-9-2026'!E:E)</f>
        <v>IOH</v>
      </c>
      <c r="E261" s="13"/>
      <c r="F261" s="13"/>
      <c r="G261" s="13" t="s">
        <v>22</v>
      </c>
      <c r="H261" s="13" t="str">
        <f>_xlfn.XLOOKUP(J261,'Master Data 14-9-2026'!C:C,'Master Data 14-9-2026'!H:H)</f>
        <v>2026-07-15 - 2026-08-14</v>
      </c>
      <c r="I261" s="13" t="str">
        <f t="shared" si="4"/>
        <v>July</v>
      </c>
      <c r="J261" s="13" t="s">
        <v>1410</v>
      </c>
      <c r="K261" s="13" t="s">
        <v>1410</v>
      </c>
      <c r="L261" s="13" t="s">
        <v>441</v>
      </c>
      <c r="M261" s="15">
        <v>200003157543020</v>
      </c>
      <c r="N261" s="13" t="s">
        <v>924</v>
      </c>
      <c r="O261" s="13">
        <v>1.0912026062000099E+17</v>
      </c>
      <c r="P261" s="13" t="s">
        <v>1381</v>
      </c>
      <c r="Q261" s="18">
        <v>21</v>
      </c>
      <c r="R261" s="18">
        <v>1</v>
      </c>
      <c r="S261" s="13">
        <v>8828132634</v>
      </c>
      <c r="T261" s="13" t="s">
        <v>978</v>
      </c>
      <c r="U261" s="19">
        <v>32542400</v>
      </c>
      <c r="V261" s="18">
        <v>1</v>
      </c>
      <c r="W261" s="18">
        <f>_xlfn.XLOOKUP(J261,'Master Data 14-9-2026'!C:C,'Master Data 14-9-2026'!L:L)</f>
        <v>0</v>
      </c>
      <c r="X261" s="23">
        <v>32542400</v>
      </c>
      <c r="Y261" s="13" t="s">
        <v>1325</v>
      </c>
      <c r="Z261" s="24" t="s">
        <v>15</v>
      </c>
      <c r="AA261" s="13"/>
      <c r="AC261" s="4"/>
      <c r="AD261" s="13"/>
      <c r="AE261" s="13" t="str">
        <f>_xlfn.XLOOKUP(L261,'[1]ID PROJECT'!E:E,'[1]ID PROJECT'!F:F)</f>
        <v xml:space="preserve">PRJ-KUT-KPU-TPED-2026-04-00071 </v>
      </c>
      <c r="AF261" s="13"/>
      <c r="AG261" s="13"/>
      <c r="AH261" s="65"/>
      <c r="AI261" s="27"/>
    </row>
    <row r="262" spans="1:35">
      <c r="A262" s="13" t="s">
        <v>777</v>
      </c>
      <c r="B262" s="13" t="str">
        <f>_xlfn.XLOOKUP(J262,'Master Data 14-9-2026'!C:C,'Master Data 14-9-2026'!D:D)</f>
        <v>Chaerul Oky Suryatin wx1503975</v>
      </c>
      <c r="C262" s="13"/>
      <c r="D262" s="13" t="str">
        <f>_xlfn.XLOOKUP(J262,'Master Data 14-9-2026'!C:C,'Master Data 14-9-2026'!E:E)</f>
        <v>IOH</v>
      </c>
      <c r="E262" s="13"/>
      <c r="F262" s="13"/>
      <c r="G262" s="13" t="s">
        <v>18</v>
      </c>
      <c r="H262" s="13" t="str">
        <f>_xlfn.XLOOKUP(J262,'Master Data 14-9-2026'!C:C,'Master Data 14-9-2026'!H:H)</f>
        <v>2026-04-23 - 2026-05-22</v>
      </c>
      <c r="I262" s="13" t="str">
        <f t="shared" si="4"/>
        <v>April</v>
      </c>
      <c r="J262" s="13" t="s">
        <v>1411</v>
      </c>
      <c r="K262" s="13" t="s">
        <v>1411</v>
      </c>
      <c r="L262" s="13" t="s">
        <v>475</v>
      </c>
      <c r="M262" s="15">
        <v>200003157544020</v>
      </c>
      <c r="N262" s="13" t="s">
        <v>924</v>
      </c>
      <c r="O262" s="13">
        <v>1.0912026062000099E+17</v>
      </c>
      <c r="P262" s="13" t="s">
        <v>1381</v>
      </c>
      <c r="Q262" s="18">
        <v>22</v>
      </c>
      <c r="R262" s="18">
        <v>1</v>
      </c>
      <c r="S262" s="13">
        <v>8828132635</v>
      </c>
      <c r="T262" s="13" t="s">
        <v>926</v>
      </c>
      <c r="U262" s="19">
        <v>34220600</v>
      </c>
      <c r="V262" s="18">
        <v>1</v>
      </c>
      <c r="W262" s="18">
        <f>_xlfn.XLOOKUP(J262,'Master Data 14-9-2026'!C:C,'Master Data 14-9-2026'!L:L)</f>
        <v>0.5</v>
      </c>
      <c r="X262" s="23">
        <v>34220600</v>
      </c>
      <c r="Y262" s="13" t="s">
        <v>1325</v>
      </c>
      <c r="Z262" s="24" t="s">
        <v>15</v>
      </c>
      <c r="AA262" s="40" t="s">
        <v>934</v>
      </c>
      <c r="AC262" s="4" t="s">
        <v>1412</v>
      </c>
      <c r="AD262" s="40" t="s">
        <v>935</v>
      </c>
      <c r="AE262" s="13" t="str">
        <f>_xlfn.XLOOKUP(L262,'[1]ID PROJECT'!E:E,'[1]ID PROJECT'!F:F)</f>
        <v>PRJ-KUT-KPU-TPED-2026-04-00074</v>
      </c>
      <c r="AF262" s="39" t="s">
        <v>4119</v>
      </c>
      <c r="AG262" s="40" t="s">
        <v>4123</v>
      </c>
      <c r="AH262" s="66">
        <v>46275</v>
      </c>
      <c r="AI262" s="41" t="s">
        <v>967</v>
      </c>
    </row>
    <row r="263" spans="1:35">
      <c r="A263" s="13" t="s">
        <v>777</v>
      </c>
      <c r="B263" s="13" t="str">
        <f>_xlfn.XLOOKUP(J263,'Master Data 14-9-2026'!C:C,'Master Data 14-9-2026'!D:D)</f>
        <v>Chaerul Oky Suryatin wx1503975</v>
      </c>
      <c r="C263" s="13"/>
      <c r="D263" s="13" t="str">
        <f>_xlfn.XLOOKUP(J263,'Master Data 14-9-2026'!C:C,'Master Data 14-9-2026'!E:E)</f>
        <v>IOH</v>
      </c>
      <c r="E263" s="13"/>
      <c r="F263" s="13"/>
      <c r="G263" s="13" t="s">
        <v>22</v>
      </c>
      <c r="H263" s="13" t="str">
        <f>_xlfn.XLOOKUP(J263,'Master Data 14-9-2026'!C:C,'Master Data 14-9-2026'!H:H)</f>
        <v>2026-05-23 - 2026-06-22</v>
      </c>
      <c r="I263" s="13" t="str">
        <f t="shared" si="4"/>
        <v>May</v>
      </c>
      <c r="J263" s="13" t="s">
        <v>1413</v>
      </c>
      <c r="K263" s="13" t="s">
        <v>1413</v>
      </c>
      <c r="L263" s="13" t="s">
        <v>475</v>
      </c>
      <c r="M263" s="15">
        <v>200003157545020</v>
      </c>
      <c r="N263" s="13" t="s">
        <v>924</v>
      </c>
      <c r="O263" s="13">
        <v>1.0912026062000099E+17</v>
      </c>
      <c r="P263" s="13" t="s">
        <v>1381</v>
      </c>
      <c r="Q263" s="18">
        <v>23</v>
      </c>
      <c r="R263" s="18">
        <v>1</v>
      </c>
      <c r="S263" s="13">
        <v>8828132635</v>
      </c>
      <c r="T263" s="13" t="s">
        <v>926</v>
      </c>
      <c r="U263" s="19">
        <v>34220600</v>
      </c>
      <c r="V263" s="18">
        <v>1</v>
      </c>
      <c r="W263" s="18">
        <f>_xlfn.XLOOKUP(J263,'Master Data 14-9-2026'!C:C,'Master Data 14-9-2026'!L:L)</f>
        <v>0.5</v>
      </c>
      <c r="X263" s="23">
        <v>34220600</v>
      </c>
      <c r="Y263" s="13" t="s">
        <v>1325</v>
      </c>
      <c r="Z263" s="24" t="s">
        <v>15</v>
      </c>
      <c r="AA263" s="40" t="s">
        <v>934</v>
      </c>
      <c r="AC263" s="4"/>
      <c r="AD263" s="40" t="s">
        <v>935</v>
      </c>
      <c r="AE263" s="13" t="str">
        <f>_xlfn.XLOOKUP(L263,'[1]ID PROJECT'!E:E,'[1]ID PROJECT'!F:F)</f>
        <v>PRJ-KUT-KPU-TPED-2026-04-00074</v>
      </c>
      <c r="AF263" s="39" t="s">
        <v>4119</v>
      </c>
      <c r="AG263" s="40" t="s">
        <v>4123</v>
      </c>
      <c r="AH263" s="66">
        <v>46275</v>
      </c>
      <c r="AI263" s="41" t="s">
        <v>967</v>
      </c>
    </row>
    <row r="264" spans="1:35">
      <c r="A264" s="13" t="s">
        <v>427</v>
      </c>
      <c r="B264" s="13" t="str">
        <f>_xlfn.XLOOKUP(J264,'Master Data 14-9-2026'!C:C,'Master Data 14-9-2026'!D:D)</f>
        <v>Wahyuni wx1504701</v>
      </c>
      <c r="C264" s="13"/>
      <c r="D264" s="13" t="str">
        <f>_xlfn.XLOOKUP(J264,'Master Data 14-9-2026'!C:C,'Master Data 14-9-2026'!E:E)</f>
        <v>Platform Region</v>
      </c>
      <c r="E264" s="13"/>
      <c r="F264" s="13"/>
      <c r="G264" s="13" t="s">
        <v>22</v>
      </c>
      <c r="H264" s="13" t="str">
        <f>_xlfn.XLOOKUP(J264,'Master Data 14-9-2026'!C:C,'Master Data 14-9-2026'!H:H)</f>
        <v>2026-05-30 - 2026-06-29</v>
      </c>
      <c r="I264" s="13" t="str">
        <f t="shared" si="4"/>
        <v>May</v>
      </c>
      <c r="J264" s="40" t="s">
        <v>1414</v>
      </c>
      <c r="K264" s="13" t="s">
        <v>1414</v>
      </c>
      <c r="L264" s="13" t="s">
        <v>500</v>
      </c>
      <c r="M264" s="15">
        <v>200003157606020</v>
      </c>
      <c r="N264" s="13" t="s">
        <v>924</v>
      </c>
      <c r="O264" s="13">
        <v>1.0912026062000099E+17</v>
      </c>
      <c r="P264" s="13" t="s">
        <v>1381</v>
      </c>
      <c r="Q264" s="18">
        <v>24</v>
      </c>
      <c r="R264" s="18">
        <v>1</v>
      </c>
      <c r="S264" s="13">
        <v>8828132633</v>
      </c>
      <c r="T264" s="13" t="s">
        <v>951</v>
      </c>
      <c r="U264" s="19">
        <v>28881900</v>
      </c>
      <c r="V264" s="18">
        <v>1</v>
      </c>
      <c r="W264" s="18">
        <f>_xlfn.XLOOKUP(J264,'Master Data 14-9-2026'!C:C,'Master Data 14-9-2026'!L:L)</f>
        <v>1</v>
      </c>
      <c r="X264" s="23">
        <v>28881900</v>
      </c>
      <c r="Y264" s="13" t="s">
        <v>1325</v>
      </c>
      <c r="Z264" s="24" t="str">
        <f>_xlfn.XLOOKUP(J264,'Master Data 14-9-2026'!C:C,'Master Data 14-9-2026'!I:I)</f>
        <v>Ended</v>
      </c>
      <c r="AA264" s="40" t="s">
        <v>934</v>
      </c>
      <c r="AC264" s="4"/>
      <c r="AD264" s="40" t="s">
        <v>935</v>
      </c>
      <c r="AE264" s="13" t="str">
        <f>_xlfn.XLOOKUP(L264,'[1]ID PROJECT'!E:E,'[1]ID PROJECT'!F:F)</f>
        <v>PRJ-KUT-KPU-TPED-2026-04-00080</v>
      </c>
      <c r="AF264" s="39" t="s">
        <v>4168</v>
      </c>
      <c r="AG264" s="13" t="s">
        <v>4194</v>
      </c>
      <c r="AH264" s="65">
        <v>46286</v>
      </c>
      <c r="AI264" s="51" t="s">
        <v>967</v>
      </c>
    </row>
    <row r="265" spans="1:35" hidden="1">
      <c r="A265" s="13" t="s">
        <v>65</v>
      </c>
      <c r="B265" s="13" t="str">
        <f>_xlfn.XLOOKUP(J265,'Master Data 14-9-2026'!C:C,'Master Data 14-9-2026'!D:D)</f>
        <v>Dwi Nofianti wx1524844</v>
      </c>
      <c r="C265" s="13"/>
      <c r="D265" s="13" t="str">
        <f>_xlfn.XLOOKUP(J265,'Master Data 14-9-2026'!C:C,'Master Data 14-9-2026'!E:E)</f>
        <v>IOH</v>
      </c>
      <c r="E265" s="13"/>
      <c r="F265" s="13"/>
      <c r="G265" s="13" t="s">
        <v>18</v>
      </c>
      <c r="H265" s="13" t="str">
        <f>_xlfn.XLOOKUP(J265,'Master Data 14-9-2026'!C:C,'Master Data 14-9-2026'!H:H)</f>
        <v>2026-07-03 - 2026-08-02</v>
      </c>
      <c r="I265" s="13" t="str">
        <f t="shared" si="4"/>
        <v>July</v>
      </c>
      <c r="J265" s="13" t="s">
        <v>1415</v>
      </c>
      <c r="K265" s="13" t="s">
        <v>1415</v>
      </c>
      <c r="L265" s="13" t="s">
        <v>468</v>
      </c>
      <c r="M265" s="15">
        <v>200003157551020</v>
      </c>
      <c r="N265" s="13" t="s">
        <v>924</v>
      </c>
      <c r="O265" s="13">
        <v>1.0912026062000099E+17</v>
      </c>
      <c r="P265" s="13" t="s">
        <v>1381</v>
      </c>
      <c r="Q265" s="18">
        <v>25</v>
      </c>
      <c r="R265" s="18">
        <v>1</v>
      </c>
      <c r="S265" s="13">
        <v>8828132633</v>
      </c>
      <c r="T265" s="13" t="s">
        <v>951</v>
      </c>
      <c r="U265" s="19">
        <v>28881900</v>
      </c>
      <c r="V265" s="18">
        <v>1</v>
      </c>
      <c r="W265" s="18">
        <f>_xlfn.XLOOKUP(J265,'Master Data 14-9-2026'!C:C,'Master Data 14-9-2026'!L:L)</f>
        <v>1.5</v>
      </c>
      <c r="X265" s="23">
        <v>28881900</v>
      </c>
      <c r="Y265" s="13" t="s">
        <v>1325</v>
      </c>
      <c r="Z265" s="24" t="s">
        <v>15</v>
      </c>
      <c r="AA265" s="13"/>
      <c r="AB265" s="39" t="s">
        <v>1035</v>
      </c>
      <c r="AC265" s="4" t="s">
        <v>1113</v>
      </c>
      <c r="AD265" s="13"/>
      <c r="AE265" s="13" t="str">
        <f>_xlfn.XLOOKUP(L265,'[1]ID PROJECT'!E:E,'[1]ID PROJECT'!F:F)</f>
        <v>PRJ-KUT-KPU-TPED-2026-04-00075</v>
      </c>
      <c r="AF265" s="13"/>
      <c r="AG265" s="13"/>
      <c r="AH265" s="65"/>
      <c r="AI265" s="27"/>
    </row>
    <row r="266" spans="1:35" hidden="1">
      <c r="A266" s="13" t="s">
        <v>777</v>
      </c>
      <c r="B266" s="13" t="str">
        <f>_xlfn.XLOOKUP(J266,'Master Data 14-9-2026'!C:C,'Master Data 14-9-2026'!D:D)</f>
        <v>Chaerul Oky Suryatin wx1503975</v>
      </c>
      <c r="C266" s="13"/>
      <c r="D266" s="13" t="str">
        <f>_xlfn.XLOOKUP(J266,'Master Data 14-9-2026'!C:C,'Master Data 14-9-2026'!E:E)</f>
        <v>IOH</v>
      </c>
      <c r="E266" s="13"/>
      <c r="F266" s="13"/>
      <c r="G266" s="13" t="s">
        <v>25</v>
      </c>
      <c r="H266" s="13" t="str">
        <f>_xlfn.XLOOKUP(J266,'Master Data 14-9-2026'!C:C,'Master Data 14-9-2026'!H:H)</f>
        <v>2026-06-23 - 2026-07-22</v>
      </c>
      <c r="I266" s="13" t="str">
        <f t="shared" si="4"/>
        <v>June</v>
      </c>
      <c r="J266" s="13" t="s">
        <v>1416</v>
      </c>
      <c r="K266" s="13" t="s">
        <v>1416</v>
      </c>
      <c r="L266" s="13" t="s">
        <v>475</v>
      </c>
      <c r="M266" s="15">
        <v>200003157546020</v>
      </c>
      <c r="N266" s="13" t="s">
        <v>924</v>
      </c>
      <c r="O266" s="13">
        <v>1.0912026062000099E+17</v>
      </c>
      <c r="P266" s="13" t="s">
        <v>1381</v>
      </c>
      <c r="Q266" s="18">
        <v>26</v>
      </c>
      <c r="R266" s="18">
        <v>1</v>
      </c>
      <c r="S266" s="13">
        <v>8828132635</v>
      </c>
      <c r="T266" s="13" t="s">
        <v>926</v>
      </c>
      <c r="U266" s="19">
        <v>34220600</v>
      </c>
      <c r="V266" s="18">
        <v>1</v>
      </c>
      <c r="W266" s="18">
        <f>_xlfn.XLOOKUP(J266,'Master Data 14-9-2026'!C:C,'Master Data 14-9-2026'!L:L)</f>
        <v>0</v>
      </c>
      <c r="X266" s="23">
        <v>34220600</v>
      </c>
      <c r="Y266" s="13" t="s">
        <v>1325</v>
      </c>
      <c r="Z266" s="24" t="str">
        <f>_xlfn.XLOOKUP(J266,'Master Data 14-9-2026'!C:C,'Master Data 14-9-2026'!I:I)</f>
        <v>Ended</v>
      </c>
      <c r="AA266" s="13"/>
      <c r="AC266" s="4"/>
      <c r="AD266" s="13"/>
      <c r="AE266" s="13" t="str">
        <f>_xlfn.XLOOKUP(L266,'[1]ID PROJECT'!E:E,'[1]ID PROJECT'!F:F)</f>
        <v>PRJ-KUT-KPU-TPED-2026-04-00074</v>
      </c>
      <c r="AF266" s="13"/>
      <c r="AG266" s="13"/>
      <c r="AH266" s="65"/>
      <c r="AI266" s="27"/>
    </row>
    <row r="267" spans="1:35" hidden="1">
      <c r="A267" s="13" t="s">
        <v>400</v>
      </c>
      <c r="B267" s="13" t="str">
        <f>_xlfn.XLOOKUP(J267,'Master Data 14-9-2026'!C:C,'Master Data 14-9-2026'!D:D)</f>
        <v>Eka Maudyna Isdyanti wx1504640</v>
      </c>
      <c r="C267" s="13"/>
      <c r="D267" s="13" t="str">
        <f>_xlfn.XLOOKUP(J267,'Master Data 14-9-2026'!C:C,'Master Data 14-9-2026'!E:E)</f>
        <v>IOH</v>
      </c>
      <c r="E267" s="13"/>
      <c r="F267" s="13"/>
      <c r="G267" s="13" t="s">
        <v>18</v>
      </c>
      <c r="H267" s="13" t="str">
        <f>_xlfn.XLOOKUP(J267,'Master Data 14-9-2026'!C:C,'Master Data 14-9-2026'!H:H)</f>
        <v>2026-04-30 - 2026-05-29</v>
      </c>
      <c r="I267" s="13" t="str">
        <f t="shared" si="4"/>
        <v>April</v>
      </c>
      <c r="J267" s="13" t="s">
        <v>1417</v>
      </c>
      <c r="K267" s="13" t="s">
        <v>1417</v>
      </c>
      <c r="L267" s="13" t="s">
        <v>441</v>
      </c>
      <c r="M267" s="15">
        <v>200003157552020</v>
      </c>
      <c r="N267" s="13" t="s">
        <v>924</v>
      </c>
      <c r="O267" s="13">
        <v>1.0912026062000099E+17</v>
      </c>
      <c r="P267" s="13" t="s">
        <v>1381</v>
      </c>
      <c r="Q267" s="18">
        <v>27</v>
      </c>
      <c r="R267" s="18">
        <v>1</v>
      </c>
      <c r="S267" s="13">
        <v>8828132633</v>
      </c>
      <c r="T267" s="13" t="s">
        <v>951</v>
      </c>
      <c r="U267" s="19">
        <v>28881900</v>
      </c>
      <c r="V267" s="18">
        <v>1</v>
      </c>
      <c r="W267" s="18">
        <f>_xlfn.XLOOKUP(J267,'Master Data 14-9-2026'!C:C,'Master Data 14-9-2026'!L:L)</f>
        <v>0</v>
      </c>
      <c r="X267" s="23">
        <v>28881900</v>
      </c>
      <c r="Y267" s="13" t="s">
        <v>1325</v>
      </c>
      <c r="Z267" s="24" t="s">
        <v>15</v>
      </c>
      <c r="AA267" s="13" t="s">
        <v>934</v>
      </c>
      <c r="AC267" s="4"/>
      <c r="AD267" s="13" t="s">
        <v>935</v>
      </c>
      <c r="AE267" s="13" t="str">
        <f>_xlfn.XLOOKUP(L267,'[1]ID PROJECT'!E:E,'[1]ID PROJECT'!F:F)</f>
        <v xml:space="preserve">PRJ-KUT-KPU-TPED-2026-04-00071 </v>
      </c>
      <c r="AF267" s="13" t="s">
        <v>1402</v>
      </c>
      <c r="AG267" s="4" t="s">
        <v>1403</v>
      </c>
      <c r="AH267" s="65">
        <v>46223</v>
      </c>
      <c r="AI267" s="27" t="s">
        <v>938</v>
      </c>
    </row>
    <row r="268" spans="1:35" hidden="1">
      <c r="A268" s="13" t="s">
        <v>666</v>
      </c>
      <c r="B268" s="13" t="str">
        <f>_xlfn.XLOOKUP(J268,'Master Data 14-9-2026'!C:C,'Master Data 14-9-2026'!D:D)</f>
        <v>Amar Aditia Wilujeng wx1520521</v>
      </c>
      <c r="C268" s="13"/>
      <c r="D268" s="13" t="str">
        <f>_xlfn.XLOOKUP(J268,'Master Data 14-9-2026'!C:C,'Master Data 14-9-2026'!E:E)</f>
        <v>IOH</v>
      </c>
      <c r="E268" s="13"/>
      <c r="F268" s="13"/>
      <c r="G268" s="13" t="s">
        <v>18</v>
      </c>
      <c r="H268" s="13" t="str">
        <f>_xlfn.XLOOKUP(J268,'Master Data 14-9-2026'!C:C,'Master Data 14-9-2026'!H:H)</f>
        <v>2026-06-15 - 2026-07-14</v>
      </c>
      <c r="I268" s="13" t="str">
        <f t="shared" si="4"/>
        <v>June</v>
      </c>
      <c r="J268" s="13" t="s">
        <v>1418</v>
      </c>
      <c r="K268" s="13" t="s">
        <v>1418</v>
      </c>
      <c r="L268" s="13" t="s">
        <v>441</v>
      </c>
      <c r="M268" s="15">
        <v>200003157535020</v>
      </c>
      <c r="N268" s="13" t="s">
        <v>924</v>
      </c>
      <c r="O268" s="13">
        <v>1.0912026062000099E+17</v>
      </c>
      <c r="P268" s="13" t="s">
        <v>1381</v>
      </c>
      <c r="Q268" s="18">
        <v>28</v>
      </c>
      <c r="R268" s="18">
        <v>1</v>
      </c>
      <c r="S268" s="13">
        <v>8828132634</v>
      </c>
      <c r="T268" s="13" t="s">
        <v>978</v>
      </c>
      <c r="U268" s="19">
        <v>32542400</v>
      </c>
      <c r="V268" s="18">
        <v>1</v>
      </c>
      <c r="W268" s="18">
        <f>_xlfn.XLOOKUP(J268,'Master Data 14-9-2026'!C:C,'Master Data 14-9-2026'!L:L)</f>
        <v>0</v>
      </c>
      <c r="X268" s="23">
        <v>32542400</v>
      </c>
      <c r="Y268" s="13" t="s">
        <v>1325</v>
      </c>
      <c r="Z268" s="24" t="str">
        <f>_xlfn.XLOOKUP(J268,'Master Data 14-9-2026'!C:C,'Master Data 14-9-2026'!I:I)</f>
        <v>Ended</v>
      </c>
      <c r="AA268" s="13"/>
      <c r="AB268" s="39" t="s">
        <v>44</v>
      </c>
      <c r="AC268" s="4" t="s">
        <v>1113</v>
      </c>
      <c r="AD268" s="13"/>
      <c r="AE268" s="13" t="str">
        <f>_xlfn.XLOOKUP(L268,'[1]ID PROJECT'!E:E,'[1]ID PROJECT'!F:F)</f>
        <v xml:space="preserve">PRJ-KUT-KPU-TPED-2026-04-00071 </v>
      </c>
      <c r="AF268" s="13"/>
      <c r="AG268" s="13"/>
      <c r="AH268" s="65"/>
      <c r="AI268" s="27"/>
    </row>
    <row r="269" spans="1:35" hidden="1">
      <c r="A269" s="13" t="s">
        <v>480</v>
      </c>
      <c r="B269" s="13" t="str">
        <f>_xlfn.XLOOKUP(J269,'Master Data 14-9-2026'!C:C,'Master Data 14-9-2026'!D:D)</f>
        <v>Moch Andi Afriansyah wx1503654</v>
      </c>
      <c r="C269" s="13"/>
      <c r="D269" s="13" t="str">
        <f>_xlfn.XLOOKUP(J269,'Master Data 14-9-2026'!C:C,'Master Data 14-9-2026'!E:E)</f>
        <v>IOH</v>
      </c>
      <c r="E269" s="13"/>
      <c r="F269" s="13"/>
      <c r="G269" s="13" t="s">
        <v>18</v>
      </c>
      <c r="H269" s="13" t="str">
        <f>_xlfn.XLOOKUP(J269,'Master Data 14-9-2026'!C:C,'Master Data 14-9-2026'!H:H)</f>
        <v>2026-05-01 - 2026-05-31</v>
      </c>
      <c r="I269" s="13" t="str">
        <f t="shared" si="4"/>
        <v>May</v>
      </c>
      <c r="J269" s="13" t="s">
        <v>1420</v>
      </c>
      <c r="K269" s="13" t="s">
        <v>1420</v>
      </c>
      <c r="L269" s="13" t="s">
        <v>457</v>
      </c>
      <c r="M269" s="15">
        <v>200003157581020</v>
      </c>
      <c r="N269" s="13" t="s">
        <v>924</v>
      </c>
      <c r="O269" s="13">
        <v>1.0912026062000099E+17</v>
      </c>
      <c r="P269" s="13" t="s">
        <v>1381</v>
      </c>
      <c r="Q269" s="18">
        <v>29</v>
      </c>
      <c r="R269" s="18">
        <v>1</v>
      </c>
      <c r="S269" s="13">
        <v>8828132636</v>
      </c>
      <c r="T269" s="13" t="s">
        <v>933</v>
      </c>
      <c r="U269" s="19">
        <v>36992000</v>
      </c>
      <c r="V269" s="18">
        <v>1</v>
      </c>
      <c r="W269" s="18">
        <f>_xlfn.XLOOKUP(J269,'Master Data 14-9-2026'!C:C,'Master Data 14-9-2026'!L:L)</f>
        <v>1.5</v>
      </c>
      <c r="X269" s="23">
        <v>36992000</v>
      </c>
      <c r="Y269" s="13" t="s">
        <v>1325</v>
      </c>
      <c r="Z269" s="24" t="s">
        <v>15</v>
      </c>
      <c r="AA269" s="13" t="s">
        <v>934</v>
      </c>
      <c r="AC269" s="4"/>
      <c r="AD269" s="13" t="s">
        <v>935</v>
      </c>
      <c r="AE269" s="13" t="str">
        <f>_xlfn.XLOOKUP(L269,'[1]ID PROJECT'!E:E,'[1]ID PROJECT'!F:F)</f>
        <v>PRJ-KUT-KPU-TPED-2026-04-00076</v>
      </c>
      <c r="AF269" s="4" t="s">
        <v>1395</v>
      </c>
      <c r="AG269" s="13" t="s">
        <v>1396</v>
      </c>
      <c r="AH269" s="65">
        <v>46226</v>
      </c>
      <c r="AI269" s="27" t="s">
        <v>938</v>
      </c>
    </row>
    <row r="270" spans="1:35" hidden="1">
      <c r="A270" s="13" t="s">
        <v>480</v>
      </c>
      <c r="B270" s="13" t="str">
        <f>_xlfn.XLOOKUP(J270,'Master Data 14-9-2026'!C:C,'Master Data 14-9-2026'!D:D)</f>
        <v>Moch Andi Afriansyah wx1503654</v>
      </c>
      <c r="C270" s="13"/>
      <c r="D270" s="13" t="str">
        <f>_xlfn.XLOOKUP(J270,'Master Data 14-9-2026'!C:C,'Master Data 14-9-2026'!E:E)</f>
        <v>IOH</v>
      </c>
      <c r="E270" s="13"/>
      <c r="F270" s="13"/>
      <c r="G270" s="13" t="s">
        <v>22</v>
      </c>
      <c r="H270" s="13" t="str">
        <f>_xlfn.XLOOKUP(J270,'Master Data 14-9-2026'!C:C,'Master Data 14-9-2026'!H:H)</f>
        <v>2026-06-01 - 2026-06-30</v>
      </c>
      <c r="I270" s="13" t="str">
        <f t="shared" si="4"/>
        <v>June</v>
      </c>
      <c r="J270" s="13" t="s">
        <v>1421</v>
      </c>
      <c r="K270" s="13" t="s">
        <v>1421</v>
      </c>
      <c r="L270" s="13" t="s">
        <v>457</v>
      </c>
      <c r="M270" s="15">
        <v>200003157582020</v>
      </c>
      <c r="N270" s="13" t="s">
        <v>924</v>
      </c>
      <c r="O270" s="13">
        <v>1.0912026062000099E+17</v>
      </c>
      <c r="P270" s="13" t="s">
        <v>1381</v>
      </c>
      <c r="Q270" s="18">
        <v>30</v>
      </c>
      <c r="R270" s="18">
        <v>1</v>
      </c>
      <c r="S270" s="13">
        <v>8828132636</v>
      </c>
      <c r="T270" s="13" t="s">
        <v>933</v>
      </c>
      <c r="U270" s="19">
        <v>36992000</v>
      </c>
      <c r="V270" s="18">
        <v>1</v>
      </c>
      <c r="W270" s="18">
        <f>_xlfn.XLOOKUP(J270,'Master Data 14-9-2026'!C:C,'Master Data 14-9-2026'!L:L)</f>
        <v>1.5</v>
      </c>
      <c r="X270" s="23">
        <v>36992000</v>
      </c>
      <c r="Y270" s="13" t="s">
        <v>1325</v>
      </c>
      <c r="Z270" s="24" t="str">
        <f>_xlfn.XLOOKUP(J270,'Master Data 14-9-2026'!C:C,'Master Data 14-9-2026'!I:I)</f>
        <v>Ended</v>
      </c>
      <c r="AB270" s="13"/>
      <c r="AC270" s="13"/>
      <c r="AD270" s="13"/>
      <c r="AE270" s="13" t="str">
        <f>_xlfn.XLOOKUP(L270,'[1]ID PROJECT'!E:E,'[1]ID PROJECT'!F:F)</f>
        <v>PRJ-KUT-KPU-TPED-2026-04-00076</v>
      </c>
      <c r="AF270" s="13"/>
      <c r="AG270" s="13"/>
      <c r="AH270" s="65"/>
      <c r="AI270" s="27"/>
    </row>
    <row r="271" spans="1:35" hidden="1">
      <c r="A271" s="13" t="s">
        <v>566</v>
      </c>
      <c r="B271" s="13" t="str">
        <f>_xlfn.XLOOKUP(J271,'Master Data 14-9-2026'!C:C,'Master Data 14-9-2026'!D:D)</f>
        <v>Donny Kesumo Widodo wx1524105</v>
      </c>
      <c r="C271" s="13"/>
      <c r="D271" s="13" t="str">
        <f>_xlfn.XLOOKUP(J271,'Master Data 14-9-2026'!C:C,'Master Data 14-9-2026'!E:E)</f>
        <v>IOH</v>
      </c>
      <c r="E271" s="13"/>
      <c r="F271" s="13"/>
      <c r="G271" s="13" t="s">
        <v>13</v>
      </c>
      <c r="H271" s="13" t="str">
        <f>_xlfn.XLOOKUP(J271,'Master Data 14-9-2026'!C:C,'Master Data 14-9-2026'!H:H)</f>
        <v>2026-06-03 - 2026-07-02</v>
      </c>
      <c r="I271" s="13" t="str">
        <f t="shared" si="4"/>
        <v>June</v>
      </c>
      <c r="J271" s="13" t="s">
        <v>1422</v>
      </c>
      <c r="K271" s="13" t="s">
        <v>1422</v>
      </c>
      <c r="L271" s="13" t="s">
        <v>457</v>
      </c>
      <c r="M271" s="15">
        <v>200003157548020</v>
      </c>
      <c r="N271" s="13" t="s">
        <v>924</v>
      </c>
      <c r="O271" s="13">
        <v>1.0912026062000099E+17</v>
      </c>
      <c r="P271" s="13" t="s">
        <v>1381</v>
      </c>
      <c r="Q271" s="18">
        <v>31</v>
      </c>
      <c r="R271" s="18">
        <v>1</v>
      </c>
      <c r="S271" s="13">
        <v>8828132634</v>
      </c>
      <c r="T271" s="13" t="s">
        <v>978</v>
      </c>
      <c r="U271" s="19">
        <v>32542400</v>
      </c>
      <c r="V271" s="18">
        <v>1</v>
      </c>
      <c r="W271" s="18">
        <f>_xlfn.XLOOKUP(J271,'Master Data 14-9-2026'!C:C,'Master Data 14-9-2026'!L:L)</f>
        <v>0</v>
      </c>
      <c r="X271" s="23">
        <v>32542400</v>
      </c>
      <c r="Y271" s="13" t="s">
        <v>1325</v>
      </c>
      <c r="Z271" s="24" t="str">
        <f>_xlfn.XLOOKUP(J271,'Master Data 14-9-2026'!C:C,'Master Data 14-9-2026'!I:I)</f>
        <v>Ended</v>
      </c>
      <c r="AA271" s="4" t="s">
        <v>1288</v>
      </c>
      <c r="AB271" s="40" t="s">
        <v>44</v>
      </c>
      <c r="AC271" s="13"/>
      <c r="AD271" s="13"/>
      <c r="AE271" s="13" t="str">
        <f>_xlfn.XLOOKUP(L271,'[1]ID PROJECT'!E:E,'[1]ID PROJECT'!F:F)</f>
        <v>PRJ-KUT-KPU-TPED-2026-04-00076</v>
      </c>
      <c r="AF271" s="13"/>
      <c r="AG271" s="13"/>
      <c r="AH271" s="65"/>
      <c r="AI271" s="27"/>
    </row>
    <row r="272" spans="1:35" hidden="1">
      <c r="A272" s="13" t="s">
        <v>574</v>
      </c>
      <c r="B272" s="13" t="str">
        <f>_xlfn.XLOOKUP(J272,'Master Data 14-9-2026'!C:C,'Master Data 14-9-2026'!D:D)</f>
        <v>Santoso Adi Kuncoro wx1524104</v>
      </c>
      <c r="C272" s="13"/>
      <c r="D272" s="13" t="str">
        <f>_xlfn.XLOOKUP(J272,'Master Data 14-9-2026'!C:C,'Master Data 14-9-2026'!E:E)</f>
        <v>IOH</v>
      </c>
      <c r="E272" s="13"/>
      <c r="F272" s="13"/>
      <c r="G272" s="13" t="s">
        <v>13</v>
      </c>
      <c r="H272" s="13" t="str">
        <f>_xlfn.XLOOKUP(J272,'Master Data 14-9-2026'!C:C,'Master Data 14-9-2026'!H:H)</f>
        <v>2026-06-15 - 2026-07-14</v>
      </c>
      <c r="I272" s="13" t="str">
        <f t="shared" si="4"/>
        <v>June</v>
      </c>
      <c r="J272" s="13" t="s">
        <v>1423</v>
      </c>
      <c r="K272" s="13" t="s">
        <v>1423</v>
      </c>
      <c r="L272" s="13" t="s">
        <v>468</v>
      </c>
      <c r="M272" s="15">
        <v>200003157594020</v>
      </c>
      <c r="N272" s="13" t="s">
        <v>924</v>
      </c>
      <c r="O272" s="13">
        <v>1.0912026062000099E+17</v>
      </c>
      <c r="P272" s="13" t="s">
        <v>1381</v>
      </c>
      <c r="Q272" s="18">
        <v>32</v>
      </c>
      <c r="R272" s="18">
        <v>1</v>
      </c>
      <c r="S272" s="13">
        <v>8828132634</v>
      </c>
      <c r="T272" s="13" t="s">
        <v>978</v>
      </c>
      <c r="U272" s="19">
        <v>32542400</v>
      </c>
      <c r="V272" s="18">
        <v>1</v>
      </c>
      <c r="W272" s="18">
        <f>_xlfn.XLOOKUP(J272,'Master Data 14-9-2026'!C:C,'Master Data 14-9-2026'!L:L)</f>
        <v>0.5</v>
      </c>
      <c r="X272" s="23">
        <v>32542400</v>
      </c>
      <c r="Y272" s="13" t="s">
        <v>1325</v>
      </c>
      <c r="Z272" s="24" t="str">
        <f>_xlfn.XLOOKUP(J272,'Master Data 14-9-2026'!C:C,'Master Data 14-9-2026'!I:I)</f>
        <v>Ended</v>
      </c>
      <c r="AA272" s="4" t="s">
        <v>1288</v>
      </c>
      <c r="AB272" s="13" t="s">
        <v>1289</v>
      </c>
      <c r="AC272" s="13"/>
      <c r="AD272" s="13"/>
      <c r="AE272" s="13" t="str">
        <f>_xlfn.XLOOKUP(L272,'[1]ID PROJECT'!E:E,'[1]ID PROJECT'!F:F)</f>
        <v>PRJ-KUT-KPU-TPED-2026-04-00075</v>
      </c>
      <c r="AF272" s="13"/>
      <c r="AG272" s="13"/>
      <c r="AH272" s="65"/>
      <c r="AI272" s="27"/>
    </row>
    <row r="273" spans="1:35" hidden="1">
      <c r="A273" s="13" t="s">
        <v>574</v>
      </c>
      <c r="B273" s="13" t="str">
        <f>_xlfn.XLOOKUP(J273,'Master Data 14-9-2026'!C:C,'Master Data 14-9-2026'!D:D)</f>
        <v>Santoso Adi Kuncoro wx1524104</v>
      </c>
      <c r="C273" s="13"/>
      <c r="D273" s="13" t="str">
        <f>_xlfn.XLOOKUP(J273,'Master Data 14-9-2026'!C:C,'Master Data 14-9-2026'!E:E)</f>
        <v>IOH</v>
      </c>
      <c r="E273" s="13"/>
      <c r="F273" s="13"/>
      <c r="G273" s="13" t="s">
        <v>18</v>
      </c>
      <c r="H273" s="13" t="str">
        <f>_xlfn.XLOOKUP(J273,'Master Data 14-9-2026'!C:C,'Master Data 14-9-2026'!H:H)</f>
        <v>2026-07-15 - 2026-08-14</v>
      </c>
      <c r="I273" s="13" t="str">
        <f t="shared" si="4"/>
        <v>July</v>
      </c>
      <c r="J273" s="13" t="s">
        <v>1424</v>
      </c>
      <c r="K273" s="13" t="s">
        <v>1424</v>
      </c>
      <c r="L273" s="13" t="s">
        <v>468</v>
      </c>
      <c r="M273" s="15">
        <v>200003157595020</v>
      </c>
      <c r="N273" s="13" t="s">
        <v>924</v>
      </c>
      <c r="O273" s="13">
        <v>1.0912026062000099E+17</v>
      </c>
      <c r="P273" s="13" t="s">
        <v>1381</v>
      </c>
      <c r="Q273" s="18">
        <v>33</v>
      </c>
      <c r="R273" s="18">
        <v>1</v>
      </c>
      <c r="S273" s="13">
        <v>8828132634</v>
      </c>
      <c r="T273" s="13" t="s">
        <v>978</v>
      </c>
      <c r="U273" s="19">
        <v>32542400</v>
      </c>
      <c r="V273" s="18">
        <v>1</v>
      </c>
      <c r="W273" s="18">
        <f>_xlfn.XLOOKUP(J273,'Master Data 14-9-2026'!C:C,'Master Data 14-9-2026'!L:L)</f>
        <v>0.72</v>
      </c>
      <c r="X273" s="23">
        <v>32542400</v>
      </c>
      <c r="Y273" s="13" t="s">
        <v>1325</v>
      </c>
      <c r="Z273" s="24" t="s">
        <v>15</v>
      </c>
      <c r="AA273" s="13" t="s">
        <v>1288</v>
      </c>
      <c r="AB273" s="13" t="s">
        <v>1289</v>
      </c>
      <c r="AC273" s="13"/>
      <c r="AD273" s="13"/>
      <c r="AE273" s="13" t="str">
        <f>_xlfn.XLOOKUP(L273,'[1]ID PROJECT'!E:E,'[1]ID PROJECT'!F:F)</f>
        <v>PRJ-KUT-KPU-TPED-2026-04-00075</v>
      </c>
      <c r="AF273" s="13"/>
      <c r="AG273" s="13"/>
      <c r="AH273" s="65"/>
      <c r="AI273" s="27"/>
    </row>
    <row r="274" spans="1:35" hidden="1">
      <c r="A274" s="13" t="s">
        <v>480</v>
      </c>
      <c r="B274" s="13" t="str">
        <f>_xlfn.XLOOKUP(J274,'Master Data 14-9-2026'!C:C,'Master Data 14-9-2026'!D:D)</f>
        <v>Moch Andi Afriansyah wx1503654</v>
      </c>
      <c r="C274" s="13"/>
      <c r="D274" s="13" t="str">
        <f>_xlfn.XLOOKUP(J274,'Master Data 14-9-2026'!C:C,'Master Data 14-9-2026'!E:E)</f>
        <v>IOH</v>
      </c>
      <c r="E274" s="13"/>
      <c r="F274" s="13"/>
      <c r="G274" s="13" t="s">
        <v>25</v>
      </c>
      <c r="H274" s="13" t="str">
        <f>_xlfn.XLOOKUP(J274,'Master Data 14-9-2026'!C:C,'Master Data 14-9-2026'!H:H)</f>
        <v>2026-07-01 - 2026-07-31</v>
      </c>
      <c r="I274" s="13" t="str">
        <f t="shared" si="4"/>
        <v>July</v>
      </c>
      <c r="J274" s="13" t="s">
        <v>1425</v>
      </c>
      <c r="K274" s="13" t="s">
        <v>1425</v>
      </c>
      <c r="L274" s="13" t="s">
        <v>457</v>
      </c>
      <c r="M274" s="15">
        <v>200003157583020</v>
      </c>
      <c r="N274" s="13" t="s">
        <v>924</v>
      </c>
      <c r="O274" s="13">
        <v>1.0912026062000099E+17</v>
      </c>
      <c r="P274" s="13" t="s">
        <v>1381</v>
      </c>
      <c r="Q274" s="18">
        <v>34</v>
      </c>
      <c r="R274" s="18">
        <v>1</v>
      </c>
      <c r="S274" s="13">
        <v>8828132636</v>
      </c>
      <c r="T274" s="13" t="s">
        <v>933</v>
      </c>
      <c r="U274" s="19">
        <v>36992000</v>
      </c>
      <c r="V274" s="18">
        <v>1</v>
      </c>
      <c r="W274" s="18">
        <f>_xlfn.XLOOKUP(J274,'Master Data 14-9-2026'!C:C,'Master Data 14-9-2026'!L:L)</f>
        <v>1.5</v>
      </c>
      <c r="X274" s="23">
        <v>36992000</v>
      </c>
      <c r="Y274" s="13" t="s">
        <v>1325</v>
      </c>
      <c r="Z274" s="24" t="s">
        <v>15</v>
      </c>
      <c r="AB274" s="13"/>
      <c r="AC274" s="13"/>
      <c r="AD274" s="13"/>
      <c r="AE274" s="13" t="str">
        <f>_xlfn.XLOOKUP(L274,'[1]ID PROJECT'!E:E,'[1]ID PROJECT'!F:F)</f>
        <v>PRJ-KUT-KPU-TPED-2026-04-00076</v>
      </c>
      <c r="AF274" s="13"/>
      <c r="AG274" s="13"/>
      <c r="AH274" s="65"/>
      <c r="AI274" s="27"/>
    </row>
    <row r="275" spans="1:35" hidden="1">
      <c r="A275" s="13" t="s">
        <v>550</v>
      </c>
      <c r="B275" s="13" t="str">
        <f>_xlfn.XLOOKUP(J275,'Master Data 14-9-2026'!C:C,'Master Data 14-9-2026'!D:D)</f>
        <v>SEBASTIAN SURYA DARMA wx1521791</v>
      </c>
      <c r="C275" s="13"/>
      <c r="D275" s="13" t="str">
        <f>_xlfn.XLOOKUP(J275,'Master Data 14-9-2026'!C:C,'Master Data 14-9-2026'!E:E)</f>
        <v>IOH</v>
      </c>
      <c r="E275" s="13"/>
      <c r="F275" s="13"/>
      <c r="G275" s="13" t="s">
        <v>13</v>
      </c>
      <c r="H275" s="13" t="str">
        <f>_xlfn.XLOOKUP(J275,'Master Data 14-9-2026'!C:C,'Master Data 14-9-2026'!H:H)</f>
        <v>2026-05-25 - 2026-06-24</v>
      </c>
      <c r="I275" s="13" t="str">
        <f t="shared" si="4"/>
        <v>May</v>
      </c>
      <c r="J275" s="13" t="s">
        <v>1426</v>
      </c>
      <c r="K275" s="13" t="s">
        <v>1426</v>
      </c>
      <c r="L275" s="13" t="s">
        <v>441</v>
      </c>
      <c r="M275" s="15">
        <v>200003157596020</v>
      </c>
      <c r="N275" s="13" t="s">
        <v>924</v>
      </c>
      <c r="O275" s="13">
        <v>1.0912026062000099E+17</v>
      </c>
      <c r="P275" s="13" t="s">
        <v>1381</v>
      </c>
      <c r="Q275" s="18">
        <v>35</v>
      </c>
      <c r="R275" s="18">
        <v>1</v>
      </c>
      <c r="S275" s="13">
        <v>8828132634</v>
      </c>
      <c r="T275" s="13" t="s">
        <v>978</v>
      </c>
      <c r="U275" s="19">
        <v>32542400</v>
      </c>
      <c r="V275" s="18">
        <v>1</v>
      </c>
      <c r="W275" s="18">
        <f>_xlfn.XLOOKUP(J275,'Master Data 14-9-2026'!C:C,'Master Data 14-9-2026'!L:L)</f>
        <v>0</v>
      </c>
      <c r="X275" s="23">
        <v>32542400</v>
      </c>
      <c r="Y275" s="13" t="s">
        <v>1325</v>
      </c>
      <c r="Z275" s="24" t="s">
        <v>15</v>
      </c>
      <c r="AA275" s="4" t="s">
        <v>1288</v>
      </c>
      <c r="AB275" s="40" t="s">
        <v>44</v>
      </c>
      <c r="AC275" s="13"/>
      <c r="AD275" s="13"/>
      <c r="AE275" s="13" t="str">
        <f>_xlfn.XLOOKUP(L275,'[1]ID PROJECT'!E:E,'[1]ID PROJECT'!F:F)</f>
        <v xml:space="preserve">PRJ-KUT-KPU-TPED-2026-04-00071 </v>
      </c>
      <c r="AF275" s="13"/>
      <c r="AG275" s="13"/>
      <c r="AH275" s="65"/>
      <c r="AI275" s="27"/>
    </row>
    <row r="276" spans="1:35" hidden="1">
      <c r="A276" s="13" t="s">
        <v>550</v>
      </c>
      <c r="B276" s="13" t="str">
        <f>_xlfn.XLOOKUP(J276,'Master Data 14-9-2026'!C:C,'Master Data 14-9-2026'!D:D)</f>
        <v>SEBASTIAN SURYA DARMA wx1521791</v>
      </c>
      <c r="C276" s="13"/>
      <c r="D276" s="13" t="str">
        <f>_xlfn.XLOOKUP(J276,'Master Data 14-9-2026'!C:C,'Master Data 14-9-2026'!E:E)</f>
        <v>IOH</v>
      </c>
      <c r="E276" s="13"/>
      <c r="F276" s="13"/>
      <c r="G276" s="13" t="s">
        <v>18</v>
      </c>
      <c r="H276" s="13" t="str">
        <f>_xlfn.XLOOKUP(J276,'Master Data 14-9-2026'!C:C,'Master Data 14-9-2026'!H:H)</f>
        <v>2026-06-25 - 2026-07-24</v>
      </c>
      <c r="I276" s="13" t="str">
        <f t="shared" si="4"/>
        <v>June</v>
      </c>
      <c r="J276" s="13" t="s">
        <v>1427</v>
      </c>
      <c r="K276" s="13" t="s">
        <v>1427</v>
      </c>
      <c r="L276" s="13" t="s">
        <v>441</v>
      </c>
      <c r="M276" s="15">
        <v>200003157597020</v>
      </c>
      <c r="N276" s="13" t="s">
        <v>924</v>
      </c>
      <c r="O276" s="13">
        <v>1.0912026062000099E+17</v>
      </c>
      <c r="P276" s="13" t="s">
        <v>1381</v>
      </c>
      <c r="Q276" s="18">
        <v>36</v>
      </c>
      <c r="R276" s="18">
        <v>1</v>
      </c>
      <c r="S276" s="13">
        <v>8828132634</v>
      </c>
      <c r="T276" s="13" t="s">
        <v>978</v>
      </c>
      <c r="U276" s="19">
        <v>32542400</v>
      </c>
      <c r="V276" s="18">
        <v>1</v>
      </c>
      <c r="W276" s="18">
        <f>_xlfn.XLOOKUP(J276,'Master Data 14-9-2026'!C:C,'Master Data 14-9-2026'!L:L)</f>
        <v>0</v>
      </c>
      <c r="X276" s="23">
        <v>32542400</v>
      </c>
      <c r="Y276" s="13" t="s">
        <v>1325</v>
      </c>
      <c r="Z276" s="24" t="str">
        <f>_xlfn.XLOOKUP(J276,'Master Data 14-9-2026'!C:C,'Master Data 14-9-2026'!I:I)</f>
        <v>Ended</v>
      </c>
      <c r="AA276" s="13" t="s">
        <v>1419</v>
      </c>
      <c r="AB276" s="4" t="s">
        <v>1149</v>
      </c>
      <c r="AC276" s="4" t="s">
        <v>1428</v>
      </c>
      <c r="AD276" s="13"/>
      <c r="AE276" s="13" t="str">
        <f>_xlfn.XLOOKUP(L276,'[1]ID PROJECT'!E:E,'[1]ID PROJECT'!F:F)</f>
        <v xml:space="preserve">PRJ-KUT-KPU-TPED-2026-04-00071 </v>
      </c>
      <c r="AF276" s="13"/>
      <c r="AG276" s="13"/>
      <c r="AH276" s="65"/>
      <c r="AI276" s="27"/>
    </row>
    <row r="277" spans="1:35" hidden="1">
      <c r="A277" s="13" t="s">
        <v>650</v>
      </c>
      <c r="B277" s="13" t="str">
        <f>_xlfn.XLOOKUP(J277,'Master Data 14-9-2026'!C:C,'Master Data 14-9-2026'!D:D)</f>
        <v>Muhammad Hafid Aqil Siroj wx1520522</v>
      </c>
      <c r="C277" s="13"/>
      <c r="D277" s="13" t="str">
        <f>_xlfn.XLOOKUP(J277,'Master Data 14-9-2026'!C:C,'Master Data 14-9-2026'!E:E)</f>
        <v>IOH</v>
      </c>
      <c r="E277" s="13"/>
      <c r="F277" s="13"/>
      <c r="G277" s="13" t="s">
        <v>18</v>
      </c>
      <c r="H277" s="13" t="str">
        <f>_xlfn.XLOOKUP(J277,'Master Data 14-9-2026'!C:C,'Master Data 14-9-2026'!H:H)</f>
        <v>2026-06-15 - 2026-07-14</v>
      </c>
      <c r="I277" s="13" t="str">
        <f t="shared" si="4"/>
        <v>June</v>
      </c>
      <c r="J277" s="13" t="s">
        <v>1429</v>
      </c>
      <c r="K277" s="13" t="s">
        <v>1429</v>
      </c>
      <c r="L277" s="13" t="s">
        <v>441</v>
      </c>
      <c r="M277" s="15">
        <v>200003157586020</v>
      </c>
      <c r="N277" s="13" t="s">
        <v>924</v>
      </c>
      <c r="O277" s="13">
        <v>1.0912026062000099E+17</v>
      </c>
      <c r="P277" s="13" t="s">
        <v>1381</v>
      </c>
      <c r="Q277" s="18">
        <v>37</v>
      </c>
      <c r="R277" s="18">
        <v>1</v>
      </c>
      <c r="S277" s="13">
        <v>8828132634</v>
      </c>
      <c r="T277" s="13" t="s">
        <v>978</v>
      </c>
      <c r="U277" s="19">
        <v>32542400</v>
      </c>
      <c r="V277" s="18">
        <v>1</v>
      </c>
      <c r="W277" s="18">
        <f>_xlfn.XLOOKUP(J277,'Master Data 14-9-2026'!C:C,'Master Data 14-9-2026'!L:L)</f>
        <v>0</v>
      </c>
      <c r="X277" s="23">
        <v>32542400</v>
      </c>
      <c r="Y277" s="13" t="s">
        <v>1325</v>
      </c>
      <c r="Z277" s="24" t="str">
        <f>_xlfn.XLOOKUP(J277,'Master Data 14-9-2026'!C:C,'Master Data 14-9-2026'!I:I)</f>
        <v>Ended</v>
      </c>
      <c r="AA277" s="13"/>
      <c r="AB277" s="39" t="s">
        <v>44</v>
      </c>
      <c r="AC277" s="4" t="s">
        <v>1113</v>
      </c>
      <c r="AD277" s="13"/>
      <c r="AE277" s="13" t="str">
        <f>_xlfn.XLOOKUP(L277,'[1]ID PROJECT'!E:E,'[1]ID PROJECT'!F:F)</f>
        <v xml:space="preserve">PRJ-KUT-KPU-TPED-2026-04-00071 </v>
      </c>
      <c r="AF277" s="13"/>
      <c r="AG277" s="13"/>
      <c r="AH277" s="65"/>
      <c r="AI277" s="27"/>
    </row>
    <row r="278" spans="1:35" hidden="1">
      <c r="A278" s="13" t="s">
        <v>650</v>
      </c>
      <c r="B278" s="13" t="str">
        <f>_xlfn.XLOOKUP(J278,'Master Data 14-9-2026'!C:C,'Master Data 14-9-2026'!D:D)</f>
        <v>Muhammad Hafid Aqil Siroj wx1520522</v>
      </c>
      <c r="C278" s="13"/>
      <c r="D278" s="13" t="str">
        <f>_xlfn.XLOOKUP(J278,'Master Data 14-9-2026'!C:C,'Master Data 14-9-2026'!E:E)</f>
        <v>IOH</v>
      </c>
      <c r="E278" s="13"/>
      <c r="F278" s="13"/>
      <c r="G278" s="13" t="s">
        <v>22</v>
      </c>
      <c r="H278" s="13" t="str">
        <f>_xlfn.XLOOKUP(J278,'Master Data 14-9-2026'!C:C,'Master Data 14-9-2026'!H:H)</f>
        <v>2026-07-15 - 2026-08-14</v>
      </c>
      <c r="I278" s="13" t="str">
        <f t="shared" si="4"/>
        <v>July</v>
      </c>
      <c r="J278" s="13" t="s">
        <v>1430</v>
      </c>
      <c r="K278" s="13" t="s">
        <v>1430</v>
      </c>
      <c r="L278" s="13" t="s">
        <v>441</v>
      </c>
      <c r="M278" s="15">
        <v>200003157587020</v>
      </c>
      <c r="N278" s="13" t="s">
        <v>924</v>
      </c>
      <c r="O278" s="13">
        <v>1.0912026062000099E+17</v>
      </c>
      <c r="P278" s="13" t="s">
        <v>1381</v>
      </c>
      <c r="Q278" s="18">
        <v>38</v>
      </c>
      <c r="R278" s="18">
        <v>1</v>
      </c>
      <c r="S278" s="13">
        <v>8828132634</v>
      </c>
      <c r="T278" s="13" t="s">
        <v>978</v>
      </c>
      <c r="U278" s="19">
        <v>32542400</v>
      </c>
      <c r="V278" s="18">
        <v>1</v>
      </c>
      <c r="W278" s="18">
        <f>_xlfn.XLOOKUP(J278,'Master Data 14-9-2026'!C:C,'Master Data 14-9-2026'!L:L)</f>
        <v>0</v>
      </c>
      <c r="X278" s="23">
        <v>32542400</v>
      </c>
      <c r="Y278" s="13" t="s">
        <v>1325</v>
      </c>
      <c r="Z278" s="24" t="s">
        <v>15</v>
      </c>
      <c r="AA278" s="13"/>
      <c r="AC278" s="4"/>
      <c r="AD278" s="13"/>
      <c r="AE278" s="13" t="str">
        <f>_xlfn.XLOOKUP(L278,'[1]ID PROJECT'!E:E,'[1]ID PROJECT'!F:F)</f>
        <v xml:space="preserve">PRJ-KUT-KPU-TPED-2026-04-00071 </v>
      </c>
      <c r="AF278" s="13"/>
      <c r="AG278" s="13"/>
      <c r="AH278" s="65"/>
      <c r="AI278" s="27"/>
    </row>
    <row r="279" spans="1:35" hidden="1">
      <c r="A279" s="13" t="s">
        <v>1431</v>
      </c>
      <c r="B279" s="13" t="str">
        <f>_xlfn.XLOOKUP(J279,'Master Data 14-9-2026'!C:C,'Master Data 14-9-2026'!D:D)</f>
        <v>Fasya Fatimma Azzhra wx1504711</v>
      </c>
      <c r="C279" s="13"/>
      <c r="D279" s="13" t="str">
        <f>_xlfn.XLOOKUP(J279,'Master Data 14-9-2026'!C:C,'Master Data 14-9-2026'!E:E)</f>
        <v>IOH</v>
      </c>
      <c r="E279" s="13"/>
      <c r="F279" s="13"/>
      <c r="G279" s="13" t="s">
        <v>18</v>
      </c>
      <c r="H279" s="13" t="str">
        <f>_xlfn.XLOOKUP(J279,'Master Data 14-9-2026'!C:C,'Master Data 14-9-2026'!H:H)</f>
        <v>2026-04-30 - 2026-05-30</v>
      </c>
      <c r="I279" s="13" t="str">
        <f t="shared" si="4"/>
        <v>April</v>
      </c>
      <c r="J279" s="13" t="s">
        <v>1432</v>
      </c>
      <c r="K279" s="13" t="s">
        <v>1432</v>
      </c>
      <c r="L279" s="13" t="s">
        <v>441</v>
      </c>
      <c r="M279" s="15">
        <v>200003157558020</v>
      </c>
      <c r="N279" s="13" t="s">
        <v>924</v>
      </c>
      <c r="O279" s="13">
        <v>1.0912026062000099E+17</v>
      </c>
      <c r="P279" s="13" t="s">
        <v>1381</v>
      </c>
      <c r="Q279" s="18">
        <v>39</v>
      </c>
      <c r="R279" s="18">
        <v>1</v>
      </c>
      <c r="S279" s="13">
        <v>8828132633</v>
      </c>
      <c r="T279" s="13" t="s">
        <v>951</v>
      </c>
      <c r="U279" s="19">
        <v>28881900</v>
      </c>
      <c r="V279" s="18">
        <v>1</v>
      </c>
      <c r="W279" s="18">
        <f>_xlfn.XLOOKUP(J279,'Master Data 14-9-2026'!C:C,'Master Data 14-9-2026'!L:L)</f>
        <v>0.5</v>
      </c>
      <c r="X279" s="23">
        <v>28881900</v>
      </c>
      <c r="Y279" s="13" t="s">
        <v>1325</v>
      </c>
      <c r="Z279" s="24" t="s">
        <v>15</v>
      </c>
      <c r="AA279" s="13" t="s">
        <v>934</v>
      </c>
      <c r="AC279" s="4"/>
      <c r="AD279" s="13" t="s">
        <v>935</v>
      </c>
      <c r="AE279" s="13" t="str">
        <f>_xlfn.XLOOKUP(L279,'[1]ID PROJECT'!E:E,'[1]ID PROJECT'!F:F)</f>
        <v xml:space="preserve">PRJ-KUT-KPU-TPED-2026-04-00071 </v>
      </c>
      <c r="AF279" s="4" t="s">
        <v>1402</v>
      </c>
      <c r="AG279" s="4" t="s">
        <v>1403</v>
      </c>
      <c r="AH279" s="65">
        <v>46223</v>
      </c>
      <c r="AI279" s="27" t="s">
        <v>938</v>
      </c>
    </row>
    <row r="280" spans="1:35" hidden="1">
      <c r="A280" s="13" t="s">
        <v>46</v>
      </c>
      <c r="B280" s="13" t="str">
        <f>_xlfn.XLOOKUP(J280,'Master Data 14-9-2026'!C:C,'Master Data 14-9-2026'!D:D)</f>
        <v>Hyang Iman Kinasih Gusti wx1503650</v>
      </c>
      <c r="C280" s="13"/>
      <c r="D280" s="13" t="str">
        <f>_xlfn.XLOOKUP(J280,'Master Data 14-9-2026'!C:C,'Master Data 14-9-2026'!E:E)</f>
        <v>IOH</v>
      </c>
      <c r="E280" s="13"/>
      <c r="F280" s="13"/>
      <c r="G280" s="13" t="s">
        <v>25</v>
      </c>
      <c r="H280" s="13" t="str">
        <f>_xlfn.XLOOKUP(J280,'Master Data 14-9-2026'!C:C,'Master Data 14-9-2026'!H:H)</f>
        <v>2026-06-23 - 2026-07-22</v>
      </c>
      <c r="I280" s="13" t="str">
        <f t="shared" si="4"/>
        <v>June</v>
      </c>
      <c r="J280" s="13" t="s">
        <v>1433</v>
      </c>
      <c r="K280" s="13" t="s">
        <v>1433</v>
      </c>
      <c r="L280" s="13" t="s">
        <v>457</v>
      </c>
      <c r="M280" s="15">
        <v>200003157567020</v>
      </c>
      <c r="N280" s="13" t="s">
        <v>924</v>
      </c>
      <c r="O280" s="13">
        <v>1.0912026062000099E+17</v>
      </c>
      <c r="P280" s="13" t="s">
        <v>1381</v>
      </c>
      <c r="Q280" s="18">
        <v>40</v>
      </c>
      <c r="R280" s="18">
        <v>1</v>
      </c>
      <c r="S280" s="13">
        <v>8828132633</v>
      </c>
      <c r="T280" s="13" t="s">
        <v>951</v>
      </c>
      <c r="U280" s="19">
        <v>28881900</v>
      </c>
      <c r="V280" s="18">
        <v>1</v>
      </c>
      <c r="W280" s="18">
        <f>_xlfn.XLOOKUP(J280,'Master Data 14-9-2026'!C:C,'Master Data 14-9-2026'!L:L)</f>
        <v>1.5</v>
      </c>
      <c r="X280" s="23">
        <v>28881900</v>
      </c>
      <c r="Y280" s="13" t="s">
        <v>1325</v>
      </c>
      <c r="Z280" s="24" t="str">
        <f>_xlfn.XLOOKUP(J280,'Master Data 14-9-2026'!C:C,'Master Data 14-9-2026'!I:I)</f>
        <v>Ended</v>
      </c>
      <c r="AA280" s="13"/>
      <c r="AC280" s="4"/>
      <c r="AD280" s="13"/>
      <c r="AE280" s="13" t="str">
        <f>_xlfn.XLOOKUP(L280,'[1]ID PROJECT'!E:E,'[1]ID PROJECT'!F:F)</f>
        <v>PRJ-KUT-KPU-TPED-2026-04-00076</v>
      </c>
      <c r="AF280" s="13"/>
      <c r="AG280" s="13"/>
      <c r="AH280" s="65"/>
      <c r="AI280" s="27"/>
    </row>
    <row r="281" spans="1:35" hidden="1">
      <c r="A281" s="13" t="s">
        <v>427</v>
      </c>
      <c r="B281" s="13" t="str">
        <f>_xlfn.XLOOKUP(J281,'Master Data 14-9-2026'!C:C,'Master Data 14-9-2026'!D:D)</f>
        <v>Wahyuni wx1504701</v>
      </c>
      <c r="C281" s="13"/>
      <c r="D281" s="13" t="str">
        <f>_xlfn.XLOOKUP(J281,'Master Data 14-9-2026'!C:C,'Master Data 14-9-2026'!E:E)</f>
        <v>Platform Region</v>
      </c>
      <c r="E281" s="13"/>
      <c r="F281" s="13"/>
      <c r="G281" s="13" t="s">
        <v>25</v>
      </c>
      <c r="H281" s="13" t="str">
        <f>_xlfn.XLOOKUP(J281,'Master Data 14-9-2026'!C:C,'Master Data 14-9-2026'!H:H)</f>
        <v>2026-06-30 - 2026-07-29</v>
      </c>
      <c r="I281" s="13" t="str">
        <f t="shared" si="4"/>
        <v>June</v>
      </c>
      <c r="J281" s="13" t="s">
        <v>1434</v>
      </c>
      <c r="K281" s="13" t="s">
        <v>1434</v>
      </c>
      <c r="L281" s="13" t="s">
        <v>500</v>
      </c>
      <c r="M281" s="15">
        <v>200003157607020</v>
      </c>
      <c r="N281" s="13" t="s">
        <v>924</v>
      </c>
      <c r="O281" s="13">
        <v>1.0912026062000099E+17</v>
      </c>
      <c r="P281" s="13" t="s">
        <v>1381</v>
      </c>
      <c r="Q281" s="18">
        <v>41</v>
      </c>
      <c r="R281" s="18">
        <v>1</v>
      </c>
      <c r="S281" s="13">
        <v>8828132633</v>
      </c>
      <c r="T281" s="13" t="s">
        <v>951</v>
      </c>
      <c r="U281" s="19">
        <v>28881900</v>
      </c>
      <c r="V281" s="18">
        <v>1</v>
      </c>
      <c r="W281" s="18">
        <f>_xlfn.XLOOKUP(J281,'Master Data 14-9-2026'!C:C,'Master Data 14-9-2026'!L:L)</f>
        <v>0.73</v>
      </c>
      <c r="X281" s="23">
        <v>28881900</v>
      </c>
      <c r="Y281" s="13" t="s">
        <v>1325</v>
      </c>
      <c r="Z281" s="24" t="str">
        <f>_xlfn.XLOOKUP(J281,'Master Data 14-9-2026'!C:C,'Master Data 14-9-2026'!I:I)</f>
        <v>Ended</v>
      </c>
      <c r="AA281" s="13"/>
      <c r="AC281" s="4"/>
      <c r="AD281" s="13"/>
      <c r="AE281" s="13" t="str">
        <f>_xlfn.XLOOKUP(L281,'[1]ID PROJECT'!E:E,'[1]ID PROJECT'!F:F)</f>
        <v>PRJ-KUT-KPU-TPED-2026-04-00080</v>
      </c>
      <c r="AF281" s="13"/>
      <c r="AG281" s="13"/>
      <c r="AH281" s="65"/>
      <c r="AI281" s="27"/>
    </row>
    <row r="282" spans="1:35" hidden="1">
      <c r="A282" s="13" t="s">
        <v>1435</v>
      </c>
      <c r="B282" s="13" t="str">
        <f>_xlfn.XLOOKUP(J282,'Master Data 14-9-2026'!C:C,'Master Data 14-9-2026'!D:D)</f>
        <v>Yusup wx1504641</v>
      </c>
      <c r="C282" s="13"/>
      <c r="D282" s="13" t="str">
        <f>_xlfn.XLOOKUP(J282,'Master Data 14-9-2026'!C:C,'Master Data 14-9-2026'!E:E)</f>
        <v>IOH</v>
      </c>
      <c r="E282" s="13"/>
      <c r="F282" s="13"/>
      <c r="G282" s="13" t="s">
        <v>18</v>
      </c>
      <c r="H282" s="13" t="str">
        <f>_xlfn.XLOOKUP(J282,'Master Data 14-9-2026'!C:C,'Master Data 14-9-2026'!H:H)</f>
        <v>2026-04-24 - 2026-05-23</v>
      </c>
      <c r="I282" s="13" t="str">
        <f t="shared" si="4"/>
        <v>April</v>
      </c>
      <c r="J282" s="13" t="s">
        <v>1436</v>
      </c>
      <c r="K282" s="13" t="s">
        <v>1436</v>
      </c>
      <c r="L282" s="13" t="s">
        <v>441</v>
      </c>
      <c r="M282" s="15">
        <v>200003157608020</v>
      </c>
      <c r="N282" s="13" t="s">
        <v>924</v>
      </c>
      <c r="O282" s="13">
        <v>1.0912026062000099E+17</v>
      </c>
      <c r="P282" s="13" t="s">
        <v>1381</v>
      </c>
      <c r="Q282" s="18">
        <v>42</v>
      </c>
      <c r="R282" s="18">
        <v>1</v>
      </c>
      <c r="S282" s="13">
        <v>8828132635</v>
      </c>
      <c r="T282" s="13" t="s">
        <v>926</v>
      </c>
      <c r="U282" s="19">
        <v>34220600</v>
      </c>
      <c r="V282" s="18">
        <v>1</v>
      </c>
      <c r="W282" s="18">
        <f>_xlfn.XLOOKUP(J282,'Master Data 14-9-2026'!C:C,'Master Data 14-9-2026'!L:L)</f>
        <v>0</v>
      </c>
      <c r="X282" s="23">
        <v>34220600</v>
      </c>
      <c r="Y282" s="13" t="s">
        <v>1325</v>
      </c>
      <c r="Z282" s="24" t="s">
        <v>15</v>
      </c>
      <c r="AA282" s="13" t="s">
        <v>934</v>
      </c>
      <c r="AC282" s="4"/>
      <c r="AD282" s="13" t="s">
        <v>935</v>
      </c>
      <c r="AE282" s="13" t="str">
        <f>_xlfn.XLOOKUP(L282,'[1]ID PROJECT'!E:E,'[1]ID PROJECT'!F:F)</f>
        <v xml:space="preserve">PRJ-KUT-KPU-TPED-2026-04-00071 </v>
      </c>
      <c r="AF282" s="4" t="s">
        <v>1402</v>
      </c>
      <c r="AG282" s="4" t="s">
        <v>1403</v>
      </c>
      <c r="AH282" s="65">
        <v>46223</v>
      </c>
      <c r="AI282" s="27" t="s">
        <v>938</v>
      </c>
    </row>
    <row r="283" spans="1:35" hidden="1">
      <c r="A283" s="13" t="s">
        <v>658</v>
      </c>
      <c r="B283" s="13" t="str">
        <f>_xlfn.XLOOKUP(J283,'Master Data 14-9-2026'!C:C,'Master Data 14-9-2026'!D:D)</f>
        <v>Sergius Paulus Sinaga wx1520524</v>
      </c>
      <c r="C283" s="13"/>
      <c r="D283" s="13" t="str">
        <f>_xlfn.XLOOKUP(J283,'Master Data 14-9-2026'!C:C,'Master Data 14-9-2026'!E:E)</f>
        <v>IOH</v>
      </c>
      <c r="E283" s="13"/>
      <c r="F283" s="13"/>
      <c r="G283" s="13" t="s">
        <v>18</v>
      </c>
      <c r="H283" s="13" t="str">
        <f>_xlfn.XLOOKUP(J283,'Master Data 14-9-2026'!C:C,'Master Data 14-9-2026'!H:H)</f>
        <v>2026-06-15 - 2026-07-14</v>
      </c>
      <c r="I283" s="13" t="str">
        <f t="shared" si="4"/>
        <v>June</v>
      </c>
      <c r="J283" s="13" t="s">
        <v>1437</v>
      </c>
      <c r="K283" s="13" t="s">
        <v>1437</v>
      </c>
      <c r="L283" s="13" t="s">
        <v>441</v>
      </c>
      <c r="M283" s="15">
        <v>200003157598020</v>
      </c>
      <c r="N283" s="13" t="s">
        <v>924</v>
      </c>
      <c r="O283" s="13">
        <v>1.0912026062000099E+17</v>
      </c>
      <c r="P283" s="13" t="s">
        <v>1381</v>
      </c>
      <c r="Q283" s="18">
        <v>43</v>
      </c>
      <c r="R283" s="18">
        <v>1</v>
      </c>
      <c r="S283" s="13">
        <v>8828132634</v>
      </c>
      <c r="T283" s="13" t="s">
        <v>978</v>
      </c>
      <c r="U283" s="19">
        <v>32542400</v>
      </c>
      <c r="V283" s="18">
        <v>1</v>
      </c>
      <c r="W283" s="18">
        <f>_xlfn.XLOOKUP(J283,'Master Data 14-9-2026'!C:C,'Master Data 14-9-2026'!L:L)</f>
        <v>0</v>
      </c>
      <c r="X283" s="23">
        <v>32542400</v>
      </c>
      <c r="Y283" s="13" t="s">
        <v>1325</v>
      </c>
      <c r="Z283" s="24" t="str">
        <f>_xlfn.XLOOKUP(J283,'Master Data 14-9-2026'!C:C,'Master Data 14-9-2026'!I:I)</f>
        <v>Ended</v>
      </c>
      <c r="AA283" s="13"/>
      <c r="AB283" s="39" t="s">
        <v>44</v>
      </c>
      <c r="AC283" s="4" t="s">
        <v>1113</v>
      </c>
      <c r="AD283" s="13"/>
      <c r="AE283" s="13" t="str">
        <f>_xlfn.XLOOKUP(L283,'[1]ID PROJECT'!E:E,'[1]ID PROJECT'!F:F)</f>
        <v xml:space="preserve">PRJ-KUT-KPU-TPED-2026-04-00071 </v>
      </c>
      <c r="AF283" s="13"/>
      <c r="AG283" s="13"/>
      <c r="AH283" s="65"/>
      <c r="AI283" s="27"/>
    </row>
    <row r="284" spans="1:35" hidden="1">
      <c r="A284" s="13" t="s">
        <v>435</v>
      </c>
      <c r="B284" s="13" t="str">
        <f>_xlfn.XLOOKUP(J284,'Master Data 14-9-2026'!C:C,'Master Data 14-9-2026'!D:D)</f>
        <v>Fasya Fatimma Azzhra wx1504711</v>
      </c>
      <c r="C284" s="13"/>
      <c r="D284" s="13" t="str">
        <f>_xlfn.XLOOKUP(J284,'Master Data 14-9-2026'!C:C,'Master Data 14-9-2026'!E:E)</f>
        <v>IOH</v>
      </c>
      <c r="E284" s="13"/>
      <c r="F284" s="13"/>
      <c r="G284" s="13" t="s">
        <v>22</v>
      </c>
      <c r="H284" s="13" t="str">
        <f>_xlfn.XLOOKUP(J284,'Master Data 14-9-2026'!C:C,'Master Data 14-9-2026'!H:H)</f>
        <v>2026-05-31 - 2026-06-29</v>
      </c>
      <c r="I284" s="13" t="str">
        <f t="shared" si="4"/>
        <v>May</v>
      </c>
      <c r="J284" s="13" t="s">
        <v>1438</v>
      </c>
      <c r="K284" s="13" t="s">
        <v>1438</v>
      </c>
      <c r="L284" s="13" t="s">
        <v>441</v>
      </c>
      <c r="M284" s="15">
        <v>200003157559020</v>
      </c>
      <c r="N284" s="13" t="s">
        <v>924</v>
      </c>
      <c r="O284" s="13">
        <v>1.0912026062000099E+17</v>
      </c>
      <c r="P284" s="13" t="s">
        <v>1381</v>
      </c>
      <c r="Q284" s="18">
        <v>44</v>
      </c>
      <c r="R284" s="18">
        <v>1</v>
      </c>
      <c r="S284" s="13">
        <v>8828132633</v>
      </c>
      <c r="T284" s="13" t="s">
        <v>951</v>
      </c>
      <c r="U284" s="19">
        <v>28881900</v>
      </c>
      <c r="V284" s="18">
        <v>1</v>
      </c>
      <c r="W284" s="18">
        <f>_xlfn.XLOOKUP(J284,'Master Data 14-9-2026'!C:C,'Master Data 14-9-2026'!L:L)</f>
        <v>0</v>
      </c>
      <c r="X284" s="23">
        <v>28881900</v>
      </c>
      <c r="Y284" s="13" t="s">
        <v>1325</v>
      </c>
      <c r="Z284" s="24" t="s">
        <v>984</v>
      </c>
      <c r="AA284" s="13"/>
      <c r="AC284" s="4"/>
      <c r="AD284" s="13"/>
      <c r="AE284" s="13" t="str">
        <f>_xlfn.XLOOKUP(L284,'[1]ID PROJECT'!E:E,'[1]ID PROJECT'!F:F)</f>
        <v xml:space="preserve">PRJ-KUT-KPU-TPED-2026-04-00071 </v>
      </c>
      <c r="AF284" s="13"/>
      <c r="AG284" s="13"/>
      <c r="AH284" s="65"/>
      <c r="AI284" s="27"/>
    </row>
    <row r="285" spans="1:35" hidden="1">
      <c r="A285" s="13" t="s">
        <v>658</v>
      </c>
      <c r="B285" s="13" t="str">
        <f>_xlfn.XLOOKUP(J285,'Master Data 14-9-2026'!C:C,'Master Data 14-9-2026'!D:D)</f>
        <v>Sergius Paulus Sinaga wx1520524</v>
      </c>
      <c r="C285" s="13"/>
      <c r="D285" s="13" t="str">
        <f>_xlfn.XLOOKUP(J285,'Master Data 14-9-2026'!C:C,'Master Data 14-9-2026'!E:E)</f>
        <v>IOH</v>
      </c>
      <c r="E285" s="13"/>
      <c r="F285" s="13"/>
      <c r="G285" s="13" t="s">
        <v>22</v>
      </c>
      <c r="H285" s="13" t="str">
        <f>_xlfn.XLOOKUP(J285,'Master Data 14-9-2026'!C:C,'Master Data 14-9-2026'!H:H)</f>
        <v>2026-07-15 - 2026-08-14</v>
      </c>
      <c r="I285" s="13" t="str">
        <f t="shared" si="4"/>
        <v>July</v>
      </c>
      <c r="J285" s="13" t="s">
        <v>1439</v>
      </c>
      <c r="K285" s="13" t="s">
        <v>1439</v>
      </c>
      <c r="L285" s="13" t="s">
        <v>441</v>
      </c>
      <c r="M285" s="15">
        <v>200003157599020</v>
      </c>
      <c r="N285" s="13" t="s">
        <v>924</v>
      </c>
      <c r="O285" s="13">
        <v>1.0912026062000099E+17</v>
      </c>
      <c r="P285" s="13" t="s">
        <v>1381</v>
      </c>
      <c r="Q285" s="18">
        <v>45</v>
      </c>
      <c r="R285" s="18">
        <v>1</v>
      </c>
      <c r="S285" s="13">
        <v>8828132634</v>
      </c>
      <c r="T285" s="13" t="s">
        <v>978</v>
      </c>
      <c r="U285" s="19">
        <v>32542400</v>
      </c>
      <c r="V285" s="18">
        <v>1</v>
      </c>
      <c r="W285" s="18">
        <f>_xlfn.XLOOKUP(J285,'Master Data 14-9-2026'!C:C,'Master Data 14-9-2026'!L:L)</f>
        <v>0</v>
      </c>
      <c r="X285" s="23">
        <v>32542400</v>
      </c>
      <c r="Y285" s="13" t="s">
        <v>1325</v>
      </c>
      <c r="Z285" s="24" t="s">
        <v>15</v>
      </c>
      <c r="AA285" s="13"/>
      <c r="AC285" s="4"/>
      <c r="AD285" s="13"/>
      <c r="AE285" s="13" t="str">
        <f>_xlfn.XLOOKUP(L285,'[1]ID PROJECT'!E:E,'[1]ID PROJECT'!F:F)</f>
        <v xml:space="preserve">PRJ-KUT-KPU-TPED-2026-04-00071 </v>
      </c>
      <c r="AF285" s="13"/>
      <c r="AG285" s="13"/>
      <c r="AH285" s="65"/>
      <c r="AI285" s="27"/>
    </row>
    <row r="286" spans="1:35" hidden="1">
      <c r="A286" s="13" t="s">
        <v>878</v>
      </c>
      <c r="B286" s="13" t="str">
        <f>_xlfn.XLOOKUP(J286,'Master Data 14-9-2026'!C:C,'Master Data 14-9-2026'!D:D)</f>
        <v>Farid Aulia Erdianda wx1507365</v>
      </c>
      <c r="C286" s="13"/>
      <c r="D286" s="13" t="str">
        <f>_xlfn.XLOOKUP(J286,'Master Data 14-9-2026'!C:C,'Master Data 14-9-2026'!E:E)</f>
        <v>IOH</v>
      </c>
      <c r="E286" s="13"/>
      <c r="F286" s="13"/>
      <c r="G286" s="13" t="s">
        <v>18</v>
      </c>
      <c r="H286" s="13" t="str">
        <f>_xlfn.XLOOKUP(J286,'Master Data 14-9-2026'!C:C,'Master Data 14-9-2026'!H:H)</f>
        <v>2026-05-01 - 2026-05-31</v>
      </c>
      <c r="I286" s="13" t="str">
        <f t="shared" si="4"/>
        <v>May</v>
      </c>
      <c r="J286" s="13" t="s">
        <v>1440</v>
      </c>
      <c r="K286" s="13" t="s">
        <v>1440</v>
      </c>
      <c r="L286" s="13" t="s">
        <v>441</v>
      </c>
      <c r="M286" s="15">
        <v>200003157555020</v>
      </c>
      <c r="N286" s="13" t="s">
        <v>924</v>
      </c>
      <c r="O286" s="13">
        <v>1.0912026062000099E+17</v>
      </c>
      <c r="P286" s="13" t="s">
        <v>1441</v>
      </c>
      <c r="Q286" s="18">
        <v>1</v>
      </c>
      <c r="R286" s="18">
        <v>1</v>
      </c>
      <c r="S286" s="13">
        <v>8828132635</v>
      </c>
      <c r="T286" s="13" t="s">
        <v>926</v>
      </c>
      <c r="U286" s="19">
        <v>34220600</v>
      </c>
      <c r="V286" s="18">
        <v>1</v>
      </c>
      <c r="W286" s="18">
        <f>_xlfn.XLOOKUP(J286,'Master Data 14-9-2026'!C:C,'Master Data 14-9-2026'!L:L)</f>
        <v>0</v>
      </c>
      <c r="X286" s="23">
        <v>34220600</v>
      </c>
      <c r="Y286" s="13" t="s">
        <v>1325</v>
      </c>
      <c r="Z286" s="24" t="s">
        <v>15</v>
      </c>
      <c r="AA286" s="13" t="s">
        <v>934</v>
      </c>
      <c r="AC286" s="4"/>
      <c r="AD286" s="13" t="s">
        <v>935</v>
      </c>
      <c r="AE286" s="13" t="str">
        <f>_xlfn.XLOOKUP(L286,'[1]ID PROJECT'!E:E,'[1]ID PROJECT'!F:F)</f>
        <v xml:space="preserve">PRJ-KUT-KPU-TPED-2026-04-00071 </v>
      </c>
      <c r="AF286" s="4" t="s">
        <v>1442</v>
      </c>
      <c r="AG286" s="4" t="s">
        <v>1443</v>
      </c>
      <c r="AH286" s="65">
        <v>46223</v>
      </c>
      <c r="AI286" s="27" t="s">
        <v>938</v>
      </c>
    </row>
    <row r="287" spans="1:35" hidden="1">
      <c r="A287" s="13" t="s">
        <v>384</v>
      </c>
      <c r="B287" s="13" t="str">
        <f>_xlfn.XLOOKUP(J287,'Master Data 14-9-2026'!C:C,'Master Data 14-9-2026'!D:D)</f>
        <v>Andi Tenri Bali wx1507141</v>
      </c>
      <c r="C287" s="13"/>
      <c r="D287" s="13" t="str">
        <f>_xlfn.XLOOKUP(J287,'Master Data 14-9-2026'!C:C,'Master Data 14-9-2026'!E:E)</f>
        <v>IOH</v>
      </c>
      <c r="E287" s="13"/>
      <c r="F287" s="13"/>
      <c r="G287" s="13" t="s">
        <v>22</v>
      </c>
      <c r="H287" s="13" t="str">
        <f>_xlfn.XLOOKUP(J287,'Master Data 14-9-2026'!C:C,'Master Data 14-9-2026'!H:H)</f>
        <v>2026-06-01 - 2026-06-30</v>
      </c>
      <c r="I287" s="13" t="str">
        <f t="shared" si="4"/>
        <v>June</v>
      </c>
      <c r="J287" s="13" t="s">
        <v>1444</v>
      </c>
      <c r="K287" s="13" t="s">
        <v>1444</v>
      </c>
      <c r="L287" s="13" t="s">
        <v>441</v>
      </c>
      <c r="M287" s="15">
        <v>200003157538020</v>
      </c>
      <c r="N287" s="13" t="s">
        <v>924</v>
      </c>
      <c r="O287" s="13">
        <v>1.0912026062000099E+17</v>
      </c>
      <c r="P287" s="13" t="s">
        <v>1441</v>
      </c>
      <c r="Q287" s="18">
        <v>2</v>
      </c>
      <c r="R287" s="18">
        <v>1</v>
      </c>
      <c r="S287" s="13">
        <v>8828132633</v>
      </c>
      <c r="T287" s="13" t="s">
        <v>951</v>
      </c>
      <c r="U287" s="19">
        <v>28881900</v>
      </c>
      <c r="V287" s="18">
        <v>1</v>
      </c>
      <c r="W287" s="18">
        <f>_xlfn.XLOOKUP(J287,'Master Data 14-9-2026'!C:C,'Master Data 14-9-2026'!L:L)</f>
        <v>0</v>
      </c>
      <c r="X287" s="23">
        <v>28881900</v>
      </c>
      <c r="Y287" s="13" t="s">
        <v>1325</v>
      </c>
      <c r="Z287" s="24" t="str">
        <f>_xlfn.XLOOKUP(J287,'Master Data 14-9-2026'!C:C,'Master Data 14-9-2026'!I:I)</f>
        <v>Ended</v>
      </c>
      <c r="AA287" s="13"/>
      <c r="AC287" s="4"/>
      <c r="AD287" s="13"/>
      <c r="AE287" s="13" t="str">
        <f>_xlfn.XLOOKUP(L287,'[1]ID PROJECT'!E:E,'[1]ID PROJECT'!F:F)</f>
        <v xml:space="preserve">PRJ-KUT-KPU-TPED-2026-04-00071 </v>
      </c>
      <c r="AF287" s="13"/>
      <c r="AG287" s="13"/>
      <c r="AH287" s="65"/>
      <c r="AI287" s="27"/>
    </row>
    <row r="288" spans="1:35" hidden="1">
      <c r="A288" s="13" t="s">
        <v>878</v>
      </c>
      <c r="B288" s="13" t="str">
        <f>_xlfn.XLOOKUP(J288,'Master Data 14-9-2026'!C:C,'Master Data 14-9-2026'!D:D)</f>
        <v>Farid Aulia Erdianda wx1507365</v>
      </c>
      <c r="C288" s="13"/>
      <c r="D288" s="13" t="str">
        <f>_xlfn.XLOOKUP(J288,'Master Data 14-9-2026'!C:C,'Master Data 14-9-2026'!E:E)</f>
        <v>IOH</v>
      </c>
      <c r="E288" s="13"/>
      <c r="F288" s="13"/>
      <c r="G288" s="13" t="s">
        <v>22</v>
      </c>
      <c r="H288" s="13" t="str">
        <f>_xlfn.XLOOKUP(J288,'Master Data 14-9-2026'!C:C,'Master Data 14-9-2026'!H:H)</f>
        <v>2026-06-01 - 2026-06-30</v>
      </c>
      <c r="I288" s="13" t="str">
        <f t="shared" si="4"/>
        <v>June</v>
      </c>
      <c r="J288" s="13" t="s">
        <v>1445</v>
      </c>
      <c r="K288" s="13" t="s">
        <v>1445</v>
      </c>
      <c r="L288" s="13" t="s">
        <v>441</v>
      </c>
      <c r="M288" s="15">
        <v>200003157556020</v>
      </c>
      <c r="N288" s="13" t="s">
        <v>924</v>
      </c>
      <c r="O288" s="13">
        <v>1.0912026062000099E+17</v>
      </c>
      <c r="P288" s="13" t="s">
        <v>1441</v>
      </c>
      <c r="Q288" s="18">
        <v>3</v>
      </c>
      <c r="R288" s="18">
        <v>1</v>
      </c>
      <c r="S288" s="13">
        <v>8828132635</v>
      </c>
      <c r="T288" s="13" t="s">
        <v>926</v>
      </c>
      <c r="U288" s="19">
        <v>34220600</v>
      </c>
      <c r="V288" s="18">
        <v>1</v>
      </c>
      <c r="W288" s="18">
        <f>_xlfn.XLOOKUP(J288,'Master Data 14-9-2026'!C:C,'Master Data 14-9-2026'!L:L)</f>
        <v>0</v>
      </c>
      <c r="X288" s="23">
        <v>34220600</v>
      </c>
      <c r="Y288" s="13" t="s">
        <v>1325</v>
      </c>
      <c r="Z288" s="24" t="str">
        <f>_xlfn.XLOOKUP(J288,'Master Data 14-9-2026'!C:C,'Master Data 14-9-2026'!I:I)</f>
        <v>Ended</v>
      </c>
      <c r="AA288" s="13"/>
      <c r="AC288" s="4"/>
      <c r="AD288" s="13"/>
      <c r="AE288" s="13" t="str">
        <f>_xlfn.XLOOKUP(L288,'[1]ID PROJECT'!E:E,'[1]ID PROJECT'!F:F)</f>
        <v xml:space="preserve">PRJ-KUT-KPU-TPED-2026-04-00071 </v>
      </c>
      <c r="AF288" s="13"/>
      <c r="AG288" s="13"/>
      <c r="AH288" s="65"/>
      <c r="AI288" s="27"/>
    </row>
    <row r="289" spans="1:35" hidden="1">
      <c r="A289" s="13" t="s">
        <v>471</v>
      </c>
      <c r="B289" s="13" t="str">
        <f>_xlfn.XLOOKUP(J289,'Master Data 14-9-2026'!C:C,'Master Data 14-9-2026'!D:D)</f>
        <v>Ivan Arfianto wx1503653</v>
      </c>
      <c r="C289" s="13"/>
      <c r="D289" s="13" t="str">
        <f>_xlfn.XLOOKUP(J289,'Master Data 14-9-2026'!C:C,'Master Data 14-9-2026'!E:E)</f>
        <v>IOH</v>
      </c>
      <c r="E289" s="13"/>
      <c r="F289" s="13"/>
      <c r="G289" s="13" t="s">
        <v>25</v>
      </c>
      <c r="H289" s="13" t="str">
        <f>_xlfn.XLOOKUP(J289,'Master Data 14-9-2026'!C:C,'Master Data 14-9-2026'!H:H)</f>
        <v>2026-07-01 - 2026-07-31</v>
      </c>
      <c r="I289" s="13" t="str">
        <f t="shared" si="4"/>
        <v>July</v>
      </c>
      <c r="J289" s="13" t="s">
        <v>1446</v>
      </c>
      <c r="K289" s="13" t="s">
        <v>1446</v>
      </c>
      <c r="L289" s="13" t="s">
        <v>468</v>
      </c>
      <c r="M289" s="15">
        <v>200003157570020</v>
      </c>
      <c r="N289" s="13" t="s">
        <v>924</v>
      </c>
      <c r="O289" s="13">
        <v>1.0912026062000099E+17</v>
      </c>
      <c r="P289" s="13" t="s">
        <v>1441</v>
      </c>
      <c r="Q289" s="18">
        <v>4</v>
      </c>
      <c r="R289" s="18">
        <v>1</v>
      </c>
      <c r="S289" s="13">
        <v>8828132636</v>
      </c>
      <c r="T289" s="13" t="s">
        <v>933</v>
      </c>
      <c r="U289" s="19">
        <v>36992000</v>
      </c>
      <c r="V289" s="18">
        <v>1</v>
      </c>
      <c r="W289" s="18">
        <f>_xlfn.XLOOKUP(J289,'Master Data 14-9-2026'!C:C,'Master Data 14-9-2026'!L:L)</f>
        <v>1.5</v>
      </c>
      <c r="X289" s="23">
        <v>36992000</v>
      </c>
      <c r="Y289" s="13" t="s">
        <v>1325</v>
      </c>
      <c r="Z289" s="24" t="s">
        <v>15</v>
      </c>
      <c r="AA289" s="13"/>
      <c r="AC289" s="4"/>
      <c r="AD289" s="13"/>
      <c r="AE289" s="13" t="str">
        <f>_xlfn.XLOOKUP(L289,'[1]ID PROJECT'!E:E,'[1]ID PROJECT'!F:F)</f>
        <v>PRJ-KUT-KPU-TPED-2026-04-00075</v>
      </c>
      <c r="AF289" s="13"/>
      <c r="AG289" s="13"/>
      <c r="AH289" s="65"/>
      <c r="AI289" s="27"/>
    </row>
    <row r="290" spans="1:35" hidden="1">
      <c r="A290" s="13" t="s">
        <v>878</v>
      </c>
      <c r="B290" s="13" t="str">
        <f>_xlfn.XLOOKUP(J290,'Master Data 14-9-2026'!C:C,'Master Data 14-9-2026'!D:D)</f>
        <v>Farid Aulia Erdianda wx1507365</v>
      </c>
      <c r="C290" s="13"/>
      <c r="D290" s="13" t="str">
        <f>_xlfn.XLOOKUP(J290,'Master Data 14-9-2026'!C:C,'Master Data 14-9-2026'!E:E)</f>
        <v>IOH</v>
      </c>
      <c r="E290" s="13"/>
      <c r="F290" s="13"/>
      <c r="G290" s="13" t="s">
        <v>25</v>
      </c>
      <c r="H290" s="13" t="str">
        <f>_xlfn.XLOOKUP(J290,'Master Data 14-9-2026'!C:C,'Master Data 14-9-2026'!H:H)</f>
        <v>2026-07-01 - 2026-07-31</v>
      </c>
      <c r="I290" s="13" t="str">
        <f t="shared" si="4"/>
        <v>July</v>
      </c>
      <c r="J290" s="13" t="s">
        <v>1447</v>
      </c>
      <c r="K290" s="13" t="s">
        <v>1447</v>
      </c>
      <c r="L290" s="13" t="s">
        <v>441</v>
      </c>
      <c r="M290" s="15">
        <v>200003157557020</v>
      </c>
      <c r="N290" s="13" t="s">
        <v>924</v>
      </c>
      <c r="O290" s="13">
        <v>1.0912026062000099E+17</v>
      </c>
      <c r="P290" s="13" t="s">
        <v>1441</v>
      </c>
      <c r="Q290" s="18">
        <v>5</v>
      </c>
      <c r="R290" s="18">
        <v>1</v>
      </c>
      <c r="S290" s="13">
        <v>8828132635</v>
      </c>
      <c r="T290" s="13" t="s">
        <v>926</v>
      </c>
      <c r="U290" s="19">
        <v>34220600</v>
      </c>
      <c r="V290" s="18">
        <v>1</v>
      </c>
      <c r="W290" s="18">
        <f>_xlfn.XLOOKUP(J290,'Master Data 14-9-2026'!C:C,'Master Data 14-9-2026'!L:L)</f>
        <v>0</v>
      </c>
      <c r="X290" s="23">
        <v>34220600</v>
      </c>
      <c r="Y290" s="13" t="s">
        <v>1325</v>
      </c>
      <c r="Z290" s="24" t="s">
        <v>15</v>
      </c>
      <c r="AA290" s="13"/>
      <c r="AC290" s="4"/>
      <c r="AD290" s="13"/>
      <c r="AE290" s="13" t="str">
        <f>_xlfn.XLOOKUP(L290,'[1]ID PROJECT'!E:E,'[1]ID PROJECT'!F:F)</f>
        <v xml:space="preserve">PRJ-KUT-KPU-TPED-2026-04-00071 </v>
      </c>
      <c r="AF290" s="13"/>
      <c r="AG290" s="13"/>
      <c r="AH290" s="65"/>
      <c r="AI290" s="27"/>
    </row>
    <row r="291" spans="1:35" hidden="1">
      <c r="A291" s="13" t="s">
        <v>827</v>
      </c>
      <c r="B291" s="13" t="str">
        <f>_xlfn.XLOOKUP(J291,'Master Data 14-9-2026'!C:C,'Master Data 14-9-2026'!D:D)</f>
        <v>Abdul Dedi Halik wx1522830</v>
      </c>
      <c r="C291" s="13"/>
      <c r="D291" s="13" t="str">
        <f>_xlfn.XLOOKUP(J291,'Master Data 14-9-2026'!C:C,'Master Data 14-9-2026'!E:E)</f>
        <v>IOH</v>
      </c>
      <c r="E291" s="13"/>
      <c r="F291" s="13"/>
      <c r="G291" s="13" t="s">
        <v>18</v>
      </c>
      <c r="H291" s="13" t="str">
        <f>_xlfn.XLOOKUP(J291,'Master Data 14-9-2026'!C:C,'Master Data 14-9-2026'!H:H)</f>
        <v>2026-06-25 - 2026-07-24</v>
      </c>
      <c r="I291" s="13" t="str">
        <f t="shared" si="4"/>
        <v>June</v>
      </c>
      <c r="J291" s="13" t="s">
        <v>1448</v>
      </c>
      <c r="K291" s="13" t="s">
        <v>1448</v>
      </c>
      <c r="L291" s="13" t="s">
        <v>441</v>
      </c>
      <c r="M291" s="15">
        <v>200003157531020</v>
      </c>
      <c r="N291" s="13" t="s">
        <v>924</v>
      </c>
      <c r="O291" s="13">
        <v>1.0912026062000099E+17</v>
      </c>
      <c r="P291" s="13" t="s">
        <v>1441</v>
      </c>
      <c r="Q291" s="18">
        <v>6</v>
      </c>
      <c r="R291" s="18">
        <v>1</v>
      </c>
      <c r="S291" s="13">
        <v>8828132635</v>
      </c>
      <c r="T291" s="13" t="s">
        <v>926</v>
      </c>
      <c r="U291" s="19">
        <v>34220600</v>
      </c>
      <c r="V291" s="18">
        <v>1</v>
      </c>
      <c r="W291" s="18">
        <f>_xlfn.XLOOKUP(J291,'Master Data 14-9-2026'!C:C,'Master Data 14-9-2026'!L:L)</f>
        <v>0</v>
      </c>
      <c r="X291" s="23">
        <v>34220600</v>
      </c>
      <c r="Y291" s="13" t="s">
        <v>1325</v>
      </c>
      <c r="Z291" s="24" t="s">
        <v>15</v>
      </c>
      <c r="AA291" s="13" t="s">
        <v>934</v>
      </c>
      <c r="AC291" s="4"/>
      <c r="AD291" s="13" t="s">
        <v>935</v>
      </c>
      <c r="AE291" s="13" t="str">
        <f>_xlfn.XLOOKUP(L291,'[1]ID PROJECT'!E:E,'[1]ID PROJECT'!F:F)</f>
        <v xml:space="preserve">PRJ-KUT-KPU-TPED-2026-04-00071 </v>
      </c>
      <c r="AF291" s="4" t="s">
        <v>1442</v>
      </c>
      <c r="AG291" s="4" t="s">
        <v>1443</v>
      </c>
      <c r="AH291" s="65">
        <v>46223</v>
      </c>
      <c r="AI291" s="27" t="s">
        <v>938</v>
      </c>
    </row>
    <row r="292" spans="1:35" hidden="1">
      <c r="A292" s="13" t="s">
        <v>750</v>
      </c>
      <c r="B292" s="13" t="str">
        <f>_xlfn.XLOOKUP(J292,'Master Data 14-9-2026'!C:C,'Master Data 14-9-2026'!D:D)</f>
        <v>Muhammad Suprijanto wx1503655</v>
      </c>
      <c r="C292" s="13"/>
      <c r="D292" s="13" t="str">
        <f>_xlfn.XLOOKUP(J292,'Master Data 14-9-2026'!C:C,'Master Data 14-9-2026'!E:E)</f>
        <v>IOH</v>
      </c>
      <c r="E292" s="13"/>
      <c r="F292" s="13"/>
      <c r="G292" s="13" t="s">
        <v>22</v>
      </c>
      <c r="H292" s="13" t="str">
        <f>_xlfn.XLOOKUP(J292,'Master Data 14-9-2026'!C:C,'Master Data 14-9-2026'!H:H)</f>
        <v>2026-06-01 - 2026-06-30</v>
      </c>
      <c r="I292" s="13" t="str">
        <f t="shared" si="4"/>
        <v>June</v>
      </c>
      <c r="J292" s="13" t="s">
        <v>1449</v>
      </c>
      <c r="K292" s="13" t="s">
        <v>1449</v>
      </c>
      <c r="L292" s="13" t="s">
        <v>468</v>
      </c>
      <c r="M292" s="15">
        <v>200003157589020</v>
      </c>
      <c r="N292" s="13" t="s">
        <v>924</v>
      </c>
      <c r="O292" s="13">
        <v>1.0912026062000099E+17</v>
      </c>
      <c r="P292" s="13" t="s">
        <v>1441</v>
      </c>
      <c r="Q292" s="18">
        <v>7</v>
      </c>
      <c r="R292" s="18">
        <v>1</v>
      </c>
      <c r="S292" s="13">
        <v>8828132635</v>
      </c>
      <c r="T292" s="13" t="s">
        <v>926</v>
      </c>
      <c r="U292" s="19">
        <v>34220600</v>
      </c>
      <c r="V292" s="18">
        <v>1</v>
      </c>
      <c r="W292" s="18">
        <f>_xlfn.XLOOKUP(J292,'Master Data 14-9-2026'!C:C,'Master Data 14-9-2026'!L:L)</f>
        <v>1.5</v>
      </c>
      <c r="X292" s="23">
        <v>34220600</v>
      </c>
      <c r="Y292" s="13" t="s">
        <v>1325</v>
      </c>
      <c r="Z292" s="24" t="str">
        <f>_xlfn.XLOOKUP(J292,'Master Data 14-9-2026'!C:C,'Master Data 14-9-2026'!I:I)</f>
        <v>Ended</v>
      </c>
      <c r="AA292" s="13"/>
      <c r="AC292" s="4"/>
      <c r="AD292" s="13"/>
      <c r="AE292" s="13" t="str">
        <f>_xlfn.XLOOKUP(L292,'[1]ID PROJECT'!E:E,'[1]ID PROJECT'!F:F)</f>
        <v>PRJ-KUT-KPU-TPED-2026-04-00075</v>
      </c>
      <c r="AF292" s="13"/>
      <c r="AG292" s="13"/>
      <c r="AH292" s="65"/>
      <c r="AI292" s="27"/>
    </row>
    <row r="293" spans="1:35" ht="14.25" hidden="1" customHeight="1">
      <c r="A293" s="13" t="s">
        <v>153</v>
      </c>
      <c r="B293" s="13" t="str">
        <f>_xlfn.XLOOKUP(J293,'Master Data 14-9-2026'!C:C,'Master Data 14-9-2026'!D:D)</f>
        <v>Zamilah Maulidiana wx1503509</v>
      </c>
      <c r="C293" s="13"/>
      <c r="D293" s="13" t="str">
        <f>_xlfn.XLOOKUP(J293,'Master Data 14-9-2026'!C:C,'Master Data 14-9-2026'!E:E)</f>
        <v>Platform Region</v>
      </c>
      <c r="E293" s="13"/>
      <c r="F293" s="13"/>
      <c r="G293" s="13" t="s">
        <v>18</v>
      </c>
      <c r="H293" s="13" t="str">
        <f>_xlfn.XLOOKUP(J293,'Master Data 14-9-2026'!C:C,'Master Data 14-9-2026'!H:H)</f>
        <v>2026-05-01 - 2026-05-31</v>
      </c>
      <c r="I293" s="13" t="str">
        <f t="shared" si="4"/>
        <v>May</v>
      </c>
      <c r="J293" s="13" t="s">
        <v>1450</v>
      </c>
      <c r="K293" s="13" t="s">
        <v>1450</v>
      </c>
      <c r="L293" s="13" t="s">
        <v>457</v>
      </c>
      <c r="M293" s="15">
        <v>200003157611020</v>
      </c>
      <c r="N293" s="13" t="s">
        <v>924</v>
      </c>
      <c r="O293" s="13">
        <v>1.0912026062000099E+17</v>
      </c>
      <c r="P293" s="13" t="s">
        <v>1441</v>
      </c>
      <c r="Q293" s="18">
        <v>8</v>
      </c>
      <c r="R293" s="18">
        <v>1</v>
      </c>
      <c r="S293" s="13">
        <v>8828132633</v>
      </c>
      <c r="T293" s="13" t="s">
        <v>951</v>
      </c>
      <c r="U293" s="19">
        <v>28881900</v>
      </c>
      <c r="V293" s="18">
        <v>1</v>
      </c>
      <c r="W293" s="18">
        <f>_xlfn.XLOOKUP(J293,'Master Data 14-9-2026'!C:C,'Master Data 14-9-2026'!L:L)</f>
        <v>1.27</v>
      </c>
      <c r="X293" s="23">
        <v>28881900</v>
      </c>
      <c r="Y293" s="13" t="s">
        <v>1325</v>
      </c>
      <c r="Z293" s="24" t="s">
        <v>15</v>
      </c>
      <c r="AA293" s="13" t="s">
        <v>934</v>
      </c>
      <c r="AC293" s="4"/>
      <c r="AD293" s="13" t="s">
        <v>935</v>
      </c>
      <c r="AE293" s="13" t="str">
        <f>_xlfn.XLOOKUP(L293,'[1]ID PROJECT'!E:E,'[1]ID PROJECT'!F:F)</f>
        <v>PRJ-KUT-KPU-TPED-2026-04-00076</v>
      </c>
      <c r="AF293" s="4" t="s">
        <v>1451</v>
      </c>
      <c r="AG293" s="4" t="s">
        <v>1452</v>
      </c>
      <c r="AH293" s="65">
        <v>46226</v>
      </c>
      <c r="AI293" s="27" t="s">
        <v>938</v>
      </c>
    </row>
    <row r="294" spans="1:35" ht="14.25" hidden="1" customHeight="1">
      <c r="A294" s="13" t="s">
        <v>198</v>
      </c>
      <c r="B294" s="13" t="str">
        <f>_xlfn.XLOOKUP(J294,'Master Data 14-9-2026'!C:C,'Master Data 14-9-2026'!D:D)</f>
        <v>Adisty Citra wx1504664</v>
      </c>
      <c r="C294" s="13"/>
      <c r="D294" s="13" t="str">
        <f>_xlfn.XLOOKUP(J294,'Master Data 14-9-2026'!C:C,'Master Data 14-9-2026'!E:E)</f>
        <v>IOH</v>
      </c>
      <c r="E294" s="13"/>
      <c r="F294" s="13"/>
      <c r="G294" s="13" t="s">
        <v>18</v>
      </c>
      <c r="H294" s="13" t="str">
        <f>_xlfn.XLOOKUP(J294,'Master Data 14-9-2026'!C:C,'Master Data 14-9-2026'!H:H)</f>
        <v>2026-04-30 - 2026-05-30</v>
      </c>
      <c r="I294" s="13" t="str">
        <f t="shared" si="4"/>
        <v>April</v>
      </c>
      <c r="J294" s="13" t="s">
        <v>1453</v>
      </c>
      <c r="K294" s="13" t="s">
        <v>1453</v>
      </c>
      <c r="L294" s="13" t="s">
        <v>441</v>
      </c>
      <c r="M294" s="15">
        <v>200003157532020</v>
      </c>
      <c r="N294" s="13" t="s">
        <v>924</v>
      </c>
      <c r="O294" s="13">
        <v>1.0912026062000099E+17</v>
      </c>
      <c r="P294" s="13" t="s">
        <v>1441</v>
      </c>
      <c r="Q294" s="18">
        <v>9</v>
      </c>
      <c r="R294" s="18">
        <v>1</v>
      </c>
      <c r="S294" s="13">
        <v>8828132633</v>
      </c>
      <c r="T294" s="13" t="s">
        <v>951</v>
      </c>
      <c r="U294" s="19">
        <v>28881900</v>
      </c>
      <c r="V294" s="18">
        <v>1</v>
      </c>
      <c r="W294" s="18">
        <f>_xlfn.XLOOKUP(J294,'Master Data 14-9-2026'!C:C,'Master Data 14-9-2026'!L:L)</f>
        <v>1.5</v>
      </c>
      <c r="X294" s="23">
        <v>28881900</v>
      </c>
      <c r="Y294" s="13" t="s">
        <v>1325</v>
      </c>
      <c r="Z294" s="24" t="s">
        <v>15</v>
      </c>
      <c r="AA294" s="13" t="s">
        <v>934</v>
      </c>
      <c r="AC294" s="4"/>
      <c r="AD294" s="13" t="s">
        <v>935</v>
      </c>
      <c r="AE294" s="13" t="str">
        <f>_xlfn.XLOOKUP(L294,'[1]ID PROJECT'!E:E,'[1]ID PROJECT'!F:F)</f>
        <v xml:space="preserve">PRJ-KUT-KPU-TPED-2026-04-00071 </v>
      </c>
      <c r="AF294" s="4" t="s">
        <v>1454</v>
      </c>
      <c r="AG294" s="4" t="s">
        <v>1452</v>
      </c>
      <c r="AH294" s="65">
        <v>46226</v>
      </c>
      <c r="AI294" s="27" t="s">
        <v>938</v>
      </c>
    </row>
    <row r="295" spans="1:35" hidden="1">
      <c r="A295" s="13" t="s">
        <v>738</v>
      </c>
      <c r="B295" s="13" t="str">
        <f>_xlfn.XLOOKUP(J295,'Master Data 14-9-2026'!C:C,'Master Data 14-9-2026'!D:D)</f>
        <v>Kharis Nugraha wx1506943</v>
      </c>
      <c r="C295" s="13"/>
      <c r="D295" s="13" t="str">
        <f>_xlfn.XLOOKUP(J295,'Master Data 14-9-2026'!C:C,'Master Data 14-9-2026'!E:E)</f>
        <v>IOH</v>
      </c>
      <c r="E295" s="13"/>
      <c r="F295" s="13"/>
      <c r="G295" s="13" t="s">
        <v>18</v>
      </c>
      <c r="H295" s="13" t="str">
        <f>_xlfn.XLOOKUP(J295,'Master Data 14-9-2026'!C:C,'Master Data 14-9-2026'!H:H)</f>
        <v>2026-05-01 - 2026-05-31</v>
      </c>
      <c r="I295" s="13" t="str">
        <f t="shared" si="4"/>
        <v>May</v>
      </c>
      <c r="J295" s="13" t="s">
        <v>1455</v>
      </c>
      <c r="K295" s="13" t="s">
        <v>1455</v>
      </c>
      <c r="L295" s="13" t="s">
        <v>441</v>
      </c>
      <c r="M295" s="15">
        <v>200003157572020</v>
      </c>
      <c r="N295" s="13" t="s">
        <v>924</v>
      </c>
      <c r="O295" s="13">
        <v>1.0912026062000099E+17</v>
      </c>
      <c r="P295" s="13" t="s">
        <v>1441</v>
      </c>
      <c r="Q295" s="18">
        <v>10</v>
      </c>
      <c r="R295" s="18">
        <v>1</v>
      </c>
      <c r="S295" s="13">
        <v>8828132635</v>
      </c>
      <c r="T295" s="13" t="s">
        <v>926</v>
      </c>
      <c r="U295" s="19">
        <v>34220600</v>
      </c>
      <c r="V295" s="18">
        <v>1</v>
      </c>
      <c r="W295" s="18">
        <f>_xlfn.XLOOKUP(J295,'Master Data 14-9-2026'!C:C,'Master Data 14-9-2026'!L:L)</f>
        <v>0.5</v>
      </c>
      <c r="X295" s="23">
        <v>34220600</v>
      </c>
      <c r="Y295" s="13" t="s">
        <v>1325</v>
      </c>
      <c r="Z295" s="24" t="s">
        <v>15</v>
      </c>
      <c r="AA295" s="13" t="s">
        <v>934</v>
      </c>
      <c r="AC295" s="4"/>
      <c r="AD295" s="13" t="s">
        <v>935</v>
      </c>
      <c r="AE295" s="13" t="str">
        <f>_xlfn.XLOOKUP(L295,'[1]ID PROJECT'!E:E,'[1]ID PROJECT'!F:F)</f>
        <v xml:space="preserve">PRJ-KUT-KPU-TPED-2026-04-00071 </v>
      </c>
      <c r="AF295" s="4" t="s">
        <v>1442</v>
      </c>
      <c r="AG295" s="4" t="s">
        <v>1443</v>
      </c>
      <c r="AH295" s="65">
        <v>46223</v>
      </c>
      <c r="AI295" s="27" t="s">
        <v>938</v>
      </c>
    </row>
    <row r="296" spans="1:35" hidden="1">
      <c r="A296" s="13" t="s">
        <v>581</v>
      </c>
      <c r="B296" s="13" t="str">
        <f>_xlfn.XLOOKUP(J296,'Master Data 14-9-2026'!C:C,'Master Data 14-9-2026'!D:D)</f>
        <v>Tangguh Prihantoro wx1524147</v>
      </c>
      <c r="C296" s="13"/>
      <c r="D296" s="13" t="str">
        <f>_xlfn.XLOOKUP(J296,'Master Data 14-9-2026'!C:C,'Master Data 14-9-2026'!E:E)</f>
        <v>IOH</v>
      </c>
      <c r="E296" s="13"/>
      <c r="F296" s="13"/>
      <c r="G296" s="13" t="s">
        <v>13</v>
      </c>
      <c r="H296" s="13" t="str">
        <f>_xlfn.XLOOKUP(J296,'Master Data 14-9-2026'!C:C,'Master Data 14-9-2026'!H:H)</f>
        <v>2026-06-04 - 2026-07-03</v>
      </c>
      <c r="I296" s="13" t="str">
        <f t="shared" si="4"/>
        <v>June</v>
      </c>
      <c r="J296" s="13" t="s">
        <v>1456</v>
      </c>
      <c r="K296" s="13" t="s">
        <v>1456</v>
      </c>
      <c r="L296" s="13" t="s">
        <v>457</v>
      </c>
      <c r="M296" s="15">
        <v>200003157603020</v>
      </c>
      <c r="N296" s="13" t="s">
        <v>924</v>
      </c>
      <c r="O296" s="13">
        <v>1.0912026062000099E+17</v>
      </c>
      <c r="P296" s="13" t="s">
        <v>1441</v>
      </c>
      <c r="Q296" s="18">
        <v>11</v>
      </c>
      <c r="R296" s="18">
        <v>1</v>
      </c>
      <c r="S296" s="13">
        <v>8828132634</v>
      </c>
      <c r="T296" s="13" t="s">
        <v>978</v>
      </c>
      <c r="U296" s="19">
        <v>32542400</v>
      </c>
      <c r="V296" s="18">
        <v>1</v>
      </c>
      <c r="W296" s="18">
        <f>_xlfn.XLOOKUP(J296,'Master Data 14-9-2026'!C:C,'Master Data 14-9-2026'!L:L)</f>
        <v>0</v>
      </c>
      <c r="X296" s="23">
        <v>32542400</v>
      </c>
      <c r="Y296" s="13" t="s">
        <v>1325</v>
      </c>
      <c r="Z296" s="24" t="str">
        <f>_xlfn.XLOOKUP(J296,'Master Data 14-9-2026'!C:C,'Master Data 14-9-2026'!I:I)</f>
        <v>Ended</v>
      </c>
      <c r="AA296" s="4" t="s">
        <v>1288</v>
      </c>
      <c r="AB296" s="40" t="s">
        <v>44</v>
      </c>
      <c r="AC296" s="13"/>
      <c r="AD296" s="13"/>
      <c r="AE296" s="13" t="str">
        <f>_xlfn.XLOOKUP(L296,'[1]ID PROJECT'!E:E,'[1]ID PROJECT'!F:F)</f>
        <v>PRJ-KUT-KPU-TPED-2026-04-00076</v>
      </c>
      <c r="AF296" s="13"/>
      <c r="AG296" s="13"/>
      <c r="AH296" s="65"/>
      <c r="AI296" s="27"/>
    </row>
    <row r="297" spans="1:35" hidden="1">
      <c r="A297" s="13" t="s">
        <v>738</v>
      </c>
      <c r="B297" s="13" t="str">
        <f>_xlfn.XLOOKUP(J297,'Master Data 14-9-2026'!C:C,'Master Data 14-9-2026'!D:D)</f>
        <v>Kharis Nugraha wx1506943</v>
      </c>
      <c r="C297" s="13"/>
      <c r="D297" s="13" t="str">
        <f>_xlfn.XLOOKUP(J297,'Master Data 14-9-2026'!C:C,'Master Data 14-9-2026'!E:E)</f>
        <v>IOH</v>
      </c>
      <c r="E297" s="13"/>
      <c r="F297" s="13"/>
      <c r="G297" s="13" t="s">
        <v>22</v>
      </c>
      <c r="H297" s="13" t="str">
        <f>_xlfn.XLOOKUP(J297,'Master Data 14-9-2026'!C:C,'Master Data 14-9-2026'!H:H)</f>
        <v>2026-06-01 - 2026-06-30</v>
      </c>
      <c r="I297" s="13" t="str">
        <f t="shared" si="4"/>
        <v>June</v>
      </c>
      <c r="J297" s="13" t="s">
        <v>1457</v>
      </c>
      <c r="K297" s="13" t="s">
        <v>1457</v>
      </c>
      <c r="L297" s="13" t="s">
        <v>441</v>
      </c>
      <c r="M297" s="15">
        <v>200003157573020</v>
      </c>
      <c r="N297" s="13" t="s">
        <v>924</v>
      </c>
      <c r="O297" s="13">
        <v>1.0912026062000099E+17</v>
      </c>
      <c r="P297" s="13" t="s">
        <v>1441</v>
      </c>
      <c r="Q297" s="18">
        <v>12</v>
      </c>
      <c r="R297" s="18">
        <v>1</v>
      </c>
      <c r="S297" s="13">
        <v>8828132635</v>
      </c>
      <c r="T297" s="13" t="s">
        <v>926</v>
      </c>
      <c r="U297" s="19">
        <v>34220600</v>
      </c>
      <c r="V297" s="18">
        <v>1</v>
      </c>
      <c r="W297" s="18">
        <f>_xlfn.XLOOKUP(J297,'Master Data 14-9-2026'!C:C,'Master Data 14-9-2026'!L:L)</f>
        <v>0.5</v>
      </c>
      <c r="X297" s="23">
        <v>34220600</v>
      </c>
      <c r="Y297" s="13" t="s">
        <v>1325</v>
      </c>
      <c r="Z297" s="24" t="str">
        <f>_xlfn.XLOOKUP(J297,'Master Data 14-9-2026'!C:C,'Master Data 14-9-2026'!I:I)</f>
        <v>Ended</v>
      </c>
      <c r="AA297" s="13"/>
      <c r="AB297" s="13"/>
      <c r="AC297" s="13"/>
      <c r="AD297" s="13"/>
      <c r="AE297" s="13" t="str">
        <f>_xlfn.XLOOKUP(L297,'[1]ID PROJECT'!E:E,'[1]ID PROJECT'!F:F)</f>
        <v xml:space="preserve">PRJ-KUT-KPU-TPED-2026-04-00071 </v>
      </c>
      <c r="AF297" s="13"/>
      <c r="AG297" s="13"/>
      <c r="AH297" s="65"/>
      <c r="AI297" s="27"/>
    </row>
    <row r="298" spans="1:35" hidden="1">
      <c r="A298" s="13" t="s">
        <v>581</v>
      </c>
      <c r="B298" s="13" t="str">
        <f>_xlfn.XLOOKUP(J298,'Master Data 14-9-2026'!C:C,'Master Data 14-9-2026'!D:D)</f>
        <v>Tangguh Prihantoro wx1524147</v>
      </c>
      <c r="C298" s="13"/>
      <c r="D298" s="13" t="str">
        <f>_xlfn.XLOOKUP(J298,'Master Data 14-9-2026'!C:C,'Master Data 14-9-2026'!E:E)</f>
        <v>IOH</v>
      </c>
      <c r="E298" s="13"/>
      <c r="F298" s="13"/>
      <c r="G298" s="13" t="s">
        <v>18</v>
      </c>
      <c r="H298" s="13" t="str">
        <f>_xlfn.XLOOKUP(J298,'Master Data 14-9-2026'!C:C,'Master Data 14-9-2026'!H:H)</f>
        <v>2026-07-04 - 2026-08-03</v>
      </c>
      <c r="I298" s="13" t="str">
        <f t="shared" si="4"/>
        <v>July</v>
      </c>
      <c r="J298" s="13" t="s">
        <v>1458</v>
      </c>
      <c r="K298" s="13" t="s">
        <v>1458</v>
      </c>
      <c r="L298" s="13" t="s">
        <v>457</v>
      </c>
      <c r="M298" s="15">
        <v>200003157604020</v>
      </c>
      <c r="N298" s="13" t="s">
        <v>924</v>
      </c>
      <c r="O298" s="13">
        <v>1.0912026062000099E+17</v>
      </c>
      <c r="P298" s="13" t="s">
        <v>1441</v>
      </c>
      <c r="Q298" s="18">
        <v>13</v>
      </c>
      <c r="R298" s="18">
        <v>1</v>
      </c>
      <c r="S298" s="13">
        <v>8828132634</v>
      </c>
      <c r="T298" s="13" t="s">
        <v>978</v>
      </c>
      <c r="U298" s="19">
        <v>32542400</v>
      </c>
      <c r="V298" s="18">
        <v>1</v>
      </c>
      <c r="W298" s="18">
        <f>_xlfn.XLOOKUP(J298,'Master Data 14-9-2026'!C:C,'Master Data 14-9-2026'!L:L)</f>
        <v>0.5</v>
      </c>
      <c r="X298" s="23">
        <v>32542400</v>
      </c>
      <c r="Y298" s="13" t="s">
        <v>1325</v>
      </c>
      <c r="Z298" s="24" t="s">
        <v>15</v>
      </c>
      <c r="AA298" s="4" t="s">
        <v>1288</v>
      </c>
      <c r="AB298" s="13" t="s">
        <v>1289</v>
      </c>
      <c r="AC298" s="13"/>
      <c r="AD298" s="13"/>
      <c r="AE298" s="13" t="str">
        <f>_xlfn.XLOOKUP(L298,'[1]ID PROJECT'!E:E,'[1]ID PROJECT'!F:F)</f>
        <v>PRJ-KUT-KPU-TPED-2026-04-00076</v>
      </c>
      <c r="AF298" s="13"/>
      <c r="AG298" s="13"/>
      <c r="AH298" s="65"/>
      <c r="AI298" s="27"/>
    </row>
    <row r="299" spans="1:35" hidden="1">
      <c r="A299" s="13" t="s">
        <v>198</v>
      </c>
      <c r="B299" s="13" t="str">
        <f>_xlfn.XLOOKUP(J299,'Master Data 14-9-2026'!C:C,'Master Data 14-9-2026'!D:D)</f>
        <v>Adisty Citra wx1504664</v>
      </c>
      <c r="C299" s="13"/>
      <c r="D299" s="13" t="str">
        <f>_xlfn.XLOOKUP(J299,'Master Data 14-9-2026'!C:C,'Master Data 14-9-2026'!E:E)</f>
        <v>IOH</v>
      </c>
      <c r="E299" s="13"/>
      <c r="F299" s="13"/>
      <c r="G299" s="13" t="s">
        <v>22</v>
      </c>
      <c r="H299" s="13" t="str">
        <f>_xlfn.XLOOKUP(J299,'Master Data 14-9-2026'!C:C,'Master Data 14-9-2026'!H:H)</f>
        <v>2026-05-31 - 2026-06-29</v>
      </c>
      <c r="I299" s="13" t="str">
        <f t="shared" si="4"/>
        <v>May</v>
      </c>
      <c r="J299" s="13" t="s">
        <v>1459</v>
      </c>
      <c r="K299" s="13" t="s">
        <v>1459</v>
      </c>
      <c r="L299" s="13" t="s">
        <v>441</v>
      </c>
      <c r="M299" s="15">
        <v>200003157533020</v>
      </c>
      <c r="N299" s="13" t="s">
        <v>924</v>
      </c>
      <c r="O299" s="13">
        <v>1.0912026062000099E+17</v>
      </c>
      <c r="P299" s="13" t="s">
        <v>1441</v>
      </c>
      <c r="Q299" s="18">
        <v>14</v>
      </c>
      <c r="R299" s="18">
        <v>1</v>
      </c>
      <c r="S299" s="13">
        <v>8828132633</v>
      </c>
      <c r="T299" s="13" t="s">
        <v>951</v>
      </c>
      <c r="U299" s="19">
        <v>28881900</v>
      </c>
      <c r="V299" s="18">
        <v>1</v>
      </c>
      <c r="W299" s="18">
        <f>_xlfn.XLOOKUP(J299,'Master Data 14-9-2026'!C:C,'Master Data 14-9-2026'!L:L)</f>
        <v>1.5</v>
      </c>
      <c r="X299" s="23">
        <v>28881900</v>
      </c>
      <c r="Y299" s="13" t="s">
        <v>1325</v>
      </c>
      <c r="Z299" s="24" t="s">
        <v>984</v>
      </c>
      <c r="AA299" s="13"/>
      <c r="AB299" s="13"/>
      <c r="AC299" s="13"/>
      <c r="AD299" s="13"/>
      <c r="AE299" s="13" t="str">
        <f>_xlfn.XLOOKUP(L299,'[1]ID PROJECT'!E:E,'[1]ID PROJECT'!F:F)</f>
        <v xml:space="preserve">PRJ-KUT-KPU-TPED-2026-04-00071 </v>
      </c>
      <c r="AF299" s="13"/>
      <c r="AG299" s="13"/>
      <c r="AH299" s="65"/>
      <c r="AI299" s="27"/>
    </row>
    <row r="300" spans="1:35" hidden="1">
      <c r="A300" s="13" t="s">
        <v>384</v>
      </c>
      <c r="B300" s="13" t="str">
        <f>_xlfn.XLOOKUP(J300,'Master Data 14-9-2026'!C:C,'Master Data 14-9-2026'!D:D)</f>
        <v>Andi Tenri Bali wx1507141</v>
      </c>
      <c r="C300" s="13"/>
      <c r="D300" s="13" t="str">
        <f>_xlfn.XLOOKUP(J300,'Master Data 14-9-2026'!C:C,'Master Data 14-9-2026'!E:E)</f>
        <v>IOH</v>
      </c>
      <c r="E300" s="13"/>
      <c r="F300" s="13"/>
      <c r="G300" s="13" t="s">
        <v>18</v>
      </c>
      <c r="H300" s="13" t="str">
        <f>_xlfn.XLOOKUP(J300,'Master Data 14-9-2026'!C:C,'Master Data 14-9-2026'!H:H)</f>
        <v>2026-05-01 - 2026-05-31</v>
      </c>
      <c r="I300" s="13" t="str">
        <f t="shared" si="4"/>
        <v>May</v>
      </c>
      <c r="J300" s="13" t="s">
        <v>1460</v>
      </c>
      <c r="K300" s="13" t="s">
        <v>1460</v>
      </c>
      <c r="L300" s="13" t="s">
        <v>500</v>
      </c>
      <c r="M300" s="15">
        <v>200003157537020</v>
      </c>
      <c r="N300" s="13" t="s">
        <v>924</v>
      </c>
      <c r="O300" s="13">
        <v>1.0912026062000099E+17</v>
      </c>
      <c r="P300" s="13" t="s">
        <v>1441</v>
      </c>
      <c r="Q300" s="18">
        <v>15</v>
      </c>
      <c r="R300" s="18">
        <v>1</v>
      </c>
      <c r="S300" s="13">
        <v>8828132633</v>
      </c>
      <c r="T300" s="13" t="s">
        <v>951</v>
      </c>
      <c r="U300" s="19">
        <v>28881900</v>
      </c>
      <c r="V300" s="18">
        <v>1</v>
      </c>
      <c r="W300" s="18">
        <f>_xlfn.XLOOKUP(J300,'Master Data 14-9-2026'!C:C,'Master Data 14-9-2026'!L:L)</f>
        <v>0.5</v>
      </c>
      <c r="X300" s="23">
        <v>28881900</v>
      </c>
      <c r="Y300" s="13" t="s">
        <v>1325</v>
      </c>
      <c r="Z300" s="24" t="s">
        <v>15</v>
      </c>
      <c r="AA300" s="13" t="s">
        <v>934</v>
      </c>
      <c r="AB300" s="13"/>
      <c r="AC300" s="13"/>
      <c r="AD300" s="13" t="s">
        <v>935</v>
      </c>
      <c r="AE300" s="13" t="str">
        <f>_xlfn.XLOOKUP(L300,'[1]ID PROJECT'!E:E,'[1]ID PROJECT'!F:F)</f>
        <v>PRJ-KUT-KPU-TPED-2026-04-00080</v>
      </c>
      <c r="AF300" s="4" t="s">
        <v>1451</v>
      </c>
      <c r="AG300" s="13" t="s">
        <v>1461</v>
      </c>
      <c r="AH300" s="65">
        <v>46226</v>
      </c>
      <c r="AI300" s="27" t="s">
        <v>938</v>
      </c>
    </row>
    <row r="301" spans="1:35" hidden="1">
      <c r="A301" s="13" t="s">
        <v>275</v>
      </c>
      <c r="B301" s="13" t="str">
        <f>_xlfn.XLOOKUP(J301,'Master Data 14-9-2026'!C:C,'Master Data 14-9-2026'!D:D)</f>
        <v>Silvana Anindya wx1504712</v>
      </c>
      <c r="C301" s="13"/>
      <c r="D301" s="13" t="str">
        <f>_xlfn.XLOOKUP(J301,'Master Data 14-9-2026'!C:C,'Master Data 14-9-2026'!E:E)</f>
        <v>IOH</v>
      </c>
      <c r="E301" s="13"/>
      <c r="F301" s="13"/>
      <c r="G301" s="13" t="s">
        <v>18</v>
      </c>
      <c r="H301" s="13" t="str">
        <f>_xlfn.XLOOKUP(J301,'Master Data 14-9-2026'!C:C,'Master Data 14-9-2026'!H:H)</f>
        <v>2026-04-30 - 2026-05-30</v>
      </c>
      <c r="I301" s="13" t="str">
        <f t="shared" si="4"/>
        <v>April</v>
      </c>
      <c r="J301" s="13" t="s">
        <v>1462</v>
      </c>
      <c r="K301" s="13" t="s">
        <v>1462</v>
      </c>
      <c r="L301" s="13" t="s">
        <v>441</v>
      </c>
      <c r="M301" s="15">
        <v>200003157600020</v>
      </c>
      <c r="N301" s="13" t="s">
        <v>924</v>
      </c>
      <c r="O301" s="13">
        <v>1.0912026062000099E+17</v>
      </c>
      <c r="P301" s="13" t="s">
        <v>1441</v>
      </c>
      <c r="Q301" s="18">
        <v>16</v>
      </c>
      <c r="R301" s="18">
        <v>1</v>
      </c>
      <c r="S301" s="13">
        <v>8828132633</v>
      </c>
      <c r="T301" s="13" t="s">
        <v>951</v>
      </c>
      <c r="U301" s="19">
        <v>28881900</v>
      </c>
      <c r="V301" s="18">
        <v>1</v>
      </c>
      <c r="W301" s="18">
        <f>_xlfn.XLOOKUP(J301,'Master Data 14-9-2026'!C:C,'Master Data 14-9-2026'!L:L)</f>
        <v>1.5</v>
      </c>
      <c r="X301" s="23">
        <v>28881900</v>
      </c>
      <c r="Y301" s="13" t="s">
        <v>1325</v>
      </c>
      <c r="Z301" s="24" t="s">
        <v>15</v>
      </c>
      <c r="AA301" s="13" t="s">
        <v>934</v>
      </c>
      <c r="AB301" s="13"/>
      <c r="AC301" s="13"/>
      <c r="AD301" s="13" t="s">
        <v>935</v>
      </c>
      <c r="AE301" s="13" t="str">
        <f>_xlfn.XLOOKUP(L301,'[1]ID PROJECT'!E:E,'[1]ID PROJECT'!F:F)</f>
        <v xml:space="preserve">PRJ-KUT-KPU-TPED-2026-04-00071 </v>
      </c>
      <c r="AF301" s="4" t="s">
        <v>1442</v>
      </c>
      <c r="AG301" s="4" t="s">
        <v>1443</v>
      </c>
      <c r="AH301" s="65">
        <v>46223</v>
      </c>
      <c r="AI301" s="27" t="s">
        <v>938</v>
      </c>
    </row>
    <row r="302" spans="1:35">
      <c r="A302" s="13" t="s">
        <v>275</v>
      </c>
      <c r="B302" s="13" t="str">
        <f>_xlfn.XLOOKUP(J302,'Master Data 14-9-2026'!C:C,'Master Data 14-9-2026'!D:D)</f>
        <v>Silvana Anindya wx1504712</v>
      </c>
      <c r="C302" s="13"/>
      <c r="D302" s="13" t="str">
        <f>_xlfn.XLOOKUP(J302,'Master Data 14-9-2026'!C:C,'Master Data 14-9-2026'!E:E)</f>
        <v>IOH</v>
      </c>
      <c r="E302" s="13"/>
      <c r="F302" s="13"/>
      <c r="G302" s="13" t="s">
        <v>22</v>
      </c>
      <c r="H302" s="13" t="str">
        <f>_xlfn.XLOOKUP(J302,'Master Data 14-9-2026'!C:C,'Master Data 14-9-2026'!H:H)</f>
        <v>2026-05-31 - 2026-06-29</v>
      </c>
      <c r="I302" s="13" t="str">
        <f t="shared" si="4"/>
        <v>May</v>
      </c>
      <c r="J302" s="13" t="s">
        <v>1463</v>
      </c>
      <c r="K302" s="13" t="s">
        <v>1463</v>
      </c>
      <c r="L302" s="13" t="s">
        <v>441</v>
      </c>
      <c r="M302" s="15">
        <v>200003157601020</v>
      </c>
      <c r="N302" s="13" t="s">
        <v>924</v>
      </c>
      <c r="O302" s="13">
        <v>1.0912026062000099E+17</v>
      </c>
      <c r="P302" s="13" t="s">
        <v>1441</v>
      </c>
      <c r="Q302" s="18">
        <v>17</v>
      </c>
      <c r="R302" s="18">
        <v>1</v>
      </c>
      <c r="S302" s="13">
        <v>8828132633</v>
      </c>
      <c r="T302" s="13" t="s">
        <v>951</v>
      </c>
      <c r="U302" s="19">
        <v>28881900</v>
      </c>
      <c r="V302" s="18">
        <v>1</v>
      </c>
      <c r="W302" s="18">
        <f>_xlfn.XLOOKUP(J302,'Master Data 14-9-2026'!C:C,'Master Data 14-9-2026'!L:L)</f>
        <v>1</v>
      </c>
      <c r="X302" s="23">
        <v>28881900</v>
      </c>
      <c r="Y302" s="13" t="s">
        <v>1325</v>
      </c>
      <c r="Z302" s="24" t="str">
        <f>_xlfn.XLOOKUP(J302,'Master Data 14-9-2026'!C:C,'Master Data 14-9-2026'!I:I)</f>
        <v>Ended</v>
      </c>
      <c r="AA302" s="13" t="s">
        <v>934</v>
      </c>
      <c r="AB302" s="13"/>
      <c r="AC302" s="13"/>
      <c r="AD302" s="13" t="s">
        <v>935</v>
      </c>
      <c r="AE302" s="13" t="str">
        <f>_xlfn.XLOOKUP(L302,'[1]ID PROJECT'!E:E,'[1]ID PROJECT'!F:F)</f>
        <v xml:space="preserve">PRJ-KUT-KPU-TPED-2026-04-00071 </v>
      </c>
      <c r="AF302" s="4" t="s">
        <v>1464</v>
      </c>
      <c r="AG302" s="40" t="s">
        <v>3394</v>
      </c>
      <c r="AH302" s="65">
        <v>46267</v>
      </c>
      <c r="AI302" s="27" t="s">
        <v>967</v>
      </c>
    </row>
    <row r="303" spans="1:35">
      <c r="A303" s="13" t="s">
        <v>275</v>
      </c>
      <c r="B303" s="13" t="str">
        <f>_xlfn.XLOOKUP(J303,'Master Data 14-9-2026'!C:C,'Master Data 14-9-2026'!D:D)</f>
        <v>Silvana Anindya wx1504712</v>
      </c>
      <c r="C303" s="13"/>
      <c r="D303" s="13" t="str">
        <f>_xlfn.XLOOKUP(J303,'Master Data 14-9-2026'!C:C,'Master Data 14-9-2026'!E:E)</f>
        <v>IOH</v>
      </c>
      <c r="E303" s="13"/>
      <c r="F303" s="13"/>
      <c r="G303" s="13" t="s">
        <v>25</v>
      </c>
      <c r="H303" s="13" t="str">
        <f>_xlfn.XLOOKUP(J303,'Master Data 14-9-2026'!C:C,'Master Data 14-9-2026'!H:H)</f>
        <v>2026-06-30 - 2026-07-30</v>
      </c>
      <c r="I303" s="13" t="str">
        <f t="shared" si="4"/>
        <v>June</v>
      </c>
      <c r="J303" s="13" t="s">
        <v>1465</v>
      </c>
      <c r="K303" s="13" t="s">
        <v>1465</v>
      </c>
      <c r="L303" s="13" t="s">
        <v>441</v>
      </c>
      <c r="M303" s="15">
        <v>200003157602020</v>
      </c>
      <c r="N303" s="13" t="s">
        <v>924</v>
      </c>
      <c r="O303" s="13">
        <v>1.0912026062000099E+17</v>
      </c>
      <c r="P303" s="13" t="s">
        <v>1441</v>
      </c>
      <c r="Q303" s="18">
        <v>18</v>
      </c>
      <c r="R303" s="18">
        <v>1</v>
      </c>
      <c r="S303" s="13">
        <v>8828132633</v>
      </c>
      <c r="T303" s="13" t="s">
        <v>951</v>
      </c>
      <c r="U303" s="19">
        <v>28881900</v>
      </c>
      <c r="V303" s="18">
        <v>1</v>
      </c>
      <c r="W303" s="18">
        <f>_xlfn.XLOOKUP(J303,'Master Data 14-9-2026'!C:C,'Master Data 14-9-2026'!L:L)</f>
        <v>1</v>
      </c>
      <c r="X303" s="23">
        <v>28881900</v>
      </c>
      <c r="Y303" s="13" t="s">
        <v>1325</v>
      </c>
      <c r="Z303" s="24" t="str">
        <f>_xlfn.XLOOKUP(J303,'Master Data 14-9-2026'!C:C,'Master Data 14-9-2026'!I:I)</f>
        <v>Ended</v>
      </c>
      <c r="AA303" s="13" t="s">
        <v>934</v>
      </c>
      <c r="AB303" s="13"/>
      <c r="AC303" s="13"/>
      <c r="AD303" s="13" t="s">
        <v>935</v>
      </c>
      <c r="AE303" s="13" t="str">
        <f>_xlfn.XLOOKUP(L303,'[1]ID PROJECT'!E:E,'[1]ID PROJECT'!F:F)</f>
        <v xml:space="preserve">PRJ-KUT-KPU-TPED-2026-04-00071 </v>
      </c>
      <c r="AF303" s="4" t="s">
        <v>1464</v>
      </c>
      <c r="AG303" s="40" t="s">
        <v>3394</v>
      </c>
      <c r="AH303" s="65">
        <v>46267</v>
      </c>
      <c r="AI303" s="27" t="s">
        <v>967</v>
      </c>
    </row>
    <row r="304" spans="1:35" hidden="1">
      <c r="A304" s="13" t="s">
        <v>738</v>
      </c>
      <c r="B304" s="13" t="str">
        <f>_xlfn.XLOOKUP(J304,'Master Data 14-9-2026'!C:C,'Master Data 14-9-2026'!D:D)</f>
        <v>Kharis Nugraha wx1506943</v>
      </c>
      <c r="C304" s="13"/>
      <c r="D304" s="13" t="str">
        <f>_xlfn.XLOOKUP(J304,'Master Data 14-9-2026'!C:C,'Master Data 14-9-2026'!E:E)</f>
        <v>IOH</v>
      </c>
      <c r="E304" s="13"/>
      <c r="F304" s="13"/>
      <c r="G304" s="13" t="s">
        <v>25</v>
      </c>
      <c r="H304" s="13" t="str">
        <f>_xlfn.XLOOKUP(J304,'Master Data 14-9-2026'!C:C,'Master Data 14-9-2026'!H:H)</f>
        <v>2026-07-01 - 2026-07-31</v>
      </c>
      <c r="I304" s="13" t="str">
        <f t="shared" si="4"/>
        <v>July</v>
      </c>
      <c r="J304" s="13" t="s">
        <v>1466</v>
      </c>
      <c r="K304" s="13" t="s">
        <v>1466</v>
      </c>
      <c r="L304" s="13" t="s">
        <v>441</v>
      </c>
      <c r="M304" s="15">
        <v>200003157574020</v>
      </c>
      <c r="N304" s="13" t="s">
        <v>924</v>
      </c>
      <c r="O304" s="13">
        <v>1.0912026062000099E+17</v>
      </c>
      <c r="P304" s="13" t="s">
        <v>1441</v>
      </c>
      <c r="Q304" s="18">
        <v>19</v>
      </c>
      <c r="R304" s="18">
        <v>1</v>
      </c>
      <c r="S304" s="13">
        <v>8828132635</v>
      </c>
      <c r="T304" s="13" t="s">
        <v>926</v>
      </c>
      <c r="U304" s="19">
        <v>34220600</v>
      </c>
      <c r="V304" s="18">
        <v>1</v>
      </c>
      <c r="W304" s="18">
        <f>_xlfn.XLOOKUP(J304,'Master Data 14-9-2026'!C:C,'Master Data 14-9-2026'!L:L)</f>
        <v>0.5</v>
      </c>
      <c r="X304" s="23">
        <v>34220600</v>
      </c>
      <c r="Y304" s="13" t="s">
        <v>1325</v>
      </c>
      <c r="Z304" s="24" t="s">
        <v>15</v>
      </c>
      <c r="AA304" s="13"/>
      <c r="AB304" s="13"/>
      <c r="AC304" s="13"/>
      <c r="AD304" s="13"/>
      <c r="AE304" s="13" t="str">
        <f>_xlfn.XLOOKUP(L304,'[1]ID PROJECT'!E:E,'[1]ID PROJECT'!F:F)</f>
        <v xml:space="preserve">PRJ-KUT-KPU-TPED-2026-04-00071 </v>
      </c>
      <c r="AF304" s="13"/>
      <c r="AG304" s="13"/>
      <c r="AH304" s="65"/>
      <c r="AI304" s="27"/>
    </row>
    <row r="305" spans="1:35" hidden="1">
      <c r="A305" s="13" t="s">
        <v>884</v>
      </c>
      <c r="B305" s="13" t="str">
        <f>_xlfn.XLOOKUP(J305,'Master Data 14-9-2026'!C:C,'Master Data 14-9-2026'!D:D)</f>
        <v>Kurnia Rahmawati wx1507140</v>
      </c>
      <c r="C305" s="13"/>
      <c r="D305" s="13" t="str">
        <f>_xlfn.XLOOKUP(J305,'Master Data 14-9-2026'!C:C,'Master Data 14-9-2026'!E:E)</f>
        <v>IOH</v>
      </c>
      <c r="E305" s="13"/>
      <c r="F305" s="13"/>
      <c r="G305" s="13" t="s">
        <v>18</v>
      </c>
      <c r="H305" s="13" t="str">
        <f>_xlfn.XLOOKUP(J305,'Master Data 14-9-2026'!C:C,'Master Data 14-9-2026'!H:H)</f>
        <v>2026-05-01 - 2026-05-31</v>
      </c>
      <c r="I305" s="13" t="str">
        <f t="shared" si="4"/>
        <v>May</v>
      </c>
      <c r="J305" s="13" t="s">
        <v>1467</v>
      </c>
      <c r="K305" s="13" t="s">
        <v>1467</v>
      </c>
      <c r="L305" s="13" t="s">
        <v>500</v>
      </c>
      <c r="M305" s="15">
        <v>200003157575020</v>
      </c>
      <c r="N305" s="13" t="s">
        <v>924</v>
      </c>
      <c r="O305" s="13">
        <v>1.0912026062000099E+17</v>
      </c>
      <c r="P305" s="13" t="s">
        <v>1441</v>
      </c>
      <c r="Q305" s="18">
        <v>20</v>
      </c>
      <c r="R305" s="18">
        <v>1</v>
      </c>
      <c r="S305" s="13">
        <v>8828132635</v>
      </c>
      <c r="T305" s="13" t="s">
        <v>926</v>
      </c>
      <c r="U305" s="19">
        <v>34220600</v>
      </c>
      <c r="V305" s="18">
        <v>1</v>
      </c>
      <c r="W305" s="18">
        <f>_xlfn.XLOOKUP(J305,'Master Data 14-9-2026'!C:C,'Master Data 14-9-2026'!L:L)</f>
        <v>0.5</v>
      </c>
      <c r="X305" s="23">
        <v>34220600</v>
      </c>
      <c r="Y305" s="13" t="s">
        <v>1325</v>
      </c>
      <c r="Z305" s="24" t="s">
        <v>15</v>
      </c>
      <c r="AA305" s="13" t="s">
        <v>934</v>
      </c>
      <c r="AB305" s="13"/>
      <c r="AC305" s="13"/>
      <c r="AD305" s="13" t="s">
        <v>935</v>
      </c>
      <c r="AE305" s="13" t="str">
        <f>_xlfn.XLOOKUP(L305,'[1]ID PROJECT'!E:E,'[1]ID PROJECT'!F:F)</f>
        <v>PRJ-KUT-KPU-TPED-2026-04-00080</v>
      </c>
      <c r="AF305" s="4" t="s">
        <v>1442</v>
      </c>
      <c r="AG305" s="4" t="s">
        <v>1443</v>
      </c>
      <c r="AH305" s="65">
        <v>46223</v>
      </c>
      <c r="AI305" s="27" t="s">
        <v>938</v>
      </c>
    </row>
    <row r="306" spans="1:35" hidden="1">
      <c r="A306" s="13" t="s">
        <v>750</v>
      </c>
      <c r="B306" s="13" t="str">
        <f>_xlfn.XLOOKUP(J306,'Master Data 14-9-2026'!C:C,'Master Data 14-9-2026'!D:D)</f>
        <v>Muhammad Suprijanto wx1503655</v>
      </c>
      <c r="C306" s="13"/>
      <c r="D306" s="13" t="str">
        <f>_xlfn.XLOOKUP(J306,'Master Data 14-9-2026'!C:C,'Master Data 14-9-2026'!E:E)</f>
        <v>IOH</v>
      </c>
      <c r="E306" s="13"/>
      <c r="F306" s="13"/>
      <c r="G306" s="13" t="s">
        <v>25</v>
      </c>
      <c r="H306" s="13" t="str">
        <f>_xlfn.XLOOKUP(J306,'Master Data 14-9-2026'!C:C,'Master Data 14-9-2026'!H:H)</f>
        <v>2026-07-01 - 2026-07-31</v>
      </c>
      <c r="I306" s="13" t="str">
        <f t="shared" si="4"/>
        <v>July</v>
      </c>
      <c r="J306" s="13" t="s">
        <v>1468</v>
      </c>
      <c r="K306" s="13" t="s">
        <v>1468</v>
      </c>
      <c r="L306" s="13" t="s">
        <v>468</v>
      </c>
      <c r="M306" s="15">
        <v>200003157590020</v>
      </c>
      <c r="N306" s="13" t="s">
        <v>924</v>
      </c>
      <c r="O306" s="13">
        <v>1.0912026062000099E+17</v>
      </c>
      <c r="P306" s="13" t="s">
        <v>1441</v>
      </c>
      <c r="Q306" s="18">
        <v>21</v>
      </c>
      <c r="R306" s="18">
        <v>1</v>
      </c>
      <c r="S306" s="13">
        <v>8828132635</v>
      </c>
      <c r="T306" s="13" t="s">
        <v>926</v>
      </c>
      <c r="U306" s="19">
        <v>34220600</v>
      </c>
      <c r="V306" s="18">
        <v>1</v>
      </c>
      <c r="W306" s="18">
        <f>_xlfn.XLOOKUP(J306,'Master Data 14-9-2026'!C:C,'Master Data 14-9-2026'!L:L)</f>
        <v>1.5</v>
      </c>
      <c r="X306" s="23">
        <v>34220600</v>
      </c>
      <c r="Y306" s="13" t="s">
        <v>1325</v>
      </c>
      <c r="Z306" s="24" t="s">
        <v>15</v>
      </c>
      <c r="AA306" s="13"/>
      <c r="AB306" s="13"/>
      <c r="AC306" s="13"/>
      <c r="AD306" s="13"/>
      <c r="AE306" s="13" t="str">
        <f>_xlfn.XLOOKUP(L306,'[1]ID PROJECT'!E:E,'[1]ID PROJECT'!F:F)</f>
        <v>PRJ-KUT-KPU-TPED-2026-04-00075</v>
      </c>
      <c r="AF306" s="13"/>
      <c r="AG306" s="13"/>
      <c r="AH306" s="65"/>
      <c r="AI306" s="27"/>
    </row>
    <row r="307" spans="1:35" hidden="1">
      <c r="A307" s="13" t="s">
        <v>153</v>
      </c>
      <c r="B307" s="13" t="str">
        <f>_xlfn.XLOOKUP(J307,'Master Data 14-9-2026'!C:C,'Master Data 14-9-2026'!D:D)</f>
        <v>Zamilah Maulidiana wx1503509</v>
      </c>
      <c r="C307" s="13"/>
      <c r="D307" s="13" t="str">
        <f>_xlfn.XLOOKUP(J307,'Master Data 14-9-2026'!C:C,'Master Data 14-9-2026'!E:E)</f>
        <v>Platform Region</v>
      </c>
      <c r="E307" s="13"/>
      <c r="F307" s="13"/>
      <c r="G307" s="13" t="s">
        <v>22</v>
      </c>
      <c r="H307" s="13" t="str">
        <f>_xlfn.XLOOKUP(J307,'Master Data 14-9-2026'!C:C,'Master Data 14-9-2026'!H:H)</f>
        <v>2026-06-01 - 2026-06-30</v>
      </c>
      <c r="I307" s="13" t="str">
        <f t="shared" si="4"/>
        <v>June</v>
      </c>
      <c r="J307" s="13" t="s">
        <v>1469</v>
      </c>
      <c r="K307" s="13" t="s">
        <v>1469</v>
      </c>
      <c r="L307" s="13" t="s">
        <v>441</v>
      </c>
      <c r="M307" s="15">
        <v>200003157612020</v>
      </c>
      <c r="N307" s="13" t="s">
        <v>924</v>
      </c>
      <c r="O307" s="13">
        <v>1.0912026062000099E+17</v>
      </c>
      <c r="P307" s="13" t="s">
        <v>1441</v>
      </c>
      <c r="Q307" s="18">
        <v>22</v>
      </c>
      <c r="R307" s="18">
        <v>1</v>
      </c>
      <c r="S307" s="13">
        <v>8828132633</v>
      </c>
      <c r="T307" s="13" t="s">
        <v>951</v>
      </c>
      <c r="U307" s="19">
        <v>28881900</v>
      </c>
      <c r="V307" s="18">
        <v>1</v>
      </c>
      <c r="W307" s="18">
        <f>_xlfn.XLOOKUP(J307,'Master Data 14-9-2026'!C:C,'Master Data 14-9-2026'!L:L)</f>
        <v>1.5</v>
      </c>
      <c r="X307" s="23">
        <v>28881900</v>
      </c>
      <c r="Y307" s="13" t="s">
        <v>1325</v>
      </c>
      <c r="Z307" s="24" t="str">
        <f>_xlfn.XLOOKUP(J307,'Master Data 14-9-2026'!C:C,'Master Data 14-9-2026'!I:I)</f>
        <v>Ended</v>
      </c>
      <c r="AA307" s="13"/>
      <c r="AB307" s="13"/>
      <c r="AC307" s="13"/>
      <c r="AD307" s="13"/>
      <c r="AE307" s="13" t="str">
        <f>_xlfn.XLOOKUP(L307,'[1]ID PROJECT'!E:E,'[1]ID PROJECT'!F:F)</f>
        <v xml:space="preserve">PRJ-KUT-KPU-TPED-2026-04-00071 </v>
      </c>
      <c r="AF307" s="13"/>
      <c r="AG307" s="13"/>
      <c r="AH307" s="65"/>
      <c r="AI307" s="27"/>
    </row>
    <row r="308" spans="1:35" hidden="1">
      <c r="A308" s="13" t="s">
        <v>1470</v>
      </c>
      <c r="B308" s="13" t="e">
        <f>_xlfn.XLOOKUP(J308,'Master Data 14-9-2026'!C:C,'Master Data 14-9-2026'!D:D)</f>
        <v>#N/A</v>
      </c>
      <c r="C308" s="13"/>
      <c r="D308" s="13" t="e">
        <f>_xlfn.XLOOKUP(J308,'Master Data 14-9-2026'!C:C,'Master Data 14-9-2026'!E:E)</f>
        <v>#N/A</v>
      </c>
      <c r="E308" s="13"/>
      <c r="F308" s="13"/>
      <c r="G308" s="13" t="s">
        <v>13</v>
      </c>
      <c r="H308" s="13" t="e">
        <f>_xlfn.XLOOKUP(J308,'Master Data 14-9-2026'!C:C,'Master Data 14-9-2026'!H:H)</f>
        <v>#N/A</v>
      </c>
      <c r="I308" s="13" t="e">
        <f t="shared" si="4"/>
        <v>#N/A</v>
      </c>
      <c r="J308" s="13" t="s">
        <v>1471</v>
      </c>
      <c r="K308" s="13" t="s">
        <v>1471</v>
      </c>
      <c r="L308" s="13" t="s">
        <v>457</v>
      </c>
      <c r="M308" s="15">
        <v>200003157591020</v>
      </c>
      <c r="N308" s="13" t="s">
        <v>924</v>
      </c>
      <c r="O308" s="13">
        <v>1.0912026062000099E+17</v>
      </c>
      <c r="P308" s="13" t="s">
        <v>1441</v>
      </c>
      <c r="Q308" s="18">
        <v>23</v>
      </c>
      <c r="R308" s="18">
        <v>1</v>
      </c>
      <c r="S308" s="13">
        <v>8828132634</v>
      </c>
      <c r="T308" s="13" t="s">
        <v>978</v>
      </c>
      <c r="U308" s="19">
        <v>32542400</v>
      </c>
      <c r="V308" s="18">
        <v>1</v>
      </c>
      <c r="W308" s="18" t="e">
        <f>_xlfn.XLOOKUP(J308,'Master Data 14-9-2026'!C:C,'Master Data 14-9-2026'!L:L)</f>
        <v>#N/A</v>
      </c>
      <c r="X308" s="23">
        <v>32542400</v>
      </c>
      <c r="Y308" s="13" t="s">
        <v>1325</v>
      </c>
      <c r="Z308" s="24" t="s">
        <v>15</v>
      </c>
      <c r="AB308" s="13" t="s">
        <v>1126</v>
      </c>
      <c r="AC308" s="13"/>
      <c r="AD308" s="13"/>
      <c r="AE308" s="13" t="str">
        <f>_xlfn.XLOOKUP(L308,'[1]ID PROJECT'!E:E,'[1]ID PROJECT'!F:F)</f>
        <v>PRJ-KUT-KPU-TPED-2026-04-00076</v>
      </c>
      <c r="AF308" s="13"/>
      <c r="AG308" s="13"/>
      <c r="AH308" s="65"/>
      <c r="AI308" s="27"/>
    </row>
    <row r="309" spans="1:35" hidden="1">
      <c r="A309" s="13" t="s">
        <v>153</v>
      </c>
      <c r="B309" s="13" t="str">
        <f>_xlfn.XLOOKUP(J309,'Master Data 14-9-2026'!C:C,'Master Data 14-9-2026'!D:D)</f>
        <v>Zamilah Maulidiana wx1503509</v>
      </c>
      <c r="C309" s="13"/>
      <c r="D309" s="13" t="str">
        <f>_xlfn.XLOOKUP(J309,'Master Data 14-9-2026'!C:C,'Master Data 14-9-2026'!E:E)</f>
        <v>Platform Region</v>
      </c>
      <c r="E309" s="13"/>
      <c r="F309" s="13"/>
      <c r="G309" s="13" t="s">
        <v>25</v>
      </c>
      <c r="H309" s="13" t="str">
        <f>_xlfn.XLOOKUP(J309,'Master Data 14-9-2026'!C:C,'Master Data 14-9-2026'!H:H)</f>
        <v>2026-07-01 - 2026-07-31</v>
      </c>
      <c r="I309" s="13" t="str">
        <f t="shared" si="4"/>
        <v>July</v>
      </c>
      <c r="J309" s="13" t="s">
        <v>1472</v>
      </c>
      <c r="K309" s="16" t="s">
        <v>1472</v>
      </c>
      <c r="L309" s="13" t="s">
        <v>441</v>
      </c>
      <c r="M309" s="15">
        <v>200003157613020</v>
      </c>
      <c r="N309" s="13" t="s">
        <v>924</v>
      </c>
      <c r="O309" s="13">
        <v>1.0912026062000099E+17</v>
      </c>
      <c r="P309" s="13" t="s">
        <v>1441</v>
      </c>
      <c r="Q309" s="18">
        <v>24</v>
      </c>
      <c r="R309" s="18">
        <v>1</v>
      </c>
      <c r="S309" s="13">
        <v>8828132633</v>
      </c>
      <c r="T309" s="13" t="s">
        <v>951</v>
      </c>
      <c r="U309" s="19">
        <v>28881900</v>
      </c>
      <c r="V309" s="18">
        <v>1</v>
      </c>
      <c r="W309" s="18">
        <f>_xlfn.XLOOKUP(J309,'Master Data 14-9-2026'!C:C,'Master Data 14-9-2026'!L:L)</f>
        <v>1</v>
      </c>
      <c r="X309" s="23">
        <v>28881900</v>
      </c>
      <c r="Y309" s="13" t="s">
        <v>1325</v>
      </c>
      <c r="Z309" s="24" t="str">
        <f>_xlfn.XLOOKUP(J309,'Master Data 14-9-2026'!C:C,'Master Data 14-9-2026'!I:I)</f>
        <v>Ended</v>
      </c>
      <c r="AA309" s="39" t="s">
        <v>928</v>
      </c>
      <c r="AB309" s="40" t="s">
        <v>3374</v>
      </c>
      <c r="AC309" s="13"/>
      <c r="AD309" s="13"/>
      <c r="AE309" s="13" t="str">
        <f>_xlfn.XLOOKUP(L309,'[1]ID PROJECT'!E:E,'[1]ID PROJECT'!F:F)</f>
        <v xml:space="preserve">PRJ-KUT-KPU-TPED-2026-04-00071 </v>
      </c>
      <c r="AF309" s="13"/>
      <c r="AG309" s="13"/>
      <c r="AH309" s="65"/>
      <c r="AI309" s="27"/>
    </row>
    <row r="310" spans="1:35" hidden="1">
      <c r="A310" s="13" t="s">
        <v>837</v>
      </c>
      <c r="B310" s="13" t="str">
        <f>_xlfn.XLOOKUP(J310,'Master Data 14-9-2026'!C:C,'Master Data 14-9-2026'!D:D)</f>
        <v>Dian Rahmanda wx1522831</v>
      </c>
      <c r="C310" s="13"/>
      <c r="D310" s="13" t="str">
        <f>_xlfn.XLOOKUP(J310,'Master Data 14-9-2026'!C:C,'Master Data 14-9-2026'!E:E)</f>
        <v>IOH</v>
      </c>
      <c r="E310" s="13"/>
      <c r="F310" s="13"/>
      <c r="G310" s="13" t="s">
        <v>18</v>
      </c>
      <c r="H310" s="13" t="str">
        <f>_xlfn.XLOOKUP(J310,'Master Data 14-9-2026'!C:C,'Master Data 14-9-2026'!H:H)</f>
        <v>2026-07-02 - 2026-08-01</v>
      </c>
      <c r="I310" s="13" t="str">
        <f t="shared" si="4"/>
        <v>July</v>
      </c>
      <c r="J310" s="13" t="s">
        <v>1473</v>
      </c>
      <c r="K310" s="13" t="s">
        <v>1473</v>
      </c>
      <c r="L310" s="13" t="s">
        <v>441</v>
      </c>
      <c r="M310" s="15">
        <v>200003157547020</v>
      </c>
      <c r="N310" s="13" t="s">
        <v>924</v>
      </c>
      <c r="O310" s="13">
        <v>1.0912026062000099E+17</v>
      </c>
      <c r="P310" s="13" t="s">
        <v>1441</v>
      </c>
      <c r="Q310" s="18">
        <v>25</v>
      </c>
      <c r="R310" s="18">
        <v>1</v>
      </c>
      <c r="S310" s="13">
        <v>8828132635</v>
      </c>
      <c r="T310" s="13" t="s">
        <v>926</v>
      </c>
      <c r="U310" s="19">
        <v>34220600</v>
      </c>
      <c r="V310" s="18">
        <v>1</v>
      </c>
      <c r="W310" s="18">
        <f>_xlfn.XLOOKUP(J310,'Master Data 14-9-2026'!C:C,'Master Data 14-9-2026'!L:L)</f>
        <v>0</v>
      </c>
      <c r="X310" s="23">
        <v>34220600</v>
      </c>
      <c r="Y310" s="13" t="s">
        <v>1325</v>
      </c>
      <c r="Z310" s="24" t="s">
        <v>15</v>
      </c>
      <c r="AA310" s="13"/>
      <c r="AB310" s="39" t="s">
        <v>44</v>
      </c>
      <c r="AC310" s="4" t="s">
        <v>1113</v>
      </c>
      <c r="AD310" s="13"/>
      <c r="AE310" s="13" t="str">
        <f>_xlfn.XLOOKUP(L310,'[1]ID PROJECT'!E:E,'[1]ID PROJECT'!F:F)</f>
        <v xml:space="preserve">PRJ-KUT-KPU-TPED-2026-04-00071 </v>
      </c>
      <c r="AF310" s="13"/>
      <c r="AG310" s="13"/>
      <c r="AH310" s="65"/>
      <c r="AI310" s="27"/>
    </row>
    <row r="311" spans="1:35" hidden="1">
      <c r="A311" s="13" t="s">
        <v>1470</v>
      </c>
      <c r="B311" s="13" t="e">
        <f>_xlfn.XLOOKUP(J311,'Master Data 14-9-2026'!C:C,'Master Data 14-9-2026'!D:D)</f>
        <v>#N/A</v>
      </c>
      <c r="C311" s="13"/>
      <c r="D311" s="13" t="e">
        <f>_xlfn.XLOOKUP(J311,'Master Data 14-9-2026'!C:C,'Master Data 14-9-2026'!E:E)</f>
        <v>#N/A</v>
      </c>
      <c r="E311" s="13"/>
      <c r="F311" s="13"/>
      <c r="G311" s="13" t="s">
        <v>18</v>
      </c>
      <c r="H311" s="13" t="e">
        <f>_xlfn.XLOOKUP(J311,'Master Data 14-9-2026'!C:C,'Master Data 14-9-2026'!H:H)</f>
        <v>#N/A</v>
      </c>
      <c r="I311" s="13" t="e">
        <f t="shared" si="4"/>
        <v>#N/A</v>
      </c>
      <c r="J311" s="13" t="s">
        <v>1474</v>
      </c>
      <c r="K311" s="13" t="s">
        <v>1474</v>
      </c>
      <c r="L311" s="13" t="s">
        <v>457</v>
      </c>
      <c r="M311" s="15">
        <v>200003157592020</v>
      </c>
      <c r="N311" s="13" t="s">
        <v>924</v>
      </c>
      <c r="O311" s="13">
        <v>1.0912026062000099E+17</v>
      </c>
      <c r="P311" s="13" t="s">
        <v>1441</v>
      </c>
      <c r="Q311" s="18">
        <v>26</v>
      </c>
      <c r="R311" s="18">
        <v>1</v>
      </c>
      <c r="S311" s="13">
        <v>8828132634</v>
      </c>
      <c r="T311" s="13" t="s">
        <v>978</v>
      </c>
      <c r="U311" s="19">
        <v>32542400</v>
      </c>
      <c r="V311" s="18">
        <v>1</v>
      </c>
      <c r="W311" s="18" t="e">
        <f>_xlfn.XLOOKUP(J311,'Master Data 14-9-2026'!C:C,'Master Data 14-9-2026'!L:L)</f>
        <v>#N/A</v>
      </c>
      <c r="X311" s="23">
        <v>32542400</v>
      </c>
      <c r="Y311" s="13" t="s">
        <v>1325</v>
      </c>
      <c r="Z311" s="24" t="s">
        <v>15</v>
      </c>
      <c r="AA311" s="13"/>
      <c r="AB311" s="4" t="s">
        <v>1126</v>
      </c>
      <c r="AC311" s="4"/>
      <c r="AD311" s="13"/>
      <c r="AE311" s="13" t="str">
        <f>_xlfn.XLOOKUP(L311,'[1]ID PROJECT'!E:E,'[1]ID PROJECT'!F:F)</f>
        <v>PRJ-KUT-KPU-TPED-2026-04-00076</v>
      </c>
      <c r="AF311" s="13"/>
      <c r="AG311" s="13"/>
      <c r="AH311" s="65"/>
      <c r="AI311" s="27"/>
    </row>
    <row r="312" spans="1:35" hidden="1">
      <c r="A312" s="13" t="s">
        <v>384</v>
      </c>
      <c r="B312" s="13" t="str">
        <f>_xlfn.XLOOKUP(J312,'Master Data 14-9-2026'!C:C,'Master Data 14-9-2026'!D:D)</f>
        <v>Andi Tenri Bali wx1507141</v>
      </c>
      <c r="C312" s="13"/>
      <c r="D312" s="13" t="str">
        <f>_xlfn.XLOOKUP(J312,'Master Data 14-9-2026'!C:C,'Master Data 14-9-2026'!E:E)</f>
        <v>IOH</v>
      </c>
      <c r="E312" s="13"/>
      <c r="F312" s="13"/>
      <c r="G312" s="13" t="s">
        <v>25</v>
      </c>
      <c r="H312" s="13" t="str">
        <f>_xlfn.XLOOKUP(J312,'Master Data 14-9-2026'!C:C,'Master Data 14-9-2026'!H:H)</f>
        <v>2026-07-01 - 2026-07-31</v>
      </c>
      <c r="I312" s="13" t="str">
        <f t="shared" si="4"/>
        <v>July</v>
      </c>
      <c r="J312" s="13" t="s">
        <v>1475</v>
      </c>
      <c r="K312" s="13" t="s">
        <v>1475</v>
      </c>
      <c r="L312" s="13" t="s">
        <v>441</v>
      </c>
      <c r="M312" s="15">
        <v>200003157539020</v>
      </c>
      <c r="N312" s="13" t="s">
        <v>924</v>
      </c>
      <c r="O312" s="13">
        <v>1.0912026062000099E+17</v>
      </c>
      <c r="P312" s="13" t="s">
        <v>1441</v>
      </c>
      <c r="Q312" s="18">
        <v>27</v>
      </c>
      <c r="R312" s="18">
        <v>1</v>
      </c>
      <c r="S312" s="13">
        <v>8828132633</v>
      </c>
      <c r="T312" s="13" t="s">
        <v>951</v>
      </c>
      <c r="U312" s="19">
        <v>28881900</v>
      </c>
      <c r="V312" s="18">
        <v>1</v>
      </c>
      <c r="W312" s="18">
        <f>_xlfn.XLOOKUP(J312,'Master Data 14-9-2026'!C:C,'Master Data 14-9-2026'!L:L)</f>
        <v>1.5</v>
      </c>
      <c r="X312" s="23">
        <v>28881900</v>
      </c>
      <c r="Y312" s="13" t="s">
        <v>1325</v>
      </c>
      <c r="Z312" s="24" t="s">
        <v>984</v>
      </c>
      <c r="AB312" s="13"/>
      <c r="AC312" s="13"/>
      <c r="AD312" s="13"/>
      <c r="AE312" s="13" t="str">
        <f>_xlfn.XLOOKUP(L312,'[1]ID PROJECT'!E:E,'[1]ID PROJECT'!F:F)</f>
        <v xml:space="preserve">PRJ-KUT-KPU-TPED-2026-04-00071 </v>
      </c>
      <c r="AF312" s="13"/>
      <c r="AG312" s="13"/>
      <c r="AH312" s="65"/>
      <c r="AI312" s="27"/>
    </row>
    <row r="313" spans="1:35">
      <c r="A313" s="13" t="s">
        <v>211</v>
      </c>
      <c r="B313" s="13" t="str">
        <f>_xlfn.XLOOKUP(J313,'Master Data 14-9-2026'!C:C,'Master Data 14-9-2026'!D:D)</f>
        <v>Lidya Juwita Apriliani wx1504642</v>
      </c>
      <c r="C313" s="13"/>
      <c r="D313" s="13" t="str">
        <f>_xlfn.XLOOKUP(J313,'Master Data 14-9-2026'!C:C,'Master Data 14-9-2026'!E:E)</f>
        <v>IOH</v>
      </c>
      <c r="E313" s="13"/>
      <c r="F313" s="13"/>
      <c r="G313" s="13" t="s">
        <v>25</v>
      </c>
      <c r="H313" s="13" t="str">
        <f>_xlfn.XLOOKUP(J313,'Master Data 14-9-2026'!C:C,'Master Data 14-9-2026'!H:H)</f>
        <v>2026-06-30 - 2026-07-30</v>
      </c>
      <c r="I313" s="13" t="str">
        <f t="shared" si="4"/>
        <v>June</v>
      </c>
      <c r="J313" s="13" t="s">
        <v>1476</v>
      </c>
      <c r="K313" s="13" t="s">
        <v>1476</v>
      </c>
      <c r="L313" s="13" t="s">
        <v>441</v>
      </c>
      <c r="M313" s="15">
        <v>200003157580020</v>
      </c>
      <c r="N313" s="13" t="s">
        <v>924</v>
      </c>
      <c r="O313" s="13">
        <v>1.0912026062000099E+17</v>
      </c>
      <c r="P313" s="13" t="s">
        <v>1441</v>
      </c>
      <c r="Q313" s="18">
        <v>28</v>
      </c>
      <c r="R313" s="18">
        <v>1</v>
      </c>
      <c r="S313" s="13">
        <v>8828132633</v>
      </c>
      <c r="T313" s="13" t="s">
        <v>951</v>
      </c>
      <c r="U313" s="19">
        <v>28881900</v>
      </c>
      <c r="V313" s="18">
        <v>1</v>
      </c>
      <c r="W313" s="18">
        <f>_xlfn.XLOOKUP(J313,'Master Data 14-9-2026'!C:C,'Master Data 14-9-2026'!L:L)</f>
        <v>1.5</v>
      </c>
      <c r="X313" s="23">
        <v>28881900</v>
      </c>
      <c r="Y313" s="13" t="s">
        <v>1325</v>
      </c>
      <c r="Z313" s="24" t="s">
        <v>15</v>
      </c>
      <c r="AA313" s="4" t="s">
        <v>934</v>
      </c>
      <c r="AB313" s="13"/>
      <c r="AC313" s="13"/>
      <c r="AD313" s="13" t="s">
        <v>935</v>
      </c>
      <c r="AE313" s="40" t="str">
        <f>_xlfn.XLOOKUP(L313,'[1]ID PROJECT'!E:E,'[1]ID PROJECT'!F:F)</f>
        <v xml:space="preserve">PRJ-KUT-KPU-TPED-2026-04-00071 </v>
      </c>
      <c r="AF313" s="4" t="s">
        <v>1464</v>
      </c>
      <c r="AG313" s="40" t="s">
        <v>3394</v>
      </c>
      <c r="AH313" s="65">
        <v>46267</v>
      </c>
      <c r="AI313" s="27" t="s">
        <v>967</v>
      </c>
    </row>
    <row r="314" spans="1:35" hidden="1">
      <c r="A314" s="13" t="s">
        <v>884</v>
      </c>
      <c r="B314" s="13" t="str">
        <f>_xlfn.XLOOKUP(J314,'Master Data 14-9-2026'!C:C,'Master Data 14-9-2026'!D:D)</f>
        <v>Kurnia Rahmawati wx1507140</v>
      </c>
      <c r="C314" s="13"/>
      <c r="D314" s="13" t="str">
        <f>_xlfn.XLOOKUP(J314,'Master Data 14-9-2026'!C:C,'Master Data 14-9-2026'!E:E)</f>
        <v>IOH</v>
      </c>
      <c r="E314" s="13"/>
      <c r="F314" s="13"/>
      <c r="G314" s="13" t="s">
        <v>22</v>
      </c>
      <c r="H314" s="13" t="str">
        <f>_xlfn.XLOOKUP(J314,'Master Data 14-9-2026'!C:C,'Master Data 14-9-2026'!H:H)</f>
        <v>2026-06-01 - 2026-06-30</v>
      </c>
      <c r="I314" s="13" t="str">
        <f t="shared" si="4"/>
        <v>June</v>
      </c>
      <c r="J314" s="13" t="s">
        <v>1477</v>
      </c>
      <c r="K314" s="13" t="s">
        <v>1477</v>
      </c>
      <c r="L314" s="13" t="s">
        <v>500</v>
      </c>
      <c r="M314" s="15">
        <v>200003157576020</v>
      </c>
      <c r="N314" s="13" t="s">
        <v>924</v>
      </c>
      <c r="O314" s="13">
        <v>1.0912026062000099E+17</v>
      </c>
      <c r="P314" s="13" t="s">
        <v>1441</v>
      </c>
      <c r="Q314" s="18">
        <v>29</v>
      </c>
      <c r="R314" s="18">
        <v>1</v>
      </c>
      <c r="S314" s="13">
        <v>8828132635</v>
      </c>
      <c r="T314" s="13" t="s">
        <v>926</v>
      </c>
      <c r="U314" s="19">
        <v>34220600</v>
      </c>
      <c r="V314" s="18">
        <v>1</v>
      </c>
      <c r="W314" s="18">
        <f>_xlfn.XLOOKUP(J314,'Master Data 14-9-2026'!C:C,'Master Data 14-9-2026'!L:L)</f>
        <v>0.5</v>
      </c>
      <c r="X314" s="23">
        <v>34220600</v>
      </c>
      <c r="Y314" s="13" t="s">
        <v>1325</v>
      </c>
      <c r="Z314" s="24" t="str">
        <f>_xlfn.XLOOKUP(J314,'Master Data 14-9-2026'!C:C,'Master Data 14-9-2026'!I:I)</f>
        <v>Ended</v>
      </c>
      <c r="AB314" s="13"/>
      <c r="AC314" s="13"/>
      <c r="AD314" s="13"/>
      <c r="AE314" s="13" t="str">
        <f>_xlfn.XLOOKUP(L314,'[1]ID PROJECT'!E:E,'[1]ID PROJECT'!F:F)</f>
        <v>PRJ-KUT-KPU-TPED-2026-04-00080</v>
      </c>
      <c r="AF314" s="13"/>
      <c r="AG314" s="13"/>
      <c r="AH314" s="65"/>
      <c r="AI314" s="27"/>
    </row>
    <row r="315" spans="1:35" hidden="1">
      <c r="A315" s="13" t="s">
        <v>812</v>
      </c>
      <c r="B315" s="13" t="str">
        <f>_xlfn.XLOOKUP(J315,'Master Data 14-9-2026'!C:C,'Master Data 14-9-2026'!D:D)</f>
        <v>Muh Noer Fajar wx1526961</v>
      </c>
      <c r="C315" s="13"/>
      <c r="D315" s="13" t="str">
        <f>_xlfn.XLOOKUP(J315,'Master Data 14-9-2026'!C:C,'Master Data 14-9-2026'!E:E)</f>
        <v>IOH</v>
      </c>
      <c r="E315" s="13"/>
      <c r="F315" s="13"/>
      <c r="G315" s="13" t="s">
        <v>13</v>
      </c>
      <c r="H315" s="13" t="str">
        <f>_xlfn.XLOOKUP(J315,'Master Data 14-9-2026'!C:C,'Master Data 14-9-2026'!H:H)</f>
        <v>2026-06-10 - 2026-07-09</v>
      </c>
      <c r="I315" s="13" t="str">
        <f t="shared" si="4"/>
        <v>June</v>
      </c>
      <c r="J315" s="13" t="s">
        <v>1478</v>
      </c>
      <c r="K315" s="13" t="s">
        <v>1478</v>
      </c>
      <c r="L315" s="13" t="s">
        <v>441</v>
      </c>
      <c r="M315" s="15">
        <v>200003157584020</v>
      </c>
      <c r="N315" s="13" t="s">
        <v>924</v>
      </c>
      <c r="O315" s="13">
        <v>1.0912026062000099E+17</v>
      </c>
      <c r="P315" s="13" t="s">
        <v>1441</v>
      </c>
      <c r="Q315" s="18">
        <v>30</v>
      </c>
      <c r="R315" s="18">
        <v>1</v>
      </c>
      <c r="S315" s="13">
        <v>8828132635</v>
      </c>
      <c r="T315" s="13" t="s">
        <v>926</v>
      </c>
      <c r="U315" s="19">
        <v>34220600</v>
      </c>
      <c r="V315" s="18">
        <v>1</v>
      </c>
      <c r="W315" s="18">
        <f>_xlfn.XLOOKUP(J315,'Master Data 14-9-2026'!C:C,'Master Data 14-9-2026'!L:L)</f>
        <v>0</v>
      </c>
      <c r="X315" s="23">
        <v>34220600</v>
      </c>
      <c r="Y315" s="13" t="s">
        <v>1325</v>
      </c>
      <c r="Z315" s="24" t="str">
        <f>_xlfn.XLOOKUP(J315,'Master Data 14-9-2026'!C:C,'Master Data 14-9-2026'!I:I)</f>
        <v>Ended</v>
      </c>
      <c r="AA315" s="4" t="s">
        <v>1288</v>
      </c>
      <c r="AB315" s="40" t="s">
        <v>44</v>
      </c>
      <c r="AC315" s="13"/>
      <c r="AD315" s="13"/>
      <c r="AE315" s="13" t="str">
        <f>_xlfn.XLOOKUP(L315,'[1]ID PROJECT'!E:E,'[1]ID PROJECT'!F:F)</f>
        <v xml:space="preserve">PRJ-KUT-KPU-TPED-2026-04-00071 </v>
      </c>
      <c r="AF315" s="13"/>
      <c r="AG315" s="13"/>
      <c r="AH315" s="65"/>
      <c r="AI315" s="27"/>
    </row>
    <row r="316" spans="1:35" hidden="1">
      <c r="A316" s="13" t="s">
        <v>812</v>
      </c>
      <c r="B316" s="13" t="str">
        <f>_xlfn.XLOOKUP(J316,'Master Data 14-9-2026'!C:C,'Master Data 14-9-2026'!D:D)</f>
        <v>Muh Noer Fajar wx1526961</v>
      </c>
      <c r="C316" s="13"/>
      <c r="D316" s="13" t="str">
        <f>_xlfn.XLOOKUP(J316,'Master Data 14-9-2026'!C:C,'Master Data 14-9-2026'!E:E)</f>
        <v>IOH</v>
      </c>
      <c r="E316" s="13"/>
      <c r="F316" s="13"/>
      <c r="G316" s="13" t="s">
        <v>18</v>
      </c>
      <c r="H316" s="13" t="str">
        <f>_xlfn.XLOOKUP(J316,'Master Data 14-9-2026'!C:C,'Master Data 14-9-2026'!H:H)</f>
        <v>2026-07-10 - 2026-08-09</v>
      </c>
      <c r="I316" s="13" t="str">
        <f t="shared" si="4"/>
        <v>July</v>
      </c>
      <c r="J316" s="13" t="s">
        <v>1479</v>
      </c>
      <c r="K316" s="13" t="s">
        <v>1479</v>
      </c>
      <c r="L316" s="13" t="s">
        <v>441</v>
      </c>
      <c r="M316" s="15">
        <v>200003157585020</v>
      </c>
      <c r="N316" s="13" t="s">
        <v>924</v>
      </c>
      <c r="O316" s="13">
        <v>1.0912026062000099E+17</v>
      </c>
      <c r="P316" s="13" t="s">
        <v>1441</v>
      </c>
      <c r="Q316" s="18">
        <v>31</v>
      </c>
      <c r="R316" s="18">
        <v>1</v>
      </c>
      <c r="S316" s="13">
        <v>8828132635</v>
      </c>
      <c r="T316" s="13" t="s">
        <v>926</v>
      </c>
      <c r="U316" s="19">
        <v>34220600</v>
      </c>
      <c r="V316" s="18">
        <v>1</v>
      </c>
      <c r="W316" s="18">
        <f>_xlfn.XLOOKUP(J316,'Master Data 14-9-2026'!C:C,'Master Data 14-9-2026'!L:L)</f>
        <v>0</v>
      </c>
      <c r="X316" s="23">
        <v>34220600</v>
      </c>
      <c r="Y316" s="13" t="s">
        <v>1325</v>
      </c>
      <c r="Z316" s="24" t="s">
        <v>15</v>
      </c>
      <c r="AA316" s="13"/>
      <c r="AB316" s="39" t="s">
        <v>44</v>
      </c>
      <c r="AC316" s="4" t="s">
        <v>1113</v>
      </c>
      <c r="AD316" s="13"/>
      <c r="AE316" s="13" t="str">
        <f>_xlfn.XLOOKUP(L316,'[1]ID PROJECT'!E:E,'[1]ID PROJECT'!F:F)</f>
        <v xml:space="preserve">PRJ-KUT-KPU-TPED-2026-04-00071 </v>
      </c>
      <c r="AF316" s="13"/>
      <c r="AG316" s="13"/>
      <c r="AH316" s="65"/>
      <c r="AI316" s="27"/>
    </row>
    <row r="317" spans="1:35" hidden="1">
      <c r="A317" s="13" t="s">
        <v>884</v>
      </c>
      <c r="B317" s="13" t="str">
        <f>_xlfn.XLOOKUP(J317,'Master Data 14-9-2026'!C:C,'Master Data 14-9-2026'!D:D)</f>
        <v>Kurnia Rahmawati wx1507140</v>
      </c>
      <c r="C317" s="13"/>
      <c r="D317" s="13" t="str">
        <f>_xlfn.XLOOKUP(J317,'Master Data 14-9-2026'!C:C,'Master Data 14-9-2026'!E:E)</f>
        <v>IOH</v>
      </c>
      <c r="E317" s="13"/>
      <c r="F317" s="13"/>
      <c r="G317" s="13" t="s">
        <v>25</v>
      </c>
      <c r="H317" s="13" t="str">
        <f>_xlfn.XLOOKUP(J317,'Master Data 14-9-2026'!C:C,'Master Data 14-9-2026'!H:H)</f>
        <v>2026-07-01 - 2026-07-31</v>
      </c>
      <c r="I317" s="13" t="str">
        <f t="shared" si="4"/>
        <v>July</v>
      </c>
      <c r="J317" s="13" t="s">
        <v>1480</v>
      </c>
      <c r="K317" s="13" t="s">
        <v>1480</v>
      </c>
      <c r="L317" s="13" t="s">
        <v>500</v>
      </c>
      <c r="M317" s="15">
        <v>200003157577020</v>
      </c>
      <c r="N317" s="13" t="s">
        <v>924</v>
      </c>
      <c r="O317" s="13">
        <v>1.0912026062000099E+17</v>
      </c>
      <c r="P317" s="13" t="s">
        <v>1441</v>
      </c>
      <c r="Q317" s="18">
        <v>32</v>
      </c>
      <c r="R317" s="18">
        <v>1</v>
      </c>
      <c r="S317" s="13">
        <v>8828132635</v>
      </c>
      <c r="T317" s="13" t="s">
        <v>926</v>
      </c>
      <c r="U317" s="19">
        <v>34220600</v>
      </c>
      <c r="V317" s="18">
        <v>1</v>
      </c>
      <c r="W317" s="18">
        <f>_xlfn.XLOOKUP(J317,'Master Data 14-9-2026'!C:C,'Master Data 14-9-2026'!L:L)</f>
        <v>1.35</v>
      </c>
      <c r="X317" s="23">
        <v>34220600</v>
      </c>
      <c r="Y317" s="13" t="s">
        <v>1325</v>
      </c>
      <c r="Z317" s="24" t="s">
        <v>15</v>
      </c>
      <c r="AA317" s="4" t="s">
        <v>1419</v>
      </c>
      <c r="AB317" s="39" t="s">
        <v>1481</v>
      </c>
      <c r="AC317" s="13"/>
      <c r="AD317" s="13"/>
      <c r="AE317" s="13" t="str">
        <f>_xlfn.XLOOKUP(L317,'[1]ID PROJECT'!E:E,'[1]ID PROJECT'!F:F)</f>
        <v>PRJ-KUT-KPU-TPED-2026-04-00080</v>
      </c>
      <c r="AF317" s="13"/>
      <c r="AG317" s="13"/>
      <c r="AH317" s="65"/>
      <c r="AI317" s="27"/>
    </row>
    <row r="318" spans="1:35" hidden="1">
      <c r="A318" s="13" t="s">
        <v>211</v>
      </c>
      <c r="B318" s="13" t="str">
        <f>_xlfn.XLOOKUP(J318,'Master Data 14-9-2026'!C:C,'Master Data 14-9-2026'!D:D)</f>
        <v>Lidya Juwita Apriliani wx1504642</v>
      </c>
      <c r="C318" s="13"/>
      <c r="D318" s="13" t="str">
        <f>_xlfn.XLOOKUP(J318,'Master Data 14-9-2026'!C:C,'Master Data 14-9-2026'!E:E)</f>
        <v>IOH</v>
      </c>
      <c r="E318" s="13"/>
      <c r="F318" s="13"/>
      <c r="G318" s="13" t="s">
        <v>18</v>
      </c>
      <c r="H318" s="13" t="str">
        <f>_xlfn.XLOOKUP(J318,'Master Data 14-9-2026'!C:C,'Master Data 14-9-2026'!H:H)</f>
        <v>2026-04-30 - 2026-05-30</v>
      </c>
      <c r="I318" s="13" t="str">
        <f t="shared" si="4"/>
        <v>April</v>
      </c>
      <c r="J318" s="13" t="s">
        <v>1482</v>
      </c>
      <c r="K318" s="13" t="s">
        <v>1482</v>
      </c>
      <c r="L318" s="13" t="s">
        <v>441</v>
      </c>
      <c r="M318" s="15">
        <v>200003157578020</v>
      </c>
      <c r="N318" s="13" t="s">
        <v>924</v>
      </c>
      <c r="O318" s="13">
        <v>1.0912026062000099E+17</v>
      </c>
      <c r="P318" s="13" t="s">
        <v>1441</v>
      </c>
      <c r="Q318" s="18">
        <v>33</v>
      </c>
      <c r="R318" s="18">
        <v>1</v>
      </c>
      <c r="S318" s="13">
        <v>8828132633</v>
      </c>
      <c r="T318" s="13" t="s">
        <v>951</v>
      </c>
      <c r="U318" s="19">
        <v>28881900</v>
      </c>
      <c r="V318" s="18">
        <v>1</v>
      </c>
      <c r="W318" s="18">
        <f>_xlfn.XLOOKUP(J318,'Master Data 14-9-2026'!C:C,'Master Data 14-9-2026'!L:L)</f>
        <v>1.17</v>
      </c>
      <c r="X318" s="23">
        <v>28881900</v>
      </c>
      <c r="Y318" s="13" t="s">
        <v>1325</v>
      </c>
      <c r="Z318" s="24" t="s">
        <v>15</v>
      </c>
      <c r="AA318" s="13" t="s">
        <v>934</v>
      </c>
      <c r="AC318" s="4"/>
      <c r="AD318" s="13" t="s">
        <v>935</v>
      </c>
      <c r="AE318" s="13" t="str">
        <f>_xlfn.XLOOKUP(L318,'[1]ID PROJECT'!E:E,'[1]ID PROJECT'!F:F)</f>
        <v xml:space="preserve">PRJ-KUT-KPU-TPED-2026-04-00071 </v>
      </c>
      <c r="AF318" s="4" t="s">
        <v>1442</v>
      </c>
      <c r="AG318" s="4" t="s">
        <v>1443</v>
      </c>
      <c r="AH318" s="65">
        <v>46223</v>
      </c>
      <c r="AI318" s="27" t="s">
        <v>938</v>
      </c>
    </row>
    <row r="319" spans="1:35" hidden="1">
      <c r="A319" s="13" t="s">
        <v>211</v>
      </c>
      <c r="B319" s="13" t="str">
        <f>_xlfn.XLOOKUP(J319,'Master Data 14-9-2026'!C:C,'Master Data 14-9-2026'!D:D)</f>
        <v>Lidya Juwita Apriliani wx1504642</v>
      </c>
      <c r="C319" s="13"/>
      <c r="D319" s="13" t="str">
        <f>_xlfn.XLOOKUP(J319,'Master Data 14-9-2026'!C:C,'Master Data 14-9-2026'!E:E)</f>
        <v>IOH</v>
      </c>
      <c r="E319" s="13"/>
      <c r="F319" s="13"/>
      <c r="G319" s="13" t="s">
        <v>22</v>
      </c>
      <c r="H319" s="13" t="str">
        <f>_xlfn.XLOOKUP(J319,'Master Data 14-9-2026'!C:C,'Master Data 14-9-2026'!H:H)</f>
        <v>2026-05-31 - 2026-06-29</v>
      </c>
      <c r="I319" s="13" t="str">
        <f t="shared" si="4"/>
        <v>May</v>
      </c>
      <c r="J319" s="13" t="s">
        <v>1483</v>
      </c>
      <c r="K319" s="13" t="s">
        <v>1483</v>
      </c>
      <c r="L319" s="13" t="s">
        <v>441</v>
      </c>
      <c r="M319" s="15">
        <v>200003157579020</v>
      </c>
      <c r="N319" s="13" t="s">
        <v>924</v>
      </c>
      <c r="O319" s="13">
        <v>1.0912026062000099E+17</v>
      </c>
      <c r="P319" s="13" t="s">
        <v>1441</v>
      </c>
      <c r="Q319" s="18">
        <v>34</v>
      </c>
      <c r="R319" s="18">
        <v>1</v>
      </c>
      <c r="S319" s="13">
        <v>8828132633</v>
      </c>
      <c r="T319" s="13" t="s">
        <v>951</v>
      </c>
      <c r="U319" s="19">
        <v>28881900</v>
      </c>
      <c r="V319" s="18">
        <v>1</v>
      </c>
      <c r="W319" s="18">
        <f>_xlfn.XLOOKUP(J319,'Master Data 14-9-2026'!C:C,'Master Data 14-9-2026'!L:L)</f>
        <v>1.5</v>
      </c>
      <c r="X319" s="23">
        <v>28881900</v>
      </c>
      <c r="Y319" s="13" t="s">
        <v>1325</v>
      </c>
      <c r="Z319" s="24" t="s">
        <v>15</v>
      </c>
      <c r="AA319" s="13" t="s">
        <v>934</v>
      </c>
      <c r="AC319" s="4"/>
      <c r="AD319" s="13" t="s">
        <v>935</v>
      </c>
      <c r="AE319" s="13" t="str">
        <f>_xlfn.XLOOKUP(L319,'[1]ID PROJECT'!E:E,'[1]ID PROJECT'!F:F)</f>
        <v xml:space="preserve">PRJ-KUT-KPU-TPED-2026-04-00071 </v>
      </c>
      <c r="AF319" s="13" t="s">
        <v>1484</v>
      </c>
      <c r="AG319" s="13" t="s">
        <v>1485</v>
      </c>
      <c r="AH319" s="65">
        <v>46262</v>
      </c>
      <c r="AI319" s="27" t="s">
        <v>1095</v>
      </c>
    </row>
    <row r="320" spans="1:35" hidden="1">
      <c r="A320" s="13" t="s">
        <v>750</v>
      </c>
      <c r="B320" s="13" t="str">
        <f>_xlfn.XLOOKUP(J320,'Master Data 14-9-2026'!C:C,'Master Data 14-9-2026'!D:D)</f>
        <v>Muhammad Suprijanto wx1503655</v>
      </c>
      <c r="C320" s="13"/>
      <c r="D320" s="13" t="str">
        <f>_xlfn.XLOOKUP(J320,'Master Data 14-9-2026'!C:C,'Master Data 14-9-2026'!E:E)</f>
        <v>IOH</v>
      </c>
      <c r="E320" s="13"/>
      <c r="F320" s="13"/>
      <c r="G320" s="13" t="s">
        <v>18</v>
      </c>
      <c r="H320" s="13" t="str">
        <f>_xlfn.XLOOKUP(J320,'Master Data 14-9-2026'!C:C,'Master Data 14-9-2026'!H:H)</f>
        <v>2026-05-01 - 2026-05-31</v>
      </c>
      <c r="I320" s="13" t="str">
        <f t="shared" si="4"/>
        <v>May</v>
      </c>
      <c r="J320" s="13" t="s">
        <v>1486</v>
      </c>
      <c r="K320" s="13" t="s">
        <v>1486</v>
      </c>
      <c r="L320" s="13" t="s">
        <v>468</v>
      </c>
      <c r="M320" s="15">
        <v>200003157588020</v>
      </c>
      <c r="N320" s="13" t="s">
        <v>924</v>
      </c>
      <c r="O320" s="13">
        <v>1.0912026062000099E+17</v>
      </c>
      <c r="P320" s="13" t="s">
        <v>1441</v>
      </c>
      <c r="Q320" s="18">
        <v>35</v>
      </c>
      <c r="R320" s="18">
        <v>1</v>
      </c>
      <c r="S320" s="13">
        <v>8828132635</v>
      </c>
      <c r="T320" s="13" t="s">
        <v>926</v>
      </c>
      <c r="U320" s="19">
        <v>34220600</v>
      </c>
      <c r="V320" s="18">
        <v>1</v>
      </c>
      <c r="W320" s="18">
        <f>_xlfn.XLOOKUP(J320,'Master Data 14-9-2026'!C:C,'Master Data 14-9-2026'!L:L)</f>
        <v>1.5</v>
      </c>
      <c r="X320" s="23">
        <v>34220600</v>
      </c>
      <c r="Y320" s="13" t="s">
        <v>1325</v>
      </c>
      <c r="Z320" s="24" t="s">
        <v>15</v>
      </c>
      <c r="AA320" s="13" t="s">
        <v>934</v>
      </c>
      <c r="AC320" s="4"/>
      <c r="AD320" s="13" t="s">
        <v>935</v>
      </c>
      <c r="AE320" s="13" t="str">
        <f>_xlfn.XLOOKUP(L320,'[1]ID PROJECT'!E:E,'[1]ID PROJECT'!F:F)</f>
        <v>PRJ-KUT-KPU-TPED-2026-04-00075</v>
      </c>
      <c r="AF320" s="4" t="s">
        <v>1442</v>
      </c>
      <c r="AG320" s="4" t="s">
        <v>1443</v>
      </c>
      <c r="AH320" s="65">
        <v>46223</v>
      </c>
      <c r="AI320" s="27" t="s">
        <v>938</v>
      </c>
    </row>
    <row r="321" spans="1:35">
      <c r="A321" s="13" t="s">
        <v>471</v>
      </c>
      <c r="B321" s="13" t="str">
        <f>_xlfn.XLOOKUP(J321,'Master Data 14-9-2026'!C:C,'Master Data 14-9-2026'!D:D)</f>
        <v>Ivan Arfianto wx1503653</v>
      </c>
      <c r="C321" s="13"/>
      <c r="D321" s="13" t="str">
        <f>_xlfn.XLOOKUP(J321,'Master Data 14-9-2026'!C:C,'Master Data 14-9-2026'!E:E)</f>
        <v>IOH</v>
      </c>
      <c r="E321" s="13"/>
      <c r="F321" s="13"/>
      <c r="G321" s="13" t="s">
        <v>18</v>
      </c>
      <c r="H321" s="13" t="str">
        <f>_xlfn.XLOOKUP(J321,'Master Data 14-9-2026'!C:C,'Master Data 14-9-2026'!H:H)</f>
        <v>2026-05-01 - 2026-05-31</v>
      </c>
      <c r="I321" s="13" t="str">
        <f t="shared" si="4"/>
        <v>May</v>
      </c>
      <c r="J321" s="13" t="s">
        <v>1487</v>
      </c>
      <c r="K321" s="13" t="s">
        <v>1487</v>
      </c>
      <c r="L321" s="13" t="s">
        <v>468</v>
      </c>
      <c r="M321" s="15">
        <v>200003157568020</v>
      </c>
      <c r="N321" s="13" t="s">
        <v>924</v>
      </c>
      <c r="O321" s="13">
        <v>1.0912026062000099E+17</v>
      </c>
      <c r="P321" s="13" t="s">
        <v>1441</v>
      </c>
      <c r="Q321" s="18">
        <v>36</v>
      </c>
      <c r="R321" s="18">
        <v>1</v>
      </c>
      <c r="S321" s="13">
        <v>8828132636</v>
      </c>
      <c r="T321" s="13" t="s">
        <v>933</v>
      </c>
      <c r="U321" s="19">
        <v>36992000</v>
      </c>
      <c r="V321" s="18">
        <v>1</v>
      </c>
      <c r="W321" s="18">
        <f>_xlfn.XLOOKUP(J321,'Master Data 14-9-2026'!C:C,'Master Data 14-9-2026'!L:L)</f>
        <v>1.5</v>
      </c>
      <c r="X321" s="23">
        <v>36992000</v>
      </c>
      <c r="Y321" s="13" t="s">
        <v>1325</v>
      </c>
      <c r="Z321" s="24" t="s">
        <v>15</v>
      </c>
      <c r="AA321" s="40" t="s">
        <v>934</v>
      </c>
      <c r="AC321" s="4" t="s">
        <v>1412</v>
      </c>
      <c r="AD321" s="40" t="s">
        <v>935</v>
      </c>
      <c r="AE321" s="13" t="str">
        <f>_xlfn.XLOOKUP(L321,'[1]ID PROJECT'!E:E,'[1]ID PROJECT'!F:F)</f>
        <v>PRJ-KUT-KPU-TPED-2026-04-00075</v>
      </c>
      <c r="AF321" s="39" t="s">
        <v>4132</v>
      </c>
      <c r="AG321" s="13" t="s">
        <v>4139</v>
      </c>
      <c r="AH321" s="65">
        <v>46276</v>
      </c>
      <c r="AI321" s="41" t="s">
        <v>967</v>
      </c>
    </row>
    <row r="322" spans="1:35" hidden="1">
      <c r="A322" s="13" t="s">
        <v>471</v>
      </c>
      <c r="B322" s="13" t="str">
        <f>_xlfn.XLOOKUP(J322,'Master Data 14-9-2026'!C:C,'Master Data 14-9-2026'!D:D)</f>
        <v>Ivan Arfianto wx1503653</v>
      </c>
      <c r="C322" s="13"/>
      <c r="D322" s="13" t="str">
        <f>_xlfn.XLOOKUP(J322,'Master Data 14-9-2026'!C:C,'Master Data 14-9-2026'!E:E)</f>
        <v>IOH</v>
      </c>
      <c r="E322" s="13"/>
      <c r="F322" s="13"/>
      <c r="G322" s="13" t="s">
        <v>22</v>
      </c>
      <c r="H322" s="13" t="str">
        <f>_xlfn.XLOOKUP(J322,'Master Data 14-9-2026'!C:C,'Master Data 14-9-2026'!H:H)</f>
        <v>2026-06-01 - 2026-06-30</v>
      </c>
      <c r="I322" s="13" t="str">
        <f t="shared" si="4"/>
        <v>June</v>
      </c>
      <c r="J322" s="13" t="s">
        <v>1488</v>
      </c>
      <c r="K322" s="13" t="s">
        <v>1488</v>
      </c>
      <c r="L322" s="13" t="s">
        <v>468</v>
      </c>
      <c r="M322" s="15">
        <v>200003157569020</v>
      </c>
      <c r="N322" s="13" t="s">
        <v>924</v>
      </c>
      <c r="O322" s="13">
        <v>1.0912026062000099E+17</v>
      </c>
      <c r="P322" s="13" t="s">
        <v>1441</v>
      </c>
      <c r="Q322" s="18">
        <v>37</v>
      </c>
      <c r="R322" s="18">
        <v>1</v>
      </c>
      <c r="S322" s="13">
        <v>8828132636</v>
      </c>
      <c r="T322" s="13" t="s">
        <v>933</v>
      </c>
      <c r="U322" s="19">
        <v>36992000</v>
      </c>
      <c r="V322" s="18">
        <v>1</v>
      </c>
      <c r="W322" s="18">
        <f>_xlfn.XLOOKUP(J322,'Master Data 14-9-2026'!C:C,'Master Data 14-9-2026'!L:L)</f>
        <v>1.5</v>
      </c>
      <c r="X322" s="23">
        <v>36992000</v>
      </c>
      <c r="Y322" s="13" t="s">
        <v>1325</v>
      </c>
      <c r="Z322" s="24" t="str">
        <f>_xlfn.XLOOKUP(J322,'Master Data 14-9-2026'!C:C,'Master Data 14-9-2026'!I:I)</f>
        <v>Ended</v>
      </c>
      <c r="AB322" s="13"/>
      <c r="AC322" s="13"/>
      <c r="AD322" s="13"/>
      <c r="AE322" s="13" t="str">
        <f>_xlfn.XLOOKUP(L322,'[1]ID PROJECT'!E:E,'[1]ID PROJECT'!F:F)</f>
        <v>PRJ-KUT-KPU-TPED-2026-04-00075</v>
      </c>
      <c r="AF322" s="13"/>
      <c r="AG322" s="13"/>
      <c r="AH322" s="65"/>
      <c r="AI322" s="27"/>
    </row>
    <row r="323" spans="1:35" hidden="1">
      <c r="A323" s="13" t="s">
        <v>198</v>
      </c>
      <c r="B323" s="13" t="str">
        <f>_xlfn.XLOOKUP(J323,'Master Data 14-9-2026'!C:C,'Master Data 14-9-2026'!D:D)</f>
        <v>Adisty Citra wx1504664</v>
      </c>
      <c r="C323" s="13"/>
      <c r="D323" s="13" t="str">
        <f>_xlfn.XLOOKUP(J323,'Master Data 14-9-2026'!C:C,'Master Data 14-9-2026'!E:E)</f>
        <v>IOH</v>
      </c>
      <c r="E323" s="13"/>
      <c r="F323" s="13"/>
      <c r="G323" s="13" t="s">
        <v>25</v>
      </c>
      <c r="H323" s="13" t="str">
        <f>_xlfn.XLOOKUP(J323,'Master Data 14-9-2026'!C:C,'Master Data 14-9-2026'!H:H)</f>
        <v>2026-06-30 - 2026-07-30</v>
      </c>
      <c r="I323" s="13" t="str">
        <f t="shared" ref="I323:I386" si="5">TEXT(DATEVALUE(LEFT(H323,10)),"mmmm")</f>
        <v>June</v>
      </c>
      <c r="J323" s="13" t="s">
        <v>1489</v>
      </c>
      <c r="K323" s="13" t="s">
        <v>1489</v>
      </c>
      <c r="L323" s="13" t="s">
        <v>441</v>
      </c>
      <c r="M323" s="15">
        <v>200003157534020</v>
      </c>
      <c r="N323" s="13" t="s">
        <v>924</v>
      </c>
      <c r="O323" s="13">
        <v>1.0912026062000099E+17</v>
      </c>
      <c r="P323" s="13" t="s">
        <v>1441</v>
      </c>
      <c r="Q323" s="18">
        <v>38</v>
      </c>
      <c r="R323" s="18">
        <v>1</v>
      </c>
      <c r="S323" s="13">
        <v>8828132633</v>
      </c>
      <c r="T323" s="13" t="s">
        <v>951</v>
      </c>
      <c r="U323" s="19">
        <v>28881900</v>
      </c>
      <c r="V323" s="18">
        <v>1</v>
      </c>
      <c r="W323" s="18">
        <f>_xlfn.XLOOKUP(J323,'Master Data 14-9-2026'!C:C,'Master Data 14-9-2026'!L:L)</f>
        <v>1.5</v>
      </c>
      <c r="X323" s="23">
        <v>28881900</v>
      </c>
      <c r="Y323" s="13" t="s">
        <v>1325</v>
      </c>
      <c r="Z323" s="24" t="str">
        <f>_xlfn.XLOOKUP(J323,'Master Data 14-9-2026'!C:C,'Master Data 14-9-2026'!I:I)</f>
        <v>Ended</v>
      </c>
      <c r="AB323" s="13"/>
      <c r="AC323" s="13"/>
      <c r="AD323" s="13"/>
      <c r="AE323" s="13" t="str">
        <f>_xlfn.XLOOKUP(L323,'[1]ID PROJECT'!E:E,'[1]ID PROJECT'!F:F)</f>
        <v xml:space="preserve">PRJ-KUT-KPU-TPED-2026-04-00071 </v>
      </c>
      <c r="AF323" s="13"/>
      <c r="AG323" s="13"/>
      <c r="AH323" s="65"/>
      <c r="AI323" s="27"/>
    </row>
    <row r="324" spans="1:35" hidden="1">
      <c r="A324" s="13" t="s">
        <v>532</v>
      </c>
      <c r="B324" s="13" t="str">
        <f>_xlfn.XLOOKUP(J324,'Master Data 14-9-2026'!C:C,'Master Data 14-9-2026'!D:D)</f>
        <v>Michail Alief wx1524123</v>
      </c>
      <c r="C324" s="13"/>
      <c r="D324" s="13" t="str">
        <f>_xlfn.XLOOKUP(J324,'Master Data 14-9-2026'!C:C,'Master Data 14-9-2026'!E:E)</f>
        <v>TDI Batam</v>
      </c>
      <c r="E324" s="13"/>
      <c r="F324" s="13"/>
      <c r="G324" s="13" t="s">
        <v>18</v>
      </c>
      <c r="H324" s="13" t="str">
        <f>_xlfn.XLOOKUP(J324,'Master Data 14-9-2026'!C:C,'Master Data 14-9-2026'!H:H)</f>
        <v>2026-07-03 - 2026-08-02</v>
      </c>
      <c r="I324" s="13" t="str">
        <f t="shared" si="5"/>
        <v>July</v>
      </c>
      <c r="J324" s="13" t="s">
        <v>1490</v>
      </c>
      <c r="K324" s="13" t="s">
        <v>1268</v>
      </c>
      <c r="L324" s="13">
        <v>0</v>
      </c>
      <c r="M324" s="15">
        <v>200003137284020</v>
      </c>
      <c r="N324" s="13" t="s">
        <v>924</v>
      </c>
      <c r="O324" s="13">
        <v>1.0912026062300099E+17</v>
      </c>
      <c r="P324" s="13" t="s">
        <v>1491</v>
      </c>
      <c r="Q324" s="18">
        <v>2</v>
      </c>
      <c r="R324" s="18">
        <v>1</v>
      </c>
      <c r="S324" s="13">
        <v>8828132636</v>
      </c>
      <c r="T324" s="13" t="s">
        <v>933</v>
      </c>
      <c r="U324" s="19">
        <v>36992000</v>
      </c>
      <c r="V324" s="18">
        <v>1</v>
      </c>
      <c r="W324" s="18">
        <f>_xlfn.XLOOKUP(J324,'Master Data 14-9-2026'!C:C,'Master Data 14-9-2026'!L:L)</f>
        <v>1.1299999999999999</v>
      </c>
      <c r="X324" s="23">
        <v>36992000</v>
      </c>
      <c r="Y324" s="13" t="s">
        <v>1492</v>
      </c>
      <c r="Z324" s="24" t="s">
        <v>15</v>
      </c>
      <c r="AC324" s="4"/>
      <c r="AD324" s="13"/>
      <c r="AE324" s="13" t="e">
        <f>_xlfn.XLOOKUP(L324,'[1]ID PROJECT'!E:E,'[1]ID PROJECT'!F:F)</f>
        <v>#N/A</v>
      </c>
      <c r="AF324" s="13"/>
      <c r="AG324" s="13"/>
      <c r="AH324" s="65"/>
      <c r="AI324" s="27"/>
    </row>
    <row r="325" spans="1:35" hidden="1">
      <c r="A325" s="13" t="s">
        <v>532</v>
      </c>
      <c r="B325" s="13" t="str">
        <f>_xlfn.XLOOKUP(J325,'Master Data 14-9-2026'!C:C,'Master Data 14-9-2026'!D:D)</f>
        <v>Michail Alief wx1524123</v>
      </c>
      <c r="C325" s="13"/>
      <c r="D325" s="13" t="str">
        <f>_xlfn.XLOOKUP(J325,'Master Data 14-9-2026'!C:C,'Master Data 14-9-2026'!E:E)</f>
        <v>TDI Batam</v>
      </c>
      <c r="E325" s="13"/>
      <c r="F325" s="13"/>
      <c r="G325" s="13" t="s">
        <v>22</v>
      </c>
      <c r="H325" s="13" t="str">
        <f>_xlfn.XLOOKUP(J325,'Master Data 14-9-2026'!C:C,'Master Data 14-9-2026'!H:H)</f>
        <v>2026-08-03 - 2026-09-02</v>
      </c>
      <c r="I325" s="13" t="str">
        <f t="shared" si="5"/>
        <v>August</v>
      </c>
      <c r="J325" s="13" t="s">
        <v>1493</v>
      </c>
      <c r="K325" s="13" t="s">
        <v>1268</v>
      </c>
      <c r="L325" s="13">
        <v>0</v>
      </c>
      <c r="M325" s="15">
        <v>200003137285020</v>
      </c>
      <c r="N325" s="13" t="s">
        <v>924</v>
      </c>
      <c r="O325" s="13">
        <v>1.0912026062300099E+17</v>
      </c>
      <c r="P325" s="13" t="s">
        <v>1491</v>
      </c>
      <c r="Q325" s="18">
        <v>3</v>
      </c>
      <c r="R325" s="18">
        <v>1</v>
      </c>
      <c r="S325" s="13">
        <v>8828132636</v>
      </c>
      <c r="T325" s="13" t="s">
        <v>933</v>
      </c>
      <c r="U325" s="19">
        <v>36992000</v>
      </c>
      <c r="V325" s="18">
        <v>1</v>
      </c>
      <c r="W325" s="18">
        <f>_xlfn.XLOOKUP(J325,'Master Data 14-9-2026'!C:C,'Master Data 14-9-2026'!L:L)</f>
        <v>1.5</v>
      </c>
      <c r="X325" s="23">
        <v>36992000</v>
      </c>
      <c r="Y325" s="13" t="s">
        <v>1492</v>
      </c>
      <c r="Z325" s="24" t="s">
        <v>15</v>
      </c>
      <c r="AB325" s="13"/>
      <c r="AC325" s="13"/>
      <c r="AD325" s="13"/>
      <c r="AE325" s="13" t="e">
        <f>_xlfn.XLOOKUP(L325,'[1]ID PROJECT'!E:E,'[1]ID PROJECT'!F:F)</f>
        <v>#N/A</v>
      </c>
      <c r="AF325" s="13"/>
      <c r="AG325" s="13"/>
      <c r="AH325" s="65"/>
      <c r="AI325" s="27"/>
    </row>
    <row r="326" spans="1:35" hidden="1">
      <c r="A326" s="13" t="s">
        <v>138</v>
      </c>
      <c r="B326" s="13" t="str">
        <f>_xlfn.XLOOKUP(J326,'Master Data 14-9-2026'!C:C,'Master Data 14-9-2026'!D:D)</f>
        <v>Raden Inna Rachmasetia wx1506939</v>
      </c>
      <c r="C326" s="13"/>
      <c r="D326" s="13" t="str">
        <f>_xlfn.XLOOKUP(J326,'Master Data 14-9-2026'!C:C,'Master Data 14-9-2026'!E:E)</f>
        <v>XL-FTTH</v>
      </c>
      <c r="E326" s="13"/>
      <c r="F326" s="13"/>
      <c r="G326" s="13" t="s">
        <v>18</v>
      </c>
      <c r="H326" s="13" t="str">
        <f>_xlfn.XLOOKUP(J326,'Master Data 14-9-2026'!C:C,'Master Data 14-9-2026'!H:H)</f>
        <v>2026-05-01 - 2026-05-31</v>
      </c>
      <c r="I326" s="13" t="str">
        <f t="shared" si="5"/>
        <v>May</v>
      </c>
      <c r="J326" s="13" t="s">
        <v>1494</v>
      </c>
      <c r="K326" s="13" t="s">
        <v>1494</v>
      </c>
      <c r="L326" s="13" t="s">
        <v>441</v>
      </c>
      <c r="M326" s="15">
        <v>200003133278020</v>
      </c>
      <c r="N326" s="13" t="s">
        <v>924</v>
      </c>
      <c r="O326" s="13">
        <v>1.0912026062400099E+17</v>
      </c>
      <c r="P326" s="13" t="s">
        <v>1495</v>
      </c>
      <c r="Q326" s="18">
        <v>1</v>
      </c>
      <c r="R326" s="18">
        <v>1</v>
      </c>
      <c r="S326" s="13">
        <v>8828132633</v>
      </c>
      <c r="T326" s="13" t="s">
        <v>951</v>
      </c>
      <c r="U326" s="19">
        <v>28881900</v>
      </c>
      <c r="V326" s="18">
        <v>1</v>
      </c>
      <c r="W326" s="18">
        <f>_xlfn.XLOOKUP(J326,'Master Data 14-9-2026'!C:C,'Master Data 14-9-2026'!L:L)</f>
        <v>1.5</v>
      </c>
      <c r="X326" s="23">
        <v>28881900</v>
      </c>
      <c r="Y326" s="13" t="s">
        <v>1496</v>
      </c>
      <c r="Z326" s="24" t="s">
        <v>15</v>
      </c>
      <c r="AA326" s="4" t="s">
        <v>934</v>
      </c>
      <c r="AB326" s="13"/>
      <c r="AC326" s="13"/>
      <c r="AD326" s="13" t="s">
        <v>935</v>
      </c>
      <c r="AE326" s="13" t="str">
        <f>_xlfn.XLOOKUP(L326,'[1]ID PROJECT'!E:E,'[1]ID PROJECT'!F:F)</f>
        <v xml:space="preserve">PRJ-KUT-KPU-TPED-2026-04-00071 </v>
      </c>
      <c r="AF326" s="33" t="s">
        <v>1497</v>
      </c>
      <c r="AG326" s="13" t="s">
        <v>1498</v>
      </c>
      <c r="AH326" s="65">
        <v>46221</v>
      </c>
      <c r="AI326" s="27" t="s">
        <v>938</v>
      </c>
    </row>
    <row r="327" spans="1:35" hidden="1">
      <c r="A327" s="13" t="s">
        <v>138</v>
      </c>
      <c r="B327" s="13" t="str">
        <f>_xlfn.XLOOKUP(J327,'Master Data 14-9-2026'!C:C,'Master Data 14-9-2026'!D:D)</f>
        <v>Raden Inna Rachmasetia wx1506939</v>
      </c>
      <c r="C327" s="13"/>
      <c r="D327" s="13" t="str">
        <f>_xlfn.XLOOKUP(J327,'Master Data 14-9-2026'!C:C,'Master Data 14-9-2026'!E:E)</f>
        <v>XL-FTTH</v>
      </c>
      <c r="E327" s="13"/>
      <c r="F327" s="13"/>
      <c r="G327" s="13" t="s">
        <v>22</v>
      </c>
      <c r="H327" s="13" t="str">
        <f>_xlfn.XLOOKUP(J327,'Master Data 14-9-2026'!C:C,'Master Data 14-9-2026'!H:H)</f>
        <v>2026-06-01 - 2026-06-30</v>
      </c>
      <c r="I327" s="13" t="str">
        <f t="shared" si="5"/>
        <v>June</v>
      </c>
      <c r="J327" s="13" t="s">
        <v>1499</v>
      </c>
      <c r="K327" s="13" t="s">
        <v>1499</v>
      </c>
      <c r="L327" s="13" t="s">
        <v>441</v>
      </c>
      <c r="M327" s="15">
        <v>200003133277020</v>
      </c>
      <c r="N327" s="13" t="s">
        <v>924</v>
      </c>
      <c r="O327" s="13">
        <v>1.0912026062400099E+17</v>
      </c>
      <c r="P327" s="13" t="s">
        <v>1495</v>
      </c>
      <c r="Q327" s="18">
        <v>2</v>
      </c>
      <c r="R327" s="18">
        <v>1</v>
      </c>
      <c r="S327" s="13">
        <v>8828132633</v>
      </c>
      <c r="T327" s="13" t="s">
        <v>951</v>
      </c>
      <c r="U327" s="19">
        <v>28881900</v>
      </c>
      <c r="V327" s="18">
        <v>1</v>
      </c>
      <c r="W327" s="18">
        <f>_xlfn.XLOOKUP(J327,'Master Data 14-9-2026'!C:C,'Master Data 14-9-2026'!L:L)</f>
        <v>1.41</v>
      </c>
      <c r="X327" s="23">
        <v>28881900</v>
      </c>
      <c r="Y327" s="13" t="s">
        <v>1496</v>
      </c>
      <c r="Z327" s="24" t="str">
        <f>_xlfn.XLOOKUP(J327,'Master Data 14-9-2026'!C:C,'Master Data 14-9-2026'!I:I)</f>
        <v>Ended</v>
      </c>
      <c r="AB327" s="13"/>
      <c r="AC327" s="13"/>
      <c r="AD327" s="13"/>
      <c r="AE327" s="13" t="str">
        <f>_xlfn.XLOOKUP(L327,'[1]ID PROJECT'!E:E,'[1]ID PROJECT'!F:F)</f>
        <v xml:space="preserve">PRJ-KUT-KPU-TPED-2026-04-00071 </v>
      </c>
      <c r="AF327" s="13"/>
      <c r="AG327" s="13"/>
      <c r="AH327" s="65"/>
      <c r="AI327" s="27"/>
    </row>
    <row r="328" spans="1:35" hidden="1">
      <c r="A328" s="13" t="s">
        <v>542</v>
      </c>
      <c r="B328" s="13" t="str">
        <f>_xlfn.XLOOKUP(J328,'Master Data 14-9-2026'!C:C,'Master Data 14-9-2026'!D:D)</f>
        <v>Riyano ST WX1523065</v>
      </c>
      <c r="C328" s="13"/>
      <c r="D328" s="13" t="str">
        <f>_xlfn.XLOOKUP(J328,'Master Data 14-9-2026'!C:C,'Master Data 14-9-2026'!E:E)</f>
        <v>XLSMART</v>
      </c>
      <c r="E328" s="13" t="s">
        <v>1500</v>
      </c>
      <c r="F328" s="13"/>
      <c r="G328" s="13" t="s">
        <v>13</v>
      </c>
      <c r="H328" s="13" t="str">
        <f>_xlfn.XLOOKUP(J328,'Master Data 14-9-2026'!C:C,'Master Data 14-9-2026'!H:H)</f>
        <v>2026-05-28 - 2026-06-27</v>
      </c>
      <c r="I328" s="13" t="str">
        <f t="shared" si="5"/>
        <v>May</v>
      </c>
      <c r="J328" s="13" t="s">
        <v>1501</v>
      </c>
      <c r="K328" s="13" t="s">
        <v>1501</v>
      </c>
      <c r="L328" s="13" t="s">
        <v>441</v>
      </c>
      <c r="M328" s="15">
        <v>200003154802020</v>
      </c>
      <c r="N328" s="13" t="s">
        <v>924</v>
      </c>
      <c r="O328" s="13">
        <v>1.0912026062400099E+17</v>
      </c>
      <c r="P328" s="13" t="s">
        <v>1092</v>
      </c>
      <c r="Q328" s="18">
        <v>2</v>
      </c>
      <c r="R328" s="18">
        <v>1</v>
      </c>
      <c r="S328" s="13">
        <v>8828132634</v>
      </c>
      <c r="T328" s="13" t="s">
        <v>978</v>
      </c>
      <c r="U328" s="19">
        <v>32542400</v>
      </c>
      <c r="V328" s="18">
        <v>1</v>
      </c>
      <c r="W328" s="18">
        <f>_xlfn.XLOOKUP(J328,'Master Data 14-9-2026'!C:C,'Master Data 14-9-2026'!L:L)</f>
        <v>0</v>
      </c>
      <c r="X328" s="23">
        <v>32542400</v>
      </c>
      <c r="Y328" s="13" t="s">
        <v>1496</v>
      </c>
      <c r="Z328" s="24" t="s">
        <v>15</v>
      </c>
      <c r="AB328" s="40" t="s">
        <v>44</v>
      </c>
      <c r="AC328" s="13" t="s">
        <v>965</v>
      </c>
      <c r="AD328" s="13"/>
      <c r="AE328" s="13" t="str">
        <f>_xlfn.XLOOKUP(L328,'[1]ID PROJECT'!E:E,'[1]ID PROJECT'!F:F)</f>
        <v xml:space="preserve">PRJ-KUT-KPU-TPED-2026-04-00071 </v>
      </c>
      <c r="AF328" s="13"/>
      <c r="AG328" s="13"/>
      <c r="AH328" s="65"/>
      <c r="AI328" s="27"/>
    </row>
    <row r="329" spans="1:35" hidden="1">
      <c r="A329" s="24" t="s">
        <v>558</v>
      </c>
      <c r="B329" s="13" t="str">
        <f>_xlfn.XLOOKUP(J329,'Master Data 14-9-2026'!C:C,'Master Data 14-9-2026'!D:D)</f>
        <v>Yusup Budiman wx1523059</v>
      </c>
      <c r="C329" s="13"/>
      <c r="D329" s="13" t="str">
        <f>_xlfn.XLOOKUP(J329,'Master Data 14-9-2026'!C:C,'Master Data 14-9-2026'!E:E)</f>
        <v>XLSMART</v>
      </c>
      <c r="E329" s="13" t="s">
        <v>1503</v>
      </c>
      <c r="F329" s="13"/>
      <c r="G329" s="13" t="s">
        <v>13</v>
      </c>
      <c r="H329" s="13" t="str">
        <f>_xlfn.XLOOKUP(J329,'Master Data 14-9-2026'!C:C,'Master Data 14-9-2026'!H:H)</f>
        <v>2026-05-26 - 2026-06-25</v>
      </c>
      <c r="I329" s="13" t="str">
        <f t="shared" si="5"/>
        <v>May</v>
      </c>
      <c r="J329" s="13" t="s">
        <v>1504</v>
      </c>
      <c r="K329" s="13" t="s">
        <v>1504</v>
      </c>
      <c r="L329" s="13" t="s">
        <v>441</v>
      </c>
      <c r="M329" s="15">
        <v>200003154803020</v>
      </c>
      <c r="N329" s="13" t="s">
        <v>924</v>
      </c>
      <c r="O329" s="13">
        <v>1.0912026062400099E+17</v>
      </c>
      <c r="P329" s="13" t="s">
        <v>1092</v>
      </c>
      <c r="Q329" s="18">
        <v>3</v>
      </c>
      <c r="R329" s="18">
        <v>1</v>
      </c>
      <c r="S329" s="13">
        <v>8828132634</v>
      </c>
      <c r="T329" s="13" t="s">
        <v>978</v>
      </c>
      <c r="U329" s="19">
        <v>32542400</v>
      </c>
      <c r="V329" s="18">
        <v>1</v>
      </c>
      <c r="W329" s="18">
        <f>_xlfn.XLOOKUP(J329,'Master Data 14-9-2026'!C:C,'Master Data 14-9-2026'!L:L)</f>
        <v>0.5</v>
      </c>
      <c r="X329" s="23">
        <v>32542400</v>
      </c>
      <c r="Y329" s="13" t="s">
        <v>1496</v>
      </c>
      <c r="Z329" s="24" t="s">
        <v>15</v>
      </c>
      <c r="AB329" s="40" t="s">
        <v>44</v>
      </c>
      <c r="AC329" s="13" t="s">
        <v>965</v>
      </c>
      <c r="AD329" s="13"/>
      <c r="AE329" s="13" t="str">
        <f>_xlfn.XLOOKUP(L329,'[1]ID PROJECT'!E:E,'[1]ID PROJECT'!F:F)</f>
        <v xml:space="preserve">PRJ-KUT-KPU-TPED-2026-04-00071 </v>
      </c>
      <c r="AF329" s="13"/>
      <c r="AG329" s="13"/>
      <c r="AH329" s="65"/>
      <c r="AI329" s="27"/>
    </row>
    <row r="330" spans="1:35" hidden="1">
      <c r="A330" s="13" t="s">
        <v>797</v>
      </c>
      <c r="B330" s="13" t="str">
        <f>_xlfn.XLOOKUP(J330,'Master Data 14-9-2026'!C:C,'Master Data 14-9-2026'!D:D)</f>
        <v>Robby Awaludin wx1503642</v>
      </c>
      <c r="C330" s="13"/>
      <c r="D330" s="13" t="str">
        <f>_xlfn.XLOOKUP(J330,'Master Data 14-9-2026'!C:C,'Master Data 14-9-2026'!E:E)</f>
        <v>XLSMART-NWL</v>
      </c>
      <c r="E330" s="13"/>
      <c r="F330" s="13"/>
      <c r="G330" s="13" t="s">
        <v>18</v>
      </c>
      <c r="H330" s="13" t="str">
        <f>_xlfn.XLOOKUP(J330,'Master Data 14-9-2026'!C:C,'Master Data 14-9-2026'!H:H)</f>
        <v>2026-04-30 - 2026-05-29</v>
      </c>
      <c r="I330" s="13" t="str">
        <f t="shared" si="5"/>
        <v>April</v>
      </c>
      <c r="J330" s="13" t="s">
        <v>1505</v>
      </c>
      <c r="K330" s="13" t="s">
        <v>1505</v>
      </c>
      <c r="L330" s="13" t="s">
        <v>457</v>
      </c>
      <c r="M330" s="15">
        <v>200003154805020</v>
      </c>
      <c r="N330" s="13" t="s">
        <v>924</v>
      </c>
      <c r="O330" s="13">
        <v>1.0912026062400099E+17</v>
      </c>
      <c r="P330" s="13" t="s">
        <v>1092</v>
      </c>
      <c r="Q330" s="18">
        <v>5</v>
      </c>
      <c r="R330" s="18">
        <v>1</v>
      </c>
      <c r="S330" s="13">
        <v>8828132635</v>
      </c>
      <c r="T330" s="13" t="s">
        <v>926</v>
      </c>
      <c r="U330" s="19">
        <v>34220600</v>
      </c>
      <c r="V330" s="18">
        <v>1</v>
      </c>
      <c r="W330" s="18">
        <f>_xlfn.XLOOKUP(J330,'Master Data 14-9-2026'!C:C,'Master Data 14-9-2026'!L:L)</f>
        <v>0.71</v>
      </c>
      <c r="X330" s="23">
        <v>34220600</v>
      </c>
      <c r="Y330" s="13" t="s">
        <v>1496</v>
      </c>
      <c r="Z330" s="24" t="s">
        <v>15</v>
      </c>
      <c r="AA330" s="4" t="s">
        <v>934</v>
      </c>
      <c r="AB330" s="13"/>
      <c r="AC330" s="13"/>
      <c r="AD330" s="13" t="s">
        <v>935</v>
      </c>
      <c r="AE330" s="13" t="str">
        <f>_xlfn.XLOOKUP(L330,'[1]ID PROJECT'!E:E,'[1]ID PROJECT'!F:F)</f>
        <v>PRJ-KUT-KPU-TPED-2026-04-00076</v>
      </c>
      <c r="AF330" s="4" t="s">
        <v>1506</v>
      </c>
      <c r="AG330" s="13" t="s">
        <v>1507</v>
      </c>
      <c r="AH330" s="65">
        <v>46240</v>
      </c>
      <c r="AI330" s="27" t="s">
        <v>1175</v>
      </c>
    </row>
    <row r="331" spans="1:35" hidden="1">
      <c r="A331" s="13" t="s">
        <v>724</v>
      </c>
      <c r="B331" s="13" t="str">
        <f>_xlfn.XLOOKUP(J331,'Master Data 14-9-2026'!C:C,'Master Data 14-9-2026'!D:D)</f>
        <v>Anda Pribadi Sembada wx1503646</v>
      </c>
      <c r="C331" s="13"/>
      <c r="D331" s="13" t="str">
        <f>_xlfn.XLOOKUP(J331,'Master Data 14-9-2026'!C:C,'Master Data 14-9-2026'!E:E)</f>
        <v>XLSMART-NWL</v>
      </c>
      <c r="E331" s="13"/>
      <c r="F331" s="13"/>
      <c r="G331" s="13" t="s">
        <v>18</v>
      </c>
      <c r="H331" s="13" t="str">
        <f>_xlfn.XLOOKUP(J331,'Master Data 14-9-2026'!C:C,'Master Data 14-9-2026'!H:H)</f>
        <v>2026-04-30 - 2026-05-29</v>
      </c>
      <c r="I331" s="13" t="str">
        <f t="shared" si="5"/>
        <v>April</v>
      </c>
      <c r="J331" s="13" t="s">
        <v>1508</v>
      </c>
      <c r="K331" s="13" t="s">
        <v>1508</v>
      </c>
      <c r="L331" s="13" t="s">
        <v>520</v>
      </c>
      <c r="M331" s="15">
        <v>200003154806020</v>
      </c>
      <c r="N331" s="13" t="s">
        <v>924</v>
      </c>
      <c r="O331" s="13">
        <v>1.0912026062400099E+17</v>
      </c>
      <c r="P331" s="13" t="s">
        <v>1092</v>
      </c>
      <c r="Q331" s="18">
        <v>6</v>
      </c>
      <c r="R331" s="18">
        <v>1</v>
      </c>
      <c r="S331" s="13">
        <v>8828132635</v>
      </c>
      <c r="T331" s="13" t="s">
        <v>926</v>
      </c>
      <c r="U331" s="19">
        <v>34220600</v>
      </c>
      <c r="V331" s="18">
        <v>1</v>
      </c>
      <c r="W331" s="18">
        <f>_xlfn.XLOOKUP(J331,'Master Data 14-9-2026'!C:C,'Master Data 14-9-2026'!L:L)</f>
        <v>1.5</v>
      </c>
      <c r="X331" s="23">
        <v>34220600</v>
      </c>
      <c r="Y331" s="13" t="s">
        <v>1496</v>
      </c>
      <c r="Z331" s="24" t="s">
        <v>15</v>
      </c>
      <c r="AA331" s="4" t="s">
        <v>934</v>
      </c>
      <c r="AB331" s="13"/>
      <c r="AC331" s="13"/>
      <c r="AD331" s="13" t="s">
        <v>935</v>
      </c>
      <c r="AE331" s="13" t="str">
        <f>_xlfn.XLOOKUP(L331,'[1]ID PROJECT'!E:E,'[1]ID PROJECT'!F:F)</f>
        <v>PRJ-KUT-KPU-TPED-2026-04-00077</v>
      </c>
      <c r="AF331" s="4" t="s">
        <v>1506</v>
      </c>
      <c r="AG331" s="13" t="s">
        <v>1507</v>
      </c>
      <c r="AH331" s="65">
        <v>46240</v>
      </c>
      <c r="AI331" s="27" t="s">
        <v>1175</v>
      </c>
    </row>
    <row r="332" spans="1:35" hidden="1">
      <c r="A332" s="13" t="s">
        <v>601</v>
      </c>
      <c r="B332" s="13" t="str">
        <f>_xlfn.XLOOKUP(J332,'Master Data 14-9-2026'!C:C,'Master Data 14-9-2026'!D:D)</f>
        <v>Aktortifan Ridno Prabu Pratama wx1507287</v>
      </c>
      <c r="C332" s="13"/>
      <c r="D332" s="13" t="str">
        <f>_xlfn.XLOOKUP(J332,'Master Data 14-9-2026'!C:C,'Master Data 14-9-2026'!E:E)</f>
        <v>XLSMART-NWL</v>
      </c>
      <c r="E332" s="13"/>
      <c r="F332" s="13"/>
      <c r="G332" s="13" t="s">
        <v>18</v>
      </c>
      <c r="H332" s="13" t="str">
        <f>_xlfn.XLOOKUP(J332,'Master Data 14-9-2026'!C:C,'Master Data 14-9-2026'!H:H)</f>
        <v>2026-05-01 - 2026-05-31</v>
      </c>
      <c r="I332" s="13" t="str">
        <f t="shared" si="5"/>
        <v>May</v>
      </c>
      <c r="J332" s="13" t="s">
        <v>1509</v>
      </c>
      <c r="K332" s="13" t="s">
        <v>1509</v>
      </c>
      <c r="L332" s="13" t="s">
        <v>475</v>
      </c>
      <c r="M332" s="15">
        <v>200003154807020</v>
      </c>
      <c r="N332" s="13" t="s">
        <v>924</v>
      </c>
      <c r="O332" s="13">
        <v>1.0912026062400099E+17</v>
      </c>
      <c r="P332" s="13" t="s">
        <v>1092</v>
      </c>
      <c r="Q332" s="18">
        <v>7</v>
      </c>
      <c r="R332" s="18">
        <v>1</v>
      </c>
      <c r="S332" s="13">
        <v>8828132634</v>
      </c>
      <c r="T332" s="13" t="s">
        <v>978</v>
      </c>
      <c r="U332" s="19">
        <v>32542400</v>
      </c>
      <c r="V332" s="18">
        <v>1</v>
      </c>
      <c r="W332" s="18">
        <f>_xlfn.XLOOKUP(J332,'Master Data 14-9-2026'!C:C,'Master Data 14-9-2026'!L:L)</f>
        <v>0</v>
      </c>
      <c r="X332" s="23">
        <v>32542400</v>
      </c>
      <c r="Y332" s="13" t="s">
        <v>1496</v>
      </c>
      <c r="Z332" s="24" t="s">
        <v>15</v>
      </c>
      <c r="AA332" s="4" t="s">
        <v>934</v>
      </c>
      <c r="AB332" s="13"/>
      <c r="AC332" s="13"/>
      <c r="AD332" s="13" t="s">
        <v>935</v>
      </c>
      <c r="AE332" s="13" t="str">
        <f>_xlfn.XLOOKUP(L332,'[1]ID PROJECT'!E:E,'[1]ID PROJECT'!F:F)</f>
        <v>PRJ-KUT-KPU-TPED-2026-04-00074</v>
      </c>
      <c r="AF332" s="4" t="s">
        <v>1510</v>
      </c>
      <c r="AG332" s="13" t="s">
        <v>1511</v>
      </c>
      <c r="AH332" s="65">
        <v>46245</v>
      </c>
      <c r="AI332" s="27" t="s">
        <v>1175</v>
      </c>
    </row>
    <row r="333" spans="1:35" hidden="1">
      <c r="A333" s="13" t="s">
        <v>629</v>
      </c>
      <c r="B333" s="13" t="str">
        <f>_xlfn.XLOOKUP(J333,'Master Data 14-9-2026'!C:C,'Master Data 14-9-2026'!D:D)</f>
        <v>Ahmad Faqih wx1507096</v>
      </c>
      <c r="C333" s="13"/>
      <c r="D333" s="13" t="str">
        <f>_xlfn.XLOOKUP(J333,'Master Data 14-9-2026'!C:C,'Master Data 14-9-2026'!E:E)</f>
        <v>XLSMART</v>
      </c>
      <c r="E333" s="13" t="s">
        <v>1512</v>
      </c>
      <c r="F333" s="13"/>
      <c r="G333" s="13" t="s">
        <v>18</v>
      </c>
      <c r="H333" s="13" t="str">
        <f>_xlfn.XLOOKUP(J333,'Master Data 14-9-2026'!C:C,'Master Data 14-9-2026'!H:H)</f>
        <v>2026-05-01 - 2026-05-31</v>
      </c>
      <c r="I333" s="13" t="str">
        <f t="shared" si="5"/>
        <v>May</v>
      </c>
      <c r="J333" s="13" t="s">
        <v>1513</v>
      </c>
      <c r="K333" s="13" t="s">
        <v>1513</v>
      </c>
      <c r="L333" s="13" t="s">
        <v>441</v>
      </c>
      <c r="M333" s="15">
        <v>200003154808020</v>
      </c>
      <c r="N333" s="13" t="s">
        <v>924</v>
      </c>
      <c r="O333" s="13">
        <v>1.0912026062400099E+17</v>
      </c>
      <c r="P333" s="13" t="s">
        <v>1092</v>
      </c>
      <c r="Q333" s="18">
        <v>8</v>
      </c>
      <c r="R333" s="18">
        <v>1</v>
      </c>
      <c r="S333" s="13">
        <v>8828132634</v>
      </c>
      <c r="T333" s="13" t="s">
        <v>978</v>
      </c>
      <c r="U333" s="19">
        <v>32542400</v>
      </c>
      <c r="V333" s="18">
        <v>1</v>
      </c>
      <c r="W333" s="18">
        <f>_xlfn.XLOOKUP(J333,'Master Data 14-9-2026'!C:C,'Master Data 14-9-2026'!L:L)</f>
        <v>0</v>
      </c>
      <c r="X333" s="23">
        <v>32542400</v>
      </c>
      <c r="Y333" s="13" t="s">
        <v>1496</v>
      </c>
      <c r="Z333" s="24" t="s">
        <v>15</v>
      </c>
      <c r="AB333" s="13" t="s">
        <v>1514</v>
      </c>
      <c r="AC333" s="13" t="s">
        <v>1515</v>
      </c>
      <c r="AD333" s="13"/>
      <c r="AE333" s="13" t="str">
        <f>_xlfn.XLOOKUP(L333,'[1]ID PROJECT'!E:E,'[1]ID PROJECT'!F:F)</f>
        <v xml:space="preserve">PRJ-KUT-KPU-TPED-2026-04-00071 </v>
      </c>
      <c r="AF333" s="13"/>
      <c r="AG333" s="13"/>
      <c r="AH333" s="65"/>
      <c r="AI333" s="27"/>
    </row>
    <row r="334" spans="1:35" hidden="1">
      <c r="A334" s="13" t="s">
        <v>797</v>
      </c>
      <c r="B334" s="13" t="str">
        <f>_xlfn.XLOOKUP(J334,'Master Data 14-9-2026'!C:C,'Master Data 14-9-2026'!D:D)</f>
        <v>Robby Awaludin wx1503642</v>
      </c>
      <c r="C334" s="13"/>
      <c r="D334" s="13" t="str">
        <f>_xlfn.XLOOKUP(J334,'Master Data 14-9-2026'!C:C,'Master Data 14-9-2026'!E:E)</f>
        <v>XLSMART-NWL</v>
      </c>
      <c r="E334" s="13"/>
      <c r="F334" s="13"/>
      <c r="G334" s="13" t="s">
        <v>22</v>
      </c>
      <c r="H334" s="13" t="str">
        <f>_xlfn.XLOOKUP(J334,'Master Data 14-9-2026'!C:C,'Master Data 14-9-2026'!H:H)</f>
        <v>2026-05-30 - 2026-06-29</v>
      </c>
      <c r="I334" s="13" t="str">
        <f t="shared" si="5"/>
        <v>May</v>
      </c>
      <c r="J334" s="13" t="s">
        <v>1516</v>
      </c>
      <c r="K334" s="13" t="s">
        <v>1516</v>
      </c>
      <c r="L334" s="13" t="s">
        <v>457</v>
      </c>
      <c r="M334" s="15">
        <v>200003154812020</v>
      </c>
      <c r="N334" s="13" t="s">
        <v>924</v>
      </c>
      <c r="O334" s="13">
        <v>1.0912026062400099E+17</v>
      </c>
      <c r="P334" s="13" t="s">
        <v>1092</v>
      </c>
      <c r="Q334" s="18">
        <v>12</v>
      </c>
      <c r="R334" s="18">
        <v>1</v>
      </c>
      <c r="S334" s="13">
        <v>8828132635</v>
      </c>
      <c r="T334" s="13" t="s">
        <v>926</v>
      </c>
      <c r="U334" s="19">
        <v>34220600</v>
      </c>
      <c r="V334" s="18">
        <v>1</v>
      </c>
      <c r="W334" s="18">
        <f>_xlfn.XLOOKUP(J334,'Master Data 14-9-2026'!C:C,'Master Data 14-9-2026'!L:L)</f>
        <v>1</v>
      </c>
      <c r="X334" s="23">
        <v>34220600</v>
      </c>
      <c r="Y334" s="13" t="s">
        <v>1496</v>
      </c>
      <c r="Z334" s="24" t="str">
        <f>_xlfn.XLOOKUP(J334,'Master Data 14-9-2026'!C:C,'Master Data 14-9-2026'!I:I)</f>
        <v>Ended</v>
      </c>
      <c r="AA334" s="4" t="s">
        <v>934</v>
      </c>
      <c r="AB334" s="13"/>
      <c r="AC334" s="13"/>
      <c r="AD334" s="13" t="s">
        <v>935</v>
      </c>
      <c r="AE334" s="13" t="str">
        <f>_xlfn.XLOOKUP(L334,'[1]ID PROJECT'!E:E,'[1]ID PROJECT'!F:F)</f>
        <v>PRJ-KUT-KPU-TPED-2026-04-00076</v>
      </c>
      <c r="AF334" s="4" t="s">
        <v>1093</v>
      </c>
      <c r="AG334" s="13" t="s">
        <v>1094</v>
      </c>
      <c r="AH334" s="65">
        <v>46262</v>
      </c>
      <c r="AI334" s="27" t="s">
        <v>1095</v>
      </c>
    </row>
    <row r="335" spans="1:35" hidden="1">
      <c r="A335" s="13" t="s">
        <v>724</v>
      </c>
      <c r="B335" s="13" t="str">
        <f>_xlfn.XLOOKUP(J335,'Master Data 14-9-2026'!C:C,'Master Data 14-9-2026'!D:D)</f>
        <v>Anda Pribadi Sembada wx1503646</v>
      </c>
      <c r="C335" s="13"/>
      <c r="D335" s="13" t="str">
        <f>_xlfn.XLOOKUP(J335,'Master Data 14-9-2026'!C:C,'Master Data 14-9-2026'!E:E)</f>
        <v>XLSMART-NWL</v>
      </c>
      <c r="E335" s="13"/>
      <c r="F335" s="13"/>
      <c r="G335" s="13" t="s">
        <v>22</v>
      </c>
      <c r="H335" s="13" t="str">
        <f>_xlfn.XLOOKUP(J335,'Master Data 14-9-2026'!C:C,'Master Data 14-9-2026'!H:H)</f>
        <v>2026-05-30 - 2026-06-29</v>
      </c>
      <c r="I335" s="13" t="str">
        <f t="shared" si="5"/>
        <v>May</v>
      </c>
      <c r="J335" s="13" t="s">
        <v>1517</v>
      </c>
      <c r="K335" s="13" t="s">
        <v>1517</v>
      </c>
      <c r="L335" s="13" t="s">
        <v>520</v>
      </c>
      <c r="M335" s="15">
        <v>200003154813020</v>
      </c>
      <c r="N335" s="13" t="s">
        <v>924</v>
      </c>
      <c r="O335" s="13">
        <v>1.0912026062400099E+17</v>
      </c>
      <c r="P335" s="13" t="s">
        <v>1092</v>
      </c>
      <c r="Q335" s="18">
        <v>13</v>
      </c>
      <c r="R335" s="18">
        <v>1</v>
      </c>
      <c r="S335" s="13">
        <v>8828132635</v>
      </c>
      <c r="T335" s="13" t="s">
        <v>926</v>
      </c>
      <c r="U335" s="19">
        <v>34220600</v>
      </c>
      <c r="V335" s="18">
        <v>1</v>
      </c>
      <c r="W335" s="18">
        <f>_xlfn.XLOOKUP(J335,'Master Data 14-9-2026'!C:C,'Master Data 14-9-2026'!L:L)</f>
        <v>1.4</v>
      </c>
      <c r="X335" s="23">
        <v>34220600</v>
      </c>
      <c r="Y335" s="13" t="s">
        <v>1496</v>
      </c>
      <c r="Z335" s="24" t="s">
        <v>15</v>
      </c>
      <c r="AB335" s="13"/>
      <c r="AC335" s="13"/>
      <c r="AD335" s="13"/>
      <c r="AE335" s="13" t="str">
        <f>_xlfn.XLOOKUP(L335,'[1]ID PROJECT'!E:E,'[1]ID PROJECT'!F:F)</f>
        <v>PRJ-KUT-KPU-TPED-2026-04-00077</v>
      </c>
      <c r="AF335" s="13"/>
      <c r="AG335" s="13"/>
      <c r="AH335" s="65"/>
      <c r="AI335" s="27"/>
    </row>
    <row r="336" spans="1:35" hidden="1">
      <c r="A336" s="13" t="s">
        <v>601</v>
      </c>
      <c r="B336" s="13" t="str">
        <f>_xlfn.XLOOKUP(J336,'Master Data 14-9-2026'!C:C,'Master Data 14-9-2026'!D:D)</f>
        <v>Aktortifan Ridno Prabu Pratama wx1507287</v>
      </c>
      <c r="C336" s="13"/>
      <c r="D336" s="13" t="str">
        <f>_xlfn.XLOOKUP(J336,'Master Data 14-9-2026'!C:C,'Master Data 14-9-2026'!E:E)</f>
        <v>XLSMART-NWL</v>
      </c>
      <c r="E336" s="13"/>
      <c r="F336" s="13"/>
      <c r="G336" s="13" t="s">
        <v>22</v>
      </c>
      <c r="H336" s="13" t="str">
        <f>_xlfn.XLOOKUP(J336,'Master Data 14-9-2026'!C:C,'Master Data 14-9-2026'!H:H)</f>
        <v>2026-06-01 - 2026-06-30</v>
      </c>
      <c r="I336" s="13" t="str">
        <f t="shared" si="5"/>
        <v>June</v>
      </c>
      <c r="J336" s="13" t="s">
        <v>1518</v>
      </c>
      <c r="K336" s="13" t="s">
        <v>1518</v>
      </c>
      <c r="L336" s="13" t="s">
        <v>475</v>
      </c>
      <c r="M336" s="15">
        <v>200003154814020</v>
      </c>
      <c r="N336" s="13" t="s">
        <v>924</v>
      </c>
      <c r="O336" s="13">
        <v>1.0912026062400099E+17</v>
      </c>
      <c r="P336" s="13" t="s">
        <v>1092</v>
      </c>
      <c r="Q336" s="18">
        <v>14</v>
      </c>
      <c r="R336" s="18">
        <v>1</v>
      </c>
      <c r="S336" s="13">
        <v>8828132634</v>
      </c>
      <c r="T336" s="13" t="s">
        <v>978</v>
      </c>
      <c r="U336" s="19">
        <v>32542400</v>
      </c>
      <c r="V336" s="18">
        <v>1</v>
      </c>
      <c r="W336" s="18">
        <f>_xlfn.XLOOKUP(J336,'Master Data 14-9-2026'!C:C,'Master Data 14-9-2026'!L:L)</f>
        <v>0</v>
      </c>
      <c r="X336" s="23">
        <v>32542400</v>
      </c>
      <c r="Y336" s="13" t="s">
        <v>1496</v>
      </c>
      <c r="Z336" s="24" t="str">
        <f>_xlfn.XLOOKUP(J336,'Master Data 14-9-2026'!C:C,'Master Data 14-9-2026'!I:I)</f>
        <v>Ended</v>
      </c>
      <c r="AB336" s="13"/>
      <c r="AC336" s="13"/>
      <c r="AD336" s="13"/>
      <c r="AE336" s="13" t="str">
        <f>_xlfn.XLOOKUP(L336,'[1]ID PROJECT'!E:E,'[1]ID PROJECT'!F:F)</f>
        <v>PRJ-KUT-KPU-TPED-2026-04-00074</v>
      </c>
      <c r="AF336" s="13"/>
      <c r="AG336" s="13"/>
      <c r="AH336" s="65"/>
      <c r="AI336" s="27"/>
    </row>
    <row r="337" spans="1:35" hidden="1">
      <c r="A337" s="13" t="s">
        <v>629</v>
      </c>
      <c r="B337" s="13" t="str">
        <f>_xlfn.XLOOKUP(J337,'Master Data 14-9-2026'!C:C,'Master Data 14-9-2026'!D:D)</f>
        <v>Ahmad Faqih wx1507096</v>
      </c>
      <c r="C337" s="13"/>
      <c r="D337" s="13" t="str">
        <f>_xlfn.XLOOKUP(J337,'Master Data 14-9-2026'!C:C,'Master Data 14-9-2026'!E:E)</f>
        <v>XLSMART</v>
      </c>
      <c r="E337" s="13"/>
      <c r="F337" s="13"/>
      <c r="G337" s="13" t="s">
        <v>22</v>
      </c>
      <c r="H337" s="13" t="str">
        <f>_xlfn.XLOOKUP(J337,'Master Data 14-9-2026'!C:C,'Master Data 14-9-2026'!H:H)</f>
        <v>2026-06-01 - 2026-06-30</v>
      </c>
      <c r="I337" s="13" t="str">
        <f t="shared" si="5"/>
        <v>June</v>
      </c>
      <c r="J337" s="13" t="s">
        <v>1519</v>
      </c>
      <c r="K337" s="13" t="s">
        <v>1519</v>
      </c>
      <c r="L337" s="13" t="s">
        <v>441</v>
      </c>
      <c r="M337" s="15">
        <v>200003154815020</v>
      </c>
      <c r="N337" s="13" t="s">
        <v>924</v>
      </c>
      <c r="O337" s="13">
        <v>1.0912026062400099E+17</v>
      </c>
      <c r="P337" s="13" t="s">
        <v>1092</v>
      </c>
      <c r="Q337" s="18">
        <v>15</v>
      </c>
      <c r="R337" s="18">
        <v>1</v>
      </c>
      <c r="S337" s="13">
        <v>8828132634</v>
      </c>
      <c r="T337" s="13" t="s">
        <v>978</v>
      </c>
      <c r="U337" s="19">
        <v>32542400</v>
      </c>
      <c r="V337" s="18">
        <v>1</v>
      </c>
      <c r="W337" s="18">
        <f>_xlfn.XLOOKUP(J337,'Master Data 14-9-2026'!C:C,'Master Data 14-9-2026'!L:L)</f>
        <v>0</v>
      </c>
      <c r="X337" s="23">
        <v>32542400</v>
      </c>
      <c r="Y337" s="13" t="s">
        <v>1496</v>
      </c>
      <c r="Z337" s="24" t="str">
        <f>_xlfn.XLOOKUP(J337,'Master Data 14-9-2026'!C:C,'Master Data 14-9-2026'!I:I)</f>
        <v>Ended</v>
      </c>
      <c r="AB337" s="13"/>
      <c r="AC337" s="13"/>
      <c r="AD337" s="13"/>
      <c r="AE337" s="13" t="str">
        <f>_xlfn.XLOOKUP(L337,'[1]ID PROJECT'!E:E,'[1]ID PROJECT'!F:F)</f>
        <v xml:space="preserve">PRJ-KUT-KPU-TPED-2026-04-00071 </v>
      </c>
      <c r="AF337" s="13"/>
      <c r="AG337" s="13"/>
      <c r="AH337" s="65"/>
      <c r="AI337" s="27"/>
    </row>
    <row r="338" spans="1:35" hidden="1">
      <c r="A338" s="13" t="s">
        <v>797</v>
      </c>
      <c r="B338" s="13" t="str">
        <f>_xlfn.XLOOKUP(J338,'Master Data 14-9-2026'!C:C,'Master Data 14-9-2026'!D:D)</f>
        <v>Robby Awaludin wx1503642</v>
      </c>
      <c r="C338" s="13"/>
      <c r="D338" s="13" t="str">
        <f>_xlfn.XLOOKUP(J338,'Master Data 14-9-2026'!C:C,'Master Data 14-9-2026'!E:E)</f>
        <v>XLSMART-NWL</v>
      </c>
      <c r="E338" s="13"/>
      <c r="F338" s="13"/>
      <c r="G338" s="13" t="s">
        <v>25</v>
      </c>
      <c r="H338" s="13" t="str">
        <f>_xlfn.XLOOKUP(J338,'Master Data 14-9-2026'!C:C,'Master Data 14-9-2026'!H:H)</f>
        <v>2026-06-30 - 2026-07-29</v>
      </c>
      <c r="I338" s="13" t="str">
        <f t="shared" si="5"/>
        <v>June</v>
      </c>
      <c r="J338" s="13" t="s">
        <v>1520</v>
      </c>
      <c r="K338" s="13" t="s">
        <v>1520</v>
      </c>
      <c r="L338" s="13" t="s">
        <v>457</v>
      </c>
      <c r="M338" s="15">
        <v>200003154819020</v>
      </c>
      <c r="N338" s="13" t="s">
        <v>924</v>
      </c>
      <c r="O338" s="13">
        <v>1.0912026062400099E+17</v>
      </c>
      <c r="P338" s="13" t="s">
        <v>1092</v>
      </c>
      <c r="Q338" s="18">
        <v>19</v>
      </c>
      <c r="R338" s="18">
        <v>1</v>
      </c>
      <c r="S338" s="13">
        <v>8828132635</v>
      </c>
      <c r="T338" s="13" t="s">
        <v>926</v>
      </c>
      <c r="U338" s="19">
        <v>34220600</v>
      </c>
      <c r="V338" s="18">
        <v>1</v>
      </c>
      <c r="W338" s="18">
        <f>_xlfn.XLOOKUP(J338,'Master Data 14-9-2026'!C:C,'Master Data 14-9-2026'!L:L)</f>
        <v>1.5</v>
      </c>
      <c r="X338" s="23">
        <v>34220600</v>
      </c>
      <c r="Y338" s="13" t="s">
        <v>1496</v>
      </c>
      <c r="Z338" s="24" t="str">
        <f>_xlfn.XLOOKUP(J338,'Master Data 14-9-2026'!C:C,'Master Data 14-9-2026'!I:I)</f>
        <v>Ended</v>
      </c>
      <c r="AB338" s="13"/>
      <c r="AC338" s="13"/>
      <c r="AD338" s="13"/>
      <c r="AE338" s="13" t="str">
        <f>_xlfn.XLOOKUP(L338,'[1]ID PROJECT'!E:E,'[1]ID PROJECT'!F:F)</f>
        <v>PRJ-KUT-KPU-TPED-2026-04-00076</v>
      </c>
      <c r="AF338" s="13"/>
      <c r="AG338" s="13"/>
      <c r="AH338" s="65"/>
      <c r="AI338" s="27"/>
    </row>
    <row r="339" spans="1:35" hidden="1">
      <c r="A339" s="13" t="s">
        <v>724</v>
      </c>
      <c r="B339" s="13" t="str">
        <f>_xlfn.XLOOKUP(J339,'Master Data 14-9-2026'!C:C,'Master Data 14-9-2026'!D:D)</f>
        <v>Anda Pribadi Sembada wx1503646</v>
      </c>
      <c r="C339" s="13"/>
      <c r="D339" s="13" t="str">
        <f>_xlfn.XLOOKUP(J339,'Master Data 14-9-2026'!C:C,'Master Data 14-9-2026'!E:E)</f>
        <v>XLSMART-NWL</v>
      </c>
      <c r="E339" s="13"/>
      <c r="F339" s="13"/>
      <c r="G339" s="13" t="s">
        <v>25</v>
      </c>
      <c r="H339" s="13" t="str">
        <f>_xlfn.XLOOKUP(J339,'Master Data 14-9-2026'!C:C,'Master Data 14-9-2026'!H:H)</f>
        <v>2026-06-30 - 2026-07-29</v>
      </c>
      <c r="I339" s="13" t="str">
        <f t="shared" si="5"/>
        <v>June</v>
      </c>
      <c r="J339" s="13" t="s">
        <v>1521</v>
      </c>
      <c r="K339" s="13" t="s">
        <v>1521</v>
      </c>
      <c r="L339" s="13" t="s">
        <v>520</v>
      </c>
      <c r="M339" s="15">
        <v>200003154820020</v>
      </c>
      <c r="N339" s="13" t="s">
        <v>924</v>
      </c>
      <c r="O339" s="13">
        <v>1.0912026062400099E+17</v>
      </c>
      <c r="P339" s="13" t="s">
        <v>1092</v>
      </c>
      <c r="Q339" s="18">
        <v>20</v>
      </c>
      <c r="R339" s="18">
        <v>1</v>
      </c>
      <c r="S339" s="13">
        <v>8828132635</v>
      </c>
      <c r="T339" s="13" t="s">
        <v>926</v>
      </c>
      <c r="U339" s="19">
        <v>34220600</v>
      </c>
      <c r="V339" s="18">
        <v>1</v>
      </c>
      <c r="W339" s="18">
        <f>_xlfn.XLOOKUP(J339,'Master Data 14-9-2026'!C:C,'Master Data 14-9-2026'!L:L)</f>
        <v>1.5</v>
      </c>
      <c r="X339" s="23">
        <v>34220600</v>
      </c>
      <c r="Y339" s="13" t="s">
        <v>1496</v>
      </c>
      <c r="Z339" s="24" t="str">
        <f>_xlfn.XLOOKUP(J339,'Master Data 14-9-2026'!C:C,'Master Data 14-9-2026'!I:I)</f>
        <v>Ended</v>
      </c>
      <c r="AB339" s="13"/>
      <c r="AC339" s="13"/>
      <c r="AD339" s="13"/>
      <c r="AE339" s="13" t="str">
        <f>_xlfn.XLOOKUP(L339,'[1]ID PROJECT'!E:E,'[1]ID PROJECT'!F:F)</f>
        <v>PRJ-KUT-KPU-TPED-2026-04-00077</v>
      </c>
      <c r="AF339" s="13"/>
      <c r="AG339" s="13"/>
      <c r="AH339" s="65"/>
      <c r="AI339" s="27"/>
    </row>
    <row r="340" spans="1:35" hidden="1">
      <c r="A340" s="13" t="s">
        <v>601</v>
      </c>
      <c r="B340" s="13" t="str">
        <f>_xlfn.XLOOKUP(J340,'Master Data 14-9-2026'!C:C,'Master Data 14-9-2026'!D:D)</f>
        <v>Aktortifan Ridno Prabu Pratama wx1507287</v>
      </c>
      <c r="C340" s="13"/>
      <c r="D340" s="13" t="str">
        <f>_xlfn.XLOOKUP(J340,'Master Data 14-9-2026'!C:C,'Master Data 14-9-2026'!E:E)</f>
        <v>XLSMART-NWL</v>
      </c>
      <c r="E340" s="13"/>
      <c r="F340" s="13"/>
      <c r="G340" s="13" t="s">
        <v>25</v>
      </c>
      <c r="H340" s="13" t="str">
        <f>_xlfn.XLOOKUP(J340,'Master Data 14-9-2026'!C:C,'Master Data 14-9-2026'!H:H)</f>
        <v>2026-07-01 - 2026-07-31</v>
      </c>
      <c r="I340" s="13" t="str">
        <f t="shared" si="5"/>
        <v>July</v>
      </c>
      <c r="J340" s="13" t="s">
        <v>1522</v>
      </c>
      <c r="K340" s="13" t="s">
        <v>1522</v>
      </c>
      <c r="L340" s="13" t="s">
        <v>475</v>
      </c>
      <c r="M340" s="15">
        <v>200003154821020</v>
      </c>
      <c r="N340" s="13" t="s">
        <v>924</v>
      </c>
      <c r="O340" s="13">
        <v>1.0912026062400099E+17</v>
      </c>
      <c r="P340" s="13" t="s">
        <v>1092</v>
      </c>
      <c r="Q340" s="18">
        <v>21</v>
      </c>
      <c r="R340" s="18">
        <v>1</v>
      </c>
      <c r="S340" s="13">
        <v>8828132634</v>
      </c>
      <c r="T340" s="13" t="s">
        <v>978</v>
      </c>
      <c r="U340" s="19">
        <v>32542400</v>
      </c>
      <c r="V340" s="18">
        <v>1</v>
      </c>
      <c r="W340" s="18">
        <f>_xlfn.XLOOKUP(J340,'Master Data 14-9-2026'!C:C,'Master Data 14-9-2026'!L:L)</f>
        <v>0</v>
      </c>
      <c r="X340" s="23">
        <v>32542400</v>
      </c>
      <c r="Y340" s="13" t="s">
        <v>1496</v>
      </c>
      <c r="Z340" s="24" t="s">
        <v>15</v>
      </c>
      <c r="AB340" s="13"/>
      <c r="AC340" s="13"/>
      <c r="AD340" s="13"/>
      <c r="AE340" s="13" t="str">
        <f>_xlfn.XLOOKUP(L340,'[1]ID PROJECT'!E:E,'[1]ID PROJECT'!F:F)</f>
        <v>PRJ-KUT-KPU-TPED-2026-04-00074</v>
      </c>
      <c r="AF340" s="13"/>
      <c r="AG340" s="13"/>
      <c r="AH340" s="65"/>
      <c r="AI340" s="27"/>
    </row>
    <row r="341" spans="1:35" hidden="1">
      <c r="A341" s="13" t="s">
        <v>629</v>
      </c>
      <c r="B341" s="13" t="str">
        <f>_xlfn.XLOOKUP(J341,'Master Data 14-9-2026'!C:C,'Master Data 14-9-2026'!D:D)</f>
        <v>Ahmad Faqih wx1507096</v>
      </c>
      <c r="C341" s="13"/>
      <c r="D341" s="13" t="str">
        <f>_xlfn.XLOOKUP(J341,'Master Data 14-9-2026'!C:C,'Master Data 14-9-2026'!E:E)</f>
        <v>XLSMART</v>
      </c>
      <c r="E341" s="13"/>
      <c r="F341" s="13"/>
      <c r="G341" s="13" t="s">
        <v>25</v>
      </c>
      <c r="H341" s="13" t="str">
        <f>_xlfn.XLOOKUP(J341,'Master Data 14-9-2026'!C:C,'Master Data 14-9-2026'!H:H)</f>
        <v>2026-07-01 - 2026-07-31</v>
      </c>
      <c r="I341" s="13" t="str">
        <f t="shared" si="5"/>
        <v>July</v>
      </c>
      <c r="J341" s="13" t="s">
        <v>1523</v>
      </c>
      <c r="K341" s="13" t="s">
        <v>1523</v>
      </c>
      <c r="L341" s="13" t="s">
        <v>441</v>
      </c>
      <c r="M341" s="15">
        <v>200003154822020</v>
      </c>
      <c r="N341" s="13" t="s">
        <v>924</v>
      </c>
      <c r="O341" s="13">
        <v>1.0912026062400099E+17</v>
      </c>
      <c r="P341" s="13" t="s">
        <v>1092</v>
      </c>
      <c r="Q341" s="18">
        <v>22</v>
      </c>
      <c r="R341" s="18">
        <v>1</v>
      </c>
      <c r="S341" s="13">
        <v>8828132634</v>
      </c>
      <c r="T341" s="13" t="s">
        <v>978</v>
      </c>
      <c r="U341" s="19">
        <v>32542400</v>
      </c>
      <c r="V341" s="18">
        <v>1</v>
      </c>
      <c r="W341" s="18">
        <f>_xlfn.XLOOKUP(J341,'Master Data 14-9-2026'!C:C,'Master Data 14-9-2026'!L:L)</f>
        <v>0</v>
      </c>
      <c r="X341" s="23">
        <v>32542400</v>
      </c>
      <c r="Y341" s="13" t="s">
        <v>1496</v>
      </c>
      <c r="Z341" s="24" t="s">
        <v>15</v>
      </c>
      <c r="AB341" s="13"/>
      <c r="AC341" s="13"/>
      <c r="AD341" s="13"/>
      <c r="AE341" s="13" t="str">
        <f>_xlfn.XLOOKUP(L341,'[1]ID PROJECT'!E:E,'[1]ID PROJECT'!F:F)</f>
        <v xml:space="preserve">PRJ-KUT-KPU-TPED-2026-04-00071 </v>
      </c>
      <c r="AF341" s="13"/>
      <c r="AG341" s="13"/>
      <c r="AH341" s="65"/>
      <c r="AI341" s="27"/>
    </row>
    <row r="342" spans="1:35" hidden="1">
      <c r="A342" s="13" t="s">
        <v>797</v>
      </c>
      <c r="B342" s="13" t="str">
        <f>_xlfn.XLOOKUP(J342,'Master Data 14-9-2026'!C:C,'Master Data 14-9-2026'!D:D)</f>
        <v>Robby Awaludin wx1503642</v>
      </c>
      <c r="C342" s="13"/>
      <c r="D342" s="13" t="str">
        <f>_xlfn.XLOOKUP(J342,'Master Data 14-9-2026'!C:C,'Master Data 14-9-2026'!E:E)</f>
        <v>XLSMART-NWL</v>
      </c>
      <c r="E342" s="13"/>
      <c r="F342" s="13"/>
      <c r="G342" s="13" t="s">
        <v>28</v>
      </c>
      <c r="H342" s="13" t="str">
        <f>_xlfn.XLOOKUP(J342,'Master Data 14-9-2026'!C:C,'Master Data 14-9-2026'!H:H)</f>
        <v>2026-07-30 - 2026-08-29</v>
      </c>
      <c r="I342" s="13" t="str">
        <f t="shared" si="5"/>
        <v>July</v>
      </c>
      <c r="J342" s="13" t="s">
        <v>1524</v>
      </c>
      <c r="K342" s="13" t="s">
        <v>1524</v>
      </c>
      <c r="L342" s="13" t="s">
        <v>457</v>
      </c>
      <c r="M342" s="15">
        <v>200003154826020</v>
      </c>
      <c r="N342" s="13" t="s">
        <v>924</v>
      </c>
      <c r="O342" s="13">
        <v>1.0912026062400099E+17</v>
      </c>
      <c r="P342" s="13" t="s">
        <v>1092</v>
      </c>
      <c r="Q342" s="18">
        <v>26</v>
      </c>
      <c r="R342" s="18">
        <v>1</v>
      </c>
      <c r="S342" s="13">
        <v>8828132635</v>
      </c>
      <c r="T342" s="13" t="s">
        <v>926</v>
      </c>
      <c r="U342" s="19">
        <v>34220600</v>
      </c>
      <c r="V342" s="18">
        <v>1</v>
      </c>
      <c r="W342" s="18">
        <f>_xlfn.XLOOKUP(J342,'Master Data 14-9-2026'!C:C,'Master Data 14-9-2026'!L:L)</f>
        <v>1.5</v>
      </c>
      <c r="X342" s="23">
        <v>34220600</v>
      </c>
      <c r="Y342" s="13" t="s">
        <v>1496</v>
      </c>
      <c r="Z342" s="24" t="s">
        <v>15</v>
      </c>
      <c r="AB342" s="13"/>
      <c r="AC342" s="13"/>
      <c r="AD342" s="13"/>
      <c r="AE342" s="13" t="str">
        <f>_xlfn.XLOOKUP(L342,'[1]ID PROJECT'!E:E,'[1]ID PROJECT'!F:F)</f>
        <v>PRJ-KUT-KPU-TPED-2026-04-00076</v>
      </c>
      <c r="AF342" s="13"/>
      <c r="AG342" s="13"/>
      <c r="AH342" s="65"/>
      <c r="AI342" s="27"/>
    </row>
    <row r="343" spans="1:35" hidden="1">
      <c r="A343" s="13" t="s">
        <v>724</v>
      </c>
      <c r="B343" s="13" t="str">
        <f>_xlfn.XLOOKUP(J343,'Master Data 14-9-2026'!C:C,'Master Data 14-9-2026'!D:D)</f>
        <v>Anda Pribadi Sembada wx1503646</v>
      </c>
      <c r="C343" s="13"/>
      <c r="D343" s="13" t="str">
        <f>_xlfn.XLOOKUP(J343,'Master Data 14-9-2026'!C:C,'Master Data 14-9-2026'!E:E)</f>
        <v>XLSMART-NWL</v>
      </c>
      <c r="E343" s="13"/>
      <c r="F343" s="13"/>
      <c r="G343" s="13" t="s">
        <v>28</v>
      </c>
      <c r="H343" s="13" t="str">
        <f>_xlfn.XLOOKUP(J343,'Master Data 14-9-2026'!C:C,'Master Data 14-9-2026'!H:H)</f>
        <v>2026-07-30 - 2026-08-29</v>
      </c>
      <c r="I343" s="13" t="str">
        <f t="shared" si="5"/>
        <v>July</v>
      </c>
      <c r="J343" s="13" t="s">
        <v>1525</v>
      </c>
      <c r="K343" s="13" t="s">
        <v>1525</v>
      </c>
      <c r="L343" s="13" t="s">
        <v>520</v>
      </c>
      <c r="M343" s="15">
        <v>200003154827020</v>
      </c>
      <c r="N343" s="13" t="s">
        <v>924</v>
      </c>
      <c r="O343" s="13">
        <v>1.0912026062400099E+17</v>
      </c>
      <c r="P343" s="13" t="s">
        <v>1092</v>
      </c>
      <c r="Q343" s="18">
        <v>27</v>
      </c>
      <c r="R343" s="18">
        <v>1</v>
      </c>
      <c r="S343" s="13">
        <v>8828132635</v>
      </c>
      <c r="T343" s="13" t="s">
        <v>926</v>
      </c>
      <c r="U343" s="19">
        <v>34220600</v>
      </c>
      <c r="V343" s="18">
        <v>1</v>
      </c>
      <c r="W343" s="18">
        <f>_xlfn.XLOOKUP(J343,'Master Data 14-9-2026'!C:C,'Master Data 14-9-2026'!L:L)</f>
        <v>1.5</v>
      </c>
      <c r="X343" s="23">
        <v>34220600</v>
      </c>
      <c r="Y343" s="13" t="s">
        <v>1496</v>
      </c>
      <c r="Z343" s="24" t="s">
        <v>15</v>
      </c>
      <c r="AB343" s="13"/>
      <c r="AC343" s="13"/>
      <c r="AD343" s="13"/>
      <c r="AE343" s="13" t="str">
        <f>_xlfn.XLOOKUP(L343,'[1]ID PROJECT'!E:E,'[1]ID PROJECT'!F:F)</f>
        <v>PRJ-KUT-KPU-TPED-2026-04-00077</v>
      </c>
      <c r="AF343" s="13"/>
      <c r="AG343" s="13"/>
      <c r="AH343" s="65"/>
      <c r="AI343" s="27"/>
    </row>
    <row r="344" spans="1:35" hidden="1">
      <c r="A344" s="13" t="s">
        <v>601</v>
      </c>
      <c r="B344" s="13" t="str">
        <f>_xlfn.XLOOKUP(J344,'Master Data 14-9-2026'!C:C,'Master Data 14-9-2026'!D:D)</f>
        <v>Aktortifan Ridno Prabu Pratama wx1507287</v>
      </c>
      <c r="C344" s="13"/>
      <c r="D344" s="13" t="str">
        <f>_xlfn.XLOOKUP(J344,'Master Data 14-9-2026'!C:C,'Master Data 14-9-2026'!E:E)</f>
        <v>XLSMART-NWL</v>
      </c>
      <c r="E344" s="13"/>
      <c r="F344" s="13"/>
      <c r="G344" s="13" t="s">
        <v>28</v>
      </c>
      <c r="H344" s="13" t="str">
        <f>_xlfn.XLOOKUP(J344,'Master Data 14-9-2026'!C:C,'Master Data 14-9-2026'!H:H)</f>
        <v>2026-08-01 - 2026-08-31</v>
      </c>
      <c r="I344" s="13" t="str">
        <f t="shared" si="5"/>
        <v>August</v>
      </c>
      <c r="J344" s="13" t="s">
        <v>1526</v>
      </c>
      <c r="K344" s="13" t="s">
        <v>1526</v>
      </c>
      <c r="L344" s="13" t="s">
        <v>475</v>
      </c>
      <c r="M344" s="15">
        <v>200003154828020</v>
      </c>
      <c r="N344" s="13" t="s">
        <v>924</v>
      </c>
      <c r="O344" s="13">
        <v>1.0912026062400099E+17</v>
      </c>
      <c r="P344" s="13" t="s">
        <v>1092</v>
      </c>
      <c r="Q344" s="18">
        <v>28</v>
      </c>
      <c r="R344" s="18">
        <v>1</v>
      </c>
      <c r="S344" s="13">
        <v>8828132634</v>
      </c>
      <c r="T344" s="13" t="s">
        <v>978</v>
      </c>
      <c r="U344" s="19">
        <v>32542400</v>
      </c>
      <c r="V344" s="18">
        <v>1</v>
      </c>
      <c r="W344" s="18">
        <f>_xlfn.XLOOKUP(J344,'Master Data 14-9-2026'!C:C,'Master Data 14-9-2026'!L:L)</f>
        <v>0</v>
      </c>
      <c r="X344" s="23">
        <v>32542400</v>
      </c>
      <c r="Y344" s="13" t="s">
        <v>1496</v>
      </c>
      <c r="Z344" s="24" t="s">
        <v>15</v>
      </c>
      <c r="AB344" s="13"/>
      <c r="AC344" s="13"/>
      <c r="AD344" s="13"/>
      <c r="AE344" s="13" t="str">
        <f>_xlfn.XLOOKUP(L344,'[1]ID PROJECT'!E:E,'[1]ID PROJECT'!F:F)</f>
        <v>PRJ-KUT-KPU-TPED-2026-04-00074</v>
      </c>
      <c r="AF344" s="13"/>
      <c r="AG344" s="13"/>
      <c r="AH344" s="65"/>
      <c r="AI344" s="27"/>
    </row>
    <row r="345" spans="1:35" hidden="1">
      <c r="A345" s="13" t="s">
        <v>629</v>
      </c>
      <c r="B345" s="13" t="str">
        <f>_xlfn.XLOOKUP(J345,'Master Data 14-9-2026'!C:C,'Master Data 14-9-2026'!D:D)</f>
        <v>Ahmad Faqih wx1507096</v>
      </c>
      <c r="C345" s="13"/>
      <c r="D345" s="13" t="str">
        <f>_xlfn.XLOOKUP(J345,'Master Data 14-9-2026'!C:C,'Master Data 14-9-2026'!E:E)</f>
        <v>XLSMART</v>
      </c>
      <c r="E345" s="13"/>
      <c r="F345" s="13"/>
      <c r="G345" s="13" t="s">
        <v>28</v>
      </c>
      <c r="H345" s="13" t="str">
        <f>_xlfn.XLOOKUP(J345,'Master Data 14-9-2026'!C:C,'Master Data 14-9-2026'!H:H)</f>
        <v>2026-08-01 - 2026-08-31</v>
      </c>
      <c r="I345" s="13" t="str">
        <f t="shared" si="5"/>
        <v>August</v>
      </c>
      <c r="J345" s="13" t="s">
        <v>1527</v>
      </c>
      <c r="K345" s="13" t="s">
        <v>1527</v>
      </c>
      <c r="L345" s="13" t="s">
        <v>441</v>
      </c>
      <c r="M345" s="15">
        <v>200003154829020</v>
      </c>
      <c r="N345" s="13" t="s">
        <v>924</v>
      </c>
      <c r="O345" s="13">
        <v>1.0912026062400099E+17</v>
      </c>
      <c r="P345" s="13" t="s">
        <v>1092</v>
      </c>
      <c r="Q345" s="18">
        <v>29</v>
      </c>
      <c r="R345" s="18">
        <v>1</v>
      </c>
      <c r="S345" s="13">
        <v>8828132634</v>
      </c>
      <c r="T345" s="13" t="s">
        <v>978</v>
      </c>
      <c r="U345" s="19">
        <v>32542400</v>
      </c>
      <c r="V345" s="18">
        <v>1</v>
      </c>
      <c r="W345" s="18">
        <f>_xlfn.XLOOKUP(J345,'Master Data 14-9-2026'!C:C,'Master Data 14-9-2026'!L:L)</f>
        <v>0</v>
      </c>
      <c r="X345" s="23">
        <v>32542400</v>
      </c>
      <c r="Y345" s="13" t="s">
        <v>1496</v>
      </c>
      <c r="Z345" s="24" t="s">
        <v>15</v>
      </c>
      <c r="AB345" s="13"/>
      <c r="AC345" s="13"/>
      <c r="AD345" s="13"/>
      <c r="AE345" s="13" t="str">
        <f>_xlfn.XLOOKUP(L345,'[1]ID PROJECT'!E:E,'[1]ID PROJECT'!F:F)</f>
        <v xml:space="preserve">PRJ-KUT-KPU-TPED-2026-04-00071 </v>
      </c>
      <c r="AF345" s="13"/>
      <c r="AG345" s="13"/>
      <c r="AH345" s="65"/>
      <c r="AI345" s="27"/>
    </row>
    <row r="346" spans="1:35" hidden="1">
      <c r="A346" s="13" t="s">
        <v>797</v>
      </c>
      <c r="B346" s="13" t="str">
        <f>_xlfn.XLOOKUP(J346,'Master Data 14-9-2026'!C:C,'Master Data 14-9-2026'!D:D)</f>
        <v>Robby Awaludin wx1503642</v>
      </c>
      <c r="C346" s="13"/>
      <c r="D346" s="13" t="str">
        <f>_xlfn.XLOOKUP(J346,'Master Data 14-9-2026'!C:C,'Master Data 14-9-2026'!E:E)</f>
        <v>XLSMART-NWL</v>
      </c>
      <c r="E346" s="13"/>
      <c r="F346" s="13"/>
      <c r="G346" s="13" t="s">
        <v>31</v>
      </c>
      <c r="H346" s="13" t="str">
        <f>_xlfn.XLOOKUP(J346,'Master Data 14-9-2026'!C:C,'Master Data 14-9-2026'!H:H)</f>
        <v>2026-08-30 - 2026-09-29</v>
      </c>
      <c r="I346" s="13" t="str">
        <f t="shared" si="5"/>
        <v>August</v>
      </c>
      <c r="J346" s="13" t="s">
        <v>1528</v>
      </c>
      <c r="K346" s="13" t="s">
        <v>1528</v>
      </c>
      <c r="L346" s="13" t="s">
        <v>457</v>
      </c>
      <c r="M346" s="15">
        <v>200003154833020</v>
      </c>
      <c r="N346" s="13" t="s">
        <v>924</v>
      </c>
      <c r="O346" s="13">
        <v>1.0912026062400099E+17</v>
      </c>
      <c r="P346" s="13" t="s">
        <v>1092</v>
      </c>
      <c r="Q346" s="18">
        <v>33</v>
      </c>
      <c r="R346" s="18">
        <v>1</v>
      </c>
      <c r="S346" s="13">
        <v>8828132635</v>
      </c>
      <c r="T346" s="13" t="s">
        <v>926</v>
      </c>
      <c r="U346" s="19">
        <v>34220600</v>
      </c>
      <c r="V346" s="18">
        <v>1</v>
      </c>
      <c r="W346" s="18">
        <f>_xlfn.XLOOKUP(J346,'Master Data 14-9-2026'!C:C,'Master Data 14-9-2026'!L:L)</f>
        <v>0</v>
      </c>
      <c r="X346" s="23">
        <v>34220600</v>
      </c>
      <c r="Y346" s="13" t="s">
        <v>1496</v>
      </c>
      <c r="Z346" s="24" t="s">
        <v>15</v>
      </c>
      <c r="AB346" s="13"/>
      <c r="AC346" s="13"/>
      <c r="AD346" s="13"/>
      <c r="AE346" s="13" t="str">
        <f>_xlfn.XLOOKUP(L346,'[1]ID PROJECT'!E:E,'[1]ID PROJECT'!F:F)</f>
        <v>PRJ-KUT-KPU-TPED-2026-04-00076</v>
      </c>
      <c r="AF346" s="13"/>
      <c r="AG346" s="13"/>
      <c r="AH346" s="65"/>
      <c r="AI346" s="27"/>
    </row>
    <row r="347" spans="1:35" hidden="1">
      <c r="A347" s="13" t="s">
        <v>724</v>
      </c>
      <c r="B347" s="13" t="str">
        <f>_xlfn.XLOOKUP(J347,'Master Data 14-9-2026'!C:C,'Master Data 14-9-2026'!D:D)</f>
        <v>Anda Pribadi Sembada wx1503646</v>
      </c>
      <c r="C347" s="13"/>
      <c r="D347" s="13" t="str">
        <f>_xlfn.XLOOKUP(J347,'Master Data 14-9-2026'!C:C,'Master Data 14-9-2026'!E:E)</f>
        <v>XLSMART-NWL</v>
      </c>
      <c r="E347" s="13"/>
      <c r="F347" s="13"/>
      <c r="G347" s="13" t="s">
        <v>31</v>
      </c>
      <c r="H347" s="13" t="str">
        <f>_xlfn.XLOOKUP(J347,'Master Data 14-9-2026'!C:C,'Master Data 14-9-2026'!H:H)</f>
        <v>2026-08-30 - 2026-09-29</v>
      </c>
      <c r="I347" s="13" t="str">
        <f t="shared" si="5"/>
        <v>August</v>
      </c>
      <c r="J347" s="13" t="s">
        <v>1529</v>
      </c>
      <c r="K347" s="13" t="s">
        <v>1529</v>
      </c>
      <c r="L347" s="13" t="s">
        <v>520</v>
      </c>
      <c r="M347" s="15">
        <v>200003154834020</v>
      </c>
      <c r="N347" s="13" t="s">
        <v>924</v>
      </c>
      <c r="O347" s="13">
        <v>1.0912026062400099E+17</v>
      </c>
      <c r="P347" s="13" t="s">
        <v>1092</v>
      </c>
      <c r="Q347" s="18">
        <v>34</v>
      </c>
      <c r="R347" s="18">
        <v>1</v>
      </c>
      <c r="S347" s="13">
        <v>8828132635</v>
      </c>
      <c r="T347" s="13" t="s">
        <v>926</v>
      </c>
      <c r="U347" s="19">
        <v>34220600</v>
      </c>
      <c r="V347" s="18">
        <v>1</v>
      </c>
      <c r="W347" s="18">
        <f>_xlfn.XLOOKUP(J347,'Master Data 14-9-2026'!C:C,'Master Data 14-9-2026'!L:L)</f>
        <v>0</v>
      </c>
      <c r="X347" s="23">
        <v>34220600</v>
      </c>
      <c r="Y347" s="13" t="s">
        <v>1496</v>
      </c>
      <c r="Z347" s="24" t="s">
        <v>15</v>
      </c>
      <c r="AB347" s="13"/>
      <c r="AC347" s="13"/>
      <c r="AD347" s="13"/>
      <c r="AE347" s="13" t="str">
        <f>_xlfn.XLOOKUP(L347,'[1]ID PROJECT'!E:E,'[1]ID PROJECT'!F:F)</f>
        <v>PRJ-KUT-KPU-TPED-2026-04-00077</v>
      </c>
      <c r="AF347" s="13"/>
      <c r="AG347" s="13"/>
      <c r="AH347" s="65"/>
      <c r="AI347" s="27"/>
    </row>
    <row r="348" spans="1:35" hidden="1">
      <c r="A348" s="13" t="s">
        <v>601</v>
      </c>
      <c r="B348" s="13" t="str">
        <f>_xlfn.XLOOKUP(J348,'Master Data 14-9-2026'!C:C,'Master Data 14-9-2026'!D:D)</f>
        <v>Aktortifan Ridno Prabu Pratama wx1507287</v>
      </c>
      <c r="C348" s="13"/>
      <c r="D348" s="13" t="str">
        <f>_xlfn.XLOOKUP(J348,'Master Data 14-9-2026'!C:C,'Master Data 14-9-2026'!E:E)</f>
        <v>XLSMART-NWL</v>
      </c>
      <c r="E348" s="13"/>
      <c r="F348" s="13"/>
      <c r="G348" s="13" t="s">
        <v>31</v>
      </c>
      <c r="H348" s="13" t="str">
        <f>_xlfn.XLOOKUP(J348,'Master Data 14-9-2026'!C:C,'Master Data 14-9-2026'!H:H)</f>
        <v>2026-09-01 - 2026-09-30</v>
      </c>
      <c r="I348" s="13" t="str">
        <f t="shared" si="5"/>
        <v>September</v>
      </c>
      <c r="J348" s="13" t="s">
        <v>1530</v>
      </c>
      <c r="K348" s="13" t="s">
        <v>1530</v>
      </c>
      <c r="L348" s="13" t="s">
        <v>475</v>
      </c>
      <c r="M348" s="15">
        <v>200003154835020</v>
      </c>
      <c r="N348" s="13" t="s">
        <v>924</v>
      </c>
      <c r="O348" s="13">
        <v>1.0912026062400099E+17</v>
      </c>
      <c r="P348" s="13" t="s">
        <v>1092</v>
      </c>
      <c r="Q348" s="18">
        <v>35</v>
      </c>
      <c r="R348" s="18">
        <v>1</v>
      </c>
      <c r="S348" s="13">
        <v>8828132634</v>
      </c>
      <c r="T348" s="13" t="s">
        <v>978</v>
      </c>
      <c r="U348" s="19">
        <v>32542400</v>
      </c>
      <c r="V348" s="18">
        <v>1</v>
      </c>
      <c r="W348" s="18">
        <f>_xlfn.XLOOKUP(J348,'Master Data 14-9-2026'!C:C,'Master Data 14-9-2026'!L:L)</f>
        <v>0</v>
      </c>
      <c r="X348" s="23">
        <v>32542400</v>
      </c>
      <c r="Y348" s="13" t="s">
        <v>1496</v>
      </c>
      <c r="Z348" s="24" t="s">
        <v>15</v>
      </c>
      <c r="AB348" s="13"/>
      <c r="AC348" s="13"/>
      <c r="AD348" s="13"/>
      <c r="AE348" s="13" t="str">
        <f>_xlfn.XLOOKUP(L348,'[1]ID PROJECT'!E:E,'[1]ID PROJECT'!F:F)</f>
        <v>PRJ-KUT-KPU-TPED-2026-04-00074</v>
      </c>
      <c r="AF348" s="13"/>
      <c r="AG348" s="13"/>
      <c r="AH348" s="65"/>
      <c r="AI348" s="27"/>
    </row>
    <row r="349" spans="1:35" hidden="1">
      <c r="A349" s="13" t="s">
        <v>629</v>
      </c>
      <c r="B349" s="13" t="str">
        <f>_xlfn.XLOOKUP(J349,'Master Data 14-9-2026'!C:C,'Master Data 14-9-2026'!D:D)</f>
        <v>Ahmad Faqih wx1507096</v>
      </c>
      <c r="C349" s="13"/>
      <c r="D349" s="13" t="str">
        <f>_xlfn.XLOOKUP(J349,'Master Data 14-9-2026'!C:C,'Master Data 14-9-2026'!E:E)</f>
        <v>XLSMART</v>
      </c>
      <c r="E349" s="13"/>
      <c r="F349" s="13"/>
      <c r="G349" s="13" t="s">
        <v>31</v>
      </c>
      <c r="H349" s="13" t="str">
        <f>_xlfn.XLOOKUP(J349,'Master Data 14-9-2026'!C:C,'Master Data 14-9-2026'!H:H)</f>
        <v>2026-09-01 - 2026-09-30</v>
      </c>
      <c r="I349" s="13" t="str">
        <f t="shared" si="5"/>
        <v>September</v>
      </c>
      <c r="J349" s="13" t="s">
        <v>1531</v>
      </c>
      <c r="K349" s="13" t="s">
        <v>1531</v>
      </c>
      <c r="L349" s="13" t="s">
        <v>441</v>
      </c>
      <c r="M349" s="15">
        <v>200003154836020</v>
      </c>
      <c r="N349" s="13" t="s">
        <v>924</v>
      </c>
      <c r="O349" s="13">
        <v>1.0912026062400099E+17</v>
      </c>
      <c r="P349" s="13" t="s">
        <v>1092</v>
      </c>
      <c r="Q349" s="18">
        <v>36</v>
      </c>
      <c r="R349" s="18">
        <v>1</v>
      </c>
      <c r="S349" s="13">
        <v>8828132634</v>
      </c>
      <c r="T349" s="13" t="s">
        <v>978</v>
      </c>
      <c r="U349" s="19">
        <v>32542400</v>
      </c>
      <c r="V349" s="18">
        <v>1</v>
      </c>
      <c r="W349" s="18">
        <f>_xlfn.XLOOKUP(J349,'Master Data 14-9-2026'!C:C,'Master Data 14-9-2026'!L:L)</f>
        <v>0</v>
      </c>
      <c r="X349" s="23">
        <v>32542400</v>
      </c>
      <c r="Y349" s="13" t="s">
        <v>1496</v>
      </c>
      <c r="Z349" s="24" t="s">
        <v>15</v>
      </c>
      <c r="AB349" s="13"/>
      <c r="AC349" s="13"/>
      <c r="AD349" s="13"/>
      <c r="AE349" s="13" t="str">
        <f>_xlfn.XLOOKUP(L349,'[1]ID PROJECT'!E:E,'[1]ID PROJECT'!F:F)</f>
        <v xml:space="preserve">PRJ-KUT-KPU-TPED-2026-04-00071 </v>
      </c>
      <c r="AF349" s="13"/>
      <c r="AG349" s="13"/>
      <c r="AH349" s="65"/>
      <c r="AI349" s="27"/>
    </row>
    <row r="350" spans="1:35" hidden="1">
      <c r="A350" s="13" t="s">
        <v>58</v>
      </c>
      <c r="B350" s="13" t="str">
        <f>_xlfn.XLOOKUP(J350,'Master Data 14-9-2026'!C:C,'Master Data 14-9-2026'!D:D)</f>
        <v>Sri Hardianti Purnamasari wx1503627</v>
      </c>
      <c r="C350" s="13"/>
      <c r="D350" s="13" t="str">
        <f>_xlfn.XLOOKUP(J350,'Master Data 14-9-2026'!C:C,'Master Data 14-9-2026'!E:E)</f>
        <v>TELKOMSEL</v>
      </c>
      <c r="E350" s="13"/>
      <c r="F350" s="13"/>
      <c r="G350" s="13" t="s">
        <v>18</v>
      </c>
      <c r="H350" s="13" t="str">
        <f>_xlfn.XLOOKUP(J350,'Master Data 14-9-2026'!C:C,'Master Data 14-9-2026'!H:H)</f>
        <v>2026-04-23 - 2026-05-22</v>
      </c>
      <c r="I350" s="13" t="str">
        <f t="shared" si="5"/>
        <v>April</v>
      </c>
      <c r="J350" s="13" t="s">
        <v>1532</v>
      </c>
      <c r="K350" s="13" t="s">
        <v>1532</v>
      </c>
      <c r="L350" s="13" t="s">
        <v>461</v>
      </c>
      <c r="M350" s="15">
        <v>200003133406020</v>
      </c>
      <c r="N350" s="13" t="s">
        <v>924</v>
      </c>
      <c r="O350" s="13">
        <v>1.0912026062500301E+17</v>
      </c>
      <c r="P350" s="13" t="s">
        <v>1533</v>
      </c>
      <c r="Q350" s="18">
        <v>1</v>
      </c>
      <c r="R350" s="18">
        <v>1</v>
      </c>
      <c r="S350" s="13">
        <v>8828132633</v>
      </c>
      <c r="T350" s="13" t="s">
        <v>951</v>
      </c>
      <c r="U350" s="19">
        <v>28881900</v>
      </c>
      <c r="V350" s="18">
        <v>1</v>
      </c>
      <c r="W350" s="18">
        <f>_xlfn.XLOOKUP(J350,'Master Data 14-9-2026'!C:C,'Master Data 14-9-2026'!L:L)</f>
        <v>1.0900000000000001</v>
      </c>
      <c r="X350" s="23">
        <v>28881900</v>
      </c>
      <c r="Y350" s="13" t="s">
        <v>1534</v>
      </c>
      <c r="Z350" s="24" t="s">
        <v>15</v>
      </c>
      <c r="AA350" s="4" t="s">
        <v>934</v>
      </c>
      <c r="AB350" s="13"/>
      <c r="AC350" s="13"/>
      <c r="AD350" s="13" t="s">
        <v>935</v>
      </c>
      <c r="AE350" s="13" t="str">
        <f>_xlfn.XLOOKUP(L350,'[1]ID PROJECT'!E:E,'[1]ID PROJECT'!F:F)</f>
        <v>PRJ-KUT-KPU-TPED-2026-04-00078</v>
      </c>
      <c r="AF350" s="4" t="s">
        <v>1535</v>
      </c>
      <c r="AG350" s="13" t="s">
        <v>1536</v>
      </c>
      <c r="AH350" s="65">
        <v>46221</v>
      </c>
      <c r="AI350" s="27" t="s">
        <v>938</v>
      </c>
    </row>
    <row r="351" spans="1:35" hidden="1">
      <c r="A351" s="13" t="s">
        <v>240</v>
      </c>
      <c r="B351" s="13" t="str">
        <f>_xlfn.XLOOKUP(J351,'Master Data 14-9-2026'!C:C,'Master Data 14-9-2026'!D:D)</f>
        <v>Gigih Dharma Sulistya wx1503511</v>
      </c>
      <c r="C351" s="13"/>
      <c r="D351" s="13" t="str">
        <f>_xlfn.XLOOKUP(J351,'Master Data 14-9-2026'!C:C,'Master Data 14-9-2026'!E:E)</f>
        <v>TELKOMSEL</v>
      </c>
      <c r="E351" s="13"/>
      <c r="F351" s="13"/>
      <c r="G351" s="13" t="s">
        <v>22</v>
      </c>
      <c r="H351" s="13" t="str">
        <f>_xlfn.XLOOKUP(J351,'Master Data 14-9-2026'!C:C,'Master Data 14-9-2026'!H:H)</f>
        <v>2026-05-23 - 2026-06-22</v>
      </c>
      <c r="I351" s="13" t="str">
        <f t="shared" si="5"/>
        <v>May</v>
      </c>
      <c r="J351" s="13" t="s">
        <v>1537</v>
      </c>
      <c r="K351" s="13" t="s">
        <v>1537</v>
      </c>
      <c r="L351" s="13" t="s">
        <v>441</v>
      </c>
      <c r="M351" s="15">
        <v>200003133426020</v>
      </c>
      <c r="N351" s="13" t="s">
        <v>924</v>
      </c>
      <c r="O351" s="13">
        <v>1.09120260625002E+17</v>
      </c>
      <c r="P351" s="13" t="s">
        <v>1538</v>
      </c>
      <c r="Q351" s="18">
        <v>1</v>
      </c>
      <c r="R351" s="18">
        <v>1</v>
      </c>
      <c r="S351" s="13">
        <v>8828132633</v>
      </c>
      <c r="T351" s="13" t="s">
        <v>951</v>
      </c>
      <c r="U351" s="19">
        <v>28881900</v>
      </c>
      <c r="V351" s="18">
        <v>1</v>
      </c>
      <c r="W351" s="18">
        <f>_xlfn.XLOOKUP(J351,'Master Data 14-9-2026'!C:C,'Master Data 14-9-2026'!L:L)</f>
        <v>1.5</v>
      </c>
      <c r="X351" s="23">
        <v>28881900</v>
      </c>
      <c r="Y351" s="13" t="s">
        <v>1534</v>
      </c>
      <c r="Z351" s="24" t="s">
        <v>984</v>
      </c>
      <c r="AB351" s="13"/>
      <c r="AC351" s="13"/>
      <c r="AD351" s="13"/>
      <c r="AE351" s="13" t="str">
        <f>_xlfn.XLOOKUP(L351,'[1]ID PROJECT'!E:E,'[1]ID PROJECT'!F:F)</f>
        <v xml:space="preserve">PRJ-KUT-KPU-TPED-2026-04-00071 </v>
      </c>
      <c r="AF351" s="13"/>
      <c r="AG351" s="13"/>
      <c r="AH351" s="65"/>
      <c r="AI351" s="27"/>
    </row>
    <row r="352" spans="1:35" hidden="1">
      <c r="A352" s="13" t="s">
        <v>258</v>
      </c>
      <c r="B352" s="13" t="str">
        <f>_xlfn.XLOOKUP(J352,'Master Data 14-9-2026'!C:C,'Master Data 14-9-2026'!D:D)</f>
        <v>F Albert Jacob wx1504717</v>
      </c>
      <c r="C352" s="13"/>
      <c r="D352" s="13" t="str">
        <f>_xlfn.XLOOKUP(J352,'Master Data 14-9-2026'!C:C,'Master Data 14-9-2026'!E:E)</f>
        <v>TELKOMSEL</v>
      </c>
      <c r="E352" s="13"/>
      <c r="F352" s="13"/>
      <c r="G352" s="13" t="s">
        <v>22</v>
      </c>
      <c r="H352" s="13" t="str">
        <f>_xlfn.XLOOKUP(J352,'Master Data 14-9-2026'!C:C,'Master Data 14-9-2026'!H:H)</f>
        <v>2026-05-23 - 2026-06-22</v>
      </c>
      <c r="I352" s="13" t="str">
        <f t="shared" si="5"/>
        <v>May</v>
      </c>
      <c r="J352" s="13" t="s">
        <v>1539</v>
      </c>
      <c r="K352" s="13" t="s">
        <v>1539</v>
      </c>
      <c r="L352" s="13" t="s">
        <v>441</v>
      </c>
      <c r="M352" s="15">
        <v>200003133427020</v>
      </c>
      <c r="N352" s="13" t="s">
        <v>924</v>
      </c>
      <c r="O352" s="13">
        <v>1.09120260625002E+17</v>
      </c>
      <c r="P352" s="13" t="s">
        <v>1540</v>
      </c>
      <c r="Q352" s="18">
        <v>1</v>
      </c>
      <c r="R352" s="18">
        <v>1</v>
      </c>
      <c r="S352" s="13">
        <v>8828132633</v>
      </c>
      <c r="T352" s="13" t="s">
        <v>951</v>
      </c>
      <c r="U352" s="19">
        <v>28881900</v>
      </c>
      <c r="V352" s="18">
        <v>1</v>
      </c>
      <c r="W352" s="18">
        <f>_xlfn.XLOOKUP(J352,'Master Data 14-9-2026'!C:C,'Master Data 14-9-2026'!L:L)</f>
        <v>1</v>
      </c>
      <c r="X352" s="23">
        <v>28881900</v>
      </c>
      <c r="Y352" s="13" t="s">
        <v>1534</v>
      </c>
      <c r="Z352" s="24" t="str">
        <f>_xlfn.XLOOKUP(J352,'Master Data 14-9-2026'!C:C,'Master Data 14-9-2026'!I:I)</f>
        <v>Ended</v>
      </c>
      <c r="AA352" s="4" t="s">
        <v>934</v>
      </c>
      <c r="AB352" s="13"/>
      <c r="AC352" s="13"/>
      <c r="AD352" s="13" t="s">
        <v>935</v>
      </c>
      <c r="AE352" s="13" t="str">
        <f>_xlfn.XLOOKUP(L352,'[1]ID PROJECT'!E:E,'[1]ID PROJECT'!F:F)</f>
        <v xml:space="preserve">PRJ-KUT-KPU-TPED-2026-04-00071 </v>
      </c>
      <c r="AF352" s="4" t="s">
        <v>1541</v>
      </c>
      <c r="AG352" s="13" t="s">
        <v>1542</v>
      </c>
      <c r="AH352" s="65">
        <v>46262</v>
      </c>
      <c r="AI352" s="27" t="s">
        <v>1175</v>
      </c>
    </row>
    <row r="353" spans="1:35" hidden="1">
      <c r="A353" s="13" t="s">
        <v>766</v>
      </c>
      <c r="B353" s="13" t="str">
        <f>_xlfn.XLOOKUP(J353,'Master Data 14-9-2026'!C:C,'Master Data 14-9-2026'!D:D)</f>
        <v>Slamet Riyanto wx1503652</v>
      </c>
      <c r="C353" s="13"/>
      <c r="D353" s="13" t="str">
        <f>_xlfn.XLOOKUP(J353,'Master Data 14-9-2026'!C:C,'Master Data 14-9-2026'!E:E)</f>
        <v>TELKOMSEL</v>
      </c>
      <c r="E353" s="13"/>
      <c r="F353" s="13"/>
      <c r="G353" s="13" t="s">
        <v>18</v>
      </c>
      <c r="H353" s="13" t="str">
        <f>_xlfn.XLOOKUP(J353,'Master Data 14-9-2026'!C:C,'Master Data 14-9-2026'!H:H)</f>
        <v>2026-05-01 - 2026-05-31</v>
      </c>
      <c r="I353" s="13" t="str">
        <f t="shared" si="5"/>
        <v>May</v>
      </c>
      <c r="J353" s="13" t="s">
        <v>1543</v>
      </c>
      <c r="K353" s="13" t="s">
        <v>1543</v>
      </c>
      <c r="L353" s="13" t="s">
        <v>468</v>
      </c>
      <c r="M353" s="15">
        <v>200003133415020</v>
      </c>
      <c r="N353" s="13" t="s">
        <v>924</v>
      </c>
      <c r="O353" s="13">
        <v>1.0912026062500301E+17</v>
      </c>
      <c r="P353" s="13" t="s">
        <v>1544</v>
      </c>
      <c r="Q353" s="18">
        <v>1</v>
      </c>
      <c r="R353" s="18">
        <v>1</v>
      </c>
      <c r="S353" s="13">
        <v>8828132635</v>
      </c>
      <c r="T353" s="13" t="s">
        <v>926</v>
      </c>
      <c r="U353" s="19">
        <v>34220600</v>
      </c>
      <c r="V353" s="18">
        <v>1</v>
      </c>
      <c r="W353" s="18">
        <f>_xlfn.XLOOKUP(J353,'Master Data 14-9-2026'!C:C,'Master Data 14-9-2026'!L:L)</f>
        <v>1.5</v>
      </c>
      <c r="X353" s="23">
        <v>34220600</v>
      </c>
      <c r="Y353" s="13" t="s">
        <v>1534</v>
      </c>
      <c r="Z353" s="24" t="s">
        <v>15</v>
      </c>
      <c r="AA353" s="4" t="s">
        <v>934</v>
      </c>
      <c r="AB353" s="13"/>
      <c r="AC353" s="13"/>
      <c r="AD353" s="13" t="s">
        <v>935</v>
      </c>
      <c r="AE353" s="13" t="str">
        <f>_xlfn.XLOOKUP(L353,'[1]ID PROJECT'!E:E,'[1]ID PROJECT'!F:F)</f>
        <v>PRJ-KUT-KPU-TPED-2026-04-00075</v>
      </c>
      <c r="AF353" s="4" t="s">
        <v>1545</v>
      </c>
      <c r="AG353" s="13" t="s">
        <v>1546</v>
      </c>
      <c r="AH353" s="65">
        <v>46221</v>
      </c>
      <c r="AI353" s="27" t="s">
        <v>938</v>
      </c>
    </row>
    <row r="354" spans="1:35" hidden="1">
      <c r="A354" s="13" t="s">
        <v>439</v>
      </c>
      <c r="B354" s="13" t="str">
        <f>_xlfn.XLOOKUP(J354,'Master Data 14-9-2026'!C:C,'Master Data 14-9-2026'!D:D)</f>
        <v>Farizqi Anisah Nudhar wx1503972</v>
      </c>
      <c r="C354" s="13"/>
      <c r="D354" s="13" t="str">
        <f>_xlfn.XLOOKUP(J354,'Master Data 14-9-2026'!C:C,'Master Data 14-9-2026'!E:E)</f>
        <v>TELKOMSEL</v>
      </c>
      <c r="E354" s="13"/>
      <c r="F354" s="13"/>
      <c r="G354" s="13" t="s">
        <v>18</v>
      </c>
      <c r="H354" s="13" t="str">
        <f>_xlfn.XLOOKUP(J354,'Master Data 14-9-2026'!C:C,'Master Data 14-9-2026'!H:H)</f>
        <v>2026-04-30 - 2026-05-29</v>
      </c>
      <c r="I354" s="13" t="str">
        <f t="shared" si="5"/>
        <v>April</v>
      </c>
      <c r="J354" s="13" t="s">
        <v>1547</v>
      </c>
      <c r="K354" s="13" t="s">
        <v>1547</v>
      </c>
      <c r="L354" s="13" t="s">
        <v>441</v>
      </c>
      <c r="M354" s="15">
        <v>200003133419020</v>
      </c>
      <c r="N354" s="13" t="s">
        <v>924</v>
      </c>
      <c r="O354" s="13">
        <v>1.09120260625002E+17</v>
      </c>
      <c r="P354" s="13" t="s">
        <v>1548</v>
      </c>
      <c r="Q354" s="18">
        <v>1</v>
      </c>
      <c r="R354" s="18">
        <v>1</v>
      </c>
      <c r="S354" s="13">
        <v>8828132636</v>
      </c>
      <c r="T354" s="13" t="s">
        <v>933</v>
      </c>
      <c r="U354" s="19">
        <v>36992000</v>
      </c>
      <c r="V354" s="18">
        <v>1</v>
      </c>
      <c r="W354" s="18">
        <f>_xlfn.XLOOKUP(J354,'Master Data 14-9-2026'!C:C,'Master Data 14-9-2026'!L:L)</f>
        <v>1.5</v>
      </c>
      <c r="X354" s="23">
        <v>36992000</v>
      </c>
      <c r="Y354" s="13" t="s">
        <v>1534</v>
      </c>
      <c r="Z354" s="24" t="s">
        <v>15</v>
      </c>
      <c r="AA354" s="4" t="s">
        <v>934</v>
      </c>
      <c r="AB354" s="13"/>
      <c r="AC354" s="13"/>
      <c r="AD354" s="13" t="s">
        <v>935</v>
      </c>
      <c r="AE354" s="13" t="str">
        <f>_xlfn.XLOOKUP(L354,'[1]ID PROJECT'!E:E,'[1]ID PROJECT'!F:F)</f>
        <v xml:space="preserve">PRJ-KUT-KPU-TPED-2026-04-00071 </v>
      </c>
      <c r="AF354" s="4" t="s">
        <v>1549</v>
      </c>
      <c r="AG354" s="13" t="s">
        <v>1550</v>
      </c>
      <c r="AH354" s="65">
        <v>46221</v>
      </c>
      <c r="AI354" s="27" t="s">
        <v>938</v>
      </c>
    </row>
    <row r="355" spans="1:35" hidden="1">
      <c r="A355" s="13" t="s">
        <v>120</v>
      </c>
      <c r="B355" s="13" t="str">
        <f>_xlfn.XLOOKUP(J355,'Master Data 14-9-2026'!C:C,'Master Data 14-9-2026'!D:D)</f>
        <v>Febryyanti Nawang Wulan wx1503626</v>
      </c>
      <c r="C355" s="13"/>
      <c r="D355" s="13" t="str">
        <f>_xlfn.XLOOKUP(J355,'Master Data 14-9-2026'!C:C,'Master Data 14-9-2026'!E:E)</f>
        <v>TELKOMSEL</v>
      </c>
      <c r="E355" s="13"/>
      <c r="F355" s="13"/>
      <c r="G355" s="13" t="s">
        <v>22</v>
      </c>
      <c r="H355" s="13" t="str">
        <f>_xlfn.XLOOKUP(J355,'Master Data 14-9-2026'!C:C,'Master Data 14-9-2026'!H:H)</f>
        <v>2026-05-30 - 2026-06-29</v>
      </c>
      <c r="I355" s="13" t="str">
        <f t="shared" si="5"/>
        <v>May</v>
      </c>
      <c r="J355" s="13" t="s">
        <v>1551</v>
      </c>
      <c r="K355" s="13" t="s">
        <v>1551</v>
      </c>
      <c r="L355" s="13" t="s">
        <v>441</v>
      </c>
      <c r="M355" s="15">
        <v>200003133428020</v>
      </c>
      <c r="N355" s="13" t="s">
        <v>924</v>
      </c>
      <c r="O355" s="13">
        <v>1.0912026062500301E+17</v>
      </c>
      <c r="P355" s="13" t="s">
        <v>1552</v>
      </c>
      <c r="Q355" s="18">
        <v>1</v>
      </c>
      <c r="R355" s="18">
        <v>1</v>
      </c>
      <c r="S355" s="13">
        <v>8828132633</v>
      </c>
      <c r="T355" s="13" t="s">
        <v>951</v>
      </c>
      <c r="U355" s="19">
        <v>28881900</v>
      </c>
      <c r="V355" s="18">
        <v>1</v>
      </c>
      <c r="W355" s="18">
        <f>_xlfn.XLOOKUP(J355,'Master Data 14-9-2026'!C:C,'Master Data 14-9-2026'!L:L)</f>
        <v>1.5</v>
      </c>
      <c r="X355" s="23">
        <v>28881900</v>
      </c>
      <c r="Y355" s="13" t="s">
        <v>1534</v>
      </c>
      <c r="Z355" s="24" t="s">
        <v>984</v>
      </c>
      <c r="AB355" s="13"/>
      <c r="AC355" s="13"/>
      <c r="AD355" s="13"/>
      <c r="AE355" s="13" t="str">
        <f>_xlfn.XLOOKUP(L355,'[1]ID PROJECT'!E:E,'[1]ID PROJECT'!F:F)</f>
        <v xml:space="preserve">PRJ-KUT-KPU-TPED-2026-04-00071 </v>
      </c>
      <c r="AF355" s="13"/>
      <c r="AG355" s="13"/>
      <c r="AH355" s="65"/>
      <c r="AI355" s="27"/>
    </row>
    <row r="356" spans="1:35" hidden="1">
      <c r="A356" s="13" t="s">
        <v>439</v>
      </c>
      <c r="B356" s="13" t="str">
        <f>_xlfn.XLOOKUP(J356,'Master Data 14-9-2026'!C:C,'Master Data 14-9-2026'!D:D)</f>
        <v>Farizqi Anisah Nudhar wx1503972</v>
      </c>
      <c r="C356" s="13"/>
      <c r="D356" s="13" t="str">
        <f>_xlfn.XLOOKUP(J356,'Master Data 14-9-2026'!C:C,'Master Data 14-9-2026'!E:E)</f>
        <v>TELKOMSEL</v>
      </c>
      <c r="E356" s="13"/>
      <c r="F356" s="13"/>
      <c r="G356" s="13" t="s">
        <v>22</v>
      </c>
      <c r="H356" s="13" t="str">
        <f>_xlfn.XLOOKUP(J356,'Master Data 14-9-2026'!C:C,'Master Data 14-9-2026'!H:H)</f>
        <v>2026-05-30 - 2026-06-29</v>
      </c>
      <c r="I356" s="13" t="str">
        <f t="shared" si="5"/>
        <v>May</v>
      </c>
      <c r="J356" s="13" t="s">
        <v>1553</v>
      </c>
      <c r="K356" s="13" t="s">
        <v>1553</v>
      </c>
      <c r="L356" s="13" t="s">
        <v>441</v>
      </c>
      <c r="M356" s="15">
        <v>200003133438020</v>
      </c>
      <c r="N356" s="13" t="s">
        <v>924</v>
      </c>
      <c r="O356" s="13">
        <v>1.0912026062500301E+17</v>
      </c>
      <c r="P356" s="13" t="s">
        <v>1554</v>
      </c>
      <c r="Q356" s="18">
        <v>1</v>
      </c>
      <c r="R356" s="18">
        <v>1</v>
      </c>
      <c r="S356" s="13">
        <v>8828132636</v>
      </c>
      <c r="T356" s="13" t="s">
        <v>933</v>
      </c>
      <c r="U356" s="19">
        <v>36992000</v>
      </c>
      <c r="V356" s="18">
        <v>1</v>
      </c>
      <c r="W356" s="18">
        <f>_xlfn.XLOOKUP(J356,'Master Data 14-9-2026'!C:C,'Master Data 14-9-2026'!L:L)</f>
        <v>1.5</v>
      </c>
      <c r="X356" s="23">
        <v>36992000</v>
      </c>
      <c r="Y356" s="13" t="s">
        <v>1534</v>
      </c>
      <c r="Z356" s="24" t="s">
        <v>15</v>
      </c>
      <c r="AB356" s="13"/>
      <c r="AC356" s="13"/>
      <c r="AD356" s="13"/>
      <c r="AE356" s="13" t="str">
        <f>_xlfn.XLOOKUP(L356,'[1]ID PROJECT'!E:E,'[1]ID PROJECT'!F:F)</f>
        <v xml:space="preserve">PRJ-KUT-KPU-TPED-2026-04-00071 </v>
      </c>
      <c r="AF356" s="13"/>
      <c r="AG356" s="13"/>
      <c r="AH356" s="65"/>
      <c r="AI356" s="27"/>
    </row>
    <row r="357" spans="1:35" hidden="1">
      <c r="A357" s="13" t="s">
        <v>766</v>
      </c>
      <c r="B357" s="13" t="str">
        <f>_xlfn.XLOOKUP(J357,'Master Data 14-9-2026'!C:C,'Master Data 14-9-2026'!D:D)</f>
        <v>Slamet Riyanto wx1503652</v>
      </c>
      <c r="C357" s="13"/>
      <c r="D357" s="13" t="str">
        <f>_xlfn.XLOOKUP(J357,'Master Data 14-9-2026'!C:C,'Master Data 14-9-2026'!E:E)</f>
        <v>TELKOMSEL</v>
      </c>
      <c r="E357" s="13"/>
      <c r="F357" s="13"/>
      <c r="G357" s="13" t="s">
        <v>22</v>
      </c>
      <c r="H357" s="13" t="str">
        <f>_xlfn.XLOOKUP(J357,'Master Data 14-9-2026'!C:C,'Master Data 14-9-2026'!H:H)</f>
        <v>2026-06-01 - 2026-06-30</v>
      </c>
      <c r="I357" s="13" t="str">
        <f t="shared" si="5"/>
        <v>June</v>
      </c>
      <c r="J357" s="13" t="s">
        <v>1555</v>
      </c>
      <c r="K357" s="13" t="s">
        <v>1555</v>
      </c>
      <c r="L357" s="13" t="s">
        <v>468</v>
      </c>
      <c r="M357" s="15">
        <v>200003133434020</v>
      </c>
      <c r="N357" s="13" t="s">
        <v>924</v>
      </c>
      <c r="O357" s="13">
        <v>1.09120260625002E+17</v>
      </c>
      <c r="P357" s="13" t="s">
        <v>1556</v>
      </c>
      <c r="Q357" s="18">
        <v>1</v>
      </c>
      <c r="R357" s="18">
        <v>1</v>
      </c>
      <c r="S357" s="13">
        <v>8828132635</v>
      </c>
      <c r="T357" s="13" t="s">
        <v>926</v>
      </c>
      <c r="U357" s="19">
        <v>34220600</v>
      </c>
      <c r="V357" s="18">
        <v>1</v>
      </c>
      <c r="W357" s="18">
        <f>_xlfn.XLOOKUP(J357,'Master Data 14-9-2026'!C:C,'Master Data 14-9-2026'!L:L)</f>
        <v>1.5</v>
      </c>
      <c r="X357" s="23">
        <v>34220600</v>
      </c>
      <c r="Y357" s="13" t="s">
        <v>1534</v>
      </c>
      <c r="Z357" s="24" t="str">
        <f>_xlfn.XLOOKUP(J357,'Master Data 14-9-2026'!C:C,'Master Data 14-9-2026'!I:I)</f>
        <v>Ended</v>
      </c>
      <c r="AB357" s="13"/>
      <c r="AC357" s="13"/>
      <c r="AD357" s="13"/>
      <c r="AE357" s="13" t="str">
        <f>_xlfn.XLOOKUP(L357,'[1]ID PROJECT'!E:E,'[1]ID PROJECT'!F:F)</f>
        <v>PRJ-KUT-KPU-TPED-2026-04-00075</v>
      </c>
      <c r="AF357" s="13"/>
      <c r="AG357" s="13"/>
      <c r="AH357" s="65"/>
      <c r="AI357" s="27"/>
    </row>
    <row r="358" spans="1:35" hidden="1">
      <c r="A358" s="13" t="s">
        <v>240</v>
      </c>
      <c r="B358" s="13" t="str">
        <f>_xlfn.XLOOKUP(J358,'Master Data 14-9-2026'!C:C,'Master Data 14-9-2026'!D:D)</f>
        <v>Gigih Dharma Sulistya wx1503511</v>
      </c>
      <c r="C358" s="13"/>
      <c r="D358" s="13" t="str">
        <f>_xlfn.XLOOKUP(J358,'Master Data 14-9-2026'!C:C,'Master Data 14-9-2026'!E:E)</f>
        <v>TELKOMSEL</v>
      </c>
      <c r="E358" s="13"/>
      <c r="F358" s="13"/>
      <c r="G358" s="13" t="s">
        <v>18</v>
      </c>
      <c r="H358" s="13" t="str">
        <f>_xlfn.XLOOKUP(J358,'Master Data 14-9-2026'!C:C,'Master Data 14-9-2026'!H:H)</f>
        <v>2026-04-23 - 2026-05-22</v>
      </c>
      <c r="I358" s="13" t="str">
        <f t="shared" si="5"/>
        <v>April</v>
      </c>
      <c r="J358" s="13" t="s">
        <v>1557</v>
      </c>
      <c r="K358" s="13" t="s">
        <v>1557</v>
      </c>
      <c r="L358" s="13" t="s">
        <v>457</v>
      </c>
      <c r="M358" s="15">
        <v>200003133407020</v>
      </c>
      <c r="N358" s="13" t="s">
        <v>924</v>
      </c>
      <c r="O358" s="13">
        <v>1.0912026062500301E+17</v>
      </c>
      <c r="P358" s="13" t="s">
        <v>1558</v>
      </c>
      <c r="Q358" s="18">
        <v>1</v>
      </c>
      <c r="R358" s="18">
        <v>1</v>
      </c>
      <c r="S358" s="13">
        <v>8828132633</v>
      </c>
      <c r="T358" s="13" t="s">
        <v>951</v>
      </c>
      <c r="U358" s="19">
        <v>28881900</v>
      </c>
      <c r="V358" s="18">
        <v>1</v>
      </c>
      <c r="W358" s="18">
        <f>_xlfn.XLOOKUP(J358,'Master Data 14-9-2026'!C:C,'Master Data 14-9-2026'!L:L)</f>
        <v>1</v>
      </c>
      <c r="X358" s="23">
        <v>28881900</v>
      </c>
      <c r="Y358" s="13" t="s">
        <v>1534</v>
      </c>
      <c r="Z358" s="24" t="str">
        <f>_xlfn.XLOOKUP(J358,'Master Data 14-9-2026'!C:C,'Master Data 14-9-2026'!I:I)</f>
        <v>Ended</v>
      </c>
      <c r="AA358" s="4" t="s">
        <v>934</v>
      </c>
      <c r="AB358" s="13"/>
      <c r="AC358" s="13"/>
      <c r="AD358" s="13" t="s">
        <v>935</v>
      </c>
      <c r="AE358" s="13" t="str">
        <f>_xlfn.XLOOKUP(L358,'[1]ID PROJECT'!E:E,'[1]ID PROJECT'!F:F)</f>
        <v>PRJ-KUT-KPU-TPED-2026-04-00076</v>
      </c>
      <c r="AF358" s="4" t="s">
        <v>1559</v>
      </c>
      <c r="AG358" s="13" t="s">
        <v>1560</v>
      </c>
      <c r="AH358" s="65">
        <v>46221</v>
      </c>
      <c r="AI358" s="27" t="s">
        <v>938</v>
      </c>
    </row>
    <row r="359" spans="1:35" hidden="1">
      <c r="A359" s="13" t="s">
        <v>120</v>
      </c>
      <c r="B359" s="13" t="str">
        <f>_xlfn.XLOOKUP(J359,'Master Data 14-9-2026'!C:C,'Master Data 14-9-2026'!D:D)</f>
        <v>Febryyanti Nawang Wulan wx1503626</v>
      </c>
      <c r="C359" s="13"/>
      <c r="D359" s="13" t="str">
        <f>_xlfn.XLOOKUP(J359,'Master Data 14-9-2026'!C:C,'Master Data 14-9-2026'!E:E)</f>
        <v>TELKOMSEL</v>
      </c>
      <c r="E359" s="13"/>
      <c r="F359" s="13"/>
      <c r="G359" s="13" t="s">
        <v>18</v>
      </c>
      <c r="H359" s="13" t="str">
        <f>_xlfn.XLOOKUP(J359,'Master Data 14-9-2026'!C:C,'Master Data 14-9-2026'!H:H)</f>
        <v>2026-04-30 - 2026-05-29</v>
      </c>
      <c r="I359" s="13" t="str">
        <f t="shared" si="5"/>
        <v>April</v>
      </c>
      <c r="J359" s="13" t="s">
        <v>1561</v>
      </c>
      <c r="K359" s="13" t="s">
        <v>1561</v>
      </c>
      <c r="L359" s="13" t="s">
        <v>461</v>
      </c>
      <c r="M359" s="15">
        <v>200003133409020</v>
      </c>
      <c r="N359" s="13" t="s">
        <v>924</v>
      </c>
      <c r="O359" s="13">
        <v>1.0912026062500301E+17</v>
      </c>
      <c r="P359" s="13" t="s">
        <v>1562</v>
      </c>
      <c r="Q359" s="18">
        <v>1</v>
      </c>
      <c r="R359" s="18">
        <v>1</v>
      </c>
      <c r="S359" s="13">
        <v>8828132633</v>
      </c>
      <c r="T359" s="13" t="s">
        <v>951</v>
      </c>
      <c r="U359" s="19">
        <v>28881900</v>
      </c>
      <c r="V359" s="18">
        <v>1</v>
      </c>
      <c r="W359" s="18">
        <f>_xlfn.XLOOKUP(J359,'Master Data 14-9-2026'!C:C,'Master Data 14-9-2026'!L:L)</f>
        <v>1.5</v>
      </c>
      <c r="X359" s="23">
        <v>28881900</v>
      </c>
      <c r="Y359" s="13" t="s">
        <v>1534</v>
      </c>
      <c r="Z359" s="24" t="s">
        <v>15</v>
      </c>
      <c r="AA359" s="4" t="s">
        <v>934</v>
      </c>
      <c r="AB359" s="13"/>
      <c r="AC359" s="13"/>
      <c r="AD359" s="13" t="s">
        <v>935</v>
      </c>
      <c r="AE359" s="13" t="str">
        <f>_xlfn.XLOOKUP(L359,'[1]ID PROJECT'!E:E,'[1]ID PROJECT'!F:F)</f>
        <v>PRJ-KUT-KPU-TPED-2026-04-00078</v>
      </c>
      <c r="AF359" s="4" t="s">
        <v>1563</v>
      </c>
      <c r="AG359" s="13" t="s">
        <v>1564</v>
      </c>
      <c r="AH359" s="65">
        <v>46221</v>
      </c>
      <c r="AI359" s="27" t="s">
        <v>938</v>
      </c>
    </row>
    <row r="360" spans="1:35" hidden="1">
      <c r="A360" s="13" t="s">
        <v>801</v>
      </c>
      <c r="B360" s="13" t="str">
        <f>_xlfn.XLOOKUP(J360,'Master Data 14-9-2026'!C:C,'Master Data 14-9-2026'!D:D)</f>
        <v>Fikri Tirta Kusuma Atmaja wx1507714</v>
      </c>
      <c r="C360" s="13"/>
      <c r="D360" s="13" t="str">
        <f>_xlfn.XLOOKUP(J360,'Master Data 14-9-2026'!C:C,'Master Data 14-9-2026'!E:E)</f>
        <v>XLSMART</v>
      </c>
      <c r="E360" s="13"/>
      <c r="F360" s="13"/>
      <c r="G360" s="13" t="s">
        <v>22</v>
      </c>
      <c r="H360" s="13" t="str">
        <f>_xlfn.XLOOKUP(J360,'Master Data 14-9-2026'!C:C,'Master Data 14-9-2026'!H:H)</f>
        <v>2026-06-01 - 2026-06-30</v>
      </c>
      <c r="I360" s="13" t="str">
        <f t="shared" si="5"/>
        <v>June</v>
      </c>
      <c r="J360" s="13" t="s">
        <v>1565</v>
      </c>
      <c r="K360" s="13" t="s">
        <v>1565</v>
      </c>
      <c r="L360" s="13" t="s">
        <v>475</v>
      </c>
      <c r="M360" s="15">
        <v>200003133436020</v>
      </c>
      <c r="N360" s="13" t="s">
        <v>924</v>
      </c>
      <c r="O360" s="13">
        <v>1.0912026062500301E+17</v>
      </c>
      <c r="P360" s="13" t="s">
        <v>1566</v>
      </c>
      <c r="Q360" s="18">
        <v>1</v>
      </c>
      <c r="R360" s="18">
        <v>1</v>
      </c>
      <c r="S360" s="13">
        <v>8828132635</v>
      </c>
      <c r="T360" s="13" t="s">
        <v>926</v>
      </c>
      <c r="U360" s="19">
        <v>34220600</v>
      </c>
      <c r="V360" s="18">
        <v>1</v>
      </c>
      <c r="W360" s="18">
        <f>_xlfn.XLOOKUP(J360,'Master Data 14-9-2026'!C:C,'Master Data 14-9-2026'!L:L)</f>
        <v>0</v>
      </c>
      <c r="X360" s="23">
        <v>34220600</v>
      </c>
      <c r="Y360" s="13" t="s">
        <v>1534</v>
      </c>
      <c r="Z360" s="24" t="str">
        <f>_xlfn.XLOOKUP(J360,'Master Data 14-9-2026'!C:C,'Master Data 14-9-2026'!I:I)</f>
        <v>Ended</v>
      </c>
      <c r="AB360" s="13"/>
      <c r="AC360" s="13"/>
      <c r="AD360" s="13"/>
      <c r="AE360" s="13" t="str">
        <f>_xlfn.XLOOKUP(L360,'[1]ID PROJECT'!E:E,'[1]ID PROJECT'!F:F)</f>
        <v>PRJ-KUT-KPU-TPED-2026-04-00074</v>
      </c>
      <c r="AF360" s="13"/>
      <c r="AG360" s="13"/>
      <c r="AH360" s="65"/>
      <c r="AI360" s="27"/>
    </row>
    <row r="361" spans="1:35" hidden="1">
      <c r="A361" s="13" t="s">
        <v>801</v>
      </c>
      <c r="B361" s="13" t="str">
        <f>_xlfn.XLOOKUP(J361,'Master Data 14-9-2026'!C:C,'Master Data 14-9-2026'!D:D)</f>
        <v>Fikri Tirta Kusuma Atmaja wx1507714</v>
      </c>
      <c r="C361" s="13"/>
      <c r="D361" s="13" t="str">
        <f>_xlfn.XLOOKUP(J361,'Master Data 14-9-2026'!C:C,'Master Data 14-9-2026'!E:E)</f>
        <v>XLSMART</v>
      </c>
      <c r="E361" s="40" t="s">
        <v>3382</v>
      </c>
      <c r="F361" s="13"/>
      <c r="G361" s="13" t="s">
        <v>18</v>
      </c>
      <c r="H361" s="13" t="str">
        <f>_xlfn.XLOOKUP(J361,'Master Data 14-9-2026'!C:C,'Master Data 14-9-2026'!H:H)</f>
        <v>2026-05-01 - 2026-05-31</v>
      </c>
      <c r="I361" s="13" t="str">
        <f t="shared" si="5"/>
        <v>May</v>
      </c>
      <c r="J361" s="13" t="s">
        <v>1567</v>
      </c>
      <c r="K361" s="13" t="s">
        <v>1567</v>
      </c>
      <c r="L361" s="13" t="s">
        <v>475</v>
      </c>
      <c r="M361" s="15">
        <v>200003133417020</v>
      </c>
      <c r="N361" s="13" t="s">
        <v>924</v>
      </c>
      <c r="O361" s="13">
        <v>1.0912026062500301E+17</v>
      </c>
      <c r="P361" s="13" t="s">
        <v>1568</v>
      </c>
      <c r="Q361" s="18">
        <v>1</v>
      </c>
      <c r="R361" s="18">
        <v>1</v>
      </c>
      <c r="S361" s="13">
        <v>8828132635</v>
      </c>
      <c r="T361" s="13" t="s">
        <v>926</v>
      </c>
      <c r="U361" s="19">
        <v>34220600</v>
      </c>
      <c r="V361" s="18">
        <v>1</v>
      </c>
      <c r="W361" s="18">
        <f>_xlfn.XLOOKUP(J361,'Master Data 14-9-2026'!C:C,'Master Data 14-9-2026'!L:L)</f>
        <v>0</v>
      </c>
      <c r="X361" s="23">
        <v>34220600</v>
      </c>
      <c r="Y361" s="13" t="s">
        <v>1534</v>
      </c>
      <c r="Z361" s="24" t="s">
        <v>15</v>
      </c>
      <c r="AA361" s="39" t="s">
        <v>4130</v>
      </c>
      <c r="AB361" s="40" t="s">
        <v>4156</v>
      </c>
      <c r="AC361" s="13" t="s">
        <v>965</v>
      </c>
      <c r="AD361" s="13"/>
      <c r="AE361" s="13" t="str">
        <f>_xlfn.XLOOKUP(L361,'[1]ID PROJECT'!E:E,'[1]ID PROJECT'!F:F)</f>
        <v>PRJ-KUT-KPU-TPED-2026-04-00074</v>
      </c>
      <c r="AF361" s="13"/>
      <c r="AG361" s="13"/>
      <c r="AH361" s="65"/>
      <c r="AI361" s="27"/>
    </row>
    <row r="362" spans="1:35" hidden="1">
      <c r="A362" s="13" t="s">
        <v>766</v>
      </c>
      <c r="B362" s="13" t="str">
        <f>_xlfn.XLOOKUP(J362,'Master Data 14-9-2026'!C:C,'Master Data 14-9-2026'!D:D)</f>
        <v>Slamet Riyanto wx1503652</v>
      </c>
      <c r="C362" s="13"/>
      <c r="D362" s="13" t="str">
        <f>_xlfn.XLOOKUP(J362,'Master Data 14-9-2026'!C:C,'Master Data 14-9-2026'!E:E)</f>
        <v>TELKOMSEL</v>
      </c>
      <c r="E362" s="13"/>
      <c r="F362" s="13"/>
      <c r="G362" s="13" t="s">
        <v>13</v>
      </c>
      <c r="H362" s="13" t="str">
        <f>_xlfn.XLOOKUP(J362,'Master Data 14-9-2026'!C:C,'Master Data 14-9-2026'!H:H)</f>
        <v>2026-04-01 - 2026-04-30</v>
      </c>
      <c r="I362" s="13" t="str">
        <f t="shared" si="5"/>
        <v>April</v>
      </c>
      <c r="J362" s="13" t="s">
        <v>1017</v>
      </c>
      <c r="K362" s="13"/>
      <c r="L362" s="13" t="s">
        <v>468</v>
      </c>
      <c r="M362" s="15"/>
      <c r="N362" s="13"/>
      <c r="O362" s="13"/>
      <c r="P362" s="13" t="s">
        <v>1569</v>
      </c>
      <c r="Q362" s="18">
        <v>1</v>
      </c>
      <c r="R362" s="18"/>
      <c r="S362" s="13"/>
      <c r="T362" s="13"/>
      <c r="U362" s="19"/>
      <c r="V362" s="18"/>
      <c r="W362" s="18">
        <f>_xlfn.XLOOKUP(J362,'Master Data 14-9-2026'!C:C,'Master Data 14-9-2026'!L:L)</f>
        <v>1</v>
      </c>
      <c r="X362" s="23">
        <v>34220600</v>
      </c>
      <c r="Y362" s="31">
        <v>46209</v>
      </c>
      <c r="Z362" s="24" t="str">
        <f>_xlfn.XLOOKUP(J362,'Master Data 14-9-2026'!C:C,'Master Data 14-9-2026'!I:I)</f>
        <v>Ended</v>
      </c>
      <c r="AA362" s="4" t="s">
        <v>934</v>
      </c>
      <c r="AB362" s="13"/>
      <c r="AC362" s="13"/>
      <c r="AD362" s="13" t="s">
        <v>935</v>
      </c>
      <c r="AE362" s="32" t="s">
        <v>1570</v>
      </c>
      <c r="AF362" s="13" t="s">
        <v>1571</v>
      </c>
      <c r="AG362" s="13" t="s">
        <v>1572</v>
      </c>
      <c r="AH362" s="65">
        <v>46255</v>
      </c>
      <c r="AI362" s="27" t="s">
        <v>1175</v>
      </c>
    </row>
    <row r="363" spans="1:35" hidden="1">
      <c r="A363" s="13" t="s">
        <v>58</v>
      </c>
      <c r="B363" s="13" t="str">
        <f>_xlfn.XLOOKUP(J363,'Master Data 14-9-2026'!C:C,'Master Data 14-9-2026'!D:D)</f>
        <v>Sri Hardianti Purnamasari wx1503627</v>
      </c>
      <c r="C363" s="13"/>
      <c r="D363" s="13" t="str">
        <f>_xlfn.XLOOKUP(J363,'Master Data 14-9-2026'!C:C,'Master Data 14-9-2026'!E:E)</f>
        <v>TELKOMSEL</v>
      </c>
      <c r="E363" s="13"/>
      <c r="F363" s="13"/>
      <c r="G363" s="13" t="s">
        <v>22</v>
      </c>
      <c r="H363" s="13" t="str">
        <f>_xlfn.XLOOKUP(J363,'Master Data 14-9-2026'!C:C,'Master Data 14-9-2026'!H:H)</f>
        <v>2026-05-23 - 2026-06-22</v>
      </c>
      <c r="I363" s="13" t="str">
        <f t="shared" si="5"/>
        <v>May</v>
      </c>
      <c r="J363" s="13" t="s">
        <v>1573</v>
      </c>
      <c r="K363" s="13" t="s">
        <v>1573</v>
      </c>
      <c r="L363" s="13" t="s">
        <v>441</v>
      </c>
      <c r="M363" s="15">
        <v>200003133425020</v>
      </c>
      <c r="N363" s="13" t="s">
        <v>924</v>
      </c>
      <c r="O363" s="13">
        <v>1.0912026062500301E+17</v>
      </c>
      <c r="P363" s="13" t="s">
        <v>1574</v>
      </c>
      <c r="Q363" s="18">
        <v>1</v>
      </c>
      <c r="R363" s="18">
        <v>1</v>
      </c>
      <c r="S363" s="13">
        <v>8828132633</v>
      </c>
      <c r="T363" s="13" t="s">
        <v>951</v>
      </c>
      <c r="U363" s="19">
        <v>28881900</v>
      </c>
      <c r="V363" s="18">
        <v>1</v>
      </c>
      <c r="W363" s="18">
        <f>_xlfn.XLOOKUP(J363,'Master Data 14-9-2026'!C:C,'Master Data 14-9-2026'!L:L)</f>
        <v>1</v>
      </c>
      <c r="X363" s="23">
        <v>28881900</v>
      </c>
      <c r="Y363" s="13" t="s">
        <v>1534</v>
      </c>
      <c r="Z363" s="24" t="str">
        <f>_xlfn.XLOOKUP(J363,'Master Data 14-9-2026'!C:C,'Master Data 14-9-2026'!I:I)</f>
        <v>Ended</v>
      </c>
      <c r="AA363" s="4" t="s">
        <v>934</v>
      </c>
      <c r="AB363" s="13"/>
      <c r="AC363" s="13"/>
      <c r="AD363" s="13" t="s">
        <v>935</v>
      </c>
      <c r="AE363" s="13" t="str">
        <f>_xlfn.XLOOKUP(L363,'[1]ID PROJECT'!E:E,'[1]ID PROJECT'!F:F)</f>
        <v xml:space="preserve">PRJ-KUT-KPU-TPED-2026-04-00071 </v>
      </c>
      <c r="AF363" s="4" t="s">
        <v>1575</v>
      </c>
      <c r="AG363" s="13" t="s">
        <v>1576</v>
      </c>
      <c r="AH363" s="65">
        <v>46262</v>
      </c>
      <c r="AI363" s="27" t="s">
        <v>1175</v>
      </c>
    </row>
    <row r="364" spans="1:35" hidden="1">
      <c r="A364" s="13" t="s">
        <v>489</v>
      </c>
      <c r="B364" s="13" t="str">
        <f>_xlfn.XLOOKUP(J364,'Master Data 14-9-2026'!C:C,'Master Data 14-9-2026'!D:D)</f>
        <v>Alvin Ramadhan wx1507288</v>
      </c>
      <c r="C364" s="13"/>
      <c r="D364" s="13" t="str">
        <f>_xlfn.XLOOKUP(J364,'Master Data 14-9-2026'!C:C,'Master Data 14-9-2026'!E:E)</f>
        <v>TELKOMSEL</v>
      </c>
      <c r="E364" s="13"/>
      <c r="F364" s="13"/>
      <c r="G364" s="13" t="s">
        <v>18</v>
      </c>
      <c r="H364" s="13" t="str">
        <f>_xlfn.XLOOKUP(J364,'Master Data 14-9-2026'!C:C,'Master Data 14-9-2026'!H:H)</f>
        <v>2026-05-01 - 2026-05-31</v>
      </c>
      <c r="I364" s="13" t="str">
        <f t="shared" si="5"/>
        <v>May</v>
      </c>
      <c r="J364" s="13" t="s">
        <v>1577</v>
      </c>
      <c r="K364" s="13" t="s">
        <v>1577</v>
      </c>
      <c r="L364" s="13" t="s">
        <v>475</v>
      </c>
      <c r="M364" s="15">
        <v>200003133421020</v>
      </c>
      <c r="N364" s="13" t="s">
        <v>924</v>
      </c>
      <c r="O364" s="13">
        <v>1.0912026062500301E+17</v>
      </c>
      <c r="P364" s="13" t="s">
        <v>1578</v>
      </c>
      <c r="Q364" s="18">
        <v>1</v>
      </c>
      <c r="R364" s="18">
        <v>1</v>
      </c>
      <c r="S364" s="13">
        <v>8828132636</v>
      </c>
      <c r="T364" s="13" t="s">
        <v>933</v>
      </c>
      <c r="U364" s="19">
        <v>36992000</v>
      </c>
      <c r="V364" s="18">
        <v>1</v>
      </c>
      <c r="W364" s="18">
        <f>_xlfn.XLOOKUP(J364,'Master Data 14-9-2026'!C:C,'Master Data 14-9-2026'!L:L)</f>
        <v>1.5</v>
      </c>
      <c r="X364" s="23">
        <v>36992000</v>
      </c>
      <c r="Y364" s="13" t="s">
        <v>1534</v>
      </c>
      <c r="Z364" s="24" t="s">
        <v>15</v>
      </c>
      <c r="AA364" s="4" t="s">
        <v>934</v>
      </c>
      <c r="AB364" s="13"/>
      <c r="AC364" s="13"/>
      <c r="AD364" s="13" t="s">
        <v>935</v>
      </c>
      <c r="AE364" s="13" t="str">
        <f>_xlfn.XLOOKUP(L364,'[1]ID PROJECT'!E:E,'[1]ID PROJECT'!F:F)</f>
        <v>PRJ-KUT-KPU-TPED-2026-04-00074</v>
      </c>
      <c r="AF364" s="4" t="s">
        <v>1579</v>
      </c>
      <c r="AG364" s="13" t="s">
        <v>1580</v>
      </c>
      <c r="AH364" s="65">
        <v>46252</v>
      </c>
      <c r="AI364" s="27" t="s">
        <v>1175</v>
      </c>
    </row>
    <row r="365" spans="1:35" hidden="1">
      <c r="A365" s="13" t="s">
        <v>489</v>
      </c>
      <c r="B365" s="13" t="str">
        <f>_xlfn.XLOOKUP(J365,'Master Data 14-9-2026'!C:C,'Master Data 14-9-2026'!D:D)</f>
        <v>Alvin Ramadhan wx1507288</v>
      </c>
      <c r="C365" s="13"/>
      <c r="D365" s="13" t="str">
        <f>_xlfn.XLOOKUP(J365,'Master Data 14-9-2026'!C:C,'Master Data 14-9-2026'!E:E)</f>
        <v>TELKOMSEL</v>
      </c>
      <c r="E365" s="13"/>
      <c r="F365" s="13"/>
      <c r="G365" s="13" t="s">
        <v>22</v>
      </c>
      <c r="H365" s="13" t="str">
        <f>_xlfn.XLOOKUP(J365,'Master Data 14-9-2026'!C:C,'Master Data 14-9-2026'!H:H)</f>
        <v>2026-06-01 - 2026-06-30</v>
      </c>
      <c r="I365" s="13" t="str">
        <f t="shared" si="5"/>
        <v>June</v>
      </c>
      <c r="J365" s="13" t="s">
        <v>1581</v>
      </c>
      <c r="K365" s="13" t="s">
        <v>1581</v>
      </c>
      <c r="L365" s="13" t="s">
        <v>475</v>
      </c>
      <c r="M365" s="15">
        <v>200003133440020</v>
      </c>
      <c r="N365" s="13" t="s">
        <v>924</v>
      </c>
      <c r="O365" s="13">
        <v>1.0912026062500301E+17</v>
      </c>
      <c r="P365" s="13" t="s">
        <v>1582</v>
      </c>
      <c r="Q365" s="18">
        <v>1</v>
      </c>
      <c r="R365" s="18">
        <v>1</v>
      </c>
      <c r="S365" s="13">
        <v>8828132636</v>
      </c>
      <c r="T365" s="13" t="s">
        <v>933</v>
      </c>
      <c r="U365" s="19">
        <v>36992000</v>
      </c>
      <c r="V365" s="18">
        <v>1</v>
      </c>
      <c r="W365" s="18">
        <f>_xlfn.XLOOKUP(J365,'Master Data 14-9-2026'!C:C,'Master Data 14-9-2026'!L:L)</f>
        <v>1.5</v>
      </c>
      <c r="X365" s="23">
        <v>36992000</v>
      </c>
      <c r="Y365" s="13" t="s">
        <v>1534</v>
      </c>
      <c r="Z365" s="24" t="str">
        <f>_xlfn.XLOOKUP(J365,'Master Data 14-9-2026'!C:C,'Master Data 14-9-2026'!I:I)</f>
        <v>Ended</v>
      </c>
      <c r="AB365" s="13"/>
      <c r="AC365" s="13"/>
      <c r="AD365" s="13"/>
      <c r="AE365" s="13" t="str">
        <f>_xlfn.XLOOKUP(L365,'[1]ID PROJECT'!E:E,'[1]ID PROJECT'!F:F)</f>
        <v>PRJ-KUT-KPU-TPED-2026-04-00074</v>
      </c>
      <c r="AF365" s="13"/>
      <c r="AG365" s="13"/>
      <c r="AH365" s="65"/>
      <c r="AI365" s="27"/>
    </row>
    <row r="366" spans="1:35" hidden="1">
      <c r="A366" s="13" t="s">
        <v>466</v>
      </c>
      <c r="B366" s="13" t="str">
        <f>_xlfn.XLOOKUP(J366,'Master Data 14-9-2026'!C:C,'Master Data 14-9-2026'!D:D)</f>
        <v>Makarias Lindon Sihombing wx1503643</v>
      </c>
      <c r="C366" s="13"/>
      <c r="D366" s="13" t="str">
        <f>_xlfn.XLOOKUP(J366,'Master Data 14-9-2026'!C:C,'Master Data 14-9-2026'!E:E)</f>
        <v>TELKOMSEL</v>
      </c>
      <c r="E366" s="13"/>
      <c r="F366" s="13"/>
      <c r="G366" s="13" t="s">
        <v>18</v>
      </c>
      <c r="H366" s="13" t="str">
        <f>_xlfn.XLOOKUP(J366,'Master Data 14-9-2026'!C:C,'Master Data 14-9-2026'!H:H)</f>
        <v>2026-05-01 - 2026-05-31</v>
      </c>
      <c r="I366" s="13" t="str">
        <f t="shared" si="5"/>
        <v>May</v>
      </c>
      <c r="J366" s="13" t="s">
        <v>1583</v>
      </c>
      <c r="K366" s="13" t="s">
        <v>1583</v>
      </c>
      <c r="L366" s="13" t="s">
        <v>468</v>
      </c>
      <c r="M366" s="15">
        <v>200003133422020</v>
      </c>
      <c r="N366" s="13" t="s">
        <v>924</v>
      </c>
      <c r="O366" s="13">
        <v>1.09120260625002E+17</v>
      </c>
      <c r="P366" s="13" t="s">
        <v>1584</v>
      </c>
      <c r="Q366" s="18">
        <v>1</v>
      </c>
      <c r="R366" s="18">
        <v>1</v>
      </c>
      <c r="S366" s="13">
        <v>8828132636</v>
      </c>
      <c r="T366" s="13" t="s">
        <v>933</v>
      </c>
      <c r="U366" s="19">
        <v>36992000</v>
      </c>
      <c r="V366" s="18">
        <v>1</v>
      </c>
      <c r="W366" s="18">
        <f>_xlfn.XLOOKUP(J366,'Master Data 14-9-2026'!C:C,'Master Data 14-9-2026'!L:L)</f>
        <v>1.5</v>
      </c>
      <c r="X366" s="23">
        <v>36992000</v>
      </c>
      <c r="Y366" s="13" t="s">
        <v>1534</v>
      </c>
      <c r="Z366" s="24" t="s">
        <v>15</v>
      </c>
      <c r="AA366" s="4" t="s">
        <v>934</v>
      </c>
      <c r="AB366" s="13"/>
      <c r="AC366" s="13"/>
      <c r="AD366" s="13" t="s">
        <v>935</v>
      </c>
      <c r="AE366" s="13" t="str">
        <f>_xlfn.XLOOKUP(L366,'[1]ID PROJECT'!E:E,'[1]ID PROJECT'!F:F)</f>
        <v>PRJ-KUT-KPU-TPED-2026-04-00075</v>
      </c>
      <c r="AF366" s="4" t="s">
        <v>1585</v>
      </c>
      <c r="AG366" s="13" t="s">
        <v>1586</v>
      </c>
      <c r="AH366" s="65">
        <v>46221</v>
      </c>
      <c r="AI366" s="27" t="s">
        <v>938</v>
      </c>
    </row>
    <row r="367" spans="1:35" hidden="1">
      <c r="A367" s="13" t="s">
        <v>466</v>
      </c>
      <c r="B367" s="13" t="str">
        <f>_xlfn.XLOOKUP(J367,'Master Data 14-9-2026'!C:C,'Master Data 14-9-2026'!D:D)</f>
        <v>Makarias Lindon Sihombing wx1503643</v>
      </c>
      <c r="C367" s="13"/>
      <c r="D367" s="13" t="str">
        <f>_xlfn.XLOOKUP(J367,'Master Data 14-9-2026'!C:C,'Master Data 14-9-2026'!E:E)</f>
        <v>TELKOMSEL</v>
      </c>
      <c r="E367" s="13"/>
      <c r="F367" s="13"/>
      <c r="G367" s="13" t="s">
        <v>22</v>
      </c>
      <c r="H367" s="13" t="str">
        <f>_xlfn.XLOOKUP(J367,'Master Data 14-9-2026'!C:C,'Master Data 14-9-2026'!H:H)</f>
        <v>2026-06-01 - 2026-06-30</v>
      </c>
      <c r="I367" s="13" t="str">
        <f t="shared" si="5"/>
        <v>June</v>
      </c>
      <c r="J367" s="13" t="s">
        <v>1587</v>
      </c>
      <c r="K367" s="13" t="s">
        <v>1587</v>
      </c>
      <c r="L367" s="13" t="s">
        <v>468</v>
      </c>
      <c r="M367" s="15">
        <v>200003133441020</v>
      </c>
      <c r="N367" s="13" t="s">
        <v>924</v>
      </c>
      <c r="O367" s="13">
        <v>1.0912026062500301E+17</v>
      </c>
      <c r="P367" s="13" t="s">
        <v>1588</v>
      </c>
      <c r="Q367" s="18">
        <v>1</v>
      </c>
      <c r="R367" s="18">
        <v>1</v>
      </c>
      <c r="S367" s="13">
        <v>8828132636</v>
      </c>
      <c r="T367" s="13" t="s">
        <v>933</v>
      </c>
      <c r="U367" s="19">
        <v>36992000</v>
      </c>
      <c r="V367" s="18">
        <v>1</v>
      </c>
      <c r="W367" s="18">
        <f>_xlfn.XLOOKUP(J367,'Master Data 14-9-2026'!C:C,'Master Data 14-9-2026'!L:L)</f>
        <v>1.5</v>
      </c>
      <c r="X367" s="23">
        <v>36992000</v>
      </c>
      <c r="Y367" s="13" t="s">
        <v>1534</v>
      </c>
      <c r="Z367" s="24" t="str">
        <f>_xlfn.XLOOKUP(J367,'Master Data 14-9-2026'!C:C,'Master Data 14-9-2026'!I:I)</f>
        <v>Ended</v>
      </c>
      <c r="AB367" s="13"/>
      <c r="AC367" s="13"/>
      <c r="AD367" s="13"/>
      <c r="AE367" s="13" t="str">
        <f>_xlfn.XLOOKUP(L367,'[1]ID PROJECT'!E:E,'[1]ID PROJECT'!F:F)</f>
        <v>PRJ-KUT-KPU-TPED-2026-04-00075</v>
      </c>
      <c r="AF367" s="13"/>
      <c r="AG367" s="13"/>
      <c r="AH367" s="65"/>
      <c r="AI367" s="27"/>
    </row>
    <row r="368" spans="1:35" hidden="1">
      <c r="A368" s="13" t="s">
        <v>652</v>
      </c>
      <c r="B368" s="13" t="str">
        <f>_xlfn.XLOOKUP(J368,'Master Data 14-9-2026'!C:C,'Master Data 14-9-2026'!D:D)</f>
        <v>Muhammad Yusuf wx1503989</v>
      </c>
      <c r="C368" s="13"/>
      <c r="D368" s="13" t="str">
        <f>_xlfn.XLOOKUP(J368,'Master Data 14-9-2026'!C:C,'Master Data 14-9-2026'!E:E)</f>
        <v>IOH</v>
      </c>
      <c r="E368" s="13" t="s">
        <v>48</v>
      </c>
      <c r="F368" s="13"/>
      <c r="G368" s="13" t="s">
        <v>18</v>
      </c>
      <c r="H368" s="13" t="str">
        <f>_xlfn.XLOOKUP(J368,'Master Data 14-9-2026'!C:C,'Master Data 14-9-2026'!H:H)</f>
        <v>2026-04-30 - 2026-05-29</v>
      </c>
      <c r="I368" s="13" t="str">
        <f t="shared" si="5"/>
        <v>April</v>
      </c>
      <c r="J368" s="13" t="s">
        <v>1589</v>
      </c>
      <c r="K368" s="13" t="s">
        <v>1589</v>
      </c>
      <c r="L368" s="13" t="s">
        <v>461</v>
      </c>
      <c r="M368" s="15">
        <v>200003133424020</v>
      </c>
      <c r="N368" s="13" t="s">
        <v>924</v>
      </c>
      <c r="O368" s="13">
        <v>1.0912026062500301E+17</v>
      </c>
      <c r="P368" s="13" t="s">
        <v>1590</v>
      </c>
      <c r="Q368" s="18">
        <v>1</v>
      </c>
      <c r="R368" s="18">
        <v>1</v>
      </c>
      <c r="S368" s="13">
        <v>8828132634</v>
      </c>
      <c r="T368" s="13" t="s">
        <v>978</v>
      </c>
      <c r="U368" s="19">
        <v>32542400</v>
      </c>
      <c r="V368" s="18">
        <v>1</v>
      </c>
      <c r="W368" s="18">
        <f>_xlfn.XLOOKUP(J368,'Master Data 14-9-2026'!C:C,'Master Data 14-9-2026'!L:L)</f>
        <v>0</v>
      </c>
      <c r="X368" s="23">
        <v>32542400</v>
      </c>
      <c r="Y368" s="13" t="s">
        <v>1534</v>
      </c>
      <c r="Z368" s="24" t="s">
        <v>15</v>
      </c>
      <c r="AB368" s="13" t="s">
        <v>1070</v>
      </c>
      <c r="AC368" s="13" t="s">
        <v>965</v>
      </c>
      <c r="AD368" s="13"/>
      <c r="AE368" s="13" t="str">
        <f>_xlfn.XLOOKUP(L368,'[1]ID PROJECT'!E:E,'[1]ID PROJECT'!F:F)</f>
        <v>PRJ-KUT-KPU-TPED-2026-04-00078</v>
      </c>
      <c r="AF368" s="13"/>
      <c r="AG368" s="13"/>
      <c r="AH368" s="65"/>
      <c r="AI368" s="27"/>
    </row>
    <row r="369" spans="1:35" hidden="1">
      <c r="A369" s="13" t="s">
        <v>258</v>
      </c>
      <c r="B369" s="13" t="str">
        <f>_xlfn.XLOOKUP(J369,'Master Data 14-9-2026'!C:C,'Master Data 14-9-2026'!D:D)</f>
        <v>F Albert Jacob wx1504717</v>
      </c>
      <c r="C369" s="13"/>
      <c r="D369" s="13" t="str">
        <f>_xlfn.XLOOKUP(J369,'Master Data 14-9-2026'!C:C,'Master Data 14-9-2026'!E:E)</f>
        <v>TELKOMSEL</v>
      </c>
      <c r="E369" s="13"/>
      <c r="F369" s="13"/>
      <c r="G369" s="13" t="s">
        <v>18</v>
      </c>
      <c r="H369" s="13" t="str">
        <f>_xlfn.XLOOKUP(J369,'Master Data 14-9-2026'!C:C,'Master Data 14-9-2026'!H:H)</f>
        <v>2026-04-23 - 2026-05-22</v>
      </c>
      <c r="I369" s="13" t="str">
        <f t="shared" si="5"/>
        <v>April</v>
      </c>
      <c r="J369" s="13" t="s">
        <v>1591</v>
      </c>
      <c r="K369" s="13" t="s">
        <v>1591</v>
      </c>
      <c r="L369" s="13" t="s">
        <v>457</v>
      </c>
      <c r="M369" s="15">
        <v>200003133408020</v>
      </c>
      <c r="N369" s="13" t="s">
        <v>924</v>
      </c>
      <c r="O369" s="13">
        <v>1.0912026062500301E+17</v>
      </c>
      <c r="P369" s="13" t="s">
        <v>1592</v>
      </c>
      <c r="Q369" s="18">
        <v>1</v>
      </c>
      <c r="R369" s="18">
        <v>1</v>
      </c>
      <c r="S369" s="13">
        <v>8828132633</v>
      </c>
      <c r="T369" s="13" t="s">
        <v>951</v>
      </c>
      <c r="U369" s="19">
        <v>28881900</v>
      </c>
      <c r="V369" s="18">
        <v>1</v>
      </c>
      <c r="W369" s="18">
        <f>_xlfn.XLOOKUP(J369,'Master Data 14-9-2026'!C:C,'Master Data 14-9-2026'!L:L)</f>
        <v>1.28</v>
      </c>
      <c r="X369" s="23">
        <v>28881900</v>
      </c>
      <c r="Y369" s="13" t="s">
        <v>1534</v>
      </c>
      <c r="Z369" s="24" t="s">
        <v>15</v>
      </c>
      <c r="AA369" s="4" t="s">
        <v>934</v>
      </c>
      <c r="AB369" s="13"/>
      <c r="AC369" s="13"/>
      <c r="AD369" s="13" t="s">
        <v>935</v>
      </c>
      <c r="AE369" s="13" t="str">
        <f>_xlfn.XLOOKUP(L369,'[1]ID PROJECT'!E:E,'[1]ID PROJECT'!F:F)</f>
        <v>PRJ-KUT-KPU-TPED-2026-04-00076</v>
      </c>
      <c r="AF369" s="34" t="s">
        <v>1593</v>
      </c>
      <c r="AG369" s="13" t="s">
        <v>1594</v>
      </c>
      <c r="AH369" s="65">
        <v>46221</v>
      </c>
      <c r="AI369" s="27" t="s">
        <v>938</v>
      </c>
    </row>
    <row r="370" spans="1:35" hidden="1">
      <c r="A370" s="13" t="s">
        <v>532</v>
      </c>
      <c r="B370" s="13" t="str">
        <f>_xlfn.XLOOKUP(J370,'Master Data 14-9-2026'!C:C,'Master Data 14-9-2026'!D:D)</f>
        <v>Michail Alief wx1524123</v>
      </c>
      <c r="C370" s="13"/>
      <c r="D370" s="13" t="str">
        <f>_xlfn.XLOOKUP(J370,'Master Data 14-9-2026'!C:C,'Master Data 14-9-2026'!E:E)</f>
        <v>TDI Batam</v>
      </c>
      <c r="E370" s="13"/>
      <c r="F370" s="13"/>
      <c r="G370" s="13" t="s">
        <v>13</v>
      </c>
      <c r="H370" s="13" t="str">
        <f>_xlfn.XLOOKUP(J370,'Master Data 14-9-2026'!C:C,'Master Data 14-9-2026'!H:H)</f>
        <v>2026-06-03 - 2026-07-02</v>
      </c>
      <c r="I370" s="13" t="str">
        <f t="shared" si="5"/>
        <v>June</v>
      </c>
      <c r="J370" s="13" t="s">
        <v>1595</v>
      </c>
      <c r="K370" s="13" t="s">
        <v>1268</v>
      </c>
      <c r="L370" s="13" t="s">
        <v>488</v>
      </c>
      <c r="M370" s="15">
        <v>200003138001020</v>
      </c>
      <c r="N370" s="13" t="s">
        <v>924</v>
      </c>
      <c r="O370" s="13">
        <v>1.0912026062300099E+17</v>
      </c>
      <c r="P370" s="13" t="s">
        <v>1491</v>
      </c>
      <c r="Q370" s="18">
        <v>1</v>
      </c>
      <c r="R370" s="18">
        <v>1</v>
      </c>
      <c r="S370" s="13">
        <v>8828132636</v>
      </c>
      <c r="T370" s="13" t="s">
        <v>933</v>
      </c>
      <c r="U370" s="19">
        <v>36992000</v>
      </c>
      <c r="V370" s="18">
        <v>1</v>
      </c>
      <c r="W370" s="18">
        <f>_xlfn.XLOOKUP(J370,'Master Data 14-9-2026'!C:C,'Master Data 14-9-2026'!L:L)</f>
        <v>0</v>
      </c>
      <c r="X370" s="23">
        <v>36992000</v>
      </c>
      <c r="Y370" s="13" t="s">
        <v>1492</v>
      </c>
      <c r="Z370" s="24" t="str">
        <f>_xlfn.XLOOKUP(J370,'Master Data 14-9-2026'!C:C,'Master Data 14-9-2026'!I:I)</f>
        <v>Ended</v>
      </c>
      <c r="AA370" s="4" t="s">
        <v>1288</v>
      </c>
      <c r="AB370" s="40" t="s">
        <v>44</v>
      </c>
      <c r="AC370" s="13"/>
      <c r="AD370" s="13"/>
      <c r="AE370" s="13" t="e">
        <f>_xlfn.XLOOKUP(L370,'[1]ID PROJECT'!E:E,'[1]ID PROJECT'!F:F)</f>
        <v>#N/A</v>
      </c>
      <c r="AF370" s="13"/>
      <c r="AG370" s="13"/>
      <c r="AH370" s="65"/>
      <c r="AI370" s="27"/>
    </row>
    <row r="371" spans="1:35" hidden="1">
      <c r="A371" s="13" t="s">
        <v>740</v>
      </c>
      <c r="B371" s="13" t="str">
        <f>_xlfn.XLOOKUP(J371,'Master Data 14-9-2026'!C:C,'Master Data 14-9-2026'!D:D)</f>
        <v>Laily Kurniawati wx1529051</v>
      </c>
      <c r="C371" s="13"/>
      <c r="D371" s="13" t="str">
        <f>_xlfn.XLOOKUP(J371,'Master Data 14-9-2026'!C:C,'Master Data 14-9-2026'!E:E)</f>
        <v>XLSMART</v>
      </c>
      <c r="E371" s="13"/>
      <c r="F371" s="13"/>
      <c r="G371" s="13" t="s">
        <v>13</v>
      </c>
      <c r="H371" s="13" t="str">
        <f>_xlfn.XLOOKUP(J371,'Master Data 14-9-2026'!C:C,'Master Data 14-9-2026'!H:H)</f>
        <v>2026-07-01 - 2026-07-31</v>
      </c>
      <c r="I371" s="13" t="str">
        <f t="shared" si="5"/>
        <v>July</v>
      </c>
      <c r="J371" s="13" t="s">
        <v>1596</v>
      </c>
      <c r="K371" s="13" t="s">
        <v>1597</v>
      </c>
      <c r="L371" s="13" t="s">
        <v>520</v>
      </c>
      <c r="M371" s="15">
        <v>200003184831020</v>
      </c>
      <c r="N371" s="13" t="s">
        <v>924</v>
      </c>
      <c r="O371" s="13">
        <v>1.09120260710002E+17</v>
      </c>
      <c r="P371" s="13" t="s">
        <v>1598</v>
      </c>
      <c r="Q371" s="18">
        <v>1</v>
      </c>
      <c r="R371" s="18">
        <v>1</v>
      </c>
      <c r="S371" s="13">
        <v>8828132635</v>
      </c>
      <c r="T371" s="13" t="s">
        <v>926</v>
      </c>
      <c r="U371" s="19">
        <v>34220600</v>
      </c>
      <c r="V371" s="18">
        <v>1</v>
      </c>
      <c r="W371" s="18">
        <f>_xlfn.XLOOKUP(J371,'Master Data 14-9-2026'!C:C,'Master Data 14-9-2026'!L:L)</f>
        <v>1.5</v>
      </c>
      <c r="X371" s="23">
        <v>34220600</v>
      </c>
      <c r="Y371" s="13" t="s">
        <v>1599</v>
      </c>
      <c r="Z371" s="24" t="s">
        <v>15</v>
      </c>
      <c r="AA371" s="4" t="s">
        <v>1288</v>
      </c>
      <c r="AB371" s="13" t="s">
        <v>1600</v>
      </c>
      <c r="AC371" s="13"/>
      <c r="AD371" s="13"/>
      <c r="AE371" s="13" t="str">
        <f>_xlfn.XLOOKUP(L371,'[1]ID PROJECT'!E:E,'[1]ID PROJECT'!F:F)</f>
        <v>PRJ-KUT-KPU-TPED-2026-04-00077</v>
      </c>
      <c r="AF371" s="13"/>
      <c r="AG371" s="13"/>
      <c r="AH371" s="65"/>
      <c r="AI371" s="27"/>
    </row>
    <row r="372" spans="1:35" hidden="1">
      <c r="A372" s="13" t="s">
        <v>717</v>
      </c>
      <c r="B372" s="13" t="str">
        <f>_xlfn.XLOOKUP(J372,'Master Data 14-9-2026'!C:C,'Master Data 14-9-2026'!D:D)</f>
        <v>Johannes Julfery Damanik wx1504705</v>
      </c>
      <c r="C372" s="13"/>
      <c r="D372" s="13" t="str">
        <f>_xlfn.XLOOKUP(J372,'Master Data 14-9-2026'!C:C,'Master Data 14-9-2026'!E:E)</f>
        <v>IOH</v>
      </c>
      <c r="E372" s="40" t="s">
        <v>4128</v>
      </c>
      <c r="F372" s="13"/>
      <c r="G372" s="13" t="s">
        <v>22</v>
      </c>
      <c r="H372" s="13" t="str">
        <f>_xlfn.XLOOKUP(J372,'Master Data 14-9-2026'!C:C,'Master Data 14-9-2026'!H:H)</f>
        <v>2026-05-23 - 2026-06-22</v>
      </c>
      <c r="I372" s="13" t="str">
        <f t="shared" si="5"/>
        <v>May</v>
      </c>
      <c r="J372" s="13" t="s">
        <v>1601</v>
      </c>
      <c r="K372" s="13" t="s">
        <v>1602</v>
      </c>
      <c r="L372" s="13" t="s">
        <v>493</v>
      </c>
      <c r="M372" s="15">
        <v>200003184841020</v>
      </c>
      <c r="N372" s="13" t="s">
        <v>924</v>
      </c>
      <c r="O372" s="13">
        <v>1.09120260710002E+17</v>
      </c>
      <c r="P372" s="13" t="s">
        <v>1598</v>
      </c>
      <c r="Q372" s="18">
        <v>2</v>
      </c>
      <c r="R372" s="18">
        <v>1</v>
      </c>
      <c r="S372" s="13">
        <v>8828132635</v>
      </c>
      <c r="T372" s="13" t="s">
        <v>926</v>
      </c>
      <c r="U372" s="19">
        <v>34220600</v>
      </c>
      <c r="V372" s="18">
        <v>1</v>
      </c>
      <c r="W372" s="18">
        <f>_xlfn.XLOOKUP(J372,'Master Data 14-9-2026'!C:C,'Master Data 14-9-2026'!L:L)</f>
        <v>1.5</v>
      </c>
      <c r="X372" s="23">
        <v>34220600</v>
      </c>
      <c r="Y372" s="13" t="s">
        <v>1599</v>
      </c>
      <c r="Z372" s="24" t="s">
        <v>15</v>
      </c>
      <c r="AA372" s="39" t="s">
        <v>4130</v>
      </c>
      <c r="AB372" s="40" t="s">
        <v>4156</v>
      </c>
      <c r="AC372" s="13"/>
      <c r="AD372" s="13"/>
      <c r="AE372" s="13" t="str">
        <f>_xlfn.XLOOKUP(L372,'[1]ID PROJECT'!E:E,'[1]ID PROJECT'!F:F)</f>
        <v>PRJ-KUT-KPU-TPED-2026-04-00079</v>
      </c>
      <c r="AF372" s="13"/>
      <c r="AG372" s="13"/>
      <c r="AH372" s="65"/>
      <c r="AI372" s="27"/>
    </row>
    <row r="373" spans="1:35" hidden="1">
      <c r="A373" s="13" t="s">
        <v>717</v>
      </c>
      <c r="B373" s="13" t="str">
        <f>_xlfn.XLOOKUP(J373,'Master Data 14-9-2026'!C:C,'Master Data 14-9-2026'!D:D)</f>
        <v>Johannes Julfery Damanik wx1504705</v>
      </c>
      <c r="C373" s="13"/>
      <c r="D373" s="13" t="str">
        <f>_xlfn.XLOOKUP(J373,'Master Data 14-9-2026'!C:C,'Master Data 14-9-2026'!E:E)</f>
        <v>IOH</v>
      </c>
      <c r="E373" s="13"/>
      <c r="F373" s="13"/>
      <c r="G373" s="13" t="s">
        <v>25</v>
      </c>
      <c r="H373" s="13" t="str">
        <f>_xlfn.XLOOKUP(J373,'Master Data 14-9-2026'!C:C,'Master Data 14-9-2026'!H:H)</f>
        <v>2026-06-23 - 2026-07-22</v>
      </c>
      <c r="I373" s="13" t="str">
        <f t="shared" si="5"/>
        <v>June</v>
      </c>
      <c r="J373" s="13" t="s">
        <v>1603</v>
      </c>
      <c r="K373" s="13" t="s">
        <v>1602</v>
      </c>
      <c r="L373" s="13" t="s">
        <v>493</v>
      </c>
      <c r="M373" s="15">
        <v>200003184842020</v>
      </c>
      <c r="N373" s="13" t="s">
        <v>924</v>
      </c>
      <c r="O373" s="13">
        <v>1.09120260710002E+17</v>
      </c>
      <c r="P373" s="13" t="s">
        <v>1598</v>
      </c>
      <c r="Q373" s="18">
        <v>3</v>
      </c>
      <c r="R373" s="18">
        <v>1</v>
      </c>
      <c r="S373" s="13">
        <v>8828132635</v>
      </c>
      <c r="T373" s="13" t="s">
        <v>926</v>
      </c>
      <c r="U373" s="19">
        <v>34220600</v>
      </c>
      <c r="V373" s="18">
        <v>1</v>
      </c>
      <c r="W373" s="18">
        <f>_xlfn.XLOOKUP(J373,'Master Data 14-9-2026'!C:C,'Master Data 14-9-2026'!L:L)</f>
        <v>1.07</v>
      </c>
      <c r="X373" s="23">
        <v>34220600</v>
      </c>
      <c r="Y373" s="13" t="s">
        <v>1599</v>
      </c>
      <c r="Z373" s="24" t="str">
        <f>_xlfn.XLOOKUP(J373,'Master Data 14-9-2026'!C:C,'Master Data 14-9-2026'!I:I)</f>
        <v>Ended</v>
      </c>
      <c r="AA373" s="4" t="s">
        <v>1288</v>
      </c>
      <c r="AB373" s="13" t="s">
        <v>1600</v>
      </c>
      <c r="AC373" s="13"/>
      <c r="AD373" s="13"/>
      <c r="AE373" s="13" t="str">
        <f>_xlfn.XLOOKUP(L373,'[1]ID PROJECT'!E:E,'[1]ID PROJECT'!F:F)</f>
        <v>PRJ-KUT-KPU-TPED-2026-04-00079</v>
      </c>
      <c r="AF373" s="13"/>
      <c r="AG373" s="13"/>
      <c r="AH373" s="65"/>
      <c r="AI373" s="27"/>
    </row>
    <row r="374" spans="1:35" hidden="1">
      <c r="A374" s="13" t="s">
        <v>717</v>
      </c>
      <c r="B374" s="13" t="str">
        <f>_xlfn.XLOOKUP(J374,'Master Data 14-9-2026'!C:C,'Master Data 14-9-2026'!D:D)</f>
        <v>Johannes Julfery Damanik wx1504705</v>
      </c>
      <c r="C374" s="13"/>
      <c r="D374" s="13" t="str">
        <f>_xlfn.XLOOKUP(J374,'Master Data 14-9-2026'!C:C,'Master Data 14-9-2026'!E:E)</f>
        <v>IOH</v>
      </c>
      <c r="E374" s="40" t="s">
        <v>4128</v>
      </c>
      <c r="F374" s="13"/>
      <c r="G374" s="13" t="s">
        <v>28</v>
      </c>
      <c r="H374" s="13" t="str">
        <f>_xlfn.XLOOKUP(J374,'Master Data 14-9-2026'!C:C,'Master Data 14-9-2026'!H:H)</f>
        <v>2026-07-23 - 2026-08-22</v>
      </c>
      <c r="I374" s="13" t="str">
        <f t="shared" si="5"/>
        <v>July</v>
      </c>
      <c r="J374" s="13" t="s">
        <v>1604</v>
      </c>
      <c r="K374" s="13" t="s">
        <v>1602</v>
      </c>
      <c r="L374" s="13" t="str">
        <f>_xlfn.XLOOKUP(J374,'Master Data 14-9-2026'!C:C,'Master Data 14-9-2026'!F:F)</f>
        <v>Kalimantan</v>
      </c>
      <c r="M374" s="15">
        <v>200003184843020</v>
      </c>
      <c r="N374" s="13" t="s">
        <v>924</v>
      </c>
      <c r="O374" s="13">
        <v>1.09120260710002E+17</v>
      </c>
      <c r="P374" s="13" t="s">
        <v>1598</v>
      </c>
      <c r="Q374" s="18">
        <v>4</v>
      </c>
      <c r="R374" s="18">
        <v>1</v>
      </c>
      <c r="S374" s="13">
        <v>8828132635</v>
      </c>
      <c r="T374" s="13" t="s">
        <v>926</v>
      </c>
      <c r="U374" s="19">
        <v>34220600</v>
      </c>
      <c r="V374" s="18">
        <v>1</v>
      </c>
      <c r="W374" s="18">
        <f>_xlfn.XLOOKUP(J374,'Master Data 14-9-2026'!C:C,'Master Data 14-9-2026'!L:L)</f>
        <v>1</v>
      </c>
      <c r="X374" s="23">
        <v>34220600</v>
      </c>
      <c r="Y374" s="13" t="s">
        <v>1599</v>
      </c>
      <c r="Z374" s="24" t="str">
        <f>_xlfn.XLOOKUP(J374,'Master Data 14-9-2026'!C:C,'Master Data 14-9-2026'!I:I)</f>
        <v>Ended</v>
      </c>
      <c r="AA374" s="39" t="s">
        <v>4130</v>
      </c>
      <c r="AB374" s="40" t="s">
        <v>4156</v>
      </c>
      <c r="AC374" s="13"/>
      <c r="AD374" s="13"/>
      <c r="AE374" s="13" t="str">
        <f>_xlfn.XLOOKUP(L374,'[1]ID PROJECT'!E:E,'[1]ID PROJECT'!F:F)</f>
        <v>PRJ-KUT-KPU-TPED-2026-04-00079</v>
      </c>
      <c r="AF374" s="13"/>
      <c r="AG374" s="13"/>
      <c r="AH374" s="65"/>
      <c r="AI374" s="27"/>
    </row>
    <row r="375" spans="1:35" hidden="1">
      <c r="A375" s="13" t="s">
        <v>93</v>
      </c>
      <c r="B375" s="13" t="str">
        <f>_xlfn.XLOOKUP(J375,'Master Data 14-9-2026'!C:C,'Master Data 14-9-2026'!D:D)</f>
        <v>Fadhlan Adha wx1524099</v>
      </c>
      <c r="C375" s="13"/>
      <c r="D375" s="13" t="str">
        <f>_xlfn.XLOOKUP(J375,'Master Data 14-9-2026'!C:C,'Master Data 14-9-2026'!E:E)</f>
        <v>XLSMART</v>
      </c>
      <c r="E375" s="13"/>
      <c r="F375" s="13"/>
      <c r="G375" s="13" t="s">
        <v>13</v>
      </c>
      <c r="H375" s="13" t="str">
        <f>_xlfn.XLOOKUP(J375,'Master Data 14-9-2026'!C:C,'Master Data 14-9-2026'!H:H)</f>
        <v>2026-06-02 - 2026-07-01</v>
      </c>
      <c r="I375" s="13" t="str">
        <f t="shared" si="5"/>
        <v>June</v>
      </c>
      <c r="J375" s="13" t="s">
        <v>1605</v>
      </c>
      <c r="K375" s="13" t="s">
        <v>1606</v>
      </c>
      <c r="L375" s="13" t="s">
        <v>441</v>
      </c>
      <c r="M375" s="15">
        <v>200003184844020</v>
      </c>
      <c r="N375" s="13" t="s">
        <v>924</v>
      </c>
      <c r="O375" s="13">
        <v>1.09120260710002E+17</v>
      </c>
      <c r="P375" s="13" t="s">
        <v>1598</v>
      </c>
      <c r="Q375" s="18">
        <v>5</v>
      </c>
      <c r="R375" s="18">
        <v>1</v>
      </c>
      <c r="S375" s="13">
        <v>8828132633</v>
      </c>
      <c r="T375" s="13" t="s">
        <v>951</v>
      </c>
      <c r="U375" s="19">
        <v>28881900</v>
      </c>
      <c r="V375" s="18">
        <v>1</v>
      </c>
      <c r="W375" s="18">
        <f>_xlfn.XLOOKUP(J375,'Master Data 14-9-2026'!C:C,'Master Data 14-9-2026'!L:L)</f>
        <v>1.42</v>
      </c>
      <c r="X375" s="23">
        <v>28881900</v>
      </c>
      <c r="Y375" s="13" t="s">
        <v>1599</v>
      </c>
      <c r="Z375" s="24" t="str">
        <f>_xlfn.XLOOKUP(J375,'Master Data 14-9-2026'!C:C,'Master Data 14-9-2026'!I:I)</f>
        <v>Ended</v>
      </c>
      <c r="AA375" s="4" t="s">
        <v>1288</v>
      </c>
      <c r="AB375" s="13" t="s">
        <v>1600</v>
      </c>
      <c r="AC375" s="13"/>
      <c r="AD375" s="13"/>
      <c r="AE375" s="13" t="str">
        <f>_xlfn.XLOOKUP(L375,'[1]ID PROJECT'!E:E,'[1]ID PROJECT'!F:F)</f>
        <v xml:space="preserve">PRJ-KUT-KPU-TPED-2026-04-00071 </v>
      </c>
      <c r="AF375" s="13"/>
      <c r="AG375" s="13"/>
      <c r="AH375" s="65"/>
      <c r="AI375" s="27"/>
    </row>
    <row r="376" spans="1:35" hidden="1">
      <c r="A376" s="13" t="s">
        <v>93</v>
      </c>
      <c r="B376" s="13" t="str">
        <f>_xlfn.XLOOKUP(J376,'Master Data 14-9-2026'!C:C,'Master Data 14-9-2026'!D:D)</f>
        <v>Fadhlan Adha wx1524099</v>
      </c>
      <c r="C376" s="13"/>
      <c r="D376" s="13" t="str">
        <f>_xlfn.XLOOKUP(J376,'Master Data 14-9-2026'!C:C,'Master Data 14-9-2026'!E:E)</f>
        <v>XLSMART</v>
      </c>
      <c r="E376" s="13"/>
      <c r="F376" s="13"/>
      <c r="G376" s="13" t="s">
        <v>18</v>
      </c>
      <c r="H376" s="13" t="str">
        <f>_xlfn.XLOOKUP(J376,'Master Data 14-9-2026'!C:C,'Master Data 14-9-2026'!H:H)</f>
        <v>2026-07-02 - 2026-08-01</v>
      </c>
      <c r="I376" s="13" t="str">
        <f t="shared" si="5"/>
        <v>July</v>
      </c>
      <c r="J376" s="13" t="s">
        <v>1607</v>
      </c>
      <c r="K376" s="13" t="s">
        <v>1606</v>
      </c>
      <c r="L376" s="13" t="s">
        <v>441</v>
      </c>
      <c r="M376" s="15">
        <v>200003184845020</v>
      </c>
      <c r="N376" s="13" t="s">
        <v>924</v>
      </c>
      <c r="O376" s="13">
        <v>1.09120260710002E+17</v>
      </c>
      <c r="P376" s="13" t="s">
        <v>1598</v>
      </c>
      <c r="Q376" s="18">
        <v>6</v>
      </c>
      <c r="R376" s="18">
        <v>1</v>
      </c>
      <c r="S376" s="13">
        <v>8828132633</v>
      </c>
      <c r="T376" s="13" t="s">
        <v>951</v>
      </c>
      <c r="U376" s="19">
        <v>28881900</v>
      </c>
      <c r="V376" s="18">
        <v>1</v>
      </c>
      <c r="W376" s="18">
        <f>_xlfn.XLOOKUP(J376,'Master Data 14-9-2026'!C:C,'Master Data 14-9-2026'!L:L)</f>
        <v>1.5</v>
      </c>
      <c r="X376" s="23">
        <v>28881900</v>
      </c>
      <c r="Y376" s="13" t="s">
        <v>1599</v>
      </c>
      <c r="Z376" s="24" t="s">
        <v>984</v>
      </c>
      <c r="AA376" s="4" t="s">
        <v>1288</v>
      </c>
      <c r="AB376" s="13" t="s">
        <v>1600</v>
      </c>
      <c r="AC376" s="13"/>
      <c r="AD376" s="13"/>
      <c r="AE376" s="13" t="str">
        <f>_xlfn.XLOOKUP(L376,'[1]ID PROJECT'!E:E,'[1]ID PROJECT'!F:F)</f>
        <v xml:space="preserve">PRJ-KUT-KPU-TPED-2026-04-00071 </v>
      </c>
      <c r="AF376" s="13"/>
      <c r="AG376" s="13"/>
      <c r="AH376" s="65"/>
      <c r="AI376" s="27"/>
    </row>
    <row r="377" spans="1:35" hidden="1">
      <c r="A377" s="13" t="s">
        <v>358</v>
      </c>
      <c r="B377" s="13" t="str">
        <f>_xlfn.XLOOKUP(J377,'Master Data 14-9-2026'!C:C,'Master Data 14-9-2026'!D:D)</f>
        <v>Rizky Aisyah Rahmawati wx1524116</v>
      </c>
      <c r="C377" s="13"/>
      <c r="D377" s="13" t="str">
        <f>_xlfn.XLOOKUP(J377,'Master Data 14-9-2026'!C:C,'Master Data 14-9-2026'!E:E)</f>
        <v>XLSMART</v>
      </c>
      <c r="E377" s="13"/>
      <c r="F377" s="13"/>
      <c r="G377" s="13" t="s">
        <v>13</v>
      </c>
      <c r="H377" s="13" t="str">
        <f>_xlfn.XLOOKUP(J377,'Master Data 14-9-2026'!C:C,'Master Data 14-9-2026'!H:H)</f>
        <v>2026-06-02 - 2026-07-01</v>
      </c>
      <c r="I377" s="13" t="str">
        <f t="shared" si="5"/>
        <v>June</v>
      </c>
      <c r="J377" s="13" t="s">
        <v>1608</v>
      </c>
      <c r="K377" s="13" t="s">
        <v>1606</v>
      </c>
      <c r="L377" s="13" t="s">
        <v>441</v>
      </c>
      <c r="M377" s="15">
        <v>200003184846020</v>
      </c>
      <c r="N377" s="13" t="s">
        <v>924</v>
      </c>
      <c r="O377" s="13">
        <v>1.09120260710002E+17</v>
      </c>
      <c r="P377" s="13" t="s">
        <v>1598</v>
      </c>
      <c r="Q377" s="18">
        <v>7</v>
      </c>
      <c r="R377" s="18">
        <v>1</v>
      </c>
      <c r="S377" s="13">
        <v>8828132633</v>
      </c>
      <c r="T377" s="13" t="s">
        <v>951</v>
      </c>
      <c r="U377" s="19">
        <v>28881900</v>
      </c>
      <c r="V377" s="18">
        <v>1</v>
      </c>
      <c r="W377" s="18">
        <f>_xlfn.XLOOKUP(J377,'Master Data 14-9-2026'!C:C,'Master Data 14-9-2026'!L:L)</f>
        <v>0.5</v>
      </c>
      <c r="X377" s="23">
        <v>28881900</v>
      </c>
      <c r="Y377" s="13" t="s">
        <v>1599</v>
      </c>
      <c r="Z377" s="24" t="str">
        <f>_xlfn.XLOOKUP(J377,'Master Data 14-9-2026'!C:C,'Master Data 14-9-2026'!I:I)</f>
        <v>Ended</v>
      </c>
      <c r="AA377" s="4" t="s">
        <v>1288</v>
      </c>
      <c r="AB377" s="13" t="s">
        <v>1289</v>
      </c>
      <c r="AC377" s="13"/>
      <c r="AD377" s="13"/>
      <c r="AE377" s="13" t="str">
        <f>_xlfn.XLOOKUP(L377,'[1]ID PROJECT'!E:E,'[1]ID PROJECT'!F:F)</f>
        <v xml:space="preserve">PRJ-KUT-KPU-TPED-2026-04-00071 </v>
      </c>
      <c r="AF377" s="13"/>
      <c r="AG377" s="13"/>
      <c r="AH377" s="65"/>
      <c r="AI377" s="27"/>
    </row>
    <row r="378" spans="1:35" ht="12.75" hidden="1" customHeight="1">
      <c r="A378" s="13" t="s">
        <v>358</v>
      </c>
      <c r="B378" s="13" t="str">
        <f>_xlfn.XLOOKUP(J378,'Master Data 14-9-2026'!C:C,'Master Data 14-9-2026'!D:D)</f>
        <v>Rizky Aisyah Rahmawati wx1524116</v>
      </c>
      <c r="C378" s="13"/>
      <c r="D378" s="13" t="str">
        <f>_xlfn.XLOOKUP(J378,'Master Data 14-9-2026'!C:C,'Master Data 14-9-2026'!E:E)</f>
        <v>XLSMART</v>
      </c>
      <c r="E378" s="13"/>
      <c r="F378" s="13"/>
      <c r="G378" s="13" t="s">
        <v>18</v>
      </c>
      <c r="H378" s="13" t="str">
        <f>_xlfn.XLOOKUP(J378,'Master Data 14-9-2026'!C:C,'Master Data 14-9-2026'!H:H)</f>
        <v>2026-07-02 - 2026-08-01</v>
      </c>
      <c r="I378" s="13" t="str">
        <f t="shared" si="5"/>
        <v>July</v>
      </c>
      <c r="J378" s="13" t="s">
        <v>1609</v>
      </c>
      <c r="K378" s="13" t="s">
        <v>1606</v>
      </c>
      <c r="L378" s="13" t="s">
        <v>441</v>
      </c>
      <c r="M378" s="15">
        <v>200003184847020</v>
      </c>
      <c r="N378" s="13" t="s">
        <v>924</v>
      </c>
      <c r="O378" s="13">
        <v>1.09120260710002E+17</v>
      </c>
      <c r="P378" s="13" t="s">
        <v>1598</v>
      </c>
      <c r="Q378" s="18">
        <v>8</v>
      </c>
      <c r="R378" s="18">
        <v>1</v>
      </c>
      <c r="S378" s="13">
        <v>8828132633</v>
      </c>
      <c r="T378" s="13" t="s">
        <v>951</v>
      </c>
      <c r="U378" s="19">
        <v>28881900</v>
      </c>
      <c r="V378" s="18">
        <v>1</v>
      </c>
      <c r="W378" s="18">
        <f>_xlfn.XLOOKUP(J378,'Master Data 14-9-2026'!C:C,'Master Data 14-9-2026'!L:L)</f>
        <v>0.5</v>
      </c>
      <c r="X378" s="23">
        <v>28881900</v>
      </c>
      <c r="Y378" s="13" t="s">
        <v>1599</v>
      </c>
      <c r="Z378" s="24" t="s">
        <v>984</v>
      </c>
      <c r="AA378" s="4" t="s">
        <v>1288</v>
      </c>
      <c r="AB378" s="13" t="s">
        <v>1289</v>
      </c>
      <c r="AC378" s="13"/>
      <c r="AD378" s="13"/>
      <c r="AE378" s="13" t="str">
        <f>_xlfn.XLOOKUP(L378,'[1]ID PROJECT'!E:E,'[1]ID PROJECT'!F:F)</f>
        <v xml:space="preserve">PRJ-KUT-KPU-TPED-2026-04-00071 </v>
      </c>
      <c r="AF378" s="13"/>
      <c r="AG378" s="13"/>
      <c r="AH378" s="65"/>
      <c r="AI378" s="27"/>
    </row>
    <row r="379" spans="1:35" hidden="1">
      <c r="A379" s="13" t="s">
        <v>799</v>
      </c>
      <c r="B379" s="13" t="str">
        <f>_xlfn.XLOOKUP(J379,'Master Data 14-9-2026'!C:C,'Master Data 14-9-2026'!D:D)</f>
        <v>Ody Rifandi wx1524109</v>
      </c>
      <c r="C379" s="13"/>
      <c r="D379" s="13" t="str">
        <f>_xlfn.XLOOKUP(J379,'Master Data 14-9-2026'!C:C,'Master Data 14-9-2026'!E:E)</f>
        <v>XLSMART</v>
      </c>
      <c r="E379" s="13"/>
      <c r="F379" s="13"/>
      <c r="G379" s="13" t="s">
        <v>13</v>
      </c>
      <c r="H379" s="13" t="str">
        <f>_xlfn.XLOOKUP(J379,'Master Data 14-9-2026'!C:C,'Master Data 14-9-2026'!H:H)</f>
        <v>2026-06-02 - 2026-07-01</v>
      </c>
      <c r="I379" s="13" t="str">
        <f t="shared" si="5"/>
        <v>June</v>
      </c>
      <c r="J379" s="13" t="s">
        <v>1610</v>
      </c>
      <c r="K379" s="13" t="s">
        <v>1606</v>
      </c>
      <c r="L379" s="13" t="s">
        <v>461</v>
      </c>
      <c r="M379" s="15">
        <v>200003184848020</v>
      </c>
      <c r="N379" s="13" t="s">
        <v>924</v>
      </c>
      <c r="O379" s="13">
        <v>1.09120260710002E+17</v>
      </c>
      <c r="P379" s="13" t="s">
        <v>1598</v>
      </c>
      <c r="Q379" s="18">
        <v>9</v>
      </c>
      <c r="R379" s="18">
        <v>1</v>
      </c>
      <c r="S379" s="13">
        <v>8828132635</v>
      </c>
      <c r="T379" s="13" t="s">
        <v>926</v>
      </c>
      <c r="U379" s="19">
        <v>34220600</v>
      </c>
      <c r="V379" s="18">
        <v>1</v>
      </c>
      <c r="W379" s="18">
        <f>_xlfn.XLOOKUP(J379,'Master Data 14-9-2026'!C:C,'Master Data 14-9-2026'!L:L)</f>
        <v>1</v>
      </c>
      <c r="X379" s="23">
        <v>34220600</v>
      </c>
      <c r="Y379" s="13" t="s">
        <v>1599</v>
      </c>
      <c r="Z379" s="24" t="str">
        <f>_xlfn.XLOOKUP(J379,'Master Data 14-9-2026'!C:C,'Master Data 14-9-2026'!I:I)</f>
        <v>Ended</v>
      </c>
      <c r="AA379" s="4" t="s">
        <v>934</v>
      </c>
      <c r="AB379" s="13"/>
      <c r="AC379" s="13"/>
      <c r="AD379" s="13" t="s">
        <v>935</v>
      </c>
      <c r="AE379" s="13" t="str">
        <f>_xlfn.XLOOKUP(L379,'[1]ID PROJECT'!E:E,'[1]ID PROJECT'!F:F)</f>
        <v>PRJ-KUT-KPU-TPED-2026-04-00078</v>
      </c>
      <c r="AF379" s="4" t="s">
        <v>1611</v>
      </c>
      <c r="AG379" s="13" t="s">
        <v>1612</v>
      </c>
      <c r="AH379" s="65">
        <v>46260</v>
      </c>
      <c r="AI379" s="27" t="s">
        <v>1175</v>
      </c>
    </row>
    <row r="380" spans="1:35" hidden="1">
      <c r="A380" s="13" t="s">
        <v>799</v>
      </c>
      <c r="B380" s="13" t="str">
        <f>_xlfn.XLOOKUP(J380,'Master Data 14-9-2026'!C:C,'Master Data 14-9-2026'!D:D)</f>
        <v>Ody Rifandi wx1524109</v>
      </c>
      <c r="C380" s="13"/>
      <c r="D380" s="13" t="str">
        <f>_xlfn.XLOOKUP(J380,'Master Data 14-9-2026'!C:C,'Master Data 14-9-2026'!E:E)</f>
        <v>XLSMART</v>
      </c>
      <c r="E380" s="13"/>
      <c r="F380" s="13"/>
      <c r="G380" s="13" t="s">
        <v>18</v>
      </c>
      <c r="H380" s="13" t="str">
        <f>_xlfn.XLOOKUP(J380,'Master Data 14-9-2026'!C:C,'Master Data 14-9-2026'!H:H)</f>
        <v>2026-07-02 - 2026-08-01</v>
      </c>
      <c r="I380" s="13" t="str">
        <f t="shared" si="5"/>
        <v>July</v>
      </c>
      <c r="J380" s="13" t="s">
        <v>1613</v>
      </c>
      <c r="K380" s="13" t="s">
        <v>1606</v>
      </c>
      <c r="L380" s="13" t="s">
        <v>461</v>
      </c>
      <c r="M380" s="15">
        <v>200003184849020</v>
      </c>
      <c r="N380" s="13" t="s">
        <v>924</v>
      </c>
      <c r="O380" s="13">
        <v>1.09120260710002E+17</v>
      </c>
      <c r="P380" s="13" t="s">
        <v>1598</v>
      </c>
      <c r="Q380" s="18">
        <v>10</v>
      </c>
      <c r="R380" s="18">
        <v>1</v>
      </c>
      <c r="S380" s="13">
        <v>8828132635</v>
      </c>
      <c r="T380" s="13" t="s">
        <v>926</v>
      </c>
      <c r="U380" s="19">
        <v>34220600</v>
      </c>
      <c r="V380" s="18">
        <v>1</v>
      </c>
      <c r="W380" s="18">
        <f>_xlfn.XLOOKUP(J380,'Master Data 14-9-2026'!C:C,'Master Data 14-9-2026'!L:L)</f>
        <v>1.17</v>
      </c>
      <c r="X380" s="23">
        <v>34220600</v>
      </c>
      <c r="Y380" s="13" t="s">
        <v>1599</v>
      </c>
      <c r="Z380" s="24" t="s">
        <v>15</v>
      </c>
      <c r="AA380" s="4" t="s">
        <v>1288</v>
      </c>
      <c r="AB380" s="13" t="s">
        <v>1600</v>
      </c>
      <c r="AC380" s="13"/>
      <c r="AD380" s="13"/>
      <c r="AE380" s="13" t="str">
        <f>_xlfn.XLOOKUP(L380,'[1]ID PROJECT'!E:E,'[1]ID PROJECT'!F:F)</f>
        <v>PRJ-KUT-KPU-TPED-2026-04-00078</v>
      </c>
      <c r="AF380" s="13"/>
      <c r="AG380" s="13"/>
      <c r="AH380" s="65"/>
      <c r="AI380" s="27"/>
    </row>
    <row r="381" spans="1:35" hidden="1">
      <c r="A381" s="13" t="s">
        <v>768</v>
      </c>
      <c r="B381" s="13" t="str">
        <f>_xlfn.XLOOKUP(J381,'Master Data 14-9-2026'!C:C,'Master Data 14-9-2026'!D:D)</f>
        <v>Ilham Yoga Pamungkas wx1524108</v>
      </c>
      <c r="C381" s="13"/>
      <c r="D381" s="13" t="str">
        <f>_xlfn.XLOOKUP(J381,'Master Data 14-9-2026'!C:C,'Master Data 14-9-2026'!E:E)</f>
        <v>XLSMART</v>
      </c>
      <c r="E381" s="13"/>
      <c r="F381" s="13"/>
      <c r="G381" s="13" t="s">
        <v>13</v>
      </c>
      <c r="H381" s="13" t="str">
        <f>_xlfn.XLOOKUP(J381,'Master Data 14-9-2026'!C:C,'Master Data 14-9-2026'!H:H)</f>
        <v>2026-06-02 - 2026-07-01</v>
      </c>
      <c r="I381" s="13" t="str">
        <f t="shared" si="5"/>
        <v>June</v>
      </c>
      <c r="J381" s="13" t="s">
        <v>1614</v>
      </c>
      <c r="K381" s="13" t="s">
        <v>1606</v>
      </c>
      <c r="L381" s="13" t="s">
        <v>461</v>
      </c>
      <c r="M381" s="15">
        <v>200003184850020</v>
      </c>
      <c r="N381" s="13" t="s">
        <v>924</v>
      </c>
      <c r="O381" s="13">
        <v>1.09120260710002E+17</v>
      </c>
      <c r="P381" s="13" t="s">
        <v>1598</v>
      </c>
      <c r="Q381" s="18">
        <v>11</v>
      </c>
      <c r="R381" s="18">
        <v>1</v>
      </c>
      <c r="S381" s="13">
        <v>8828132635</v>
      </c>
      <c r="T381" s="13" t="s">
        <v>926</v>
      </c>
      <c r="U381" s="19">
        <v>34220600</v>
      </c>
      <c r="V381" s="18">
        <v>1</v>
      </c>
      <c r="W381" s="18">
        <f>_xlfn.XLOOKUP(J381,'Master Data 14-9-2026'!C:C,'Master Data 14-9-2026'!L:L)</f>
        <v>1</v>
      </c>
      <c r="X381" s="23">
        <v>34220600</v>
      </c>
      <c r="Y381" s="13" t="s">
        <v>1599</v>
      </c>
      <c r="Z381" s="24" t="str">
        <f>_xlfn.XLOOKUP(J381,'Master Data 14-9-2026'!C:C,'Master Data 14-9-2026'!I:I)</f>
        <v>Ended</v>
      </c>
      <c r="AA381" s="4" t="s">
        <v>934</v>
      </c>
      <c r="AB381" s="13"/>
      <c r="AC381" s="13"/>
      <c r="AD381" s="13" t="s">
        <v>935</v>
      </c>
      <c r="AE381" s="13" t="str">
        <f>_xlfn.XLOOKUP(L381,'[1]ID PROJECT'!E:E,'[1]ID PROJECT'!F:F)</f>
        <v>PRJ-KUT-KPU-TPED-2026-04-00078</v>
      </c>
      <c r="AF381" s="4" t="s">
        <v>1611</v>
      </c>
      <c r="AG381" s="13" t="s">
        <v>1612</v>
      </c>
      <c r="AH381" s="65">
        <v>46260</v>
      </c>
      <c r="AI381" s="27" t="s">
        <v>1175</v>
      </c>
    </row>
    <row r="382" spans="1:35" hidden="1">
      <c r="A382" s="13" t="s">
        <v>768</v>
      </c>
      <c r="B382" s="13" t="str">
        <f>_xlfn.XLOOKUP(J382,'Master Data 14-9-2026'!C:C,'Master Data 14-9-2026'!D:D)</f>
        <v>Ilham Yoga Pamungkas wx1524108</v>
      </c>
      <c r="C382" s="13"/>
      <c r="D382" s="13" t="str">
        <f>_xlfn.XLOOKUP(J382,'Master Data 14-9-2026'!C:C,'Master Data 14-9-2026'!E:E)</f>
        <v>XLSMART</v>
      </c>
      <c r="E382" s="13"/>
      <c r="F382" s="13"/>
      <c r="G382" s="13" t="s">
        <v>18</v>
      </c>
      <c r="H382" s="13" t="str">
        <f>_xlfn.XLOOKUP(J382,'Master Data 14-9-2026'!C:C,'Master Data 14-9-2026'!H:H)</f>
        <v>2026-07-02 - 2026-08-01</v>
      </c>
      <c r="I382" s="13" t="str">
        <f t="shared" si="5"/>
        <v>July</v>
      </c>
      <c r="J382" s="13" t="s">
        <v>1615</v>
      </c>
      <c r="K382" s="13" t="s">
        <v>1606</v>
      </c>
      <c r="L382" s="13" t="s">
        <v>461</v>
      </c>
      <c r="M382" s="15">
        <v>200003184851020</v>
      </c>
      <c r="N382" s="13" t="s">
        <v>924</v>
      </c>
      <c r="O382" s="13">
        <v>1.09120260710002E+17</v>
      </c>
      <c r="P382" s="13" t="s">
        <v>1598</v>
      </c>
      <c r="Q382" s="18">
        <v>12</v>
      </c>
      <c r="R382" s="18">
        <v>1</v>
      </c>
      <c r="S382" s="13">
        <v>8828132635</v>
      </c>
      <c r="T382" s="13" t="s">
        <v>926</v>
      </c>
      <c r="U382" s="19">
        <v>34220600</v>
      </c>
      <c r="V382" s="18">
        <v>1</v>
      </c>
      <c r="W382" s="18">
        <f>_xlfn.XLOOKUP(J382,'Master Data 14-9-2026'!C:C,'Master Data 14-9-2026'!L:L)</f>
        <v>1</v>
      </c>
      <c r="X382" s="23">
        <v>34220600</v>
      </c>
      <c r="Y382" s="13" t="s">
        <v>1599</v>
      </c>
      <c r="Z382" s="24" t="str">
        <f>_xlfn.XLOOKUP(J382,'Master Data 14-9-2026'!C:C,'Master Data 14-9-2026'!I:I)</f>
        <v>Ended</v>
      </c>
      <c r="AA382" s="4" t="s">
        <v>934</v>
      </c>
      <c r="AB382" s="13"/>
      <c r="AC382" s="13"/>
      <c r="AD382" s="13" t="s">
        <v>935</v>
      </c>
      <c r="AE382" s="13" t="str">
        <f>_xlfn.XLOOKUP(L382,'[1]ID PROJECT'!E:E,'[1]ID PROJECT'!F:F)</f>
        <v>PRJ-KUT-KPU-TPED-2026-04-00078</v>
      </c>
      <c r="AF382" s="4" t="s">
        <v>1611</v>
      </c>
      <c r="AG382" s="13" t="s">
        <v>1612</v>
      </c>
      <c r="AH382" s="65">
        <v>46260</v>
      </c>
      <c r="AI382" s="27" t="s">
        <v>1175</v>
      </c>
    </row>
    <row r="383" spans="1:35" hidden="1">
      <c r="A383" s="13" t="s">
        <v>328</v>
      </c>
      <c r="B383" s="13" t="str">
        <f>_xlfn.XLOOKUP(J383,'Master Data 14-9-2026'!C:C,'Master Data 14-9-2026'!D:D)</f>
        <v>Erianty Rahma Witra wx1529071</v>
      </c>
      <c r="C383" s="13"/>
      <c r="D383" s="13" t="str">
        <f>_xlfn.XLOOKUP(J383,'Master Data 14-9-2026'!C:C,'Master Data 14-9-2026'!E:E)</f>
        <v>XLSMART</v>
      </c>
      <c r="E383" s="13"/>
      <c r="F383" s="13"/>
      <c r="G383" s="13" t="s">
        <v>13</v>
      </c>
      <c r="H383" s="13" t="str">
        <f>_xlfn.XLOOKUP(J383,'Master Data 14-9-2026'!C:C,'Master Data 14-9-2026'!H:H)</f>
        <v>2026-07-01 - 2026-07-31</v>
      </c>
      <c r="I383" s="13" t="str">
        <f t="shared" si="5"/>
        <v>July</v>
      </c>
      <c r="J383" s="13" t="s">
        <v>1616</v>
      </c>
      <c r="K383" s="13" t="s">
        <v>1606</v>
      </c>
      <c r="L383" s="13" t="s">
        <v>441</v>
      </c>
      <c r="M383" s="15">
        <v>200003184852020</v>
      </c>
      <c r="N383" s="13" t="s">
        <v>924</v>
      </c>
      <c r="O383" s="13">
        <v>1.09120260710002E+17</v>
      </c>
      <c r="P383" s="13" t="s">
        <v>1598</v>
      </c>
      <c r="Q383" s="18">
        <v>13</v>
      </c>
      <c r="R383" s="18">
        <v>1</v>
      </c>
      <c r="S383" s="13">
        <v>8828132633</v>
      </c>
      <c r="T383" s="13" t="s">
        <v>951</v>
      </c>
      <c r="U383" s="19">
        <v>28881900</v>
      </c>
      <c r="V383" s="18">
        <v>1</v>
      </c>
      <c r="W383" s="18">
        <f>_xlfn.XLOOKUP(J383,'Master Data 14-9-2026'!C:C,'Master Data 14-9-2026'!L:L)</f>
        <v>0</v>
      </c>
      <c r="X383" s="23">
        <v>28881900</v>
      </c>
      <c r="Y383" s="13" t="s">
        <v>1599</v>
      </c>
      <c r="Z383" s="24" t="s">
        <v>984</v>
      </c>
      <c r="AB383" s="40" t="s">
        <v>44</v>
      </c>
      <c r="AC383" s="13"/>
      <c r="AD383" s="13"/>
      <c r="AE383" s="13" t="str">
        <f>_xlfn.XLOOKUP(L383,'[1]ID PROJECT'!E:E,'[1]ID PROJECT'!F:F)</f>
        <v xml:space="preserve">PRJ-KUT-KPU-TPED-2026-04-00071 </v>
      </c>
      <c r="AF383" s="13"/>
      <c r="AG383" s="13"/>
      <c r="AH383" s="65"/>
      <c r="AI383" s="27"/>
    </row>
    <row r="384" spans="1:35" hidden="1">
      <c r="A384" s="13" t="s">
        <v>886</v>
      </c>
      <c r="B384" s="13" t="str">
        <f>_xlfn.XLOOKUP(J384,'Master Data 14-9-2026'!C:C,'Master Data 14-9-2026'!D:D)</f>
        <v>Hanafi Salim Siagian wx1529070</v>
      </c>
      <c r="C384" s="13"/>
      <c r="D384" s="13" t="str">
        <f>_xlfn.XLOOKUP(J384,'Master Data 14-9-2026'!C:C,'Master Data 14-9-2026'!E:E)</f>
        <v>XLSMART</v>
      </c>
      <c r="E384" s="13"/>
      <c r="F384" s="13"/>
      <c r="G384" s="13" t="s">
        <v>13</v>
      </c>
      <c r="H384" s="13" t="str">
        <f>_xlfn.XLOOKUP(J384,'Master Data 14-9-2026'!C:C,'Master Data 14-9-2026'!H:H)</f>
        <v>2026-07-01 - 2026-07-31</v>
      </c>
      <c r="I384" s="13" t="str">
        <f t="shared" si="5"/>
        <v>July</v>
      </c>
      <c r="J384" s="13" t="s">
        <v>1617</v>
      </c>
      <c r="K384" s="13" t="s">
        <v>1606</v>
      </c>
      <c r="L384" s="13" t="s">
        <v>461</v>
      </c>
      <c r="M384" s="15">
        <v>200003184853020</v>
      </c>
      <c r="N384" s="13" t="s">
        <v>924</v>
      </c>
      <c r="O384" s="13">
        <v>1.09120260710002E+17</v>
      </c>
      <c r="P384" s="13" t="s">
        <v>1598</v>
      </c>
      <c r="Q384" s="18">
        <v>14</v>
      </c>
      <c r="R384" s="18">
        <v>1</v>
      </c>
      <c r="S384" s="13">
        <v>8828132635</v>
      </c>
      <c r="T384" s="13" t="s">
        <v>926</v>
      </c>
      <c r="U384" s="19">
        <v>34220600</v>
      </c>
      <c r="V384" s="18">
        <v>1</v>
      </c>
      <c r="W384" s="18">
        <f>_xlfn.XLOOKUP(J384,'Master Data 14-9-2026'!C:C,'Master Data 14-9-2026'!L:L)</f>
        <v>0</v>
      </c>
      <c r="X384" s="23">
        <v>34220600</v>
      </c>
      <c r="Y384" s="13" t="s">
        <v>1599</v>
      </c>
      <c r="Z384" s="24" t="s">
        <v>15</v>
      </c>
      <c r="AA384" s="4" t="s">
        <v>1288</v>
      </c>
      <c r="AB384" s="40" t="s">
        <v>44</v>
      </c>
      <c r="AC384" s="13"/>
      <c r="AD384" s="13"/>
      <c r="AE384" s="13" t="str">
        <f>_xlfn.XLOOKUP(L384,'[1]ID PROJECT'!E:E,'[1]ID PROJECT'!F:F)</f>
        <v>PRJ-KUT-KPU-TPED-2026-04-00078</v>
      </c>
      <c r="AF384" s="13"/>
      <c r="AG384" s="13"/>
      <c r="AH384" s="65"/>
      <c r="AI384" s="27"/>
    </row>
    <row r="385" spans="1:35" hidden="1">
      <c r="A385" s="13" t="s">
        <v>825</v>
      </c>
      <c r="B385" s="13" t="str">
        <f>_xlfn.XLOOKUP(J385,'Master Data 14-9-2026'!C:C,'Master Data 14-9-2026'!D:D)</f>
        <v>Robby Anggara wx1529073</v>
      </c>
      <c r="C385" s="13"/>
      <c r="D385" s="13" t="str">
        <f>_xlfn.XLOOKUP(J385,'Master Data 14-9-2026'!C:C,'Master Data 14-9-2026'!E:E)</f>
        <v>XLSMART</v>
      </c>
      <c r="E385" s="13"/>
      <c r="F385" s="13"/>
      <c r="G385" s="13" t="s">
        <v>13</v>
      </c>
      <c r="H385" s="13" t="str">
        <f>_xlfn.XLOOKUP(J385,'Master Data 14-9-2026'!C:C,'Master Data 14-9-2026'!H:H)</f>
        <v>2026-07-01 - 2026-07-31</v>
      </c>
      <c r="I385" s="13" t="str">
        <f t="shared" si="5"/>
        <v>July</v>
      </c>
      <c r="J385" s="13" t="s">
        <v>1618</v>
      </c>
      <c r="K385" s="13" t="s">
        <v>1606</v>
      </c>
      <c r="L385" s="13" t="s">
        <v>461</v>
      </c>
      <c r="M385" s="15">
        <v>200003184854020</v>
      </c>
      <c r="N385" s="13" t="s">
        <v>924</v>
      </c>
      <c r="O385" s="13">
        <v>1.09120260710002E+17</v>
      </c>
      <c r="P385" s="13" t="s">
        <v>1598</v>
      </c>
      <c r="Q385" s="18">
        <v>15</v>
      </c>
      <c r="R385" s="18">
        <v>1</v>
      </c>
      <c r="S385" s="13">
        <v>8828132635</v>
      </c>
      <c r="T385" s="13" t="s">
        <v>926</v>
      </c>
      <c r="U385" s="19">
        <v>34220600</v>
      </c>
      <c r="V385" s="18">
        <v>1</v>
      </c>
      <c r="W385" s="18">
        <f>_xlfn.XLOOKUP(J385,'Master Data 14-9-2026'!C:C,'Master Data 14-9-2026'!L:L)</f>
        <v>0</v>
      </c>
      <c r="X385" s="23">
        <v>34220600</v>
      </c>
      <c r="Y385" s="13" t="s">
        <v>1599</v>
      </c>
      <c r="Z385" s="24" t="s">
        <v>15</v>
      </c>
      <c r="AA385" s="4" t="s">
        <v>1288</v>
      </c>
      <c r="AB385" s="40" t="s">
        <v>44</v>
      </c>
      <c r="AC385" s="13"/>
      <c r="AD385" s="13"/>
      <c r="AE385" s="13" t="str">
        <f>_xlfn.XLOOKUP(L385,'[1]ID PROJECT'!E:E,'[1]ID PROJECT'!F:F)</f>
        <v>PRJ-KUT-KPU-TPED-2026-04-00078</v>
      </c>
      <c r="AF385" s="13"/>
      <c r="AG385" s="13"/>
      <c r="AH385" s="65"/>
      <c r="AI385" s="27"/>
    </row>
    <row r="386" spans="1:35" hidden="1">
      <c r="A386" s="13" t="s">
        <v>476</v>
      </c>
      <c r="B386" s="13" t="str">
        <f>_xlfn.XLOOKUP(J386,'Master Data 14-9-2026'!C:C,'Master Data 14-9-2026'!D:D)</f>
        <v>Teguh Prasetya wx1529072</v>
      </c>
      <c r="C386" s="13"/>
      <c r="D386" s="13" t="str">
        <f>_xlfn.XLOOKUP(J386,'Master Data 14-9-2026'!C:C,'Master Data 14-9-2026'!E:E)</f>
        <v>XLSMART</v>
      </c>
      <c r="E386" s="13"/>
      <c r="F386" s="13"/>
      <c r="G386" s="13" t="s">
        <v>13</v>
      </c>
      <c r="H386" s="13" t="str">
        <f>_xlfn.XLOOKUP(J386,'Master Data 14-9-2026'!C:C,'Master Data 14-9-2026'!H:H)</f>
        <v>2026-07-01 - 2026-07-31</v>
      </c>
      <c r="I386" s="13" t="str">
        <f t="shared" si="5"/>
        <v>July</v>
      </c>
      <c r="J386" s="13" t="s">
        <v>1619</v>
      </c>
      <c r="K386" s="13" t="s">
        <v>1606</v>
      </c>
      <c r="L386" s="13" t="s">
        <v>461</v>
      </c>
      <c r="M386" s="15">
        <v>200003184855020</v>
      </c>
      <c r="N386" s="13" t="s">
        <v>924</v>
      </c>
      <c r="O386" s="13">
        <v>1.09120260710002E+17</v>
      </c>
      <c r="P386" s="13" t="s">
        <v>1598</v>
      </c>
      <c r="Q386" s="18">
        <v>16</v>
      </c>
      <c r="R386" s="18">
        <v>1</v>
      </c>
      <c r="S386" s="13">
        <v>8828132636</v>
      </c>
      <c r="T386" s="13" t="s">
        <v>933</v>
      </c>
      <c r="U386" s="19">
        <v>36992000</v>
      </c>
      <c r="V386" s="18">
        <v>1</v>
      </c>
      <c r="W386" s="18">
        <f>_xlfn.XLOOKUP(J386,'Master Data 14-9-2026'!C:C,'Master Data 14-9-2026'!L:L)</f>
        <v>1.5</v>
      </c>
      <c r="X386" s="23">
        <v>36992000</v>
      </c>
      <c r="Y386" s="13" t="s">
        <v>1599</v>
      </c>
      <c r="Z386" s="24" t="s">
        <v>15</v>
      </c>
      <c r="AA386" s="4" t="s">
        <v>1288</v>
      </c>
      <c r="AB386" s="13" t="s">
        <v>1600</v>
      </c>
      <c r="AC386" s="13"/>
      <c r="AD386" s="13"/>
      <c r="AE386" s="13" t="str">
        <f>_xlfn.XLOOKUP(L386,'[1]ID PROJECT'!E:E,'[1]ID PROJECT'!F:F)</f>
        <v>PRJ-KUT-KPU-TPED-2026-04-00078</v>
      </c>
      <c r="AF386" s="13"/>
      <c r="AG386" s="13"/>
      <c r="AH386" s="65"/>
      <c r="AI386" s="27"/>
    </row>
    <row r="387" spans="1:35" hidden="1">
      <c r="A387" s="13" t="s">
        <v>864</v>
      </c>
      <c r="B387" s="13" t="str">
        <f>_xlfn.XLOOKUP(J387,'Master Data 14-9-2026'!C:C,'Master Data 14-9-2026'!D:D)</f>
        <v>Abdurrasyid Malvin Nugraha wx1524073</v>
      </c>
      <c r="C387" s="13"/>
      <c r="D387" s="13" t="str">
        <f>_xlfn.XLOOKUP(J387,'Master Data 14-9-2026'!C:C,'Master Data 14-9-2026'!E:E)</f>
        <v>XLSMART</v>
      </c>
      <c r="E387" s="13"/>
      <c r="F387" s="13"/>
      <c r="G387" s="13" t="s">
        <v>13</v>
      </c>
      <c r="H387" s="13" t="str">
        <f>_xlfn.XLOOKUP(J387,'Master Data 14-9-2026'!C:C,'Master Data 14-9-2026'!H:H)</f>
        <v>2026-06-02 - 2026-07-01</v>
      </c>
      <c r="I387" s="13" t="str">
        <f t="shared" ref="I387:I450" si="6">TEXT(DATEVALUE(LEFT(H387,10)),"mmmm")</f>
        <v>June</v>
      </c>
      <c r="J387" s="13" t="s">
        <v>1620</v>
      </c>
      <c r="K387" s="13" t="s">
        <v>1621</v>
      </c>
      <c r="L387" s="13" t="s">
        <v>475</v>
      </c>
      <c r="M387" s="15">
        <v>200003184863020</v>
      </c>
      <c r="N387" s="13" t="s">
        <v>924</v>
      </c>
      <c r="O387" s="13">
        <v>1.09120260710002E+17</v>
      </c>
      <c r="P387" s="13" t="s">
        <v>1598</v>
      </c>
      <c r="Q387" s="18">
        <v>17</v>
      </c>
      <c r="R387" s="18">
        <v>1</v>
      </c>
      <c r="S387" s="13">
        <v>8828132635</v>
      </c>
      <c r="T387" s="13" t="s">
        <v>926</v>
      </c>
      <c r="U387" s="19">
        <v>34220600</v>
      </c>
      <c r="V387" s="18">
        <v>1</v>
      </c>
      <c r="W387" s="18">
        <f>_xlfn.XLOOKUP(J387,'Master Data 14-9-2026'!C:C,'Master Data 14-9-2026'!L:L)</f>
        <v>0</v>
      </c>
      <c r="X387" s="23">
        <v>34220600</v>
      </c>
      <c r="Y387" s="13" t="s">
        <v>1599</v>
      </c>
      <c r="Z387" s="24" t="str">
        <f>_xlfn.XLOOKUP(J387,'Master Data 14-9-2026'!C:C,'Master Data 14-9-2026'!I:I)</f>
        <v>Ended</v>
      </c>
      <c r="AA387" s="4" t="s">
        <v>1288</v>
      </c>
      <c r="AB387" s="40" t="s">
        <v>44</v>
      </c>
      <c r="AC387" s="13"/>
      <c r="AD387" s="13"/>
      <c r="AE387" s="13" t="str">
        <f>_xlfn.XLOOKUP(L387,'[1]ID PROJECT'!E:E,'[1]ID PROJECT'!F:F)</f>
        <v>PRJ-KUT-KPU-TPED-2026-04-00074</v>
      </c>
      <c r="AF387" s="13"/>
      <c r="AG387" s="13"/>
      <c r="AH387" s="65"/>
      <c r="AI387" s="27"/>
    </row>
    <row r="388" spans="1:35" hidden="1">
      <c r="A388" s="13" t="s">
        <v>864</v>
      </c>
      <c r="B388" s="13" t="str">
        <f>_xlfn.XLOOKUP(J388,'Master Data 14-9-2026'!C:C,'Master Data 14-9-2026'!D:D)</f>
        <v>Abdurrasyid Malvin Nugraha wx1524073</v>
      </c>
      <c r="C388" s="13"/>
      <c r="D388" s="13" t="str">
        <f>_xlfn.XLOOKUP(J388,'Master Data 14-9-2026'!C:C,'Master Data 14-9-2026'!E:E)</f>
        <v>XLSMART</v>
      </c>
      <c r="E388" s="13"/>
      <c r="F388" s="13"/>
      <c r="G388" s="13" t="s">
        <v>18</v>
      </c>
      <c r="H388" s="13" t="str">
        <f>_xlfn.XLOOKUP(J388,'Master Data 14-9-2026'!C:C,'Master Data 14-9-2026'!H:H)</f>
        <v>2026-07-02 - 2026-08-01</v>
      </c>
      <c r="I388" s="13" t="str">
        <f t="shared" si="6"/>
        <v>July</v>
      </c>
      <c r="J388" s="13" t="s">
        <v>1622</v>
      </c>
      <c r="K388" s="13" t="s">
        <v>1621</v>
      </c>
      <c r="L388" s="13" t="s">
        <v>475</v>
      </c>
      <c r="M388" s="15">
        <v>200003184864020</v>
      </c>
      <c r="N388" s="13" t="s">
        <v>924</v>
      </c>
      <c r="O388" s="13">
        <v>1.09120260710002E+17</v>
      </c>
      <c r="P388" s="13" t="s">
        <v>1598</v>
      </c>
      <c r="Q388" s="18">
        <v>18</v>
      </c>
      <c r="R388" s="18">
        <v>1</v>
      </c>
      <c r="S388" s="13">
        <v>8828132635</v>
      </c>
      <c r="T388" s="13" t="s">
        <v>926</v>
      </c>
      <c r="U388" s="19">
        <v>34220600</v>
      </c>
      <c r="V388" s="18">
        <v>1</v>
      </c>
      <c r="W388" s="18">
        <f>_xlfn.XLOOKUP(J388,'Master Data 14-9-2026'!C:C,'Master Data 14-9-2026'!L:L)</f>
        <v>0</v>
      </c>
      <c r="X388" s="23">
        <v>34220600</v>
      </c>
      <c r="Y388" s="13" t="s">
        <v>1599</v>
      </c>
      <c r="Z388" s="24" t="s">
        <v>15</v>
      </c>
      <c r="AA388" s="4" t="s">
        <v>1288</v>
      </c>
      <c r="AB388" s="40" t="s">
        <v>44</v>
      </c>
      <c r="AC388" s="13"/>
      <c r="AD388" s="13"/>
      <c r="AE388" s="13" t="str">
        <f>_xlfn.XLOOKUP(L388,'[1]ID PROJECT'!E:E,'[1]ID PROJECT'!F:F)</f>
        <v>PRJ-KUT-KPU-TPED-2026-04-00074</v>
      </c>
      <c r="AF388" s="13"/>
      <c r="AG388" s="13"/>
      <c r="AH388" s="65"/>
      <c r="AI388" s="27"/>
    </row>
    <row r="389" spans="1:35" hidden="1">
      <c r="A389" s="13" t="s">
        <v>676</v>
      </c>
      <c r="B389" s="13" t="str">
        <f>_xlfn.XLOOKUP(J389,'Master Data 14-9-2026'!C:C,'Master Data 14-9-2026'!D:D)</f>
        <v>DENI MUHAMMAD ARIF FRIMALDI WX1521787</v>
      </c>
      <c r="C389" s="13"/>
      <c r="D389" s="13" t="str">
        <f>_xlfn.XLOOKUP(J389,'Master Data 14-9-2026'!C:C,'Master Data 14-9-2026'!E:E)</f>
        <v>XLSMART</v>
      </c>
      <c r="E389" s="13"/>
      <c r="F389" s="13"/>
      <c r="G389" s="13" t="s">
        <v>18</v>
      </c>
      <c r="H389" s="13" t="str">
        <f>_xlfn.XLOOKUP(J389,'Master Data 14-9-2026'!C:C,'Master Data 14-9-2026'!H:H)</f>
        <v>2026-06-20 - 2026-07-19</v>
      </c>
      <c r="I389" s="13" t="str">
        <f t="shared" si="6"/>
        <v>June</v>
      </c>
      <c r="J389" s="13" t="s">
        <v>1623</v>
      </c>
      <c r="K389" s="13" t="s">
        <v>1004</v>
      </c>
      <c r="L389" s="13" t="s">
        <v>441</v>
      </c>
      <c r="M389" s="15">
        <v>200003186188020</v>
      </c>
      <c r="N389" s="13" t="s">
        <v>924</v>
      </c>
      <c r="O389" s="13">
        <v>1.09120260710002E+17</v>
      </c>
      <c r="P389" s="13" t="s">
        <v>1598</v>
      </c>
      <c r="Q389" s="18">
        <v>19</v>
      </c>
      <c r="R389" s="18">
        <v>1</v>
      </c>
      <c r="S389" s="13">
        <v>8828132634</v>
      </c>
      <c r="T389" s="13" t="s">
        <v>978</v>
      </c>
      <c r="U389" s="19">
        <v>32542400</v>
      </c>
      <c r="V389" s="18">
        <v>1</v>
      </c>
      <c r="W389" s="18">
        <f>_xlfn.XLOOKUP(J389,'Master Data 14-9-2026'!C:C,'Master Data 14-9-2026'!L:L)</f>
        <v>0.5</v>
      </c>
      <c r="X389" s="23">
        <v>32542400</v>
      </c>
      <c r="Y389" s="13" t="s">
        <v>1599</v>
      </c>
      <c r="Z389" s="24" t="str">
        <f>_xlfn.XLOOKUP(J389,'Master Data 14-9-2026'!C:C,'Master Data 14-9-2026'!I:I)</f>
        <v>Ended</v>
      </c>
      <c r="AA389" s="4" t="s">
        <v>1288</v>
      </c>
      <c r="AB389" s="13" t="s">
        <v>1289</v>
      </c>
      <c r="AC389" s="13"/>
      <c r="AD389" s="13"/>
      <c r="AE389" s="13" t="str">
        <f>_xlfn.XLOOKUP(L389,'[1]ID PROJECT'!E:E,'[1]ID PROJECT'!F:F)</f>
        <v xml:space="preserve">PRJ-KUT-KPU-TPED-2026-04-00071 </v>
      </c>
      <c r="AF389" s="13"/>
      <c r="AG389" s="13"/>
      <c r="AH389" s="65"/>
      <c r="AI389" s="27"/>
    </row>
    <row r="390" spans="1:35" hidden="1">
      <c r="A390" s="13" t="s">
        <v>676</v>
      </c>
      <c r="B390" s="13" t="str">
        <f>_xlfn.XLOOKUP(J390,'Master Data 14-9-2026'!C:C,'Master Data 14-9-2026'!D:D)</f>
        <v>DENI MUHAMMAD ARIF FRIMALDI WX1521787</v>
      </c>
      <c r="C390" s="13"/>
      <c r="D390" s="13" t="str">
        <f>_xlfn.XLOOKUP(J390,'Master Data 14-9-2026'!C:C,'Master Data 14-9-2026'!E:E)</f>
        <v>XLSMART</v>
      </c>
      <c r="E390" s="13"/>
      <c r="F390" s="13"/>
      <c r="G390" s="13" t="s">
        <v>22</v>
      </c>
      <c r="H390" s="13" t="str">
        <f>_xlfn.XLOOKUP(J390,'Master Data 14-9-2026'!C:C,'Master Data 14-9-2026'!H:H)</f>
        <v>2026-07-20 - 2026-08-19</v>
      </c>
      <c r="I390" s="13" t="str">
        <f t="shared" si="6"/>
        <v>July</v>
      </c>
      <c r="J390" s="13" t="s">
        <v>1624</v>
      </c>
      <c r="K390" s="13" t="s">
        <v>1004</v>
      </c>
      <c r="L390" s="13" t="s">
        <v>441</v>
      </c>
      <c r="M390" s="15">
        <v>200003186189020</v>
      </c>
      <c r="N390" s="13" t="s">
        <v>924</v>
      </c>
      <c r="O390" s="13">
        <v>1.09120260710002E+17</v>
      </c>
      <c r="P390" s="13" t="s">
        <v>1598</v>
      </c>
      <c r="Q390" s="18">
        <v>20</v>
      </c>
      <c r="R390" s="18">
        <v>1</v>
      </c>
      <c r="S390" s="13">
        <v>8828132634</v>
      </c>
      <c r="T390" s="13" t="s">
        <v>978</v>
      </c>
      <c r="U390" s="19">
        <v>32542400</v>
      </c>
      <c r="V390" s="18">
        <v>1</v>
      </c>
      <c r="W390" s="18">
        <f>_xlfn.XLOOKUP(J390,'Master Data 14-9-2026'!C:C,'Master Data 14-9-2026'!L:L)</f>
        <v>0.5</v>
      </c>
      <c r="X390" s="23">
        <v>32542400</v>
      </c>
      <c r="Y390" s="13" t="s">
        <v>1599</v>
      </c>
      <c r="Z390" s="24" t="s">
        <v>15</v>
      </c>
      <c r="AA390" s="4" t="s">
        <v>1288</v>
      </c>
      <c r="AB390" s="13"/>
      <c r="AC390" s="13"/>
      <c r="AD390" s="13"/>
      <c r="AE390" s="13" t="str">
        <f>_xlfn.XLOOKUP(L390,'[1]ID PROJECT'!E:E,'[1]ID PROJECT'!F:F)</f>
        <v xml:space="preserve">PRJ-KUT-KPU-TPED-2026-04-00071 </v>
      </c>
      <c r="AF390" s="13"/>
      <c r="AG390" s="13"/>
      <c r="AH390" s="65"/>
      <c r="AI390" s="27"/>
    </row>
    <row r="391" spans="1:35" hidden="1">
      <c r="A391" s="13" t="s">
        <v>684</v>
      </c>
      <c r="B391" s="13" t="str">
        <f>_xlfn.XLOOKUP(J391,'Master Data 14-9-2026'!C:C,'Master Data 14-9-2026'!D:D)</f>
        <v>MUHAMMAD IRHAS wx1521789</v>
      </c>
      <c r="C391" s="13"/>
      <c r="D391" s="13" t="str">
        <f>_xlfn.XLOOKUP(J391,'Master Data 14-9-2026'!C:C,'Master Data 14-9-2026'!E:E)</f>
        <v>XLSMART</v>
      </c>
      <c r="E391" s="13"/>
      <c r="F391" s="13"/>
      <c r="G391" s="13" t="s">
        <v>18</v>
      </c>
      <c r="H391" s="13" t="str">
        <f>_xlfn.XLOOKUP(J391,'Master Data 14-9-2026'!C:C,'Master Data 14-9-2026'!H:H)</f>
        <v>2026-06-20 - 2026-07-19</v>
      </c>
      <c r="I391" s="13" t="str">
        <f t="shared" si="6"/>
        <v>June</v>
      </c>
      <c r="J391" s="13" t="s">
        <v>1625</v>
      </c>
      <c r="K391" s="13" t="s">
        <v>1004</v>
      </c>
      <c r="L391" s="13" t="s">
        <v>441</v>
      </c>
      <c r="M391" s="15">
        <v>200003186190020</v>
      </c>
      <c r="N391" s="13" t="s">
        <v>924</v>
      </c>
      <c r="O391" s="13">
        <v>1.09120260710002E+17</v>
      </c>
      <c r="P391" s="13" t="s">
        <v>1598</v>
      </c>
      <c r="Q391" s="18">
        <v>21</v>
      </c>
      <c r="R391" s="18">
        <v>1</v>
      </c>
      <c r="S391" s="13">
        <v>8828132634</v>
      </c>
      <c r="T391" s="13" t="s">
        <v>978</v>
      </c>
      <c r="U391" s="19">
        <v>32542400</v>
      </c>
      <c r="V391" s="18">
        <v>1</v>
      </c>
      <c r="W391" s="18">
        <f>_xlfn.XLOOKUP(J391,'Master Data 14-9-2026'!C:C,'Master Data 14-9-2026'!L:L)</f>
        <v>0.5</v>
      </c>
      <c r="X391" s="23">
        <v>32542400</v>
      </c>
      <c r="Y391" s="13" t="s">
        <v>1599</v>
      </c>
      <c r="Z391" s="24" t="str">
        <f>_xlfn.XLOOKUP(J391,'Master Data 14-9-2026'!C:C,'Master Data 14-9-2026'!I:I)</f>
        <v>Ended</v>
      </c>
      <c r="AA391" s="4" t="s">
        <v>1288</v>
      </c>
      <c r="AB391" s="13" t="s">
        <v>1289</v>
      </c>
      <c r="AC391" s="13"/>
      <c r="AD391" s="13"/>
      <c r="AE391" s="13" t="str">
        <f>_xlfn.XLOOKUP(L391,'[1]ID PROJECT'!E:E,'[1]ID PROJECT'!F:F)</f>
        <v xml:space="preserve">PRJ-KUT-KPU-TPED-2026-04-00071 </v>
      </c>
      <c r="AF391" s="13"/>
      <c r="AG391" s="13"/>
      <c r="AH391" s="65"/>
      <c r="AI391" s="27"/>
    </row>
    <row r="392" spans="1:35" hidden="1">
      <c r="A392" s="13" t="s">
        <v>684</v>
      </c>
      <c r="B392" s="13" t="str">
        <f>_xlfn.XLOOKUP(J392,'Master Data 14-9-2026'!C:C,'Master Data 14-9-2026'!D:D)</f>
        <v>MUHAMMAD IRHAS wx1521789</v>
      </c>
      <c r="C392" s="13"/>
      <c r="D392" s="13" t="str">
        <f>_xlfn.XLOOKUP(J392,'Master Data 14-9-2026'!C:C,'Master Data 14-9-2026'!E:E)</f>
        <v>XLSMART</v>
      </c>
      <c r="E392" s="13"/>
      <c r="F392" s="13"/>
      <c r="G392" s="13" t="s">
        <v>22</v>
      </c>
      <c r="H392" s="13" t="str">
        <f>_xlfn.XLOOKUP(J392,'Master Data 14-9-2026'!C:C,'Master Data 14-9-2026'!H:H)</f>
        <v>2026-07-20 - 2026-08-19</v>
      </c>
      <c r="I392" s="13" t="str">
        <f t="shared" si="6"/>
        <v>July</v>
      </c>
      <c r="J392" s="13" t="s">
        <v>1626</v>
      </c>
      <c r="K392" s="13" t="s">
        <v>1004</v>
      </c>
      <c r="L392" s="13" t="s">
        <v>441</v>
      </c>
      <c r="M392" s="15">
        <v>200003186191020</v>
      </c>
      <c r="N392" s="13" t="s">
        <v>924</v>
      </c>
      <c r="O392" s="13">
        <v>1.09120260710002E+17</v>
      </c>
      <c r="P392" s="13" t="s">
        <v>1598</v>
      </c>
      <c r="Q392" s="18">
        <v>22</v>
      </c>
      <c r="R392" s="18">
        <v>1</v>
      </c>
      <c r="S392" s="13">
        <v>8828132634</v>
      </c>
      <c r="T392" s="13" t="s">
        <v>978</v>
      </c>
      <c r="U392" s="19">
        <v>32542400</v>
      </c>
      <c r="V392" s="18">
        <v>1</v>
      </c>
      <c r="W392" s="18">
        <f>_xlfn.XLOOKUP(J392,'Master Data 14-9-2026'!C:C,'Master Data 14-9-2026'!L:L)</f>
        <v>0.69</v>
      </c>
      <c r="X392" s="23">
        <v>32542400</v>
      </c>
      <c r="Y392" s="13" t="s">
        <v>1599</v>
      </c>
      <c r="Z392" s="24" t="s">
        <v>15</v>
      </c>
      <c r="AA392" s="4" t="s">
        <v>1288</v>
      </c>
      <c r="AB392" s="13" t="s">
        <v>1289</v>
      </c>
      <c r="AC392" s="13"/>
      <c r="AD392" s="13"/>
      <c r="AE392" s="13" t="str">
        <f>_xlfn.XLOOKUP(L392,'[1]ID PROJECT'!E:E,'[1]ID PROJECT'!F:F)</f>
        <v xml:space="preserve">PRJ-KUT-KPU-TPED-2026-04-00071 </v>
      </c>
      <c r="AF392" s="13"/>
      <c r="AG392" s="13"/>
      <c r="AH392" s="65"/>
      <c r="AI392" s="27"/>
    </row>
    <row r="393" spans="1:35" hidden="1">
      <c r="A393" s="13" t="s">
        <v>692</v>
      </c>
      <c r="B393" s="13" t="str">
        <f>_xlfn.XLOOKUP(J393,'Master Data 14-9-2026'!C:C,'Master Data 14-9-2026'!D:D)</f>
        <v>R Muhammad Valdi Pramudika W wx1521786</v>
      </c>
      <c r="C393" s="13"/>
      <c r="D393" s="13" t="str">
        <f>_xlfn.XLOOKUP(J393,'Master Data 14-9-2026'!C:C,'Master Data 14-9-2026'!E:E)</f>
        <v>XLSMART</v>
      </c>
      <c r="E393" s="13"/>
      <c r="F393" s="13"/>
      <c r="G393" s="13" t="s">
        <v>18</v>
      </c>
      <c r="H393" s="13" t="str">
        <f>_xlfn.XLOOKUP(J393,'Master Data 14-9-2026'!C:C,'Master Data 14-9-2026'!H:H)</f>
        <v>2026-06-20 - 2026-07-19</v>
      </c>
      <c r="I393" s="13" t="str">
        <f t="shared" si="6"/>
        <v>June</v>
      </c>
      <c r="J393" s="13" t="s">
        <v>1627</v>
      </c>
      <c r="K393" s="13" t="s">
        <v>1004</v>
      </c>
      <c r="L393" s="13" t="s">
        <v>441</v>
      </c>
      <c r="M393" s="15">
        <v>200003186192020</v>
      </c>
      <c r="N393" s="13" t="s">
        <v>924</v>
      </c>
      <c r="O393" s="13">
        <v>1.09120260710002E+17</v>
      </c>
      <c r="P393" s="13" t="s">
        <v>1598</v>
      </c>
      <c r="Q393" s="18">
        <v>23</v>
      </c>
      <c r="R393" s="18">
        <v>1</v>
      </c>
      <c r="S393" s="13">
        <v>8828132634</v>
      </c>
      <c r="T393" s="13" t="s">
        <v>978</v>
      </c>
      <c r="U393" s="19">
        <v>32542400</v>
      </c>
      <c r="V393" s="18">
        <v>1</v>
      </c>
      <c r="W393" s="18">
        <f>_xlfn.XLOOKUP(J393,'Master Data 14-9-2026'!C:C,'Master Data 14-9-2026'!L:L)</f>
        <v>0.5</v>
      </c>
      <c r="X393" s="23">
        <v>32542400</v>
      </c>
      <c r="Y393" s="13" t="s">
        <v>1599</v>
      </c>
      <c r="Z393" s="24" t="str">
        <f>_xlfn.XLOOKUP(J393,'Master Data 14-9-2026'!C:C,'Master Data 14-9-2026'!I:I)</f>
        <v>Ended</v>
      </c>
      <c r="AA393" s="4" t="s">
        <v>1288</v>
      </c>
      <c r="AB393" s="13" t="s">
        <v>1289</v>
      </c>
      <c r="AC393" s="13"/>
      <c r="AD393" s="13"/>
      <c r="AE393" s="13" t="str">
        <f>_xlfn.XLOOKUP(L393,'[1]ID PROJECT'!E:E,'[1]ID PROJECT'!F:F)</f>
        <v xml:space="preserve">PRJ-KUT-KPU-TPED-2026-04-00071 </v>
      </c>
      <c r="AF393" s="13"/>
      <c r="AG393" s="13"/>
      <c r="AH393" s="65"/>
      <c r="AI393" s="27"/>
    </row>
    <row r="394" spans="1:35" hidden="1">
      <c r="A394" s="13" t="s">
        <v>692</v>
      </c>
      <c r="B394" s="13" t="str">
        <f>_xlfn.XLOOKUP(J394,'Master Data 14-9-2026'!C:C,'Master Data 14-9-2026'!D:D)</f>
        <v>R Muhammad Valdi Pramudika W wx1521786</v>
      </c>
      <c r="C394" s="13"/>
      <c r="D394" s="13" t="str">
        <f>_xlfn.XLOOKUP(J394,'Master Data 14-9-2026'!C:C,'Master Data 14-9-2026'!E:E)</f>
        <v>XLSMART</v>
      </c>
      <c r="E394" s="13"/>
      <c r="F394" s="13"/>
      <c r="G394" s="13" t="s">
        <v>22</v>
      </c>
      <c r="H394" s="13" t="str">
        <f>_xlfn.XLOOKUP(J394,'Master Data 14-9-2026'!C:C,'Master Data 14-9-2026'!H:H)</f>
        <v>2026-07-20 - 2026-08-19</v>
      </c>
      <c r="I394" s="13" t="str">
        <f t="shared" si="6"/>
        <v>July</v>
      </c>
      <c r="J394" s="13" t="s">
        <v>1628</v>
      </c>
      <c r="K394" s="13" t="s">
        <v>1004</v>
      </c>
      <c r="L394" s="13" t="s">
        <v>441</v>
      </c>
      <c r="M394" s="15">
        <v>200003186193020</v>
      </c>
      <c r="N394" s="13" t="s">
        <v>924</v>
      </c>
      <c r="O394" s="13">
        <v>1.09120260710002E+17</v>
      </c>
      <c r="P394" s="13" t="s">
        <v>1598</v>
      </c>
      <c r="Q394" s="18">
        <v>24</v>
      </c>
      <c r="R394" s="18">
        <v>1</v>
      </c>
      <c r="S394" s="13">
        <v>8828132634</v>
      </c>
      <c r="T394" s="13" t="s">
        <v>978</v>
      </c>
      <c r="U394" s="19">
        <v>32542400</v>
      </c>
      <c r="V394" s="18">
        <v>1</v>
      </c>
      <c r="W394" s="18">
        <f>_xlfn.XLOOKUP(J394,'Master Data 14-9-2026'!C:C,'Master Data 14-9-2026'!L:L)</f>
        <v>0.5</v>
      </c>
      <c r="X394" s="23">
        <v>32542400</v>
      </c>
      <c r="Y394" s="13" t="s">
        <v>1599</v>
      </c>
      <c r="Z394" s="24" t="s">
        <v>15</v>
      </c>
      <c r="AA394" s="4" t="s">
        <v>1288</v>
      </c>
      <c r="AB394" s="13" t="s">
        <v>1289</v>
      </c>
      <c r="AC394" s="13"/>
      <c r="AD394" s="13"/>
      <c r="AE394" s="13" t="str">
        <f>_xlfn.XLOOKUP(L394,'[1]ID PROJECT'!E:E,'[1]ID PROJECT'!F:F)</f>
        <v xml:space="preserve">PRJ-KUT-KPU-TPED-2026-04-00071 </v>
      </c>
      <c r="AF394" s="13"/>
      <c r="AG394" s="13"/>
      <c r="AH394" s="65"/>
      <c r="AI394" s="27"/>
    </row>
    <row r="395" spans="1:35" hidden="1">
      <c r="A395" s="13" t="s">
        <v>700</v>
      </c>
      <c r="B395" s="13" t="str">
        <f>_xlfn.XLOOKUP(J395,'Master Data 14-9-2026'!C:C,'Master Data 14-9-2026'!D:D)</f>
        <v>Syafrizal Akbar Harahap wx1521788</v>
      </c>
      <c r="C395" s="13"/>
      <c r="D395" s="13" t="str">
        <f>_xlfn.XLOOKUP(J395,'Master Data 14-9-2026'!C:C,'Master Data 14-9-2026'!E:E)</f>
        <v>XLSMART</v>
      </c>
      <c r="E395" s="13"/>
      <c r="F395" s="13"/>
      <c r="G395" s="13" t="s">
        <v>18</v>
      </c>
      <c r="H395" s="13" t="str">
        <f>_xlfn.XLOOKUP(J395,'Master Data 14-9-2026'!C:C,'Master Data 14-9-2026'!H:H)</f>
        <v>2026-06-20 - 2026-07-19</v>
      </c>
      <c r="I395" s="13" t="str">
        <f t="shared" si="6"/>
        <v>June</v>
      </c>
      <c r="J395" s="13" t="s">
        <v>1629</v>
      </c>
      <c r="K395" s="13" t="s">
        <v>1004</v>
      </c>
      <c r="L395" s="13" t="s">
        <v>441</v>
      </c>
      <c r="M395" s="15">
        <v>200003186194020</v>
      </c>
      <c r="N395" s="13" t="s">
        <v>924</v>
      </c>
      <c r="O395" s="13">
        <v>1.09120260710002E+17</v>
      </c>
      <c r="P395" s="13" t="s">
        <v>1598</v>
      </c>
      <c r="Q395" s="18">
        <v>25</v>
      </c>
      <c r="R395" s="18">
        <v>1</v>
      </c>
      <c r="S395" s="13">
        <v>8828132634</v>
      </c>
      <c r="T395" s="13" t="s">
        <v>978</v>
      </c>
      <c r="U395" s="19">
        <v>32542400</v>
      </c>
      <c r="V395" s="18">
        <v>1</v>
      </c>
      <c r="W395" s="18">
        <f>_xlfn.XLOOKUP(J395,'Master Data 14-9-2026'!C:C,'Master Data 14-9-2026'!L:L)</f>
        <v>0.69</v>
      </c>
      <c r="X395" s="23">
        <v>32542400</v>
      </c>
      <c r="Y395" s="13" t="s">
        <v>1599</v>
      </c>
      <c r="Z395" s="24" t="str">
        <f>_xlfn.XLOOKUP(J395,'Master Data 14-9-2026'!C:C,'Master Data 14-9-2026'!I:I)</f>
        <v>Ended</v>
      </c>
      <c r="AA395" s="4" t="s">
        <v>1288</v>
      </c>
      <c r="AB395" s="13" t="s">
        <v>1289</v>
      </c>
      <c r="AC395" s="13"/>
      <c r="AD395" s="13"/>
      <c r="AE395" s="13" t="str">
        <f>_xlfn.XLOOKUP(L395,'[1]ID PROJECT'!E:E,'[1]ID PROJECT'!F:F)</f>
        <v xml:space="preserve">PRJ-KUT-KPU-TPED-2026-04-00071 </v>
      </c>
      <c r="AF395" s="13"/>
      <c r="AG395" s="13"/>
      <c r="AH395" s="65"/>
      <c r="AI395" s="27"/>
    </row>
    <row r="396" spans="1:35" hidden="1">
      <c r="A396" s="13" t="s">
        <v>700</v>
      </c>
      <c r="B396" s="13" t="str">
        <f>_xlfn.XLOOKUP(J396,'Master Data 14-9-2026'!C:C,'Master Data 14-9-2026'!D:D)</f>
        <v>Syafrizal Akbar Harahap wx1521788</v>
      </c>
      <c r="C396" s="13"/>
      <c r="D396" s="13" t="str">
        <f>_xlfn.XLOOKUP(J396,'Master Data 14-9-2026'!C:C,'Master Data 14-9-2026'!E:E)</f>
        <v>XLSMART</v>
      </c>
      <c r="E396" s="13"/>
      <c r="F396" s="13"/>
      <c r="G396" s="13" t="s">
        <v>22</v>
      </c>
      <c r="H396" s="13" t="str">
        <f>_xlfn.XLOOKUP(J396,'Master Data 14-9-2026'!C:C,'Master Data 14-9-2026'!H:H)</f>
        <v>2026-07-20 - 2026-08-19</v>
      </c>
      <c r="I396" s="13" t="str">
        <f t="shared" si="6"/>
        <v>July</v>
      </c>
      <c r="J396" s="13" t="s">
        <v>1630</v>
      </c>
      <c r="K396" s="13" t="s">
        <v>1004</v>
      </c>
      <c r="L396" s="13" t="s">
        <v>441</v>
      </c>
      <c r="M396" s="15">
        <v>200003186195020</v>
      </c>
      <c r="N396" s="13" t="s">
        <v>924</v>
      </c>
      <c r="O396" s="13">
        <v>1.09120260710002E+17</v>
      </c>
      <c r="P396" s="13" t="s">
        <v>1598</v>
      </c>
      <c r="Q396" s="18">
        <v>26</v>
      </c>
      <c r="R396" s="18">
        <v>1</v>
      </c>
      <c r="S396" s="13">
        <v>8828132634</v>
      </c>
      <c r="T396" s="13" t="s">
        <v>978</v>
      </c>
      <c r="U396" s="19">
        <v>32542400</v>
      </c>
      <c r="V396" s="18">
        <v>1</v>
      </c>
      <c r="W396" s="18">
        <f>_xlfn.XLOOKUP(J396,'Master Data 14-9-2026'!C:C,'Master Data 14-9-2026'!L:L)</f>
        <v>0.94</v>
      </c>
      <c r="X396" s="23">
        <v>32542400</v>
      </c>
      <c r="Y396" s="13" t="s">
        <v>1599</v>
      </c>
      <c r="Z396" s="24" t="s">
        <v>15</v>
      </c>
      <c r="AA396" s="4" t="s">
        <v>1288</v>
      </c>
      <c r="AB396" s="13" t="s">
        <v>1289</v>
      </c>
      <c r="AC396" s="13"/>
      <c r="AD396" s="13"/>
      <c r="AE396" s="13" t="str">
        <f>_xlfn.XLOOKUP(L396,'[1]ID PROJECT'!E:E,'[1]ID PROJECT'!F:F)</f>
        <v xml:space="preserve">PRJ-KUT-KPU-TPED-2026-04-00071 </v>
      </c>
      <c r="AF396" s="13"/>
      <c r="AG396" s="13"/>
      <c r="AH396" s="65"/>
      <c r="AI396" s="27"/>
    </row>
    <row r="397" spans="1:35" hidden="1">
      <c r="A397" s="13" t="s">
        <v>349</v>
      </c>
      <c r="B397" s="13" t="str">
        <f>_xlfn.XLOOKUP(J397,'Master Data 14-9-2026'!C:C,'Master Data 14-9-2026'!D:D)</f>
        <v>Alda Rania Nawawi wx1522941</v>
      </c>
      <c r="C397" s="13"/>
      <c r="D397" s="13" t="str">
        <f>_xlfn.XLOOKUP(J397,'Master Data 14-9-2026'!C:C,'Master Data 14-9-2026'!E:E)</f>
        <v>XLSMART</v>
      </c>
      <c r="E397" s="13"/>
      <c r="F397" s="13"/>
      <c r="G397" s="13" t="s">
        <v>18</v>
      </c>
      <c r="H397" s="13" t="str">
        <f>_xlfn.XLOOKUP(J397,'Master Data 14-9-2026'!C:C,'Master Data 14-9-2026'!H:H)</f>
        <v>2026-07-02 - 2026-08-01</v>
      </c>
      <c r="I397" s="13" t="str">
        <f t="shared" si="6"/>
        <v>July</v>
      </c>
      <c r="J397" s="13" t="s">
        <v>1631</v>
      </c>
      <c r="K397" s="13" t="s">
        <v>1004</v>
      </c>
      <c r="L397" s="13" t="s">
        <v>441</v>
      </c>
      <c r="M397" s="15">
        <v>200003186196020</v>
      </c>
      <c r="N397" s="13" t="s">
        <v>924</v>
      </c>
      <c r="O397" s="13">
        <v>1.09120260710002E+17</v>
      </c>
      <c r="P397" s="13" t="s">
        <v>1598</v>
      </c>
      <c r="Q397" s="18">
        <v>27</v>
      </c>
      <c r="R397" s="18">
        <v>1</v>
      </c>
      <c r="S397" s="13">
        <v>8828132633</v>
      </c>
      <c r="T397" s="13" t="s">
        <v>951</v>
      </c>
      <c r="U397" s="19">
        <v>28881900</v>
      </c>
      <c r="V397" s="18">
        <v>1</v>
      </c>
      <c r="W397" s="18">
        <f>_xlfn.XLOOKUP(J397,'Master Data 14-9-2026'!C:C,'Master Data 14-9-2026'!L:L)</f>
        <v>0</v>
      </c>
      <c r="X397" s="23">
        <v>28881900</v>
      </c>
      <c r="Y397" s="13" t="s">
        <v>1599</v>
      </c>
      <c r="Z397" s="24" t="s">
        <v>984</v>
      </c>
      <c r="AA397" s="4" t="s">
        <v>1288</v>
      </c>
      <c r="AB397" s="40" t="s">
        <v>44</v>
      </c>
      <c r="AC397" s="13"/>
      <c r="AD397" s="13"/>
      <c r="AE397" s="13" t="str">
        <f>_xlfn.XLOOKUP(L397,'[1]ID PROJECT'!E:E,'[1]ID PROJECT'!F:F)</f>
        <v xml:space="preserve">PRJ-KUT-KPU-TPED-2026-04-00071 </v>
      </c>
      <c r="AF397" s="13"/>
      <c r="AG397" s="13"/>
      <c r="AH397" s="65"/>
      <c r="AI397" s="27"/>
    </row>
    <row r="398" spans="1:35" hidden="1">
      <c r="A398" s="13" t="s">
        <v>708</v>
      </c>
      <c r="B398" s="13" t="str">
        <f>_xlfn.XLOOKUP(J398,'Master Data 14-9-2026'!C:C,'Master Data 14-9-2026'!D:D)</f>
        <v>Maulida Nabilah Badriah wx1523058</v>
      </c>
      <c r="C398" s="13"/>
      <c r="D398" s="13" t="str">
        <f>_xlfn.XLOOKUP(J398,'Master Data 14-9-2026'!C:C,'Master Data 14-9-2026'!E:E)</f>
        <v>XLSMART</v>
      </c>
      <c r="E398" s="13"/>
      <c r="F398" s="13"/>
      <c r="G398" s="13" t="s">
        <v>18</v>
      </c>
      <c r="H398" s="13" t="str">
        <f>_xlfn.XLOOKUP(J398,'Master Data 14-9-2026'!C:C,'Master Data 14-9-2026'!H:H)</f>
        <v>2026-06-26 - 2026-07-25</v>
      </c>
      <c r="I398" s="13" t="str">
        <f t="shared" si="6"/>
        <v>June</v>
      </c>
      <c r="J398" s="13" t="s">
        <v>1632</v>
      </c>
      <c r="K398" s="13" t="s">
        <v>1004</v>
      </c>
      <c r="L398" s="13" t="s">
        <v>441</v>
      </c>
      <c r="M398" s="15">
        <v>200003186197020</v>
      </c>
      <c r="N398" s="13" t="s">
        <v>924</v>
      </c>
      <c r="O398" s="13">
        <v>1.09120260710002E+17</v>
      </c>
      <c r="P398" s="13" t="s">
        <v>1598</v>
      </c>
      <c r="Q398" s="18">
        <v>28</v>
      </c>
      <c r="R398" s="18">
        <v>1</v>
      </c>
      <c r="S398" s="13">
        <v>8828132634</v>
      </c>
      <c r="T398" s="13" t="s">
        <v>978</v>
      </c>
      <c r="U398" s="19">
        <v>32542400</v>
      </c>
      <c r="V398" s="18">
        <v>1</v>
      </c>
      <c r="W398" s="18">
        <f>_xlfn.XLOOKUP(J398,'Master Data 14-9-2026'!C:C,'Master Data 14-9-2026'!L:L)</f>
        <v>0</v>
      </c>
      <c r="X398" s="23">
        <v>32542400</v>
      </c>
      <c r="Y398" s="13" t="s">
        <v>1599</v>
      </c>
      <c r="Z398" s="24" t="str">
        <f>_xlfn.XLOOKUP(J398,'Master Data 14-9-2026'!C:C,'Master Data 14-9-2026'!I:I)</f>
        <v>Ended</v>
      </c>
      <c r="AA398" s="4" t="s">
        <v>1288</v>
      </c>
      <c r="AB398" s="40" t="s">
        <v>44</v>
      </c>
      <c r="AC398" s="13"/>
      <c r="AD398" s="13"/>
      <c r="AE398" s="13" t="str">
        <f>_xlfn.XLOOKUP(L398,'[1]ID PROJECT'!E:E,'[1]ID PROJECT'!F:F)</f>
        <v xml:space="preserve">PRJ-KUT-KPU-TPED-2026-04-00071 </v>
      </c>
      <c r="AF398" s="13"/>
      <c r="AG398" s="13"/>
      <c r="AH398" s="65"/>
      <c r="AI398" s="27"/>
    </row>
    <row r="399" spans="1:35" hidden="1">
      <c r="A399" s="13" t="s">
        <v>708</v>
      </c>
      <c r="B399" s="13" t="str">
        <f>_xlfn.XLOOKUP(J399,'Master Data 14-9-2026'!C:C,'Master Data 14-9-2026'!D:D)</f>
        <v>Maulida Nabilah Badriah wx1523058</v>
      </c>
      <c r="C399" s="13"/>
      <c r="D399" s="13" t="str">
        <f>_xlfn.XLOOKUP(J399,'Master Data 14-9-2026'!C:C,'Master Data 14-9-2026'!E:E)</f>
        <v>XLSMART</v>
      </c>
      <c r="E399" s="13"/>
      <c r="F399" s="13"/>
      <c r="G399" s="13" t="s">
        <v>22</v>
      </c>
      <c r="H399" s="13" t="str">
        <f>_xlfn.XLOOKUP(J399,'Master Data 14-9-2026'!C:C,'Master Data 14-9-2026'!H:H)</f>
        <v>2026-07-26 - 2026-08-25</v>
      </c>
      <c r="I399" s="13" t="str">
        <f t="shared" si="6"/>
        <v>July</v>
      </c>
      <c r="J399" s="13" t="s">
        <v>1633</v>
      </c>
      <c r="K399" s="13" t="s">
        <v>1004</v>
      </c>
      <c r="L399" s="13" t="s">
        <v>441</v>
      </c>
      <c r="M399" s="15">
        <v>200003186198020</v>
      </c>
      <c r="N399" s="13" t="s">
        <v>924</v>
      </c>
      <c r="O399" s="13">
        <v>1.09120260710002E+17</v>
      </c>
      <c r="P399" s="13" t="s">
        <v>1598</v>
      </c>
      <c r="Q399" s="18">
        <v>29</v>
      </c>
      <c r="R399" s="18">
        <v>1</v>
      </c>
      <c r="S399" s="13">
        <v>8828132634</v>
      </c>
      <c r="T399" s="13" t="s">
        <v>978</v>
      </c>
      <c r="U399" s="19">
        <v>32542400</v>
      </c>
      <c r="V399" s="18">
        <v>1</v>
      </c>
      <c r="W399" s="18">
        <f>_xlfn.XLOOKUP(J399,'Master Data 14-9-2026'!C:C,'Master Data 14-9-2026'!L:L)</f>
        <v>0</v>
      </c>
      <c r="X399" s="23">
        <v>32542400</v>
      </c>
      <c r="Y399" s="13" t="s">
        <v>1599</v>
      </c>
      <c r="Z399" s="24" t="s">
        <v>33</v>
      </c>
      <c r="AA399" s="4" t="s">
        <v>1288</v>
      </c>
      <c r="AB399" s="40" t="s">
        <v>44</v>
      </c>
      <c r="AC399" s="13"/>
      <c r="AD399" s="13"/>
      <c r="AE399" s="13" t="str">
        <f>_xlfn.XLOOKUP(L399,'[1]ID PROJECT'!E:E,'[1]ID PROJECT'!F:F)</f>
        <v xml:space="preserve">PRJ-KUT-KPU-TPED-2026-04-00071 </v>
      </c>
      <c r="AF399" s="13"/>
      <c r="AG399" s="13"/>
      <c r="AH399" s="65"/>
      <c r="AI399" s="27"/>
    </row>
    <row r="400" spans="1:35" hidden="1">
      <c r="A400" s="13" t="s">
        <v>340</v>
      </c>
      <c r="B400" s="13" t="str">
        <f>_xlfn.XLOOKUP(J400,'Master Data 14-9-2026'!C:C,'Master Data 14-9-2026'!D:D)</f>
        <v>Haedar Arrayyan Panggabean wx1522942</v>
      </c>
      <c r="C400" s="13"/>
      <c r="D400" s="13" t="str">
        <f>_xlfn.XLOOKUP(J400,'Master Data 14-9-2026'!C:C,'Master Data 14-9-2026'!E:E)</f>
        <v>XLSMART</v>
      </c>
      <c r="E400" s="13" t="s">
        <v>716</v>
      </c>
      <c r="F400" s="13"/>
      <c r="G400" s="13" t="s">
        <v>13</v>
      </c>
      <c r="H400" s="13" t="str">
        <f>_xlfn.XLOOKUP(J400,'Master Data 14-9-2026'!C:C,'Master Data 14-9-2026'!H:H)</f>
        <v>2026-05-26 - 2026-06-25</v>
      </c>
      <c r="I400" s="13" t="str">
        <f t="shared" si="6"/>
        <v>May</v>
      </c>
      <c r="J400" s="13" t="s">
        <v>1634</v>
      </c>
      <c r="K400" s="13" t="s">
        <v>1004</v>
      </c>
      <c r="L400" s="13" t="s">
        <v>441</v>
      </c>
      <c r="M400" s="15">
        <v>200003186199020</v>
      </c>
      <c r="N400" s="13" t="s">
        <v>924</v>
      </c>
      <c r="O400" s="13">
        <v>1.09120260710002E+17</v>
      </c>
      <c r="P400" s="13" t="s">
        <v>1598</v>
      </c>
      <c r="Q400" s="18">
        <v>30</v>
      </c>
      <c r="R400" s="18">
        <v>1</v>
      </c>
      <c r="S400" s="13">
        <v>8828132633</v>
      </c>
      <c r="T400" s="13" t="s">
        <v>951</v>
      </c>
      <c r="U400" s="19">
        <v>28881900</v>
      </c>
      <c r="V400" s="18">
        <v>1</v>
      </c>
      <c r="W400" s="18">
        <f>_xlfn.XLOOKUP(J400,'Master Data 14-9-2026'!C:C,'Master Data 14-9-2026'!L:L)</f>
        <v>0.87</v>
      </c>
      <c r="X400" s="23">
        <v>28881900</v>
      </c>
      <c r="Y400" s="13" t="s">
        <v>1599</v>
      </c>
      <c r="Z400" s="24" t="s">
        <v>984</v>
      </c>
      <c r="AA400" s="4" t="s">
        <v>1288</v>
      </c>
      <c r="AB400" s="13"/>
      <c r="AC400" s="13"/>
      <c r="AD400" s="13"/>
      <c r="AE400" s="13" t="str">
        <f>_xlfn.XLOOKUP(L400,'[1]ID PROJECT'!E:E,'[1]ID PROJECT'!F:F)</f>
        <v xml:space="preserve">PRJ-KUT-KPU-TPED-2026-04-00071 </v>
      </c>
      <c r="AF400" s="13"/>
      <c r="AG400" s="13"/>
      <c r="AH400" s="65"/>
      <c r="AI400" s="27"/>
    </row>
    <row r="401" spans="1:35" hidden="1">
      <c r="A401" s="13" t="s">
        <v>340</v>
      </c>
      <c r="B401" s="13" t="str">
        <f>_xlfn.XLOOKUP(J401,'Master Data 14-9-2026'!C:C,'Master Data 14-9-2026'!D:D)</f>
        <v>Haedar Arrayyan Panggabean wx1522942</v>
      </c>
      <c r="C401" s="13"/>
      <c r="D401" s="13" t="str">
        <f>_xlfn.XLOOKUP(J401,'Master Data 14-9-2026'!C:C,'Master Data 14-9-2026'!E:E)</f>
        <v>XLSMART</v>
      </c>
      <c r="E401" s="13"/>
      <c r="F401" s="13"/>
      <c r="G401" s="13" t="s">
        <v>18</v>
      </c>
      <c r="H401" s="13" t="str">
        <f>_xlfn.XLOOKUP(J401,'Master Data 14-9-2026'!C:C,'Master Data 14-9-2026'!H:H)</f>
        <v>2026-06-26 - 2026-07-25</v>
      </c>
      <c r="I401" s="13" t="str">
        <f t="shared" si="6"/>
        <v>June</v>
      </c>
      <c r="J401" s="13" t="s">
        <v>1635</v>
      </c>
      <c r="K401" s="13" t="s">
        <v>1004</v>
      </c>
      <c r="L401" s="13" t="s">
        <v>441</v>
      </c>
      <c r="M401" s="15">
        <v>200003186200020</v>
      </c>
      <c r="N401" s="13" t="s">
        <v>924</v>
      </c>
      <c r="O401" s="13">
        <v>1.09120260710002E+17</v>
      </c>
      <c r="P401" s="13" t="s">
        <v>1598</v>
      </c>
      <c r="Q401" s="18">
        <v>31</v>
      </c>
      <c r="R401" s="18">
        <v>1</v>
      </c>
      <c r="S401" s="13">
        <v>8828132633</v>
      </c>
      <c r="T401" s="13" t="s">
        <v>951</v>
      </c>
      <c r="U401" s="19">
        <v>28881900</v>
      </c>
      <c r="V401" s="18">
        <v>1</v>
      </c>
      <c r="W401" s="18">
        <f>_xlfn.XLOOKUP(J401,'Master Data 14-9-2026'!C:C,'Master Data 14-9-2026'!L:L)</f>
        <v>0.78</v>
      </c>
      <c r="X401" s="23">
        <v>28881900</v>
      </c>
      <c r="Y401" s="13" t="s">
        <v>1599</v>
      </c>
      <c r="Z401" s="24" t="str">
        <f>_xlfn.XLOOKUP(J401,'Master Data 14-9-2026'!C:C,'Master Data 14-9-2026'!I:I)</f>
        <v>Ended</v>
      </c>
      <c r="AA401" s="4" t="s">
        <v>1288</v>
      </c>
      <c r="AB401" s="13"/>
      <c r="AC401" s="13"/>
      <c r="AD401" s="13"/>
      <c r="AE401" s="13" t="str">
        <f>_xlfn.XLOOKUP(L401,'[1]ID PROJECT'!E:E,'[1]ID PROJECT'!F:F)</f>
        <v xml:space="preserve">PRJ-KUT-KPU-TPED-2026-04-00071 </v>
      </c>
      <c r="AF401" s="13"/>
      <c r="AG401" s="13"/>
      <c r="AH401" s="65"/>
      <c r="AI401" s="27"/>
    </row>
    <row r="402" spans="1:35" hidden="1">
      <c r="A402" s="13" t="s">
        <v>340</v>
      </c>
      <c r="B402" s="13" t="str">
        <f>_xlfn.XLOOKUP(J402,'Master Data 14-9-2026'!C:C,'Master Data 14-9-2026'!D:D)</f>
        <v>Haedar Arrayyan Panggabean wx1522942</v>
      </c>
      <c r="C402" s="13"/>
      <c r="D402" s="13" t="str">
        <f>_xlfn.XLOOKUP(J402,'Master Data 14-9-2026'!C:C,'Master Data 14-9-2026'!E:E)</f>
        <v>XLSMART</v>
      </c>
      <c r="E402" s="13"/>
      <c r="F402" s="13"/>
      <c r="G402" s="13" t="s">
        <v>22</v>
      </c>
      <c r="H402" s="13" t="str">
        <f>_xlfn.XLOOKUP(J402,'Master Data 14-9-2026'!C:C,'Master Data 14-9-2026'!H:H)</f>
        <v>2026-07-26 - 2026-08-25</v>
      </c>
      <c r="I402" s="13" t="str">
        <f t="shared" si="6"/>
        <v>July</v>
      </c>
      <c r="J402" s="13" t="s">
        <v>1636</v>
      </c>
      <c r="K402" s="13" t="s">
        <v>1004</v>
      </c>
      <c r="L402" s="13" t="s">
        <v>441</v>
      </c>
      <c r="M402" s="15">
        <v>200003186201020</v>
      </c>
      <c r="N402" s="13" t="s">
        <v>924</v>
      </c>
      <c r="O402" s="13">
        <v>1.09120260710002E+17</v>
      </c>
      <c r="P402" s="13" t="s">
        <v>1598</v>
      </c>
      <c r="Q402" s="18">
        <v>32</v>
      </c>
      <c r="R402" s="18">
        <v>1</v>
      </c>
      <c r="S402" s="13">
        <v>8828132633</v>
      </c>
      <c r="T402" s="13" t="s">
        <v>951</v>
      </c>
      <c r="U402" s="19">
        <v>28881900</v>
      </c>
      <c r="V402" s="18">
        <v>1</v>
      </c>
      <c r="W402" s="18">
        <f>_xlfn.XLOOKUP(J402,'Master Data 14-9-2026'!C:C,'Master Data 14-9-2026'!L:L)</f>
        <v>0.5</v>
      </c>
      <c r="X402" s="23">
        <v>28881900</v>
      </c>
      <c r="Y402" s="13" t="s">
        <v>1599</v>
      </c>
      <c r="Z402" s="24" t="s">
        <v>984</v>
      </c>
      <c r="AA402" s="4" t="s">
        <v>1288</v>
      </c>
      <c r="AB402" s="13"/>
      <c r="AC402" s="13"/>
      <c r="AD402" s="13"/>
      <c r="AE402" s="13" t="str">
        <f>_xlfn.XLOOKUP(L402,'[1]ID PROJECT'!E:E,'[1]ID PROJECT'!F:F)</f>
        <v xml:space="preserve">PRJ-KUT-KPU-TPED-2026-04-00071 </v>
      </c>
      <c r="AF402" s="13"/>
      <c r="AG402" s="13"/>
      <c r="AH402" s="65"/>
      <c r="AI402" s="27"/>
    </row>
    <row r="403" spans="1:35" hidden="1">
      <c r="A403" s="13" t="s">
        <v>87</v>
      </c>
      <c r="B403" s="13" t="str">
        <f>_xlfn.XLOOKUP(J403,'Master Data 14-9-2026'!C:C,'Master Data 14-9-2026'!D:D)</f>
        <v>Adhitya Pratama wx1524069</v>
      </c>
      <c r="C403" s="13"/>
      <c r="D403" s="13" t="str">
        <f>_xlfn.XLOOKUP(J403,'Master Data 14-9-2026'!C:C,'Master Data 14-9-2026'!E:E)</f>
        <v>XLSMART</v>
      </c>
      <c r="E403" s="13"/>
      <c r="F403" s="13"/>
      <c r="G403" s="13" t="s">
        <v>13</v>
      </c>
      <c r="H403" s="13" t="str">
        <f>_xlfn.XLOOKUP(J403,'Master Data 14-9-2026'!C:C,'Master Data 14-9-2026'!H:H)</f>
        <v>2026-06-02 - 2026-07-01</v>
      </c>
      <c r="I403" s="13" t="str">
        <f t="shared" si="6"/>
        <v>June</v>
      </c>
      <c r="J403" s="13" t="s">
        <v>1637</v>
      </c>
      <c r="K403" s="13" t="s">
        <v>1004</v>
      </c>
      <c r="L403" s="13" t="s">
        <v>441</v>
      </c>
      <c r="M403" s="15">
        <v>200003186202020</v>
      </c>
      <c r="N403" s="13" t="s">
        <v>924</v>
      </c>
      <c r="O403" s="13">
        <v>1.09120260710002E+17</v>
      </c>
      <c r="P403" s="13" t="s">
        <v>1598</v>
      </c>
      <c r="Q403" s="18">
        <v>33</v>
      </c>
      <c r="R403" s="18">
        <v>1</v>
      </c>
      <c r="S403" s="13">
        <v>8828132633</v>
      </c>
      <c r="T403" s="13" t="s">
        <v>951</v>
      </c>
      <c r="U403" s="19">
        <v>28881900</v>
      </c>
      <c r="V403" s="18">
        <v>1</v>
      </c>
      <c r="W403" s="18">
        <f>_xlfn.XLOOKUP(J403,'Master Data 14-9-2026'!C:C,'Master Data 14-9-2026'!L:L)</f>
        <v>1.02</v>
      </c>
      <c r="X403" s="23">
        <v>28881900</v>
      </c>
      <c r="Y403" s="13" t="s">
        <v>1599</v>
      </c>
      <c r="Z403" s="24" t="s">
        <v>15</v>
      </c>
      <c r="AA403" s="4" t="s">
        <v>934</v>
      </c>
      <c r="AB403" s="13"/>
      <c r="AC403" s="13"/>
      <c r="AD403" s="13" t="s">
        <v>935</v>
      </c>
      <c r="AE403" s="13" t="str">
        <f>_xlfn.XLOOKUP(L403,'[1]ID PROJECT'!E:E,'[1]ID PROJECT'!F:F)</f>
        <v xml:space="preserve">PRJ-KUT-KPU-TPED-2026-04-00071 </v>
      </c>
      <c r="AF403" s="4" t="s">
        <v>1611</v>
      </c>
      <c r="AG403" s="13" t="s">
        <v>1612</v>
      </c>
      <c r="AH403" s="65">
        <v>46260</v>
      </c>
      <c r="AI403" s="27" t="s">
        <v>1175</v>
      </c>
    </row>
    <row r="404" spans="1:35" hidden="1">
      <c r="A404" s="13" t="s">
        <v>87</v>
      </c>
      <c r="B404" s="13" t="str">
        <f>_xlfn.XLOOKUP(J404,'Master Data 14-9-2026'!C:C,'Master Data 14-9-2026'!D:D)</f>
        <v>Adhitya Pratama wx1524069</v>
      </c>
      <c r="C404" s="13"/>
      <c r="D404" s="13" t="str">
        <f>_xlfn.XLOOKUP(J404,'Master Data 14-9-2026'!C:C,'Master Data 14-9-2026'!E:E)</f>
        <v>XLSMART</v>
      </c>
      <c r="E404" s="13"/>
      <c r="F404" s="13"/>
      <c r="G404" s="13" t="s">
        <v>18</v>
      </c>
      <c r="H404" s="13" t="str">
        <f>_xlfn.XLOOKUP(J404,'Master Data 14-9-2026'!C:C,'Master Data 14-9-2026'!H:H)</f>
        <v>2026-07-02 - 2026-08-01</v>
      </c>
      <c r="I404" s="13" t="str">
        <f t="shared" si="6"/>
        <v>July</v>
      </c>
      <c r="J404" s="13" t="s">
        <v>1638</v>
      </c>
      <c r="K404" s="13" t="s">
        <v>1004</v>
      </c>
      <c r="L404" s="13" t="s">
        <v>441</v>
      </c>
      <c r="M404" s="15">
        <v>200003186203020</v>
      </c>
      <c r="N404" s="13" t="s">
        <v>924</v>
      </c>
      <c r="O404" s="13">
        <v>1.09120260710002E+17</v>
      </c>
      <c r="P404" s="13" t="s">
        <v>1598</v>
      </c>
      <c r="Q404" s="18">
        <v>34</v>
      </c>
      <c r="R404" s="18">
        <v>1</v>
      </c>
      <c r="S404" s="13">
        <v>8828132633</v>
      </c>
      <c r="T404" s="13" t="s">
        <v>951</v>
      </c>
      <c r="U404" s="19">
        <v>28881900</v>
      </c>
      <c r="V404" s="18">
        <v>1</v>
      </c>
      <c r="W404" s="18">
        <f>_xlfn.XLOOKUP(J404,'Master Data 14-9-2026'!C:C,'Master Data 14-9-2026'!L:L)</f>
        <v>0.5</v>
      </c>
      <c r="X404" s="23">
        <v>28881900</v>
      </c>
      <c r="Y404" s="13" t="s">
        <v>1599</v>
      </c>
      <c r="Z404" s="24" t="s">
        <v>984</v>
      </c>
      <c r="AA404" s="4" t="s">
        <v>1288</v>
      </c>
      <c r="AB404" s="13" t="s">
        <v>1289</v>
      </c>
      <c r="AC404" s="13"/>
      <c r="AD404" s="13"/>
      <c r="AE404" s="13" t="str">
        <f>_xlfn.XLOOKUP(L404,'[1]ID PROJECT'!E:E,'[1]ID PROJECT'!F:F)</f>
        <v xml:space="preserve">PRJ-KUT-KPU-TPED-2026-04-00071 </v>
      </c>
      <c r="AF404" s="13"/>
      <c r="AG404" s="13"/>
      <c r="AH404" s="65"/>
      <c r="AI404" s="27"/>
    </row>
    <row r="405" spans="1:35" hidden="1">
      <c r="A405" s="13" t="s">
        <v>74</v>
      </c>
      <c r="B405" s="13" t="str">
        <f>_xlfn.XLOOKUP(J405,'Master Data 14-9-2026'!C:C,'Master Data 14-9-2026'!D:D)</f>
        <v>Akmal wx1524119</v>
      </c>
      <c r="C405" s="13"/>
      <c r="D405" s="13" t="str">
        <f>_xlfn.XLOOKUP(J405,'Master Data 14-9-2026'!C:C,'Master Data 14-9-2026'!E:E)</f>
        <v>XLSMART</v>
      </c>
      <c r="E405" s="13"/>
      <c r="F405" s="13"/>
      <c r="G405" s="13" t="s">
        <v>13</v>
      </c>
      <c r="H405" s="13" t="str">
        <f>_xlfn.XLOOKUP(J405,'Master Data 14-9-2026'!C:C,'Master Data 14-9-2026'!H:H)</f>
        <v>2026-06-02 - 2026-07-01</v>
      </c>
      <c r="I405" s="13" t="str">
        <f t="shared" si="6"/>
        <v>June</v>
      </c>
      <c r="J405" s="13" t="s">
        <v>1639</v>
      </c>
      <c r="K405" s="13" t="s">
        <v>1004</v>
      </c>
      <c r="L405" s="13" t="s">
        <v>441</v>
      </c>
      <c r="M405" s="15">
        <v>200003186204020</v>
      </c>
      <c r="N405" s="13" t="s">
        <v>924</v>
      </c>
      <c r="O405" s="13">
        <v>1.09120260710002E+17</v>
      </c>
      <c r="P405" s="13" t="s">
        <v>1598</v>
      </c>
      <c r="Q405" s="18">
        <v>35</v>
      </c>
      <c r="R405" s="18">
        <v>1</v>
      </c>
      <c r="S405" s="13">
        <v>8828132633</v>
      </c>
      <c r="T405" s="13" t="s">
        <v>951</v>
      </c>
      <c r="U405" s="19">
        <v>28881900</v>
      </c>
      <c r="V405" s="18">
        <v>1</v>
      </c>
      <c r="W405" s="18">
        <f>_xlfn.XLOOKUP(J405,'Master Data 14-9-2026'!C:C,'Master Data 14-9-2026'!L:L)</f>
        <v>1.5</v>
      </c>
      <c r="X405" s="23">
        <v>28881900</v>
      </c>
      <c r="Y405" s="13" t="s">
        <v>1599</v>
      </c>
      <c r="Z405" s="24" t="str">
        <f>_xlfn.XLOOKUP(J405,'Master Data 14-9-2026'!C:C,'Master Data 14-9-2026'!I:I)</f>
        <v>Ended</v>
      </c>
      <c r="AA405" s="4" t="s">
        <v>1288</v>
      </c>
      <c r="AB405" s="13" t="s">
        <v>1600</v>
      </c>
      <c r="AC405" s="13"/>
      <c r="AD405" s="13"/>
      <c r="AE405" s="13" t="str">
        <f>_xlfn.XLOOKUP(L405,'[1]ID PROJECT'!E:E,'[1]ID PROJECT'!F:F)</f>
        <v xml:space="preserve">PRJ-KUT-KPU-TPED-2026-04-00071 </v>
      </c>
      <c r="AF405" s="13"/>
      <c r="AG405" s="13"/>
      <c r="AH405" s="65"/>
      <c r="AI405" s="27"/>
    </row>
    <row r="406" spans="1:35" hidden="1">
      <c r="A406" s="13" t="s">
        <v>74</v>
      </c>
      <c r="B406" s="13" t="str">
        <f>_xlfn.XLOOKUP(J406,'Master Data 14-9-2026'!C:C,'Master Data 14-9-2026'!D:D)</f>
        <v>Akmal wx1524119</v>
      </c>
      <c r="C406" s="13"/>
      <c r="D406" s="13" t="str">
        <f>_xlfn.XLOOKUP(J406,'Master Data 14-9-2026'!C:C,'Master Data 14-9-2026'!E:E)</f>
        <v>XLSMART</v>
      </c>
      <c r="E406" s="13"/>
      <c r="F406" s="13"/>
      <c r="G406" s="13" t="s">
        <v>18</v>
      </c>
      <c r="H406" s="13" t="str">
        <f>_xlfn.XLOOKUP(J406,'Master Data 14-9-2026'!C:C,'Master Data 14-9-2026'!H:H)</f>
        <v>2026-07-02 - 2026-08-01</v>
      </c>
      <c r="I406" s="13" t="str">
        <f t="shared" si="6"/>
        <v>July</v>
      </c>
      <c r="J406" s="13" t="s">
        <v>1640</v>
      </c>
      <c r="K406" s="13" t="s">
        <v>1004</v>
      </c>
      <c r="L406" s="13" t="s">
        <v>441</v>
      </c>
      <c r="M406" s="15">
        <v>200003186205020</v>
      </c>
      <c r="N406" s="13" t="s">
        <v>924</v>
      </c>
      <c r="O406" s="13">
        <v>1.09120260710002E+17</v>
      </c>
      <c r="P406" s="13" t="s">
        <v>1598</v>
      </c>
      <c r="Q406" s="18">
        <v>36</v>
      </c>
      <c r="R406" s="18">
        <v>1</v>
      </c>
      <c r="S406" s="13">
        <v>8828132633</v>
      </c>
      <c r="T406" s="13" t="s">
        <v>951</v>
      </c>
      <c r="U406" s="19">
        <v>28881900</v>
      </c>
      <c r="V406" s="18">
        <v>1</v>
      </c>
      <c r="W406" s="18">
        <f>_xlfn.XLOOKUP(J406,'Master Data 14-9-2026'!C:C,'Master Data 14-9-2026'!L:L)</f>
        <v>1.5</v>
      </c>
      <c r="X406" s="23">
        <v>28881900</v>
      </c>
      <c r="Y406" s="13" t="s">
        <v>1599</v>
      </c>
      <c r="Z406" s="24" t="s">
        <v>984</v>
      </c>
      <c r="AA406" s="4" t="s">
        <v>1288</v>
      </c>
      <c r="AB406" s="13" t="s">
        <v>1600</v>
      </c>
      <c r="AC406" s="13"/>
      <c r="AD406" s="13"/>
      <c r="AE406" s="13" t="str">
        <f>_xlfn.XLOOKUP(L406,'[1]ID PROJECT'!E:E,'[1]ID PROJECT'!F:F)</f>
        <v xml:space="preserve">PRJ-KUT-KPU-TPED-2026-04-00071 </v>
      </c>
      <c r="AF406" s="13"/>
      <c r="AG406" s="13"/>
      <c r="AH406" s="65"/>
      <c r="AI406" s="27"/>
    </row>
    <row r="407" spans="1:35" hidden="1">
      <c r="A407" s="13" t="s">
        <v>368</v>
      </c>
      <c r="B407" s="13" t="str">
        <f>_xlfn.XLOOKUP(J407,'Master Data 14-9-2026'!C:C,'Master Data 14-9-2026'!D:D)</f>
        <v>Zaldy Raditya Ananta wx1524846</v>
      </c>
      <c r="C407" s="13"/>
      <c r="D407" s="13" t="str">
        <f>_xlfn.XLOOKUP(J407,'Master Data 14-9-2026'!C:C,'Master Data 14-9-2026'!E:E)</f>
        <v>XLSMART</v>
      </c>
      <c r="E407" s="13"/>
      <c r="F407" s="13"/>
      <c r="G407" s="13" t="s">
        <v>13</v>
      </c>
      <c r="H407" s="13" t="str">
        <f>_xlfn.XLOOKUP(J407,'Master Data 14-9-2026'!C:C,'Master Data 14-9-2026'!H:H)</f>
        <v>2026-06-02 - 2026-07-01</v>
      </c>
      <c r="I407" s="13" t="str">
        <f t="shared" si="6"/>
        <v>June</v>
      </c>
      <c r="J407" s="13" t="s">
        <v>1641</v>
      </c>
      <c r="K407" s="13" t="s">
        <v>1004</v>
      </c>
      <c r="L407" s="13" t="s">
        <v>441</v>
      </c>
      <c r="M407" s="15">
        <v>200003186206020</v>
      </c>
      <c r="N407" s="13" t="s">
        <v>924</v>
      </c>
      <c r="O407" s="13">
        <v>1.09120260710002E+17</v>
      </c>
      <c r="P407" s="13" t="s">
        <v>1598</v>
      </c>
      <c r="Q407" s="18">
        <v>37</v>
      </c>
      <c r="R407" s="18">
        <v>1</v>
      </c>
      <c r="S407" s="13">
        <v>8828132633</v>
      </c>
      <c r="T407" s="13" t="s">
        <v>951</v>
      </c>
      <c r="U407" s="19">
        <v>28881900</v>
      </c>
      <c r="V407" s="18">
        <v>1</v>
      </c>
      <c r="W407" s="18">
        <f>_xlfn.XLOOKUP(J407,'Master Data 14-9-2026'!C:C,'Master Data 14-9-2026'!L:L)</f>
        <v>0.5</v>
      </c>
      <c r="X407" s="23">
        <v>28881900</v>
      </c>
      <c r="Y407" s="13" t="s">
        <v>1599</v>
      </c>
      <c r="Z407" s="24" t="str">
        <f>_xlfn.XLOOKUP(J407,'Master Data 14-9-2026'!C:C,'Master Data 14-9-2026'!I:I)</f>
        <v>Ended</v>
      </c>
      <c r="AA407" s="4" t="s">
        <v>1288</v>
      </c>
      <c r="AB407" s="13"/>
      <c r="AC407" s="13"/>
      <c r="AD407" s="13"/>
      <c r="AE407" s="13" t="str">
        <f>_xlfn.XLOOKUP(L407,'[1]ID PROJECT'!E:E,'[1]ID PROJECT'!F:F)</f>
        <v xml:space="preserve">PRJ-KUT-KPU-TPED-2026-04-00071 </v>
      </c>
      <c r="AF407" s="13"/>
      <c r="AG407" s="13"/>
      <c r="AH407" s="65"/>
      <c r="AI407" s="27"/>
    </row>
    <row r="408" spans="1:35" hidden="1">
      <c r="A408" s="13" t="s">
        <v>368</v>
      </c>
      <c r="B408" s="13" t="str">
        <f>_xlfn.XLOOKUP(J408,'Master Data 14-9-2026'!C:C,'Master Data 14-9-2026'!D:D)</f>
        <v>Zaldy Raditya Ananta wx1524846</v>
      </c>
      <c r="C408" s="13"/>
      <c r="D408" s="13" t="str">
        <f>_xlfn.XLOOKUP(J408,'Master Data 14-9-2026'!C:C,'Master Data 14-9-2026'!E:E)</f>
        <v>XLSMART</v>
      </c>
      <c r="E408" s="13"/>
      <c r="F408" s="13"/>
      <c r="G408" s="13" t="s">
        <v>18</v>
      </c>
      <c r="H408" s="13" t="str">
        <f>_xlfn.XLOOKUP(J408,'Master Data 14-9-2026'!C:C,'Master Data 14-9-2026'!H:H)</f>
        <v>2026-07-02 - 2026-08-01</v>
      </c>
      <c r="I408" s="13" t="str">
        <f t="shared" si="6"/>
        <v>July</v>
      </c>
      <c r="J408" s="13" t="s">
        <v>1642</v>
      </c>
      <c r="K408" s="13" t="s">
        <v>1004</v>
      </c>
      <c r="L408" s="13" t="s">
        <v>441</v>
      </c>
      <c r="M408" s="15">
        <v>200003186207020</v>
      </c>
      <c r="N408" s="13" t="s">
        <v>924</v>
      </c>
      <c r="O408" s="13">
        <v>1.09120260710002E+17</v>
      </c>
      <c r="P408" s="13" t="s">
        <v>1598</v>
      </c>
      <c r="Q408" s="18">
        <v>38</v>
      </c>
      <c r="R408" s="18">
        <v>1</v>
      </c>
      <c r="S408" s="13">
        <v>8828132633</v>
      </c>
      <c r="T408" s="13" t="s">
        <v>951</v>
      </c>
      <c r="U408" s="19">
        <v>28881900</v>
      </c>
      <c r="V408" s="18">
        <v>1</v>
      </c>
      <c r="W408" s="18">
        <f>_xlfn.XLOOKUP(J408,'Master Data 14-9-2026'!C:C,'Master Data 14-9-2026'!L:L)</f>
        <v>0</v>
      </c>
      <c r="X408" s="23">
        <v>28881900</v>
      </c>
      <c r="Y408" s="13" t="s">
        <v>1599</v>
      </c>
      <c r="Z408" s="24" t="s">
        <v>984</v>
      </c>
      <c r="AA408" s="4" t="s">
        <v>1288</v>
      </c>
      <c r="AB408" s="40" t="s">
        <v>44</v>
      </c>
      <c r="AC408" s="13"/>
      <c r="AD408" s="13"/>
      <c r="AE408" s="13" t="str">
        <f>_xlfn.XLOOKUP(L408,'[1]ID PROJECT'!E:E,'[1]ID PROJECT'!F:F)</f>
        <v xml:space="preserve">PRJ-KUT-KPU-TPED-2026-04-00071 </v>
      </c>
      <c r="AF408" s="13"/>
      <c r="AG408" s="13"/>
      <c r="AH408" s="65"/>
      <c r="AI408" s="27"/>
    </row>
    <row r="409" spans="1:35" hidden="1">
      <c r="A409" s="13" t="s">
        <v>355</v>
      </c>
      <c r="B409" s="13" t="str">
        <f>_xlfn.XLOOKUP(J409,'Master Data 14-9-2026'!C:C,'Master Data 14-9-2026'!D:D)</f>
        <v>Laura Alvina Dewi wx1524149</v>
      </c>
      <c r="C409" s="13"/>
      <c r="D409" s="13" t="str">
        <f>_xlfn.XLOOKUP(J409,'Master Data 14-9-2026'!C:C,'Master Data 14-9-2026'!E:E)</f>
        <v>XLSMART</v>
      </c>
      <c r="E409" s="13"/>
      <c r="F409" s="13"/>
      <c r="G409" s="13" t="s">
        <v>13</v>
      </c>
      <c r="H409" s="13" t="str">
        <f>_xlfn.XLOOKUP(J409,'Master Data 14-9-2026'!C:C,'Master Data 14-9-2026'!H:H)</f>
        <v>2026-06-08 - 2026-07-07</v>
      </c>
      <c r="I409" s="13" t="str">
        <f t="shared" si="6"/>
        <v>June</v>
      </c>
      <c r="J409" s="13" t="s">
        <v>1643</v>
      </c>
      <c r="K409" s="13" t="s">
        <v>1004</v>
      </c>
      <c r="L409" s="13" t="s">
        <v>441</v>
      </c>
      <c r="M409" s="15">
        <v>200003186208020</v>
      </c>
      <c r="N409" s="13" t="s">
        <v>924</v>
      </c>
      <c r="O409" s="13">
        <v>1.09120260710002E+17</v>
      </c>
      <c r="P409" s="13" t="s">
        <v>1598</v>
      </c>
      <c r="Q409" s="18">
        <v>39</v>
      </c>
      <c r="R409" s="18">
        <v>1</v>
      </c>
      <c r="S409" s="13">
        <v>8828132633</v>
      </c>
      <c r="T409" s="13" t="s">
        <v>951</v>
      </c>
      <c r="U409" s="19">
        <v>28881900</v>
      </c>
      <c r="V409" s="18">
        <v>1</v>
      </c>
      <c r="W409" s="18">
        <f>_xlfn.XLOOKUP(J409,'Master Data 14-9-2026'!C:C,'Master Data 14-9-2026'!L:L)</f>
        <v>0</v>
      </c>
      <c r="X409" s="23">
        <v>28881900</v>
      </c>
      <c r="Y409" s="13" t="s">
        <v>1599</v>
      </c>
      <c r="Z409" s="24" t="str">
        <f>_xlfn.XLOOKUP(J409,'Master Data 14-9-2026'!C:C,'Master Data 14-9-2026'!I:I)</f>
        <v>Ended</v>
      </c>
      <c r="AA409" s="4" t="s">
        <v>1288</v>
      </c>
      <c r="AB409" s="40" t="s">
        <v>44</v>
      </c>
      <c r="AC409" s="13"/>
      <c r="AD409" s="13"/>
      <c r="AE409" s="13" t="str">
        <f>_xlfn.XLOOKUP(L409,'[1]ID PROJECT'!E:E,'[1]ID PROJECT'!F:F)</f>
        <v xml:space="preserve">PRJ-KUT-KPU-TPED-2026-04-00071 </v>
      </c>
      <c r="AF409" s="13"/>
      <c r="AG409" s="13"/>
      <c r="AH409" s="65"/>
      <c r="AI409" s="27"/>
    </row>
    <row r="410" spans="1:35" hidden="1">
      <c r="A410" s="13" t="s">
        <v>355</v>
      </c>
      <c r="B410" s="13" t="str">
        <f>_xlfn.XLOOKUP(J410,'Master Data 14-9-2026'!C:C,'Master Data 14-9-2026'!D:D)</f>
        <v>Laura Alvina Dewi wx1524149</v>
      </c>
      <c r="C410" s="13"/>
      <c r="D410" s="13" t="str">
        <f>_xlfn.XLOOKUP(J410,'Master Data 14-9-2026'!C:C,'Master Data 14-9-2026'!E:E)</f>
        <v>XLSMART</v>
      </c>
      <c r="E410" s="13"/>
      <c r="F410" s="13"/>
      <c r="G410" s="13" t="s">
        <v>18</v>
      </c>
      <c r="H410" s="13" t="str">
        <f>_xlfn.XLOOKUP(J410,'Master Data 14-9-2026'!C:C,'Master Data 14-9-2026'!H:H)</f>
        <v>2026-07-08 - 2026-08-07</v>
      </c>
      <c r="I410" s="13" t="str">
        <f t="shared" si="6"/>
        <v>July</v>
      </c>
      <c r="J410" s="13" t="s">
        <v>1644</v>
      </c>
      <c r="K410" s="13" t="s">
        <v>1004</v>
      </c>
      <c r="L410" s="13" t="s">
        <v>441</v>
      </c>
      <c r="M410" s="15">
        <v>200003186209020</v>
      </c>
      <c r="N410" s="13" t="s">
        <v>924</v>
      </c>
      <c r="O410" s="13">
        <v>1.09120260710002E+17</v>
      </c>
      <c r="P410" s="13" t="s">
        <v>1598</v>
      </c>
      <c r="Q410" s="18">
        <v>40</v>
      </c>
      <c r="R410" s="18">
        <v>1</v>
      </c>
      <c r="S410" s="13">
        <v>8828132633</v>
      </c>
      <c r="T410" s="13" t="s">
        <v>951</v>
      </c>
      <c r="U410" s="19">
        <v>28881900</v>
      </c>
      <c r="V410" s="18">
        <v>1</v>
      </c>
      <c r="W410" s="18">
        <f>_xlfn.XLOOKUP(J410,'Master Data 14-9-2026'!C:C,'Master Data 14-9-2026'!L:L)</f>
        <v>0</v>
      </c>
      <c r="X410" s="23">
        <v>28881900</v>
      </c>
      <c r="Y410" s="13" t="s">
        <v>1599</v>
      </c>
      <c r="Z410" s="24" t="s">
        <v>984</v>
      </c>
      <c r="AA410" s="4" t="s">
        <v>1288</v>
      </c>
      <c r="AB410" s="40" t="s">
        <v>44</v>
      </c>
      <c r="AC410" s="13"/>
      <c r="AD410" s="13"/>
      <c r="AE410" s="13" t="str">
        <f>_xlfn.XLOOKUP(L410,'[1]ID PROJECT'!E:E,'[1]ID PROJECT'!F:F)</f>
        <v xml:space="preserve">PRJ-KUT-KPU-TPED-2026-04-00071 </v>
      </c>
      <c r="AF410" s="13"/>
      <c r="AG410" s="13"/>
      <c r="AH410" s="65"/>
      <c r="AI410" s="27"/>
    </row>
    <row r="411" spans="1:35" hidden="1">
      <c r="A411" s="13" t="s">
        <v>353</v>
      </c>
      <c r="B411" s="13" t="str">
        <f>_xlfn.XLOOKUP(J411,'Master Data 14-9-2026'!C:C,'Master Data 14-9-2026'!D:D)</f>
        <v>Adnnia Nafis Qulub Aina wx1524134</v>
      </c>
      <c r="C411" s="13"/>
      <c r="D411" s="13" t="str">
        <f>_xlfn.XLOOKUP(J411,'Master Data 14-9-2026'!C:C,'Master Data 14-9-2026'!E:E)</f>
        <v>XLSMART</v>
      </c>
      <c r="E411" s="13"/>
      <c r="F411" s="13"/>
      <c r="G411" s="13" t="s">
        <v>13</v>
      </c>
      <c r="H411" s="13" t="str">
        <f>_xlfn.XLOOKUP(J411,'Master Data 14-9-2026'!C:C,'Master Data 14-9-2026'!H:H)</f>
        <v>2026-06-02 - 2026-07-01</v>
      </c>
      <c r="I411" s="13" t="str">
        <f t="shared" si="6"/>
        <v>June</v>
      </c>
      <c r="J411" s="13" t="s">
        <v>1645</v>
      </c>
      <c r="K411" s="13" t="s">
        <v>1004</v>
      </c>
      <c r="L411" s="13" t="s">
        <v>441</v>
      </c>
      <c r="M411" s="15">
        <v>200003186210020</v>
      </c>
      <c r="N411" s="13" t="s">
        <v>924</v>
      </c>
      <c r="O411" s="13">
        <v>1.09120260710002E+17</v>
      </c>
      <c r="P411" s="13" t="s">
        <v>1598</v>
      </c>
      <c r="Q411" s="18">
        <v>41</v>
      </c>
      <c r="R411" s="18">
        <v>1</v>
      </c>
      <c r="S411" s="13">
        <v>8828132633</v>
      </c>
      <c r="T411" s="13" t="s">
        <v>951</v>
      </c>
      <c r="U411" s="19">
        <v>28881900</v>
      </c>
      <c r="V411" s="18">
        <v>1</v>
      </c>
      <c r="W411" s="18">
        <f>_xlfn.XLOOKUP(J411,'Master Data 14-9-2026'!C:C,'Master Data 14-9-2026'!L:L)</f>
        <v>0</v>
      </c>
      <c r="X411" s="23">
        <v>28881900</v>
      </c>
      <c r="Y411" s="13" t="s">
        <v>1599</v>
      </c>
      <c r="Z411" s="24" t="str">
        <f>_xlfn.XLOOKUP(J411,'Master Data 14-9-2026'!C:C,'Master Data 14-9-2026'!I:I)</f>
        <v>Ended</v>
      </c>
      <c r="AA411" s="4" t="s">
        <v>1288</v>
      </c>
      <c r="AB411" s="40" t="s">
        <v>44</v>
      </c>
      <c r="AC411" s="13"/>
      <c r="AD411" s="13"/>
      <c r="AE411" s="13" t="str">
        <f>_xlfn.XLOOKUP(L411,'[1]ID PROJECT'!E:E,'[1]ID PROJECT'!F:F)</f>
        <v xml:space="preserve">PRJ-KUT-KPU-TPED-2026-04-00071 </v>
      </c>
      <c r="AF411" s="13"/>
      <c r="AG411" s="13"/>
      <c r="AH411" s="65"/>
      <c r="AI411" s="27"/>
    </row>
    <row r="412" spans="1:35" hidden="1">
      <c r="A412" s="13" t="s">
        <v>353</v>
      </c>
      <c r="B412" s="13" t="str">
        <f>_xlfn.XLOOKUP(J412,'Master Data 14-9-2026'!C:C,'Master Data 14-9-2026'!D:D)</f>
        <v>Adnnia Nafis Qulub Aina wx1524134</v>
      </c>
      <c r="C412" s="13"/>
      <c r="D412" s="13" t="str">
        <f>_xlfn.XLOOKUP(J412,'Master Data 14-9-2026'!C:C,'Master Data 14-9-2026'!E:E)</f>
        <v>XLSMART</v>
      </c>
      <c r="E412" s="13"/>
      <c r="F412" s="13"/>
      <c r="G412" s="13" t="s">
        <v>18</v>
      </c>
      <c r="H412" s="13" t="str">
        <f>_xlfn.XLOOKUP(J412,'Master Data 14-9-2026'!C:C,'Master Data 14-9-2026'!H:H)</f>
        <v>2026-07-02 - 2026-08-01</v>
      </c>
      <c r="I412" s="13" t="str">
        <f t="shared" si="6"/>
        <v>July</v>
      </c>
      <c r="J412" s="13" t="s">
        <v>1646</v>
      </c>
      <c r="K412" s="13" t="s">
        <v>1004</v>
      </c>
      <c r="L412" s="13" t="s">
        <v>441</v>
      </c>
      <c r="M412" s="15">
        <v>200003186211020</v>
      </c>
      <c r="N412" s="13" t="s">
        <v>924</v>
      </c>
      <c r="O412" s="13">
        <v>1.09120260710002E+17</v>
      </c>
      <c r="P412" s="13" t="s">
        <v>1598</v>
      </c>
      <c r="Q412" s="18">
        <v>42</v>
      </c>
      <c r="R412" s="18">
        <v>1</v>
      </c>
      <c r="S412" s="13">
        <v>8828132633</v>
      </c>
      <c r="T412" s="13" t="s">
        <v>951</v>
      </c>
      <c r="U412" s="19">
        <v>28881900</v>
      </c>
      <c r="V412" s="18">
        <v>1</v>
      </c>
      <c r="W412" s="18">
        <f>_xlfn.XLOOKUP(J412,'Master Data 14-9-2026'!C:C,'Master Data 14-9-2026'!L:L)</f>
        <v>0</v>
      </c>
      <c r="X412" s="23">
        <v>28881900</v>
      </c>
      <c r="Y412" s="13" t="s">
        <v>1599</v>
      </c>
      <c r="Z412" s="24" t="s">
        <v>984</v>
      </c>
      <c r="AA412" s="4" t="s">
        <v>1288</v>
      </c>
      <c r="AB412" s="40" t="s">
        <v>44</v>
      </c>
      <c r="AC412" s="13"/>
      <c r="AD412" s="13"/>
      <c r="AE412" s="13" t="str">
        <f>_xlfn.XLOOKUP(L412,'[1]ID PROJECT'!E:E,'[1]ID PROJECT'!F:F)</f>
        <v xml:space="preserve">PRJ-KUT-KPU-TPED-2026-04-00071 </v>
      </c>
      <c r="AF412" s="13"/>
      <c r="AG412" s="13"/>
      <c r="AH412" s="65"/>
      <c r="AI412" s="27"/>
    </row>
    <row r="413" spans="1:35" hidden="1">
      <c r="A413" s="13" t="s">
        <v>866</v>
      </c>
      <c r="B413" s="13" t="str">
        <f>_xlfn.XLOOKUP(J413,'Master Data 14-9-2026'!C:C,'Master Data 14-9-2026'!D:D)</f>
        <v>Muhammad Fajri Zulfa wx1524072</v>
      </c>
      <c r="C413" s="13"/>
      <c r="D413" s="13" t="str">
        <f>_xlfn.XLOOKUP(J413,'Master Data 14-9-2026'!C:C,'Master Data 14-9-2026'!E:E)</f>
        <v>XLSMART</v>
      </c>
      <c r="E413" s="13"/>
      <c r="F413" s="13"/>
      <c r="G413" s="13" t="s">
        <v>13</v>
      </c>
      <c r="H413" s="13" t="str">
        <f>_xlfn.XLOOKUP(J413,'Master Data 14-9-2026'!C:C,'Master Data 14-9-2026'!H:H)</f>
        <v>2026-06-02 - 2026-07-01</v>
      </c>
      <c r="I413" s="13" t="str">
        <f t="shared" si="6"/>
        <v>June</v>
      </c>
      <c r="J413" s="13" t="s">
        <v>1647</v>
      </c>
      <c r="K413" s="13" t="s">
        <v>1004</v>
      </c>
      <c r="L413" s="13" t="s">
        <v>441</v>
      </c>
      <c r="M413" s="15">
        <v>200003186212020</v>
      </c>
      <c r="N413" s="13" t="s">
        <v>924</v>
      </c>
      <c r="O413" s="13">
        <v>1.09120260710002E+17</v>
      </c>
      <c r="P413" s="13" t="s">
        <v>1598</v>
      </c>
      <c r="Q413" s="18">
        <v>43</v>
      </c>
      <c r="R413" s="18">
        <v>1</v>
      </c>
      <c r="S413" s="13">
        <v>8828132635</v>
      </c>
      <c r="T413" s="13" t="s">
        <v>926</v>
      </c>
      <c r="U413" s="19">
        <v>34220600</v>
      </c>
      <c r="V413" s="18">
        <v>1</v>
      </c>
      <c r="W413" s="18">
        <f>_xlfn.XLOOKUP(J413,'Master Data 14-9-2026'!C:C,'Master Data 14-9-2026'!L:L)</f>
        <v>0</v>
      </c>
      <c r="X413" s="23">
        <v>34220600</v>
      </c>
      <c r="Y413" s="13" t="s">
        <v>1599</v>
      </c>
      <c r="Z413" s="24" t="str">
        <f>_xlfn.XLOOKUP(J413,'Master Data 14-9-2026'!C:C,'Master Data 14-9-2026'!I:I)</f>
        <v>Ended</v>
      </c>
      <c r="AA413" s="4" t="s">
        <v>1288</v>
      </c>
      <c r="AB413" s="40" t="s">
        <v>44</v>
      </c>
      <c r="AC413" s="13"/>
      <c r="AD413" s="13"/>
      <c r="AE413" s="13" t="str">
        <f>_xlfn.XLOOKUP(L413,'[1]ID PROJECT'!E:E,'[1]ID PROJECT'!F:F)</f>
        <v xml:space="preserve">PRJ-KUT-KPU-TPED-2026-04-00071 </v>
      </c>
      <c r="AF413" s="13"/>
      <c r="AG413" s="13"/>
      <c r="AH413" s="65"/>
      <c r="AI413" s="27"/>
    </row>
    <row r="414" spans="1:35" hidden="1">
      <c r="A414" s="13" t="s">
        <v>866</v>
      </c>
      <c r="B414" s="13" t="str">
        <f>_xlfn.XLOOKUP(J414,'Master Data 14-9-2026'!C:C,'Master Data 14-9-2026'!D:D)</f>
        <v>Muhammad Fajri Zulfa wx1524072</v>
      </c>
      <c r="C414" s="13"/>
      <c r="D414" s="13" t="str">
        <f>_xlfn.XLOOKUP(J414,'Master Data 14-9-2026'!C:C,'Master Data 14-9-2026'!E:E)</f>
        <v>XLSMART</v>
      </c>
      <c r="E414" s="13"/>
      <c r="F414" s="13"/>
      <c r="G414" s="13" t="s">
        <v>18</v>
      </c>
      <c r="H414" s="13" t="str">
        <f>_xlfn.XLOOKUP(J414,'Master Data 14-9-2026'!C:C,'Master Data 14-9-2026'!H:H)</f>
        <v>2026-07-02 - 2026-08-01</v>
      </c>
      <c r="I414" s="13" t="str">
        <f t="shared" si="6"/>
        <v>July</v>
      </c>
      <c r="J414" s="13" t="s">
        <v>1648</v>
      </c>
      <c r="K414" s="13" t="s">
        <v>1004</v>
      </c>
      <c r="L414" s="13" t="s">
        <v>441</v>
      </c>
      <c r="M414" s="15">
        <v>200003186213020</v>
      </c>
      <c r="N414" s="13" t="s">
        <v>924</v>
      </c>
      <c r="O414" s="13">
        <v>1.09120260710002E+17</v>
      </c>
      <c r="P414" s="13" t="s">
        <v>1598</v>
      </c>
      <c r="Q414" s="18">
        <v>44</v>
      </c>
      <c r="R414" s="18">
        <v>1</v>
      </c>
      <c r="S414" s="13">
        <v>8828132635</v>
      </c>
      <c r="T414" s="13" t="s">
        <v>926</v>
      </c>
      <c r="U414" s="19">
        <v>34220600</v>
      </c>
      <c r="V414" s="18">
        <v>1</v>
      </c>
      <c r="W414" s="18">
        <f>_xlfn.XLOOKUP(J414,'Master Data 14-9-2026'!C:C,'Master Data 14-9-2026'!L:L)</f>
        <v>0</v>
      </c>
      <c r="X414" s="23">
        <v>34220600</v>
      </c>
      <c r="Y414" s="13" t="s">
        <v>1599</v>
      </c>
      <c r="Z414" s="24" t="s">
        <v>15</v>
      </c>
      <c r="AA414" s="4" t="s">
        <v>1288</v>
      </c>
      <c r="AB414" s="40" t="s">
        <v>44</v>
      </c>
      <c r="AC414" s="13"/>
      <c r="AD414" s="13"/>
      <c r="AE414" s="13" t="str">
        <f>_xlfn.XLOOKUP(L414,'[1]ID PROJECT'!E:E,'[1]ID PROJECT'!F:F)</f>
        <v xml:space="preserve">PRJ-KUT-KPU-TPED-2026-04-00071 </v>
      </c>
      <c r="AF414" s="13"/>
      <c r="AG414" s="13"/>
      <c r="AH414" s="65"/>
      <c r="AI414" s="27"/>
    </row>
    <row r="415" spans="1:35" hidden="1">
      <c r="A415" s="13" t="s">
        <v>876</v>
      </c>
      <c r="B415" s="13" t="str">
        <f>_xlfn.XLOOKUP(J415,'Master Data 14-9-2026'!C:C,'Master Data 14-9-2026'!D:D)</f>
        <v>Maulana Muhammad Aziz wx1524071</v>
      </c>
      <c r="C415" s="13"/>
      <c r="D415" s="13" t="str">
        <f>_xlfn.XLOOKUP(J415,'Master Data 14-9-2026'!C:C,'Master Data 14-9-2026'!E:E)</f>
        <v>XLSMART</v>
      </c>
      <c r="E415" s="13"/>
      <c r="F415" s="13"/>
      <c r="G415" s="13" t="s">
        <v>13</v>
      </c>
      <c r="H415" s="13" t="str">
        <f>_xlfn.XLOOKUP(J415,'Master Data 14-9-2026'!C:C,'Master Data 14-9-2026'!H:H)</f>
        <v>2026-06-02 - 2026-07-01</v>
      </c>
      <c r="I415" s="13" t="str">
        <f t="shared" si="6"/>
        <v>June</v>
      </c>
      <c r="J415" s="13" t="s">
        <v>1649</v>
      </c>
      <c r="K415" s="13" t="s">
        <v>1004</v>
      </c>
      <c r="L415" s="13" t="s">
        <v>441</v>
      </c>
      <c r="M415" s="15">
        <v>200003186214020</v>
      </c>
      <c r="N415" s="13" t="s">
        <v>924</v>
      </c>
      <c r="O415" s="13">
        <v>1.09120260710002E+17</v>
      </c>
      <c r="P415" s="13" t="s">
        <v>1598</v>
      </c>
      <c r="Q415" s="18">
        <v>45</v>
      </c>
      <c r="R415" s="18">
        <v>1</v>
      </c>
      <c r="S415" s="13">
        <v>8828132635</v>
      </c>
      <c r="T415" s="13" t="s">
        <v>926</v>
      </c>
      <c r="U415" s="19">
        <v>34220600</v>
      </c>
      <c r="V415" s="18">
        <v>1</v>
      </c>
      <c r="W415" s="18">
        <f>_xlfn.XLOOKUP(J415,'Master Data 14-9-2026'!C:C,'Master Data 14-9-2026'!L:L)</f>
        <v>0</v>
      </c>
      <c r="X415" s="23">
        <v>34220600</v>
      </c>
      <c r="Y415" s="13" t="s">
        <v>1599</v>
      </c>
      <c r="Z415" s="24" t="str">
        <f>_xlfn.XLOOKUP(J415,'Master Data 14-9-2026'!C:C,'Master Data 14-9-2026'!I:I)</f>
        <v>Ended</v>
      </c>
      <c r="AA415" s="4" t="s">
        <v>1288</v>
      </c>
      <c r="AB415" s="40" t="s">
        <v>44</v>
      </c>
      <c r="AC415" s="13"/>
      <c r="AD415" s="13"/>
      <c r="AE415" s="13" t="str">
        <f>_xlfn.XLOOKUP(L415,'[1]ID PROJECT'!E:E,'[1]ID PROJECT'!F:F)</f>
        <v xml:space="preserve">PRJ-KUT-KPU-TPED-2026-04-00071 </v>
      </c>
      <c r="AF415" s="13"/>
      <c r="AG415" s="13"/>
      <c r="AH415" s="65"/>
      <c r="AI415" s="27"/>
    </row>
    <row r="416" spans="1:35" hidden="1">
      <c r="A416" s="13" t="s">
        <v>876</v>
      </c>
      <c r="B416" s="13" t="str">
        <f>_xlfn.XLOOKUP(J416,'Master Data 14-9-2026'!C:C,'Master Data 14-9-2026'!D:D)</f>
        <v>Maulana Muhammad Aziz wx1524071</v>
      </c>
      <c r="C416" s="13"/>
      <c r="D416" s="13" t="str">
        <f>_xlfn.XLOOKUP(J416,'Master Data 14-9-2026'!C:C,'Master Data 14-9-2026'!E:E)</f>
        <v>XLSMART</v>
      </c>
      <c r="E416" s="13"/>
      <c r="F416" s="13"/>
      <c r="G416" s="13" t="s">
        <v>18</v>
      </c>
      <c r="H416" s="13" t="str">
        <f>_xlfn.XLOOKUP(J416,'Master Data 14-9-2026'!C:C,'Master Data 14-9-2026'!H:H)</f>
        <v>2026-07-02 - 2026-08-01</v>
      </c>
      <c r="I416" s="13" t="str">
        <f t="shared" si="6"/>
        <v>July</v>
      </c>
      <c r="J416" s="13" t="s">
        <v>1650</v>
      </c>
      <c r="K416" s="13" t="s">
        <v>1004</v>
      </c>
      <c r="L416" s="13" t="s">
        <v>441</v>
      </c>
      <c r="M416" s="15">
        <v>200003186215020</v>
      </c>
      <c r="N416" s="13" t="s">
        <v>924</v>
      </c>
      <c r="O416" s="13">
        <v>1.09120260710002E+17</v>
      </c>
      <c r="P416" s="13" t="s">
        <v>1598</v>
      </c>
      <c r="Q416" s="18">
        <v>46</v>
      </c>
      <c r="R416" s="18">
        <v>1</v>
      </c>
      <c r="S416" s="13">
        <v>8828132635</v>
      </c>
      <c r="T416" s="13" t="s">
        <v>926</v>
      </c>
      <c r="U416" s="19">
        <v>34220600</v>
      </c>
      <c r="V416" s="18">
        <v>1</v>
      </c>
      <c r="W416" s="18">
        <f>_xlfn.XLOOKUP(J416,'Master Data 14-9-2026'!C:C,'Master Data 14-9-2026'!L:L)</f>
        <v>0</v>
      </c>
      <c r="X416" s="23">
        <v>34220600</v>
      </c>
      <c r="Y416" s="13" t="s">
        <v>1599</v>
      </c>
      <c r="Z416" s="24" t="s">
        <v>15</v>
      </c>
      <c r="AA416" s="4" t="s">
        <v>1288</v>
      </c>
      <c r="AB416" s="40" t="s">
        <v>44</v>
      </c>
      <c r="AC416" s="13"/>
      <c r="AD416" s="13"/>
      <c r="AE416" s="13" t="str">
        <f>_xlfn.XLOOKUP(L416,'[1]ID PROJECT'!E:E,'[1]ID PROJECT'!F:F)</f>
        <v xml:space="preserve">PRJ-KUT-KPU-TPED-2026-04-00071 </v>
      </c>
      <c r="AF416" s="13"/>
      <c r="AG416" s="13"/>
      <c r="AH416" s="65"/>
      <c r="AI416" s="27"/>
    </row>
    <row r="417" spans="1:35" hidden="1">
      <c r="A417" s="13" t="s">
        <v>1651</v>
      </c>
      <c r="B417" s="13" t="e">
        <f>_xlfn.XLOOKUP(J417,'Master Data 14-9-2026'!C:C,'Master Data 14-9-2026'!D:D)</f>
        <v>#N/A</v>
      </c>
      <c r="C417" s="13"/>
      <c r="D417" s="13" t="e">
        <f>_xlfn.XLOOKUP(J417,'Master Data 14-9-2026'!C:C,'Master Data 14-9-2026'!E:E)</f>
        <v>#N/A</v>
      </c>
      <c r="E417" s="13"/>
      <c r="F417" s="13"/>
      <c r="G417" s="13" t="s">
        <v>13</v>
      </c>
      <c r="H417" s="13" t="e">
        <f>_xlfn.XLOOKUP(J417,'Master Data 14-9-2026'!C:C,'Master Data 14-9-2026'!H:H)</f>
        <v>#N/A</v>
      </c>
      <c r="I417" s="13" t="e">
        <f t="shared" si="6"/>
        <v>#N/A</v>
      </c>
      <c r="J417" s="13" t="s">
        <v>1652</v>
      </c>
      <c r="K417" s="13" t="s">
        <v>1004</v>
      </c>
      <c r="L417" s="13"/>
      <c r="M417" s="15">
        <v>200003186216020</v>
      </c>
      <c r="N417" s="13" t="s">
        <v>924</v>
      </c>
      <c r="O417" s="13">
        <v>1.09120260710002E+17</v>
      </c>
      <c r="P417" s="13" t="s">
        <v>1598</v>
      </c>
      <c r="Q417" s="18">
        <v>47</v>
      </c>
      <c r="R417" s="18">
        <v>1</v>
      </c>
      <c r="S417" s="13">
        <v>8828132635</v>
      </c>
      <c r="T417" s="13" t="s">
        <v>926</v>
      </c>
      <c r="U417" s="19">
        <v>34220600</v>
      </c>
      <c r="V417" s="18">
        <v>1</v>
      </c>
      <c r="W417" s="18" t="e">
        <f>_xlfn.XLOOKUP(J417,'Master Data 14-9-2026'!C:C,'Master Data 14-9-2026'!L:L)</f>
        <v>#N/A</v>
      </c>
      <c r="X417" s="23">
        <v>34220600</v>
      </c>
      <c r="Y417" s="13" t="s">
        <v>1599</v>
      </c>
      <c r="Z417" s="24" t="s">
        <v>984</v>
      </c>
      <c r="AB417" s="13" t="s">
        <v>1126</v>
      </c>
      <c r="AC417" s="13"/>
      <c r="AD417" s="13"/>
      <c r="AE417" s="13">
        <f>_xlfn.XLOOKUP(L417,'[1]ID PROJECT'!E:E,'[1]ID PROJECT'!F:F)</f>
        <v>0</v>
      </c>
      <c r="AF417" s="13"/>
      <c r="AG417" s="13"/>
      <c r="AH417" s="65"/>
      <c r="AI417" s="27"/>
    </row>
    <row r="418" spans="1:35" hidden="1">
      <c r="A418" s="13" t="s">
        <v>1651</v>
      </c>
      <c r="B418" s="13" t="e">
        <f>_xlfn.XLOOKUP(J418,'Master Data 14-9-2026'!C:C,'Master Data 14-9-2026'!D:D)</f>
        <v>#N/A</v>
      </c>
      <c r="C418" s="13"/>
      <c r="D418" s="13" t="e">
        <f>_xlfn.XLOOKUP(J418,'Master Data 14-9-2026'!C:C,'Master Data 14-9-2026'!E:E)</f>
        <v>#N/A</v>
      </c>
      <c r="E418" s="13"/>
      <c r="F418" s="13"/>
      <c r="G418" s="13" t="s">
        <v>18</v>
      </c>
      <c r="H418" s="13" t="e">
        <f>_xlfn.XLOOKUP(J418,'Master Data 14-9-2026'!C:C,'Master Data 14-9-2026'!H:H)</f>
        <v>#N/A</v>
      </c>
      <c r="I418" s="13" t="e">
        <f t="shared" si="6"/>
        <v>#N/A</v>
      </c>
      <c r="J418" s="13" t="s">
        <v>1653</v>
      </c>
      <c r="K418" s="13" t="s">
        <v>1004</v>
      </c>
      <c r="L418" s="13"/>
      <c r="M418" s="15">
        <v>200003186217020</v>
      </c>
      <c r="N418" s="13" t="s">
        <v>924</v>
      </c>
      <c r="O418" s="13">
        <v>1.09120260710002E+17</v>
      </c>
      <c r="P418" s="13" t="s">
        <v>1598</v>
      </c>
      <c r="Q418" s="18">
        <v>48</v>
      </c>
      <c r="R418" s="18">
        <v>1</v>
      </c>
      <c r="S418" s="13">
        <v>8828132635</v>
      </c>
      <c r="T418" s="13" t="s">
        <v>926</v>
      </c>
      <c r="U418" s="19">
        <v>34220600</v>
      </c>
      <c r="V418" s="18">
        <v>1</v>
      </c>
      <c r="W418" s="18" t="e">
        <f>_xlfn.XLOOKUP(J418,'Master Data 14-9-2026'!C:C,'Master Data 14-9-2026'!L:L)</f>
        <v>#N/A</v>
      </c>
      <c r="X418" s="23">
        <v>34220600</v>
      </c>
      <c r="Y418" s="13" t="s">
        <v>1599</v>
      </c>
      <c r="Z418" s="24" t="s">
        <v>984</v>
      </c>
      <c r="AB418" s="13" t="s">
        <v>1126</v>
      </c>
      <c r="AC418" s="13"/>
      <c r="AD418" s="13"/>
      <c r="AE418" s="13">
        <f>_xlfn.XLOOKUP(L418,'[1]ID PROJECT'!E:E,'[1]ID PROJECT'!F:F)</f>
        <v>0</v>
      </c>
      <c r="AF418" s="13"/>
      <c r="AG418" s="13"/>
      <c r="AH418" s="65"/>
      <c r="AI418" s="27"/>
    </row>
    <row r="419" spans="1:35" hidden="1">
      <c r="A419" s="13" t="s">
        <v>730</v>
      </c>
      <c r="B419" s="13" t="str">
        <f>_xlfn.XLOOKUP(J419,'Master Data 14-9-2026'!C:C,'Master Data 14-9-2026'!D:D)</f>
        <v>Andri Aryo Priyadi wx1524068</v>
      </c>
      <c r="C419" s="13"/>
      <c r="D419" s="13" t="str">
        <f>_xlfn.XLOOKUP(J419,'Master Data 14-9-2026'!C:C,'Master Data 14-9-2026'!E:E)</f>
        <v>XLSMART</v>
      </c>
      <c r="E419" s="13"/>
      <c r="F419" s="13"/>
      <c r="G419" s="13" t="s">
        <v>13</v>
      </c>
      <c r="H419" s="13" t="str">
        <f>_xlfn.XLOOKUP(J419,'Master Data 14-9-2026'!C:C,'Master Data 14-9-2026'!H:H)</f>
        <v>2026-06-02 - 2026-07-01</v>
      </c>
      <c r="I419" s="13" t="str">
        <f t="shared" si="6"/>
        <v>June</v>
      </c>
      <c r="J419" s="13" t="s">
        <v>1654</v>
      </c>
      <c r="K419" s="13" t="s">
        <v>1004</v>
      </c>
      <c r="L419" s="13" t="s">
        <v>441</v>
      </c>
      <c r="M419" s="15">
        <v>200003186218020</v>
      </c>
      <c r="N419" s="13" t="s">
        <v>924</v>
      </c>
      <c r="O419" s="13">
        <v>1.09120260710002E+17</v>
      </c>
      <c r="P419" s="13" t="s">
        <v>1598</v>
      </c>
      <c r="Q419" s="18">
        <v>49</v>
      </c>
      <c r="R419" s="18">
        <v>1</v>
      </c>
      <c r="S419" s="13">
        <v>8828132635</v>
      </c>
      <c r="T419" s="13" t="s">
        <v>926</v>
      </c>
      <c r="U419" s="19">
        <v>34220600</v>
      </c>
      <c r="V419" s="18">
        <v>1</v>
      </c>
      <c r="W419" s="18">
        <f>_xlfn.XLOOKUP(J419,'Master Data 14-9-2026'!C:C,'Master Data 14-9-2026'!L:L)</f>
        <v>1.5</v>
      </c>
      <c r="X419" s="23">
        <v>34220600</v>
      </c>
      <c r="Y419" s="13" t="s">
        <v>1599</v>
      </c>
      <c r="Z419" s="24" t="str">
        <f>_xlfn.XLOOKUP(J419,'Master Data 14-9-2026'!C:C,'Master Data 14-9-2026'!I:I)</f>
        <v>Ended</v>
      </c>
      <c r="AA419" s="4" t="s">
        <v>1288</v>
      </c>
      <c r="AB419" s="13" t="s">
        <v>1600</v>
      </c>
      <c r="AC419" s="13"/>
      <c r="AD419" s="13"/>
      <c r="AE419" s="13" t="str">
        <f>_xlfn.XLOOKUP(L419,'[1]ID PROJECT'!E:E,'[1]ID PROJECT'!F:F)</f>
        <v xml:space="preserve">PRJ-KUT-KPU-TPED-2026-04-00071 </v>
      </c>
      <c r="AF419" s="13"/>
      <c r="AG419" s="13"/>
      <c r="AH419" s="65"/>
      <c r="AI419" s="27"/>
    </row>
    <row r="420" spans="1:35" hidden="1">
      <c r="A420" s="13" t="s">
        <v>730</v>
      </c>
      <c r="B420" s="13" t="str">
        <f>_xlfn.XLOOKUP(J420,'Master Data 14-9-2026'!C:C,'Master Data 14-9-2026'!D:D)</f>
        <v>Andri Aryo Priyadi wx1524068</v>
      </c>
      <c r="C420" s="13"/>
      <c r="D420" s="13" t="str">
        <f>_xlfn.XLOOKUP(J420,'Master Data 14-9-2026'!C:C,'Master Data 14-9-2026'!E:E)</f>
        <v>XLSMART</v>
      </c>
      <c r="E420" s="13"/>
      <c r="F420" s="13"/>
      <c r="G420" s="13" t="s">
        <v>18</v>
      </c>
      <c r="H420" s="13" t="str">
        <f>_xlfn.XLOOKUP(J420,'Master Data 14-9-2026'!C:C,'Master Data 14-9-2026'!H:H)</f>
        <v>2026-07-02 - 2026-08-01</v>
      </c>
      <c r="I420" s="13" t="str">
        <f t="shared" si="6"/>
        <v>July</v>
      </c>
      <c r="J420" s="13" t="s">
        <v>1655</v>
      </c>
      <c r="K420" s="13" t="s">
        <v>1004</v>
      </c>
      <c r="L420" s="13" t="s">
        <v>441</v>
      </c>
      <c r="M420" s="15">
        <v>200003186219020</v>
      </c>
      <c r="N420" s="13" t="s">
        <v>924</v>
      </c>
      <c r="O420" s="13">
        <v>1.09120260710002E+17</v>
      </c>
      <c r="P420" s="13" t="s">
        <v>1598</v>
      </c>
      <c r="Q420" s="18">
        <v>50</v>
      </c>
      <c r="R420" s="18">
        <v>1</v>
      </c>
      <c r="S420" s="13">
        <v>8828132635</v>
      </c>
      <c r="T420" s="13" t="s">
        <v>926</v>
      </c>
      <c r="U420" s="19">
        <v>34220600</v>
      </c>
      <c r="V420" s="18">
        <v>1</v>
      </c>
      <c r="W420" s="18">
        <f>_xlfn.XLOOKUP(J420,'Master Data 14-9-2026'!C:C,'Master Data 14-9-2026'!L:L)</f>
        <v>1.5</v>
      </c>
      <c r="X420" s="23">
        <v>34220600</v>
      </c>
      <c r="Y420" s="13" t="s">
        <v>1599</v>
      </c>
      <c r="Z420" s="24" t="s">
        <v>15</v>
      </c>
      <c r="AB420" s="13"/>
      <c r="AC420" s="13"/>
      <c r="AD420" s="13"/>
      <c r="AE420" s="13" t="str">
        <f>_xlfn.XLOOKUP(L420,'[1]ID PROJECT'!E:E,'[1]ID PROJECT'!F:F)</f>
        <v xml:space="preserve">PRJ-KUT-KPU-TPED-2026-04-00071 </v>
      </c>
      <c r="AF420" s="13"/>
      <c r="AG420" s="13"/>
      <c r="AH420" s="65"/>
      <c r="AI420" s="27"/>
    </row>
    <row r="421" spans="1:35" hidden="1">
      <c r="A421" s="13" t="s">
        <v>720</v>
      </c>
      <c r="B421" s="13" t="str">
        <f>_xlfn.XLOOKUP(J421,'Master Data 14-9-2026'!C:C,'Master Data 14-9-2026'!D:D)</f>
        <v>Nisrina Nurul Fadlilah wx1524067</v>
      </c>
      <c r="C421" s="13"/>
      <c r="D421" s="13" t="str">
        <f>_xlfn.XLOOKUP(J421,'Master Data 14-9-2026'!C:C,'Master Data 14-9-2026'!E:E)</f>
        <v>XLSMART</v>
      </c>
      <c r="E421" s="13"/>
      <c r="F421" s="13"/>
      <c r="G421" s="13" t="s">
        <v>13</v>
      </c>
      <c r="H421" s="13" t="str">
        <f>_xlfn.XLOOKUP(J421,'Master Data 14-9-2026'!C:C,'Master Data 14-9-2026'!H:H)</f>
        <v>2026-06-02 - 2026-07-01</v>
      </c>
      <c r="I421" s="13" t="str">
        <f t="shared" si="6"/>
        <v>June</v>
      </c>
      <c r="J421" s="13" t="s">
        <v>1656</v>
      </c>
      <c r="K421" s="13" t="s">
        <v>1004</v>
      </c>
      <c r="L421" s="13" t="s">
        <v>441</v>
      </c>
      <c r="M421" s="15">
        <v>200003186220020</v>
      </c>
      <c r="N421" s="13" t="s">
        <v>924</v>
      </c>
      <c r="O421" s="13">
        <v>1.09120260710002E+17</v>
      </c>
      <c r="P421" s="13" t="s">
        <v>1598</v>
      </c>
      <c r="Q421" s="18">
        <v>51</v>
      </c>
      <c r="R421" s="18">
        <v>1</v>
      </c>
      <c r="S421" s="13">
        <v>8828132635</v>
      </c>
      <c r="T421" s="13" t="s">
        <v>926</v>
      </c>
      <c r="U421" s="19">
        <v>34220600</v>
      </c>
      <c r="V421" s="18">
        <v>1</v>
      </c>
      <c r="W421" s="18">
        <f>_xlfn.XLOOKUP(J421,'Master Data 14-9-2026'!C:C,'Master Data 14-9-2026'!L:L)</f>
        <v>1.5</v>
      </c>
      <c r="X421" s="23">
        <v>34220600</v>
      </c>
      <c r="Y421" s="13" t="s">
        <v>1599</v>
      </c>
      <c r="Z421" s="24" t="str">
        <f>_xlfn.XLOOKUP(J421,'Master Data 14-9-2026'!C:C,'Master Data 14-9-2026'!I:I)</f>
        <v>Ended</v>
      </c>
      <c r="AA421" s="4" t="s">
        <v>1288</v>
      </c>
      <c r="AB421" s="13" t="s">
        <v>1600</v>
      </c>
      <c r="AC421" s="13"/>
      <c r="AD421" s="13"/>
      <c r="AE421" s="13" t="str">
        <f>_xlfn.XLOOKUP(L421,'[1]ID PROJECT'!E:E,'[1]ID PROJECT'!F:F)</f>
        <v xml:space="preserve">PRJ-KUT-KPU-TPED-2026-04-00071 </v>
      </c>
      <c r="AF421" s="13"/>
      <c r="AG421" s="13"/>
      <c r="AH421" s="65"/>
      <c r="AI421" s="27"/>
    </row>
    <row r="422" spans="1:35" hidden="1">
      <c r="A422" s="13" t="s">
        <v>720</v>
      </c>
      <c r="B422" s="13" t="str">
        <f>_xlfn.XLOOKUP(J422,'Master Data 14-9-2026'!C:C,'Master Data 14-9-2026'!D:D)</f>
        <v>Nisrina Nurul Fadlilah wx1524067</v>
      </c>
      <c r="C422" s="13"/>
      <c r="D422" s="13" t="str">
        <f>_xlfn.XLOOKUP(J422,'Master Data 14-9-2026'!C:C,'Master Data 14-9-2026'!E:E)</f>
        <v>XLSMART</v>
      </c>
      <c r="E422" s="13"/>
      <c r="F422" s="13"/>
      <c r="G422" s="13" t="s">
        <v>18</v>
      </c>
      <c r="H422" s="13" t="str">
        <f>_xlfn.XLOOKUP(J422,'Master Data 14-9-2026'!C:C,'Master Data 14-9-2026'!H:H)</f>
        <v>2026-07-02 - 2026-08-01</v>
      </c>
      <c r="I422" s="13" t="str">
        <f t="shared" si="6"/>
        <v>July</v>
      </c>
      <c r="J422" s="13" t="s">
        <v>1657</v>
      </c>
      <c r="K422" s="13" t="s">
        <v>1004</v>
      </c>
      <c r="L422" s="13" t="s">
        <v>441</v>
      </c>
      <c r="M422" s="15">
        <v>200003186221020</v>
      </c>
      <c r="N422" s="13" t="s">
        <v>924</v>
      </c>
      <c r="O422" s="13">
        <v>1.09120260710002E+17</v>
      </c>
      <c r="P422" s="13" t="s">
        <v>1598</v>
      </c>
      <c r="Q422" s="18">
        <v>52</v>
      </c>
      <c r="R422" s="18">
        <v>1</v>
      </c>
      <c r="S422" s="13">
        <v>8828132635</v>
      </c>
      <c r="T422" s="13" t="s">
        <v>926</v>
      </c>
      <c r="U422" s="19">
        <v>34220600</v>
      </c>
      <c r="V422" s="18">
        <v>1</v>
      </c>
      <c r="W422" s="18">
        <f>_xlfn.XLOOKUP(J422,'Master Data 14-9-2026'!C:C,'Master Data 14-9-2026'!L:L)</f>
        <v>1.5</v>
      </c>
      <c r="X422" s="23">
        <v>34220600</v>
      </c>
      <c r="Y422" s="13" t="s">
        <v>1599</v>
      </c>
      <c r="Z422" s="24" t="s">
        <v>15</v>
      </c>
      <c r="AB422" s="13"/>
      <c r="AC422" s="13"/>
      <c r="AD422" s="13"/>
      <c r="AE422" s="13" t="str">
        <f>_xlfn.XLOOKUP(L422,'[1]ID PROJECT'!E:E,'[1]ID PROJECT'!F:F)</f>
        <v xml:space="preserve">PRJ-KUT-KPU-TPED-2026-04-00071 </v>
      </c>
      <c r="AF422" s="13"/>
      <c r="AG422" s="13"/>
      <c r="AH422" s="65"/>
      <c r="AI422" s="27"/>
    </row>
    <row r="423" spans="1:35" hidden="1">
      <c r="A423" s="13" t="s">
        <v>808</v>
      </c>
      <c r="B423" s="13" t="str">
        <f>_xlfn.XLOOKUP(J423,'Master Data 14-9-2026'!C:C,'Master Data 14-9-2026'!D:D)</f>
        <v>Muhammad hidayah Ramadhan wx1524847</v>
      </c>
      <c r="C423" s="13"/>
      <c r="D423" s="13" t="str">
        <f>_xlfn.XLOOKUP(J423,'Master Data 14-9-2026'!C:C,'Master Data 14-9-2026'!E:E)</f>
        <v>XLSMART</v>
      </c>
      <c r="E423" s="13"/>
      <c r="F423" s="13"/>
      <c r="G423" s="13" t="s">
        <v>13</v>
      </c>
      <c r="H423" s="13" t="str">
        <f>_xlfn.XLOOKUP(J423,'Master Data 14-9-2026'!C:C,'Master Data 14-9-2026'!H:H)</f>
        <v>2026-06-02 - 2026-07-01</v>
      </c>
      <c r="I423" s="13" t="str">
        <f t="shared" si="6"/>
        <v>June</v>
      </c>
      <c r="J423" s="13" t="s">
        <v>1658</v>
      </c>
      <c r="K423" s="13" t="s">
        <v>1004</v>
      </c>
      <c r="L423" s="13" t="s">
        <v>441</v>
      </c>
      <c r="M423" s="15">
        <v>200003186222020</v>
      </c>
      <c r="N423" s="13" t="s">
        <v>924</v>
      </c>
      <c r="O423" s="13">
        <v>1.09120260710002E+17</v>
      </c>
      <c r="P423" s="13" t="s">
        <v>1598</v>
      </c>
      <c r="Q423" s="18">
        <v>53</v>
      </c>
      <c r="R423" s="18">
        <v>1</v>
      </c>
      <c r="S423" s="13">
        <v>8828132635</v>
      </c>
      <c r="T423" s="13" t="s">
        <v>926</v>
      </c>
      <c r="U423" s="19">
        <v>34220600</v>
      </c>
      <c r="V423" s="18">
        <v>1</v>
      </c>
      <c r="W423" s="18">
        <f>_xlfn.XLOOKUP(J423,'Master Data 14-9-2026'!C:C,'Master Data 14-9-2026'!L:L)</f>
        <v>0</v>
      </c>
      <c r="X423" s="23">
        <v>34220600</v>
      </c>
      <c r="Y423" s="13" t="s">
        <v>1599</v>
      </c>
      <c r="Z423" s="24" t="str">
        <f>_xlfn.XLOOKUP(J423,'Master Data 14-9-2026'!C:C,'Master Data 14-9-2026'!I:I)</f>
        <v>Ended</v>
      </c>
      <c r="AA423" s="4" t="s">
        <v>1288</v>
      </c>
      <c r="AB423" s="40" t="s">
        <v>44</v>
      </c>
      <c r="AC423" s="13"/>
      <c r="AD423" s="13"/>
      <c r="AE423" s="13" t="str">
        <f>_xlfn.XLOOKUP(L423,'[1]ID PROJECT'!E:E,'[1]ID PROJECT'!F:F)</f>
        <v xml:space="preserve">PRJ-KUT-KPU-TPED-2026-04-00071 </v>
      </c>
      <c r="AF423" s="13"/>
      <c r="AG423" s="13"/>
      <c r="AH423" s="65"/>
      <c r="AI423" s="27"/>
    </row>
    <row r="424" spans="1:35" hidden="1">
      <c r="A424" s="13" t="s">
        <v>808</v>
      </c>
      <c r="B424" s="13" t="str">
        <f>_xlfn.XLOOKUP(J424,'Master Data 14-9-2026'!C:C,'Master Data 14-9-2026'!D:D)</f>
        <v>Muhammad hidayah Ramadhan wx1524847</v>
      </c>
      <c r="C424" s="13"/>
      <c r="D424" s="13" t="str">
        <f>_xlfn.XLOOKUP(J424,'Master Data 14-9-2026'!C:C,'Master Data 14-9-2026'!E:E)</f>
        <v>XLSMART</v>
      </c>
      <c r="E424" s="13"/>
      <c r="F424" s="13"/>
      <c r="G424" s="13" t="s">
        <v>18</v>
      </c>
      <c r="H424" s="13" t="str">
        <f>_xlfn.XLOOKUP(J424,'Master Data 14-9-2026'!C:C,'Master Data 14-9-2026'!H:H)</f>
        <v>2026-07-02 - 2026-08-01</v>
      </c>
      <c r="I424" s="13" t="str">
        <f t="shared" si="6"/>
        <v>July</v>
      </c>
      <c r="J424" s="13" t="s">
        <v>1659</v>
      </c>
      <c r="K424" s="13" t="s">
        <v>1004</v>
      </c>
      <c r="L424" s="13" t="s">
        <v>441</v>
      </c>
      <c r="M424" s="15">
        <v>200003186223020</v>
      </c>
      <c r="N424" s="13" t="s">
        <v>924</v>
      </c>
      <c r="O424" s="13">
        <v>1.09120260710002E+17</v>
      </c>
      <c r="P424" s="13" t="s">
        <v>1598</v>
      </c>
      <c r="Q424" s="18">
        <v>54</v>
      </c>
      <c r="R424" s="18">
        <v>1</v>
      </c>
      <c r="S424" s="13">
        <v>8828132635</v>
      </c>
      <c r="T424" s="13" t="s">
        <v>926</v>
      </c>
      <c r="U424" s="19">
        <v>34220600</v>
      </c>
      <c r="V424" s="18">
        <v>1</v>
      </c>
      <c r="W424" s="18">
        <f>_xlfn.XLOOKUP(J424,'Master Data 14-9-2026'!C:C,'Master Data 14-9-2026'!L:L)</f>
        <v>0</v>
      </c>
      <c r="X424" s="23">
        <v>34220600</v>
      </c>
      <c r="Y424" s="13" t="s">
        <v>1599</v>
      </c>
      <c r="Z424" s="24" t="s">
        <v>15</v>
      </c>
      <c r="AB424" s="13"/>
      <c r="AC424" s="13"/>
      <c r="AD424" s="13"/>
      <c r="AE424" s="13" t="str">
        <f>_xlfn.XLOOKUP(L424,'[1]ID PROJECT'!E:E,'[1]ID PROJECT'!F:F)</f>
        <v xml:space="preserve">PRJ-KUT-KPU-TPED-2026-04-00071 </v>
      </c>
      <c r="AF424" s="13"/>
      <c r="AG424" s="13"/>
      <c r="AH424" s="65"/>
      <c r="AI424" s="27"/>
    </row>
    <row r="425" spans="1:35" hidden="1">
      <c r="A425" s="13" t="s">
        <v>496</v>
      </c>
      <c r="B425" s="13" t="str">
        <f>_xlfn.XLOOKUP(J425,'Master Data 14-9-2026'!C:C,'Master Data 14-9-2026'!D:D)</f>
        <v>Dimas Sigit Setio Putro wx1523999</v>
      </c>
      <c r="C425" s="13"/>
      <c r="D425" s="13" t="str">
        <f>_xlfn.XLOOKUP(J425,'Master Data 14-9-2026'!C:C,'Master Data 14-9-2026'!E:E)</f>
        <v>XLSMART</v>
      </c>
      <c r="E425" s="13"/>
      <c r="F425" s="13"/>
      <c r="G425" s="13" t="s">
        <v>13</v>
      </c>
      <c r="H425" s="13" t="str">
        <f>_xlfn.XLOOKUP(J425,'Master Data 14-9-2026'!C:C,'Master Data 14-9-2026'!H:H)</f>
        <v>2026-06-02 - 2026-07-01</v>
      </c>
      <c r="I425" s="13" t="str">
        <f t="shared" si="6"/>
        <v>June</v>
      </c>
      <c r="J425" s="13" t="s">
        <v>1660</v>
      </c>
      <c r="K425" s="13" t="s">
        <v>1004</v>
      </c>
      <c r="L425" s="13" t="s">
        <v>441</v>
      </c>
      <c r="M425" s="15">
        <v>200003186224020</v>
      </c>
      <c r="N425" s="13" t="s">
        <v>924</v>
      </c>
      <c r="O425" s="13">
        <v>1.09120260710002E+17</v>
      </c>
      <c r="P425" s="13" t="s">
        <v>1598</v>
      </c>
      <c r="Q425" s="18">
        <v>55</v>
      </c>
      <c r="R425" s="18">
        <v>1</v>
      </c>
      <c r="S425" s="13">
        <v>8828132636</v>
      </c>
      <c r="T425" s="13" t="s">
        <v>933</v>
      </c>
      <c r="U425" s="19">
        <v>36992000</v>
      </c>
      <c r="V425" s="18">
        <v>1</v>
      </c>
      <c r="W425" s="18">
        <f>_xlfn.XLOOKUP(J425,'Master Data 14-9-2026'!C:C,'Master Data 14-9-2026'!L:L)</f>
        <v>1.5</v>
      </c>
      <c r="X425" s="23">
        <v>36992000</v>
      </c>
      <c r="Y425" s="13" t="s">
        <v>1599</v>
      </c>
      <c r="Z425" s="24" t="str">
        <f>_xlfn.XLOOKUP(J425,'Master Data 14-9-2026'!C:C,'Master Data 14-9-2026'!I:I)</f>
        <v>Ended</v>
      </c>
      <c r="AA425" s="4" t="s">
        <v>1288</v>
      </c>
      <c r="AB425" s="13" t="s">
        <v>1600</v>
      </c>
      <c r="AC425" s="13"/>
      <c r="AD425" s="13"/>
      <c r="AE425" s="13" t="str">
        <f>_xlfn.XLOOKUP(L425,'[1]ID PROJECT'!E:E,'[1]ID PROJECT'!F:F)</f>
        <v xml:space="preserve">PRJ-KUT-KPU-TPED-2026-04-00071 </v>
      </c>
      <c r="AF425" s="13"/>
      <c r="AG425" s="13"/>
      <c r="AH425" s="65"/>
      <c r="AI425" s="27"/>
    </row>
    <row r="426" spans="1:35" hidden="1">
      <c r="A426" s="13" t="s">
        <v>496</v>
      </c>
      <c r="B426" s="13" t="str">
        <f>_xlfn.XLOOKUP(J426,'Master Data 14-9-2026'!C:C,'Master Data 14-9-2026'!D:D)</f>
        <v>Dimas Sigit Setio Putro wx1523999</v>
      </c>
      <c r="C426" s="13"/>
      <c r="D426" s="13" t="str">
        <f>_xlfn.XLOOKUP(J426,'Master Data 14-9-2026'!C:C,'Master Data 14-9-2026'!E:E)</f>
        <v>XLSMART</v>
      </c>
      <c r="E426" s="13"/>
      <c r="F426" s="13"/>
      <c r="G426" s="13" t="s">
        <v>18</v>
      </c>
      <c r="H426" s="13" t="str">
        <f>_xlfn.XLOOKUP(J426,'Master Data 14-9-2026'!C:C,'Master Data 14-9-2026'!H:H)</f>
        <v>2026-07-02 - 2026-08-01</v>
      </c>
      <c r="I426" s="13" t="str">
        <f t="shared" si="6"/>
        <v>July</v>
      </c>
      <c r="J426" s="13" t="s">
        <v>1661</v>
      </c>
      <c r="K426" s="13" t="s">
        <v>1004</v>
      </c>
      <c r="L426" s="13" t="s">
        <v>441</v>
      </c>
      <c r="M426" s="15">
        <v>200003186225020</v>
      </c>
      <c r="N426" s="13" t="s">
        <v>924</v>
      </c>
      <c r="O426" s="13">
        <v>1.09120260710002E+17</v>
      </c>
      <c r="P426" s="13" t="s">
        <v>1598</v>
      </c>
      <c r="Q426" s="18">
        <v>56</v>
      </c>
      <c r="R426" s="18">
        <v>1</v>
      </c>
      <c r="S426" s="13">
        <v>8828132636</v>
      </c>
      <c r="T426" s="13" t="s">
        <v>933</v>
      </c>
      <c r="U426" s="19">
        <v>36992000</v>
      </c>
      <c r="V426" s="18">
        <v>1</v>
      </c>
      <c r="W426" s="18">
        <f>_xlfn.XLOOKUP(J426,'Master Data 14-9-2026'!C:C,'Master Data 14-9-2026'!L:L)</f>
        <v>1.5</v>
      </c>
      <c r="X426" s="23">
        <v>36992000</v>
      </c>
      <c r="Y426" s="13" t="s">
        <v>1599</v>
      </c>
      <c r="Z426" s="24" t="s">
        <v>15</v>
      </c>
      <c r="AB426" s="13"/>
      <c r="AC426" s="13"/>
      <c r="AD426" s="13"/>
      <c r="AE426" s="13" t="str">
        <f>_xlfn.XLOOKUP(L426,'[1]ID PROJECT'!E:E,'[1]ID PROJECT'!F:F)</f>
        <v xml:space="preserve">PRJ-KUT-KPU-TPED-2026-04-00071 </v>
      </c>
      <c r="AF426" s="13"/>
      <c r="AG426" s="13"/>
      <c r="AH426" s="65"/>
      <c r="AI426" s="27"/>
    </row>
    <row r="427" spans="1:35" hidden="1">
      <c r="A427" s="13" t="s">
        <v>286</v>
      </c>
      <c r="B427" s="13" t="str">
        <f>_xlfn.XLOOKUP(J427,'Master Data 14-9-2026'!C:C,'Master Data 14-9-2026'!D:D)</f>
        <v>Rifan Azkia wx1504665</v>
      </c>
      <c r="C427" s="13"/>
      <c r="D427" s="13" t="str">
        <f>_xlfn.XLOOKUP(J427,'Master Data 14-9-2026'!C:C,'Master Data 14-9-2026'!E:E)</f>
        <v>XLSMART</v>
      </c>
      <c r="E427" s="13"/>
      <c r="F427" s="13"/>
      <c r="G427" s="13" t="s">
        <v>25</v>
      </c>
      <c r="H427" s="13" t="str">
        <f>_xlfn.XLOOKUP(J427,'Master Data 14-9-2026'!C:C,'Master Data 14-9-2026'!H:H)</f>
        <v>2026-06-23 - 2026-07-22</v>
      </c>
      <c r="I427" s="13" t="str">
        <f t="shared" si="6"/>
        <v>June</v>
      </c>
      <c r="J427" s="13" t="s">
        <v>1662</v>
      </c>
      <c r="K427" s="13" t="s">
        <v>1004</v>
      </c>
      <c r="L427" s="13" t="s">
        <v>441</v>
      </c>
      <c r="M427" s="15">
        <v>200003135901020</v>
      </c>
      <c r="N427" s="13" t="s">
        <v>924</v>
      </c>
      <c r="O427" s="13">
        <v>1.09120260710002E+17</v>
      </c>
      <c r="P427" s="13" t="s">
        <v>1598</v>
      </c>
      <c r="Q427" s="18">
        <v>57</v>
      </c>
      <c r="R427" s="18">
        <v>1</v>
      </c>
      <c r="S427" s="13">
        <v>8828132633</v>
      </c>
      <c r="T427" s="13" t="s">
        <v>951</v>
      </c>
      <c r="U427" s="19">
        <v>28881900</v>
      </c>
      <c r="V427" s="18">
        <v>1</v>
      </c>
      <c r="W427" s="18">
        <f>_xlfn.XLOOKUP(J427,'Master Data 14-9-2026'!C:C,'Master Data 14-9-2026'!L:L)</f>
        <v>0.5</v>
      </c>
      <c r="X427" s="23">
        <v>28881900</v>
      </c>
      <c r="Y427" s="13" t="s">
        <v>1599</v>
      </c>
      <c r="Z427" s="24" t="str">
        <f>_xlfn.XLOOKUP(J427,'Master Data 14-9-2026'!C:C,'Master Data 14-9-2026'!I:I)</f>
        <v>Ended</v>
      </c>
      <c r="AB427" s="13"/>
      <c r="AC427" s="13"/>
      <c r="AD427" s="13"/>
      <c r="AE427" s="13" t="str">
        <f>_xlfn.XLOOKUP(L427,'[1]ID PROJECT'!E:E,'[1]ID PROJECT'!F:F)</f>
        <v xml:space="preserve">PRJ-KUT-KPU-TPED-2026-04-00071 </v>
      </c>
      <c r="AF427" s="13"/>
      <c r="AG427" s="13"/>
      <c r="AH427" s="65"/>
      <c r="AI427" s="27"/>
    </row>
    <row r="428" spans="1:35" hidden="1">
      <c r="A428" s="13" t="s">
        <v>388</v>
      </c>
      <c r="B428" s="13" t="str">
        <f>_xlfn.XLOOKUP(J428,'Master Data 14-9-2026'!C:C,'Master Data 14-9-2026'!D:D)</f>
        <v>Devi Dyah Palupi wx1503645</v>
      </c>
      <c r="C428" s="13"/>
      <c r="D428" s="13" t="str">
        <f>_xlfn.XLOOKUP(J428,'Master Data 14-9-2026'!C:C,'Master Data 14-9-2026'!E:E)</f>
        <v>IOH</v>
      </c>
      <c r="E428" s="13"/>
      <c r="F428" s="13"/>
      <c r="G428" s="13" t="s">
        <v>25</v>
      </c>
      <c r="H428" s="13" t="str">
        <f>_xlfn.XLOOKUP(J428,'Master Data 14-9-2026'!C:C,'Master Data 14-9-2026'!H:H)</f>
        <v>2026-06-23 - 2026-07-22</v>
      </c>
      <c r="I428" s="13" t="str">
        <f t="shared" si="6"/>
        <v>June</v>
      </c>
      <c r="J428" s="13" t="s">
        <v>1663</v>
      </c>
      <c r="K428" s="13" t="s">
        <v>1004</v>
      </c>
      <c r="L428" s="13" t="s">
        <v>441</v>
      </c>
      <c r="M428" s="15">
        <v>200003135902020</v>
      </c>
      <c r="N428" s="13" t="s">
        <v>924</v>
      </c>
      <c r="O428" s="13">
        <v>1.09120260710002E+17</v>
      </c>
      <c r="P428" s="13" t="s">
        <v>1598</v>
      </c>
      <c r="Q428" s="18">
        <v>58</v>
      </c>
      <c r="R428" s="18">
        <v>1</v>
      </c>
      <c r="S428" s="13">
        <v>8828132633</v>
      </c>
      <c r="T428" s="13" t="s">
        <v>951</v>
      </c>
      <c r="U428" s="19">
        <v>28881900</v>
      </c>
      <c r="V428" s="18">
        <v>1</v>
      </c>
      <c r="W428" s="18">
        <f>_xlfn.XLOOKUP(J428,'Master Data 14-9-2026'!C:C,'Master Data 14-9-2026'!L:L)</f>
        <v>1.5</v>
      </c>
      <c r="X428" s="23">
        <v>28881900</v>
      </c>
      <c r="Y428" s="13" t="s">
        <v>1599</v>
      </c>
      <c r="Z428" s="24" t="str">
        <f>_xlfn.XLOOKUP(J428,'Master Data 14-9-2026'!C:C,'Master Data 14-9-2026'!I:I)</f>
        <v>Ended</v>
      </c>
      <c r="AB428" s="13"/>
      <c r="AC428" s="13"/>
      <c r="AD428" s="13"/>
      <c r="AE428" s="13" t="str">
        <f>_xlfn.XLOOKUP(L428,'[1]ID PROJECT'!E:E,'[1]ID PROJECT'!F:F)</f>
        <v xml:space="preserve">PRJ-KUT-KPU-TPED-2026-04-00071 </v>
      </c>
      <c r="AF428" s="13"/>
      <c r="AG428" s="13"/>
      <c r="AH428" s="65"/>
      <c r="AI428" s="27"/>
    </row>
    <row r="429" spans="1:35" hidden="1">
      <c r="A429" s="13" t="s">
        <v>330</v>
      </c>
      <c r="B429" s="13" t="str">
        <f>_xlfn.XLOOKUP(J429,'Master Data 14-9-2026'!C:C,'Master Data 14-9-2026'!D:D)</f>
        <v>Mauli Rizki Amelia wx1504666</v>
      </c>
      <c r="C429" s="13"/>
      <c r="D429" s="13" t="str">
        <f>_xlfn.XLOOKUP(J429,'Master Data 14-9-2026'!C:C,'Master Data 14-9-2026'!E:E)</f>
        <v>XLSMART</v>
      </c>
      <c r="E429" s="13"/>
      <c r="F429" s="13"/>
      <c r="G429" s="13" t="s">
        <v>25</v>
      </c>
      <c r="H429" s="13" t="str">
        <f>_xlfn.XLOOKUP(J429,'Master Data 14-9-2026'!C:C,'Master Data 14-9-2026'!H:H)</f>
        <v>2026-06-26 - 2026-07-25</v>
      </c>
      <c r="I429" s="13" t="str">
        <f t="shared" si="6"/>
        <v>June</v>
      </c>
      <c r="J429" s="13" t="s">
        <v>1664</v>
      </c>
      <c r="K429" s="13" t="s">
        <v>1004</v>
      </c>
      <c r="L429" s="13" t="s">
        <v>441</v>
      </c>
      <c r="M429" s="15">
        <v>200003135903020</v>
      </c>
      <c r="N429" s="13" t="s">
        <v>924</v>
      </c>
      <c r="O429" s="13">
        <v>1.09120260710002E+17</v>
      </c>
      <c r="P429" s="13" t="s">
        <v>1598</v>
      </c>
      <c r="Q429" s="18">
        <v>59</v>
      </c>
      <c r="R429" s="18">
        <v>1</v>
      </c>
      <c r="S429" s="13">
        <v>8828132633</v>
      </c>
      <c r="T429" s="13" t="s">
        <v>951</v>
      </c>
      <c r="U429" s="19">
        <v>28881900</v>
      </c>
      <c r="V429" s="18">
        <v>1</v>
      </c>
      <c r="W429" s="18">
        <f>_xlfn.XLOOKUP(J429,'Master Data 14-9-2026'!C:C,'Master Data 14-9-2026'!L:L)</f>
        <v>0</v>
      </c>
      <c r="X429" s="23">
        <v>28881900</v>
      </c>
      <c r="Y429" s="13" t="s">
        <v>1599</v>
      </c>
      <c r="Z429" s="24" t="str">
        <f>_xlfn.XLOOKUP(J429,'Master Data 14-9-2026'!C:C,'Master Data 14-9-2026'!I:I)</f>
        <v>Ended</v>
      </c>
      <c r="AB429" s="13"/>
      <c r="AC429" s="13"/>
      <c r="AD429" s="13"/>
      <c r="AE429" s="13" t="str">
        <f>_xlfn.XLOOKUP(L429,'[1]ID PROJECT'!E:E,'[1]ID PROJECT'!F:F)</f>
        <v xml:space="preserve">PRJ-KUT-KPU-TPED-2026-04-00071 </v>
      </c>
      <c r="AF429" s="13"/>
      <c r="AG429" s="13"/>
      <c r="AH429" s="65"/>
      <c r="AI429" s="27"/>
    </row>
    <row r="430" spans="1:35" hidden="1">
      <c r="A430" s="13" t="s">
        <v>98</v>
      </c>
      <c r="B430" s="13" t="str">
        <f>_xlfn.XLOOKUP(J430,'Master Data 14-9-2026'!C:C,'Master Data 14-9-2026'!D:D)</f>
        <v>Nurmawaty wx1504714</v>
      </c>
      <c r="C430" s="13"/>
      <c r="D430" s="13" t="str">
        <f>_xlfn.XLOOKUP(J430,'Master Data 14-9-2026'!C:C,'Master Data 14-9-2026'!E:E)</f>
        <v>XLSMART</v>
      </c>
      <c r="E430" s="13"/>
      <c r="F430" s="13"/>
      <c r="G430" s="13" t="s">
        <v>25</v>
      </c>
      <c r="H430" s="13" t="str">
        <f>_xlfn.XLOOKUP(J430,'Master Data 14-9-2026'!C:C,'Master Data 14-9-2026'!H:H)</f>
        <v>2026-06-28 - 2026-07-27</v>
      </c>
      <c r="I430" s="13" t="str">
        <f t="shared" si="6"/>
        <v>June</v>
      </c>
      <c r="J430" s="13" t="s">
        <v>1665</v>
      </c>
      <c r="K430" s="13" t="s">
        <v>1004</v>
      </c>
      <c r="L430" s="13" t="s">
        <v>441</v>
      </c>
      <c r="M430" s="15">
        <v>200003135904020</v>
      </c>
      <c r="N430" s="13" t="s">
        <v>924</v>
      </c>
      <c r="O430" s="13">
        <v>1.09120260710002E+17</v>
      </c>
      <c r="P430" s="13" t="s">
        <v>1598</v>
      </c>
      <c r="Q430" s="18">
        <v>60</v>
      </c>
      <c r="R430" s="18">
        <v>1</v>
      </c>
      <c r="S430" s="13">
        <v>8828132633</v>
      </c>
      <c r="T430" s="13" t="s">
        <v>951</v>
      </c>
      <c r="U430" s="19">
        <v>28881900</v>
      </c>
      <c r="V430" s="18">
        <v>1</v>
      </c>
      <c r="W430" s="18">
        <f>_xlfn.XLOOKUP(J430,'Master Data 14-9-2026'!C:C,'Master Data 14-9-2026'!L:L)</f>
        <v>1.5</v>
      </c>
      <c r="X430" s="23">
        <v>28881900</v>
      </c>
      <c r="Y430" s="13" t="s">
        <v>1599</v>
      </c>
      <c r="Z430" s="24" t="str">
        <f>_xlfn.XLOOKUP(J430,'Master Data 14-9-2026'!C:C,'Master Data 14-9-2026'!I:I)</f>
        <v>Ended</v>
      </c>
      <c r="AB430" s="13"/>
      <c r="AC430" s="13"/>
      <c r="AD430" s="13"/>
      <c r="AE430" s="13" t="str">
        <f>_xlfn.XLOOKUP(L430,'[1]ID PROJECT'!E:E,'[1]ID PROJECT'!F:F)</f>
        <v xml:space="preserve">PRJ-KUT-KPU-TPED-2026-04-00071 </v>
      </c>
      <c r="AF430" s="13"/>
      <c r="AG430" s="13"/>
      <c r="AH430" s="65"/>
      <c r="AI430" s="27"/>
    </row>
    <row r="431" spans="1:35">
      <c r="A431" s="13" t="s">
        <v>419</v>
      </c>
      <c r="B431" s="13" t="str">
        <f>_xlfn.XLOOKUP(J431,'Master Data 14-9-2026'!C:C,'Master Data 14-9-2026'!D:D)</f>
        <v>Didit Irawan wx1504645</v>
      </c>
      <c r="C431" s="13"/>
      <c r="D431" s="13" t="str">
        <f>_xlfn.XLOOKUP(J431,'Master Data 14-9-2026'!C:C,'Master Data 14-9-2026'!E:E)</f>
        <v>XLSMART</v>
      </c>
      <c r="E431" s="13"/>
      <c r="F431" s="13"/>
      <c r="G431" s="13" t="s">
        <v>25</v>
      </c>
      <c r="H431" s="13" t="str">
        <f>_xlfn.XLOOKUP(J431,'Master Data 14-9-2026'!C:C,'Master Data 14-9-2026'!H:H)</f>
        <v>2026-06-30 - 2026-07-29</v>
      </c>
      <c r="I431" s="13" t="str">
        <f t="shared" si="6"/>
        <v>June</v>
      </c>
      <c r="J431" s="13" t="s">
        <v>1666</v>
      </c>
      <c r="K431" s="13" t="s">
        <v>1004</v>
      </c>
      <c r="L431" s="13" t="s">
        <v>441</v>
      </c>
      <c r="M431" s="15">
        <v>200003135905020</v>
      </c>
      <c r="N431" s="13" t="s">
        <v>924</v>
      </c>
      <c r="O431" s="13">
        <v>1.09120260710002E+17</v>
      </c>
      <c r="P431" s="13" t="s">
        <v>1598</v>
      </c>
      <c r="Q431" s="18">
        <v>61</v>
      </c>
      <c r="R431" s="18">
        <v>1</v>
      </c>
      <c r="S431" s="13">
        <v>8828132633</v>
      </c>
      <c r="T431" s="13" t="s">
        <v>951</v>
      </c>
      <c r="U431" s="19">
        <v>28881900</v>
      </c>
      <c r="V431" s="18">
        <v>1</v>
      </c>
      <c r="W431" s="18">
        <f>_xlfn.XLOOKUP(J431,'Master Data 14-9-2026'!C:C,'Master Data 14-9-2026'!L:L)</f>
        <v>1</v>
      </c>
      <c r="X431" s="23">
        <v>28881900</v>
      </c>
      <c r="Y431" s="13" t="s">
        <v>1599</v>
      </c>
      <c r="Z431" s="24" t="str">
        <f>_xlfn.XLOOKUP(J431,'Master Data 14-9-2026'!C:C,'Master Data 14-9-2026'!I:I)</f>
        <v>Ended</v>
      </c>
      <c r="AA431" s="4" t="s">
        <v>934</v>
      </c>
      <c r="AB431" s="13"/>
      <c r="AC431" s="13"/>
      <c r="AD431" s="13" t="s">
        <v>935</v>
      </c>
      <c r="AE431" s="47" t="s">
        <v>3379</v>
      </c>
      <c r="AF431" s="34" t="s">
        <v>1667</v>
      </c>
      <c r="AG431" s="40" t="s">
        <v>3395</v>
      </c>
      <c r="AH431" s="65">
        <v>46267</v>
      </c>
      <c r="AI431" s="27" t="s">
        <v>967</v>
      </c>
    </row>
    <row r="432" spans="1:35" hidden="1">
      <c r="A432" s="13" t="s">
        <v>185</v>
      </c>
      <c r="B432" s="13" t="str">
        <f>_xlfn.XLOOKUP(J432,'Master Data 14-9-2026'!C:C,'Master Data 14-9-2026'!D:D)</f>
        <v>Ika Setianingsih wx1507364</v>
      </c>
      <c r="C432" s="13"/>
      <c r="D432" s="13" t="str">
        <f>_xlfn.XLOOKUP(J432,'Master Data 14-9-2026'!C:C,'Master Data 14-9-2026'!E:E)</f>
        <v>XLSMART</v>
      </c>
      <c r="E432" s="13"/>
      <c r="F432" s="13"/>
      <c r="G432" s="13" t="s">
        <v>25</v>
      </c>
      <c r="H432" s="13" t="str">
        <f>_xlfn.XLOOKUP(J432,'Master Data 14-9-2026'!C:C,'Master Data 14-9-2026'!H:H)</f>
        <v>2026-07-01 - 2026-07-31</v>
      </c>
      <c r="I432" s="13" t="str">
        <f t="shared" si="6"/>
        <v>July</v>
      </c>
      <c r="J432" s="13" t="s">
        <v>1668</v>
      </c>
      <c r="K432" s="13" t="s">
        <v>1004</v>
      </c>
      <c r="L432" s="13" t="s">
        <v>441</v>
      </c>
      <c r="M432" s="15">
        <v>200003135906020</v>
      </c>
      <c r="N432" s="13" t="s">
        <v>924</v>
      </c>
      <c r="O432" s="13">
        <v>1.09120260710002E+17</v>
      </c>
      <c r="P432" s="13" t="s">
        <v>1598</v>
      </c>
      <c r="Q432" s="18">
        <v>62</v>
      </c>
      <c r="R432" s="18">
        <v>1</v>
      </c>
      <c r="S432" s="13">
        <v>8828132633</v>
      </c>
      <c r="T432" s="13" t="s">
        <v>951</v>
      </c>
      <c r="U432" s="19">
        <v>28881900</v>
      </c>
      <c r="V432" s="18">
        <v>1</v>
      </c>
      <c r="W432" s="18">
        <f>_xlfn.XLOOKUP(J432,'Master Data 14-9-2026'!C:C,'Master Data 14-9-2026'!L:L)</f>
        <v>1.5</v>
      </c>
      <c r="X432" s="23">
        <v>28881900</v>
      </c>
      <c r="Y432" s="13" t="s">
        <v>1599</v>
      </c>
      <c r="Z432" s="24" t="s">
        <v>984</v>
      </c>
      <c r="AB432" s="13"/>
      <c r="AC432" s="13"/>
      <c r="AD432" s="13"/>
      <c r="AE432" s="13" t="str">
        <f>_xlfn.XLOOKUP(L432,'[1]ID PROJECT'!E:E,'[1]ID PROJECT'!F:F)</f>
        <v xml:space="preserve">PRJ-KUT-KPU-TPED-2026-04-00071 </v>
      </c>
      <c r="AF432" s="13"/>
      <c r="AG432" s="13"/>
      <c r="AH432" s="65"/>
      <c r="AI432" s="27"/>
    </row>
    <row r="433" spans="1:35" hidden="1">
      <c r="A433" s="13" t="s">
        <v>177</v>
      </c>
      <c r="B433" s="13" t="str">
        <f>_xlfn.XLOOKUP(J433,'Master Data 14-9-2026'!C:C,'Master Data 14-9-2026'!D:D)</f>
        <v>Aliyah wx1507137</v>
      </c>
      <c r="C433" s="13"/>
      <c r="D433" s="13" t="str">
        <f>_xlfn.XLOOKUP(J433,'Master Data 14-9-2026'!C:C,'Master Data 14-9-2026'!E:E)</f>
        <v>XLSMART</v>
      </c>
      <c r="E433" s="13"/>
      <c r="F433" s="13"/>
      <c r="G433" s="13" t="s">
        <v>25</v>
      </c>
      <c r="H433" s="13" t="str">
        <f>_xlfn.XLOOKUP(J433,'Master Data 14-9-2026'!C:C,'Master Data 14-9-2026'!H:H)</f>
        <v>2026-07-01 - 2026-07-31</v>
      </c>
      <c r="I433" s="13" t="str">
        <f t="shared" si="6"/>
        <v>July</v>
      </c>
      <c r="J433" s="13" t="s">
        <v>1669</v>
      </c>
      <c r="K433" s="13" t="s">
        <v>1004</v>
      </c>
      <c r="L433" s="13" t="s">
        <v>441</v>
      </c>
      <c r="M433" s="15">
        <v>200003135907020</v>
      </c>
      <c r="N433" s="13" t="s">
        <v>924</v>
      </c>
      <c r="O433" s="13">
        <v>1.09120260710002E+17</v>
      </c>
      <c r="P433" s="13" t="s">
        <v>1598</v>
      </c>
      <c r="Q433" s="18">
        <v>63</v>
      </c>
      <c r="R433" s="18">
        <v>1</v>
      </c>
      <c r="S433" s="13">
        <v>8828132633</v>
      </c>
      <c r="T433" s="13" t="s">
        <v>951</v>
      </c>
      <c r="U433" s="19">
        <v>28881900</v>
      </c>
      <c r="V433" s="18">
        <v>1</v>
      </c>
      <c r="W433" s="18">
        <f>_xlfn.XLOOKUP(J433,'Master Data 14-9-2026'!C:C,'Master Data 14-9-2026'!L:L)</f>
        <v>0.86</v>
      </c>
      <c r="X433" s="23">
        <v>28881900</v>
      </c>
      <c r="Y433" s="13" t="s">
        <v>1599</v>
      </c>
      <c r="Z433" s="24" t="s">
        <v>984</v>
      </c>
      <c r="AB433" s="13"/>
      <c r="AC433" s="13"/>
      <c r="AD433" s="13"/>
      <c r="AE433" s="13" t="str">
        <f>_xlfn.XLOOKUP(L433,'[1]ID PROJECT'!E:E,'[1]ID PROJECT'!F:F)</f>
        <v xml:space="preserve">PRJ-KUT-KPU-TPED-2026-04-00071 </v>
      </c>
      <c r="AF433" s="13"/>
      <c r="AG433" s="13"/>
      <c r="AH433" s="65"/>
      <c r="AI433" s="27"/>
    </row>
    <row r="434" spans="1:35" hidden="1">
      <c r="A434" s="13" t="s">
        <v>818</v>
      </c>
      <c r="B434" s="13" t="str">
        <f>_xlfn.XLOOKUP(J434,'Master Data 14-9-2026'!C:C,'Master Data 14-9-2026'!D:D)</f>
        <v>Anan Agrani wx1524133</v>
      </c>
      <c r="C434" s="13"/>
      <c r="D434" s="13" t="str">
        <f>_xlfn.XLOOKUP(J434,'Master Data 14-9-2026'!C:C,'Master Data 14-9-2026'!E:E)</f>
        <v>XLSMART</v>
      </c>
      <c r="E434" s="13"/>
      <c r="F434" s="13"/>
      <c r="G434" s="13" t="s">
        <v>18</v>
      </c>
      <c r="H434" s="13" t="str">
        <f>_xlfn.XLOOKUP(J434,'Master Data 14-9-2026'!C:C,'Master Data 14-9-2026'!H:H)</f>
        <v>2026-07-16 - 2026-08-15</v>
      </c>
      <c r="I434" s="13" t="str">
        <f t="shared" si="6"/>
        <v>July</v>
      </c>
      <c r="J434" s="13" t="s">
        <v>1670</v>
      </c>
      <c r="K434" s="13" t="s">
        <v>1004</v>
      </c>
      <c r="L434" s="13" t="s">
        <v>441</v>
      </c>
      <c r="M434" s="15">
        <v>200003186226020</v>
      </c>
      <c r="N434" s="13" t="s">
        <v>924</v>
      </c>
      <c r="O434" s="13">
        <v>1.09120260710002E+17</v>
      </c>
      <c r="P434" s="13" t="s">
        <v>1598</v>
      </c>
      <c r="Q434" s="18">
        <v>64</v>
      </c>
      <c r="R434" s="18">
        <v>1</v>
      </c>
      <c r="S434" s="13">
        <v>8828132635</v>
      </c>
      <c r="T434" s="13" t="s">
        <v>926</v>
      </c>
      <c r="U434" s="19">
        <v>34220600</v>
      </c>
      <c r="V434" s="18">
        <v>1</v>
      </c>
      <c r="W434" s="18">
        <f>_xlfn.XLOOKUP(J434,'Master Data 14-9-2026'!C:C,'Master Data 14-9-2026'!L:L)</f>
        <v>0.5</v>
      </c>
      <c r="X434" s="23">
        <v>34220600</v>
      </c>
      <c r="Y434" s="13" t="s">
        <v>1599</v>
      </c>
      <c r="Z434" s="24" t="s">
        <v>15</v>
      </c>
      <c r="AB434" s="13"/>
      <c r="AC434" s="13"/>
      <c r="AD434" s="13"/>
      <c r="AE434" s="13" t="str">
        <f>_xlfn.XLOOKUP(L434,'[1]ID PROJECT'!E:E,'[1]ID PROJECT'!F:F)</f>
        <v xml:space="preserve">PRJ-KUT-KPU-TPED-2026-04-00071 </v>
      </c>
      <c r="AF434" s="13"/>
      <c r="AG434" s="13"/>
      <c r="AH434" s="65"/>
      <c r="AI434" s="27"/>
    </row>
    <row r="435" spans="1:35" hidden="1">
      <c r="A435" s="13" t="s">
        <v>326</v>
      </c>
      <c r="B435" s="13" t="str">
        <f>_xlfn.XLOOKUP(J435,'Master Data 14-9-2026'!C:C,'Master Data 14-9-2026'!D:D)</f>
        <v>Fatimah Putri Johari wx1529215</v>
      </c>
      <c r="C435" s="13"/>
      <c r="D435" s="13" t="str">
        <f>_xlfn.XLOOKUP(J435,'Master Data 14-9-2026'!C:C,'Master Data 14-9-2026'!E:E)</f>
        <v>XLSMART</v>
      </c>
      <c r="E435" s="13"/>
      <c r="F435" s="13"/>
      <c r="G435" s="13" t="s">
        <v>13</v>
      </c>
      <c r="H435" s="13" t="str">
        <f>_xlfn.XLOOKUP(J435,'Master Data 14-9-2026'!C:C,'Master Data 14-9-2026'!H:H)</f>
        <v>2026-07-01 - 2026-07-31</v>
      </c>
      <c r="I435" s="13" t="str">
        <f t="shared" si="6"/>
        <v>July</v>
      </c>
      <c r="J435" s="13" t="s">
        <v>1671</v>
      </c>
      <c r="K435" s="13" t="s">
        <v>1004</v>
      </c>
      <c r="L435" s="13" t="s">
        <v>441</v>
      </c>
      <c r="M435" s="15">
        <v>200003186227020</v>
      </c>
      <c r="N435" s="13" t="s">
        <v>924</v>
      </c>
      <c r="O435" s="13">
        <v>1.09120260710002E+17</v>
      </c>
      <c r="P435" s="13" t="s">
        <v>1598</v>
      </c>
      <c r="Q435" s="18">
        <v>65</v>
      </c>
      <c r="R435" s="18">
        <v>1</v>
      </c>
      <c r="S435" s="13">
        <v>8828132633</v>
      </c>
      <c r="T435" s="13" t="s">
        <v>951</v>
      </c>
      <c r="U435" s="19">
        <v>28881900</v>
      </c>
      <c r="V435" s="18">
        <v>1</v>
      </c>
      <c r="W435" s="18">
        <f>_xlfn.XLOOKUP(J435,'Master Data 14-9-2026'!C:C,'Master Data 14-9-2026'!L:L)</f>
        <v>0</v>
      </c>
      <c r="X435" s="23">
        <v>28881900</v>
      </c>
      <c r="Y435" s="13" t="s">
        <v>1599</v>
      </c>
      <c r="Z435" s="24" t="s">
        <v>984</v>
      </c>
      <c r="AB435" s="40" t="s">
        <v>44</v>
      </c>
      <c r="AC435" s="13"/>
      <c r="AD435" s="13"/>
      <c r="AE435" s="13" t="str">
        <f>_xlfn.XLOOKUP(L435,'[1]ID PROJECT'!E:E,'[1]ID PROJECT'!F:F)</f>
        <v xml:space="preserve">PRJ-KUT-KPU-TPED-2026-04-00071 </v>
      </c>
      <c r="AF435" s="13"/>
      <c r="AG435" s="13"/>
      <c r="AH435" s="65"/>
      <c r="AI435" s="27"/>
    </row>
    <row r="436" spans="1:35" hidden="1">
      <c r="A436" s="13" t="s">
        <v>320</v>
      </c>
      <c r="B436" s="13" t="str">
        <f>_xlfn.XLOOKUP(J436,'Master Data 14-9-2026'!C:C,'Master Data 14-9-2026'!D:D)</f>
        <v>LEONARD JULIAN ARYAWINATA WX1529216</v>
      </c>
      <c r="C436" s="13"/>
      <c r="D436" s="13" t="str">
        <f>_xlfn.XLOOKUP(J436,'Master Data 14-9-2026'!C:C,'Master Data 14-9-2026'!E:E)</f>
        <v>XLSMART</v>
      </c>
      <c r="E436" s="13"/>
      <c r="F436" s="13"/>
      <c r="G436" s="13" t="s">
        <v>13</v>
      </c>
      <c r="H436" s="13" t="str">
        <f>_xlfn.XLOOKUP(J436,'Master Data 14-9-2026'!C:C,'Master Data 14-9-2026'!H:H)</f>
        <v>2026-06-22 - 2026-07-21</v>
      </c>
      <c r="I436" s="13" t="str">
        <f t="shared" si="6"/>
        <v>June</v>
      </c>
      <c r="J436" s="13" t="s">
        <v>1672</v>
      </c>
      <c r="K436" s="13" t="s">
        <v>1004</v>
      </c>
      <c r="L436" s="13" t="s">
        <v>441</v>
      </c>
      <c r="M436" s="15">
        <v>200003186228020</v>
      </c>
      <c r="N436" s="13" t="s">
        <v>924</v>
      </c>
      <c r="O436" s="13">
        <v>1.09120260710002E+17</v>
      </c>
      <c r="P436" s="13" t="s">
        <v>1598</v>
      </c>
      <c r="Q436" s="18">
        <v>66</v>
      </c>
      <c r="R436" s="18">
        <v>1</v>
      </c>
      <c r="S436" s="13">
        <v>8828132633</v>
      </c>
      <c r="T436" s="13" t="s">
        <v>951</v>
      </c>
      <c r="U436" s="19">
        <v>28881900</v>
      </c>
      <c r="V436" s="18">
        <v>1</v>
      </c>
      <c r="W436" s="18">
        <f>_xlfn.XLOOKUP(J436,'Master Data 14-9-2026'!C:C,'Master Data 14-9-2026'!L:L)</f>
        <v>0.5</v>
      </c>
      <c r="X436" s="23">
        <v>28881900</v>
      </c>
      <c r="Y436" s="13" t="s">
        <v>1599</v>
      </c>
      <c r="Z436" s="24" t="str">
        <f>_xlfn.XLOOKUP(J436,'Master Data 14-9-2026'!C:C,'Master Data 14-9-2026'!I:I)</f>
        <v>Ended</v>
      </c>
      <c r="AA436" s="4" t="s">
        <v>1288</v>
      </c>
      <c r="AB436" s="13"/>
      <c r="AC436" s="13"/>
      <c r="AD436" s="13"/>
      <c r="AE436" s="13" t="str">
        <f>_xlfn.XLOOKUP(L436,'[1]ID PROJECT'!E:E,'[1]ID PROJECT'!F:F)</f>
        <v xml:space="preserve">PRJ-KUT-KPU-TPED-2026-04-00071 </v>
      </c>
      <c r="AF436" s="13"/>
      <c r="AG436" s="13"/>
      <c r="AH436" s="65"/>
      <c r="AI436" s="27"/>
    </row>
    <row r="437" spans="1:35">
      <c r="A437" s="13" t="s">
        <v>786</v>
      </c>
      <c r="B437" s="13" t="str">
        <f>_xlfn.XLOOKUP(J437,'Master Data 14-9-2026'!C:C,'Master Data 14-9-2026'!D:D)</f>
        <v>Carolus Loka Wiro Utomo wx1529069</v>
      </c>
      <c r="C437" s="13"/>
      <c r="D437" s="13" t="str">
        <f>_xlfn.XLOOKUP(J437,'Master Data 14-9-2026'!C:C,'Master Data 14-9-2026'!E:E)</f>
        <v>XLSMART</v>
      </c>
      <c r="E437" s="13"/>
      <c r="F437" s="13"/>
      <c r="G437" s="13" t="s">
        <v>13</v>
      </c>
      <c r="H437" s="13" t="str">
        <f>_xlfn.XLOOKUP(J437,'Master Data 14-9-2026'!C:C,'Master Data 14-9-2026'!H:H)</f>
        <v>2026-07-01 - 2026-07-31</v>
      </c>
      <c r="I437" s="13" t="str">
        <f t="shared" si="6"/>
        <v>July</v>
      </c>
      <c r="J437" s="13" t="s">
        <v>1673</v>
      </c>
      <c r="K437" s="13" t="s">
        <v>1004</v>
      </c>
      <c r="L437" s="13" t="s">
        <v>441</v>
      </c>
      <c r="M437" s="15">
        <v>200003186229020</v>
      </c>
      <c r="N437" s="13" t="s">
        <v>924</v>
      </c>
      <c r="O437" s="13">
        <v>1.09120260710002E+17</v>
      </c>
      <c r="P437" s="13" t="s">
        <v>1598</v>
      </c>
      <c r="Q437" s="18">
        <v>67</v>
      </c>
      <c r="R437" s="18">
        <v>1</v>
      </c>
      <c r="S437" s="13">
        <v>8828132635</v>
      </c>
      <c r="T437" s="13" t="s">
        <v>926</v>
      </c>
      <c r="U437" s="19">
        <v>34220600</v>
      </c>
      <c r="V437" s="18">
        <v>1</v>
      </c>
      <c r="W437" s="18">
        <f>_xlfn.XLOOKUP(J437,'Master Data 14-9-2026'!C:C,'Master Data 14-9-2026'!L:L)</f>
        <v>1</v>
      </c>
      <c r="X437" s="23">
        <v>34220600</v>
      </c>
      <c r="Y437" s="13" t="s">
        <v>1599</v>
      </c>
      <c r="Z437" s="24" t="str">
        <f>_xlfn.XLOOKUP(J437,'Master Data 14-9-2026'!C:C,'Master Data 14-9-2026'!I:I)</f>
        <v>Ended</v>
      </c>
      <c r="AA437" s="4" t="s">
        <v>934</v>
      </c>
      <c r="AB437" s="13"/>
      <c r="AC437" s="13"/>
      <c r="AD437" s="13" t="s">
        <v>935</v>
      </c>
      <c r="AE437" s="40" t="str">
        <f>_xlfn.XLOOKUP(L437,'[1]ID PROJECT'!E:E,'[1]ID PROJECT'!F:F)</f>
        <v xml:space="preserve">PRJ-KUT-KPU-TPED-2026-04-00071 </v>
      </c>
      <c r="AF437" s="13" t="s">
        <v>1674</v>
      </c>
      <c r="AG437" s="40" t="s">
        <v>1675</v>
      </c>
      <c r="AH437" s="65">
        <v>46266</v>
      </c>
      <c r="AI437" s="27" t="s">
        <v>967</v>
      </c>
    </row>
    <row r="438" spans="1:35" hidden="1">
      <c r="A438" s="13" t="s">
        <v>726</v>
      </c>
      <c r="B438" s="13" t="str">
        <f>_xlfn.XLOOKUP(J438,'Master Data 14-9-2026'!C:C,'Master Data 14-9-2026'!D:D)</f>
        <v>Hardian Jayadi wx1529214</v>
      </c>
      <c r="C438" s="13"/>
      <c r="D438" s="13" t="str">
        <f>_xlfn.XLOOKUP(J438,'Master Data 14-9-2026'!C:C,'Master Data 14-9-2026'!E:E)</f>
        <v>XLSMART</v>
      </c>
      <c r="E438" s="13"/>
      <c r="F438" s="13"/>
      <c r="G438" s="13" t="s">
        <v>13</v>
      </c>
      <c r="H438" s="13" t="str">
        <f>_xlfn.XLOOKUP(J438,'Master Data 14-9-2026'!C:C,'Master Data 14-9-2026'!H:H)</f>
        <v>2026-07-01 - 2026-07-31</v>
      </c>
      <c r="I438" s="13" t="str">
        <f t="shared" si="6"/>
        <v>July</v>
      </c>
      <c r="J438" s="13" t="s">
        <v>1676</v>
      </c>
      <c r="K438" s="13" t="s">
        <v>1004</v>
      </c>
      <c r="L438" s="13" t="s">
        <v>441</v>
      </c>
      <c r="M438" s="15">
        <v>200003188220020</v>
      </c>
      <c r="N438" s="13" t="s">
        <v>924</v>
      </c>
      <c r="O438" s="13">
        <v>1.09120260710002E+17</v>
      </c>
      <c r="P438" s="13" t="s">
        <v>1598</v>
      </c>
      <c r="Q438" s="18">
        <v>68</v>
      </c>
      <c r="R438" s="18">
        <v>1</v>
      </c>
      <c r="S438" s="13">
        <v>8828132635</v>
      </c>
      <c r="T438" s="13" t="s">
        <v>926</v>
      </c>
      <c r="U438" s="19">
        <v>34220600</v>
      </c>
      <c r="V438" s="18">
        <v>1</v>
      </c>
      <c r="W438" s="18">
        <f>_xlfn.XLOOKUP(J438,'Master Data 14-9-2026'!C:C,'Master Data 14-9-2026'!L:L)</f>
        <v>1.28</v>
      </c>
      <c r="X438" s="23">
        <v>34220600</v>
      </c>
      <c r="Y438" s="13" t="s">
        <v>1599</v>
      </c>
      <c r="Z438" s="24" t="s">
        <v>15</v>
      </c>
      <c r="AA438" s="4" t="s">
        <v>1288</v>
      </c>
      <c r="AB438" s="13"/>
      <c r="AC438" s="13"/>
      <c r="AD438" s="13"/>
      <c r="AE438" s="13" t="str">
        <f>_xlfn.XLOOKUP(L438,'[1]ID PROJECT'!E:E,'[1]ID PROJECT'!F:F)</f>
        <v xml:space="preserve">PRJ-KUT-KPU-TPED-2026-04-00071 </v>
      </c>
      <c r="AF438" s="13"/>
      <c r="AG438" s="13"/>
      <c r="AH438" s="65"/>
      <c r="AI438" s="27"/>
    </row>
    <row r="439" spans="1:35" hidden="1">
      <c r="A439" s="13" t="s">
        <v>882</v>
      </c>
      <c r="B439" s="13" t="str">
        <f>_xlfn.XLOOKUP(J439,'Master Data 14-9-2026'!C:C,'Master Data 14-9-2026'!D:D)</f>
        <v>Januari Yanto wx1529418</v>
      </c>
      <c r="C439" s="13"/>
      <c r="D439" s="13" t="str">
        <f>_xlfn.XLOOKUP(J439,'Master Data 14-9-2026'!C:C,'Master Data 14-9-2026'!E:E)</f>
        <v>XLSMART</v>
      </c>
      <c r="E439" s="13"/>
      <c r="F439" s="13"/>
      <c r="G439" s="13" t="s">
        <v>13</v>
      </c>
      <c r="H439" s="13" t="str">
        <f>_xlfn.XLOOKUP(J439,'Master Data 14-9-2026'!C:C,'Master Data 14-9-2026'!H:H)</f>
        <v>2026-07-01 - 2026-07-31</v>
      </c>
      <c r="I439" s="13" t="str">
        <f t="shared" si="6"/>
        <v>July</v>
      </c>
      <c r="J439" s="13" t="s">
        <v>1677</v>
      </c>
      <c r="K439" s="13" t="s">
        <v>1004</v>
      </c>
      <c r="L439" s="13" t="s">
        <v>441</v>
      </c>
      <c r="M439" s="15">
        <v>200003188221020</v>
      </c>
      <c r="N439" s="13" t="s">
        <v>924</v>
      </c>
      <c r="O439" s="13">
        <v>1.09120260710002E+17</v>
      </c>
      <c r="P439" s="13" t="s">
        <v>1598</v>
      </c>
      <c r="Q439" s="18">
        <v>69</v>
      </c>
      <c r="R439" s="18">
        <v>1</v>
      </c>
      <c r="S439" s="13">
        <v>8828132635</v>
      </c>
      <c r="T439" s="13" t="s">
        <v>926</v>
      </c>
      <c r="U439" s="19">
        <v>34220600</v>
      </c>
      <c r="V439" s="18">
        <v>1</v>
      </c>
      <c r="W439" s="18">
        <f>_xlfn.XLOOKUP(J439,'Master Data 14-9-2026'!C:C,'Master Data 14-9-2026'!L:L)</f>
        <v>0</v>
      </c>
      <c r="X439" s="23">
        <v>34220600</v>
      </c>
      <c r="Y439" s="13" t="s">
        <v>1599</v>
      </c>
      <c r="Z439" s="24" t="s">
        <v>15</v>
      </c>
      <c r="AA439" s="4" t="s">
        <v>1288</v>
      </c>
      <c r="AB439" s="40" t="s">
        <v>44</v>
      </c>
      <c r="AC439" s="13"/>
      <c r="AD439" s="13"/>
      <c r="AE439" s="13" t="str">
        <f>_xlfn.XLOOKUP(L439,'[1]ID PROJECT'!E:E,'[1]ID PROJECT'!F:F)</f>
        <v xml:space="preserve">PRJ-KUT-KPU-TPED-2026-04-00071 </v>
      </c>
      <c r="AF439" s="13"/>
      <c r="AG439" s="13"/>
      <c r="AH439" s="65"/>
      <c r="AI439" s="27"/>
    </row>
    <row r="440" spans="1:35">
      <c r="A440" s="13" t="s">
        <v>764</v>
      </c>
      <c r="B440" s="13" t="str">
        <f>_xlfn.XLOOKUP(J440,'Master Data 14-9-2026'!C:C,'Master Data 14-9-2026'!D:D)</f>
        <v>Muhammad Reza Fahlevi wx1529419</v>
      </c>
      <c r="C440" s="13"/>
      <c r="D440" s="13" t="str">
        <f>_xlfn.XLOOKUP(J440,'Master Data 14-9-2026'!C:C,'Master Data 14-9-2026'!E:E)</f>
        <v>XLSMART</v>
      </c>
      <c r="E440" s="13"/>
      <c r="F440" s="13"/>
      <c r="G440" s="13" t="s">
        <v>13</v>
      </c>
      <c r="H440" s="13" t="str">
        <f>_xlfn.XLOOKUP(J440,'Master Data 14-9-2026'!C:C,'Master Data 14-9-2026'!H:H)</f>
        <v>2026-07-01 - 2026-07-31</v>
      </c>
      <c r="I440" s="13" t="str">
        <f t="shared" si="6"/>
        <v>July</v>
      </c>
      <c r="J440" s="13" t="s">
        <v>1678</v>
      </c>
      <c r="K440" s="16" t="s">
        <v>1004</v>
      </c>
      <c r="L440" s="13" t="s">
        <v>441</v>
      </c>
      <c r="M440" s="15">
        <v>200003188222020</v>
      </c>
      <c r="N440" s="13" t="s">
        <v>924</v>
      </c>
      <c r="O440" s="13">
        <v>1.09120260710002E+17</v>
      </c>
      <c r="P440" s="13" t="s">
        <v>1598</v>
      </c>
      <c r="Q440" s="18">
        <v>70</v>
      </c>
      <c r="R440" s="18">
        <v>1</v>
      </c>
      <c r="S440" s="13">
        <v>8828132635</v>
      </c>
      <c r="T440" s="13" t="s">
        <v>926</v>
      </c>
      <c r="U440" s="19">
        <v>34220600</v>
      </c>
      <c r="V440" s="18">
        <v>1</v>
      </c>
      <c r="W440" s="18">
        <f>_xlfn.XLOOKUP(J440,'Master Data 14-9-2026'!C:C,'Master Data 14-9-2026'!L:L)</f>
        <v>1</v>
      </c>
      <c r="X440" s="23">
        <v>34220600</v>
      </c>
      <c r="Y440" s="13" t="s">
        <v>1599</v>
      </c>
      <c r="Z440" s="24" t="str">
        <f>_xlfn.XLOOKUP(J440,'Master Data 14-9-2026'!C:C,'Master Data 14-9-2026'!I:I)</f>
        <v>Ended</v>
      </c>
      <c r="AA440" s="39" t="s">
        <v>934</v>
      </c>
      <c r="AB440" s="40"/>
      <c r="AC440" s="13"/>
      <c r="AD440" s="40" t="s">
        <v>935</v>
      </c>
      <c r="AE440" s="13" t="str">
        <f>_xlfn.XLOOKUP(L440,'[1]ID PROJECT'!E:E,'[1]ID PROJECT'!F:F)</f>
        <v xml:space="preserve">PRJ-KUT-KPU-TPED-2026-04-00071 </v>
      </c>
      <c r="AF440" s="39" t="s">
        <v>4164</v>
      </c>
      <c r="AG440" s="13" t="s">
        <v>4193</v>
      </c>
      <c r="AH440" s="66">
        <v>46286</v>
      </c>
      <c r="AI440" s="41" t="s">
        <v>967</v>
      </c>
    </row>
    <row r="441" spans="1:35" hidden="1">
      <c r="A441" s="13" t="s">
        <v>304</v>
      </c>
      <c r="B441" s="13" t="str">
        <f>_xlfn.XLOOKUP(J441,'Master Data 14-9-2026'!C:C,'Master Data 14-9-2026'!D:D)</f>
        <v>Salsabila Ulya Nabilah Fuad wx1507138</v>
      </c>
      <c r="C441" s="13"/>
      <c r="D441" s="13" t="str">
        <f>_xlfn.XLOOKUP(J441,'Master Data 14-9-2026'!C:C,'Master Data 14-9-2026'!E:E)</f>
        <v>XLSMART</v>
      </c>
      <c r="E441" s="13"/>
      <c r="F441" s="13"/>
      <c r="G441" s="13" t="s">
        <v>25</v>
      </c>
      <c r="H441" s="13" t="str">
        <f>_xlfn.XLOOKUP(J441,'Master Data 14-9-2026'!C:C,'Master Data 14-9-2026'!H:H)</f>
        <v>2026-07-01 - 2026-07-31</v>
      </c>
      <c r="I441" s="13" t="str">
        <f t="shared" si="6"/>
        <v>July</v>
      </c>
      <c r="J441" s="13" t="s">
        <v>1679</v>
      </c>
      <c r="K441" s="13" t="s">
        <v>1004</v>
      </c>
      <c r="L441" s="13" t="s">
        <v>441</v>
      </c>
      <c r="M441" s="15">
        <v>200003135908020</v>
      </c>
      <c r="N441" s="13" t="s">
        <v>924</v>
      </c>
      <c r="O441" s="13">
        <v>1.09120260710002E+17</v>
      </c>
      <c r="P441" s="13" t="s">
        <v>1598</v>
      </c>
      <c r="Q441" s="18">
        <v>71</v>
      </c>
      <c r="R441" s="18">
        <v>1</v>
      </c>
      <c r="S441" s="13">
        <v>8828132633</v>
      </c>
      <c r="T441" s="13" t="s">
        <v>951</v>
      </c>
      <c r="U441" s="19">
        <v>28881900</v>
      </c>
      <c r="V441" s="18">
        <v>1</v>
      </c>
      <c r="W441" s="18">
        <f>_xlfn.XLOOKUP(J441,'Master Data 14-9-2026'!C:C,'Master Data 14-9-2026'!L:L)</f>
        <v>1</v>
      </c>
      <c r="X441" s="23">
        <v>28881900</v>
      </c>
      <c r="Y441" s="13" t="s">
        <v>1599</v>
      </c>
      <c r="Z441" s="24" t="str">
        <f>_xlfn.XLOOKUP(J441,'Master Data 14-9-2026'!C:C,'Master Data 14-9-2026'!I:I)</f>
        <v>Ended</v>
      </c>
      <c r="AA441" s="4" t="s">
        <v>934</v>
      </c>
      <c r="AB441" s="13"/>
      <c r="AC441" s="13"/>
      <c r="AD441" s="13" t="s">
        <v>935</v>
      </c>
      <c r="AE441" s="13" t="str">
        <f>_xlfn.XLOOKUP(L441,'[1]ID PROJECT'!E:E,'[1]ID PROJECT'!F:F)</f>
        <v xml:space="preserve">PRJ-KUT-KPU-TPED-2026-04-00071 </v>
      </c>
      <c r="AF441" s="4" t="s">
        <v>1611</v>
      </c>
      <c r="AG441" s="13" t="s">
        <v>1612</v>
      </c>
      <c r="AH441" s="65">
        <v>46260</v>
      </c>
      <c r="AI441" s="27" t="s">
        <v>1175</v>
      </c>
    </row>
    <row r="442" spans="1:35" hidden="1">
      <c r="A442" s="13" t="s">
        <v>433</v>
      </c>
      <c r="B442" s="13" t="str">
        <f>_xlfn.XLOOKUP(J442,'Master Data 14-9-2026'!C:C,'Master Data 14-9-2026'!D:D)</f>
        <v>Cahyo Suryo Bhuwono Winarso wx1507283</v>
      </c>
      <c r="C442" s="13"/>
      <c r="D442" s="13" t="str">
        <f>_xlfn.XLOOKUP(J442,'Master Data 14-9-2026'!C:C,'Master Data 14-9-2026'!E:E)</f>
        <v>XLSMART</v>
      </c>
      <c r="E442" s="13"/>
      <c r="F442" s="13"/>
      <c r="G442" s="13" t="s">
        <v>25</v>
      </c>
      <c r="H442" s="13" t="str">
        <f>_xlfn.XLOOKUP(J442,'Master Data 14-9-2026'!C:C,'Master Data 14-9-2026'!H:H)</f>
        <v>2026-07-01 - 2026-07-31</v>
      </c>
      <c r="I442" s="13" t="str">
        <f t="shared" si="6"/>
        <v>July</v>
      </c>
      <c r="J442" s="13" t="s">
        <v>1680</v>
      </c>
      <c r="K442" s="13" t="s">
        <v>1004</v>
      </c>
      <c r="L442" s="13" t="s">
        <v>441</v>
      </c>
      <c r="M442" s="15">
        <v>200003135909020</v>
      </c>
      <c r="N442" s="13" t="s">
        <v>924</v>
      </c>
      <c r="O442" s="13">
        <v>1.09120260710002E+17</v>
      </c>
      <c r="P442" s="13" t="s">
        <v>1598</v>
      </c>
      <c r="Q442" s="18">
        <v>72</v>
      </c>
      <c r="R442" s="18">
        <v>1</v>
      </c>
      <c r="S442" s="13">
        <v>8828132633</v>
      </c>
      <c r="T442" s="13" t="s">
        <v>951</v>
      </c>
      <c r="U442" s="19">
        <v>28881900</v>
      </c>
      <c r="V442" s="18">
        <v>1</v>
      </c>
      <c r="W442" s="18">
        <f>_xlfn.XLOOKUP(J442,'Master Data 14-9-2026'!C:C,'Master Data 14-9-2026'!L:L)</f>
        <v>0</v>
      </c>
      <c r="X442" s="23">
        <v>28881900</v>
      </c>
      <c r="Y442" s="13" t="s">
        <v>1599</v>
      </c>
      <c r="Z442" s="24" t="s">
        <v>984</v>
      </c>
      <c r="AB442" s="13"/>
      <c r="AC442" s="13"/>
      <c r="AD442" s="13"/>
      <c r="AE442" s="13" t="str">
        <f>_xlfn.XLOOKUP(L442,'[1]ID PROJECT'!E:E,'[1]ID PROJECT'!F:F)</f>
        <v xml:space="preserve">PRJ-KUT-KPU-TPED-2026-04-00071 </v>
      </c>
      <c r="AF442" s="13"/>
      <c r="AG442" s="13"/>
      <c r="AH442" s="65"/>
      <c r="AI442" s="27"/>
    </row>
    <row r="443" spans="1:35" hidden="1">
      <c r="A443" s="13" t="s">
        <v>145</v>
      </c>
      <c r="B443" s="13" t="str">
        <f>_xlfn.XLOOKUP(J443,'Master Data 14-9-2026'!C:C,'Master Data 14-9-2026'!D:D)</f>
        <v>Gema Marhayen wx1506940</v>
      </c>
      <c r="C443" s="13"/>
      <c r="D443" s="13" t="str">
        <f>_xlfn.XLOOKUP(J443,'Master Data 14-9-2026'!C:C,'Master Data 14-9-2026'!E:E)</f>
        <v>XLSMART</v>
      </c>
      <c r="E443" s="13"/>
      <c r="F443" s="13"/>
      <c r="G443" s="13" t="s">
        <v>25</v>
      </c>
      <c r="H443" s="13" t="str">
        <f>_xlfn.XLOOKUP(J443,'Master Data 14-9-2026'!C:C,'Master Data 14-9-2026'!H:H)</f>
        <v>2026-07-01 - 2026-07-31</v>
      </c>
      <c r="I443" s="13" t="str">
        <f t="shared" si="6"/>
        <v>July</v>
      </c>
      <c r="J443" s="13" t="s">
        <v>1681</v>
      </c>
      <c r="K443" s="13" t="s">
        <v>1004</v>
      </c>
      <c r="L443" s="13" t="s">
        <v>441</v>
      </c>
      <c r="M443" s="15">
        <v>200003135910020</v>
      </c>
      <c r="N443" s="13" t="s">
        <v>924</v>
      </c>
      <c r="O443" s="13">
        <v>1.09120260710002E+17</v>
      </c>
      <c r="P443" s="13" t="s">
        <v>1598</v>
      </c>
      <c r="Q443" s="18">
        <v>73</v>
      </c>
      <c r="R443" s="18">
        <v>1</v>
      </c>
      <c r="S443" s="13">
        <v>8828132633</v>
      </c>
      <c r="T443" s="13" t="s">
        <v>951</v>
      </c>
      <c r="U443" s="19">
        <v>28881900</v>
      </c>
      <c r="V443" s="18">
        <v>1</v>
      </c>
      <c r="W443" s="18">
        <f>_xlfn.XLOOKUP(J443,'Master Data 14-9-2026'!C:C,'Master Data 14-9-2026'!L:L)</f>
        <v>1.5</v>
      </c>
      <c r="X443" s="23">
        <v>28881900</v>
      </c>
      <c r="Y443" s="13" t="s">
        <v>1599</v>
      </c>
      <c r="Z443" s="24" t="s">
        <v>984</v>
      </c>
      <c r="AB443" s="13"/>
      <c r="AC443" s="13"/>
      <c r="AD443" s="13"/>
      <c r="AE443" s="13" t="str">
        <f>_xlfn.XLOOKUP(L443,'[1]ID PROJECT'!E:E,'[1]ID PROJECT'!F:F)</f>
        <v xml:space="preserve">PRJ-KUT-KPU-TPED-2026-04-00071 </v>
      </c>
      <c r="AF443" s="13"/>
      <c r="AG443" s="13"/>
      <c r="AH443" s="65"/>
      <c r="AI443" s="27"/>
    </row>
    <row r="444" spans="1:35">
      <c r="A444" s="13" t="s">
        <v>856</v>
      </c>
      <c r="B444" s="13" t="str">
        <f>_xlfn.XLOOKUP(J444,'Master Data 14-9-2026'!C:C,'Master Data 14-9-2026'!D:D)</f>
        <v>Rizqy Ramadhan Pramono wx1503632</v>
      </c>
      <c r="C444" s="13"/>
      <c r="D444" s="13" t="str">
        <f>_xlfn.XLOOKUP(J444,'Master Data 14-9-2026'!C:C,'Master Data 14-9-2026'!E:E)</f>
        <v>XLSMART</v>
      </c>
      <c r="E444" s="13"/>
      <c r="F444" s="13"/>
      <c r="G444" s="13" t="s">
        <v>25</v>
      </c>
      <c r="H444" s="13" t="str">
        <f>_xlfn.XLOOKUP(J444,'Master Data 14-9-2026'!C:C,'Master Data 14-9-2026'!H:H)</f>
        <v>2026-06-23 - 2026-07-22</v>
      </c>
      <c r="I444" s="13" t="str">
        <f t="shared" si="6"/>
        <v>June</v>
      </c>
      <c r="J444" s="13" t="s">
        <v>1682</v>
      </c>
      <c r="K444" s="13" t="s">
        <v>1004</v>
      </c>
      <c r="L444" s="13" t="s">
        <v>461</v>
      </c>
      <c r="M444" s="15">
        <v>200003135912020</v>
      </c>
      <c r="N444" s="13" t="s">
        <v>924</v>
      </c>
      <c r="O444" s="13">
        <v>1.09120260710002E+17</v>
      </c>
      <c r="P444" s="13" t="s">
        <v>1598</v>
      </c>
      <c r="Q444" s="18">
        <v>74</v>
      </c>
      <c r="R444" s="18">
        <v>1</v>
      </c>
      <c r="S444" s="13">
        <v>8828132635</v>
      </c>
      <c r="T444" s="13" t="s">
        <v>926</v>
      </c>
      <c r="U444" s="19">
        <v>34220600</v>
      </c>
      <c r="V444" s="18">
        <v>1</v>
      </c>
      <c r="W444" s="18">
        <f>_xlfn.XLOOKUP(J444,'Master Data 14-9-2026'!C:C,'Master Data 14-9-2026'!L:L)</f>
        <v>1</v>
      </c>
      <c r="X444" s="23">
        <v>34220600</v>
      </c>
      <c r="Y444" s="13" t="s">
        <v>1599</v>
      </c>
      <c r="Z444" s="24" t="str">
        <f>_xlfn.XLOOKUP(J444,'Master Data 14-9-2026'!C:C,'Master Data 14-9-2026'!I:I)</f>
        <v>Ended</v>
      </c>
      <c r="AA444" s="39" t="s">
        <v>934</v>
      </c>
      <c r="AB444" s="13"/>
      <c r="AC444" s="13"/>
      <c r="AD444" s="40" t="s">
        <v>935</v>
      </c>
      <c r="AE444" s="13" t="str">
        <f>_xlfn.XLOOKUP(L444,'[1]ID PROJECT'!E:E,'[1]ID PROJECT'!F:F)</f>
        <v>PRJ-KUT-KPU-TPED-2026-04-00078</v>
      </c>
      <c r="AF444" s="39" t="s">
        <v>4133</v>
      </c>
      <c r="AG444" s="13" t="s">
        <v>4140</v>
      </c>
      <c r="AH444" s="65">
        <v>46276</v>
      </c>
      <c r="AI444" s="41" t="s">
        <v>967</v>
      </c>
    </row>
    <row r="445" spans="1:35" hidden="1">
      <c r="A445" s="13" t="s">
        <v>734</v>
      </c>
      <c r="B445" s="13" t="str">
        <f>_xlfn.XLOOKUP(J445,'Master Data 14-9-2026'!C:C,'Master Data 14-9-2026'!D:D)</f>
        <v>Rayza Mayga Pratama wx1504644</v>
      </c>
      <c r="C445" s="13"/>
      <c r="D445" s="13" t="str">
        <f>_xlfn.XLOOKUP(J445,'Master Data 14-9-2026'!C:C,'Master Data 14-9-2026'!E:E)</f>
        <v>XLSMART</v>
      </c>
      <c r="E445" s="13"/>
      <c r="F445" s="13"/>
      <c r="G445" s="13" t="s">
        <v>25</v>
      </c>
      <c r="H445" s="13" t="str">
        <f>_xlfn.XLOOKUP(J445,'Master Data 14-9-2026'!C:C,'Master Data 14-9-2026'!H:H)</f>
        <v>2026-06-23 - 2026-07-22</v>
      </c>
      <c r="I445" s="13" t="str">
        <f t="shared" si="6"/>
        <v>June</v>
      </c>
      <c r="J445" s="13" t="s">
        <v>1683</v>
      </c>
      <c r="K445" s="13" t="s">
        <v>1004</v>
      </c>
      <c r="L445" s="13" t="s">
        <v>441</v>
      </c>
      <c r="M445" s="15">
        <v>200003135913020</v>
      </c>
      <c r="N445" s="13" t="s">
        <v>924</v>
      </c>
      <c r="O445" s="13">
        <v>1.09120260710002E+17</v>
      </c>
      <c r="P445" s="13" t="s">
        <v>1598</v>
      </c>
      <c r="Q445" s="18">
        <v>75</v>
      </c>
      <c r="R445" s="18">
        <v>1</v>
      </c>
      <c r="S445" s="13">
        <v>8828132635</v>
      </c>
      <c r="T445" s="13" t="s">
        <v>926</v>
      </c>
      <c r="U445" s="19">
        <v>34220600</v>
      </c>
      <c r="V445" s="18">
        <v>1</v>
      </c>
      <c r="W445" s="18">
        <f>_xlfn.XLOOKUP(J445,'Master Data 14-9-2026'!C:C,'Master Data 14-9-2026'!L:L)</f>
        <v>0.5</v>
      </c>
      <c r="X445" s="23">
        <v>34220600</v>
      </c>
      <c r="Y445" s="13" t="s">
        <v>1599</v>
      </c>
      <c r="Z445" s="24" t="str">
        <f>_xlfn.XLOOKUP(J445,'Master Data 14-9-2026'!C:C,'Master Data 14-9-2026'!I:I)</f>
        <v>Ended</v>
      </c>
      <c r="AB445" s="13"/>
      <c r="AC445" s="13"/>
      <c r="AD445" s="13"/>
      <c r="AE445" s="13" t="str">
        <f>_xlfn.XLOOKUP(L445,'[1]ID PROJECT'!E:E,'[1]ID PROJECT'!F:F)</f>
        <v xml:space="preserve">PRJ-KUT-KPU-TPED-2026-04-00071 </v>
      </c>
      <c r="AF445" s="13"/>
      <c r="AG445" s="13"/>
      <c r="AH445" s="65"/>
      <c r="AI445" s="27"/>
    </row>
    <row r="446" spans="1:35">
      <c r="A446" s="13" t="s">
        <v>862</v>
      </c>
      <c r="B446" s="13" t="str">
        <f>_xlfn.XLOOKUP(J446,'Master Data 14-9-2026'!C:C,'Master Data 14-9-2026'!D:D)</f>
        <v>Sugeng Andrianto wx1504668</v>
      </c>
      <c r="C446" s="13"/>
      <c r="D446" s="13" t="str">
        <f>_xlfn.XLOOKUP(J446,'Master Data 14-9-2026'!C:C,'Master Data 14-9-2026'!E:E)</f>
        <v>XLSMART</v>
      </c>
      <c r="E446" s="13"/>
      <c r="F446" s="13"/>
      <c r="G446" s="13" t="s">
        <v>25</v>
      </c>
      <c r="H446" s="13" t="str">
        <f>_xlfn.XLOOKUP(J446,'Master Data 14-9-2026'!C:C,'Master Data 14-9-2026'!H:H)</f>
        <v>2026-06-30 - 2026-07-29</v>
      </c>
      <c r="I446" s="13" t="str">
        <f t="shared" si="6"/>
        <v>June</v>
      </c>
      <c r="J446" s="13" t="s">
        <v>1684</v>
      </c>
      <c r="K446" s="13" t="s">
        <v>1004</v>
      </c>
      <c r="L446" s="13" t="s">
        <v>461</v>
      </c>
      <c r="M446" s="15">
        <v>200003135914020</v>
      </c>
      <c r="N446" s="13" t="s">
        <v>924</v>
      </c>
      <c r="O446" s="13">
        <v>1.09120260710002E+17</v>
      </c>
      <c r="P446" s="13" t="s">
        <v>1598</v>
      </c>
      <c r="Q446" s="18">
        <v>76</v>
      </c>
      <c r="R446" s="18">
        <v>1</v>
      </c>
      <c r="S446" s="13">
        <v>8828132635</v>
      </c>
      <c r="T446" s="13" t="s">
        <v>926</v>
      </c>
      <c r="U446" s="19">
        <v>34220600</v>
      </c>
      <c r="V446" s="18">
        <v>1</v>
      </c>
      <c r="W446" s="18">
        <f>_xlfn.XLOOKUP(J446,'Master Data 14-9-2026'!C:C,'Master Data 14-9-2026'!L:L)</f>
        <v>1</v>
      </c>
      <c r="X446" s="23">
        <v>34220600</v>
      </c>
      <c r="Y446" s="13" t="s">
        <v>1599</v>
      </c>
      <c r="Z446" s="24" t="str">
        <f>_xlfn.XLOOKUP(J446,'Master Data 14-9-2026'!C:C,'Master Data 14-9-2026'!I:I)</f>
        <v>Ended</v>
      </c>
      <c r="AA446" s="39" t="s">
        <v>934</v>
      </c>
      <c r="AB446" s="13"/>
      <c r="AC446" s="13"/>
      <c r="AD446" s="40" t="s">
        <v>935</v>
      </c>
      <c r="AE446" s="13" t="str">
        <f>_xlfn.XLOOKUP(L446,'[1]ID PROJECT'!E:E,'[1]ID PROJECT'!F:F)</f>
        <v>PRJ-KUT-KPU-TPED-2026-04-00078</v>
      </c>
      <c r="AF446" s="39" t="s">
        <v>4133</v>
      </c>
      <c r="AG446" s="13" t="s">
        <v>4140</v>
      </c>
      <c r="AH446" s="65">
        <v>46276</v>
      </c>
      <c r="AI446" s="41" t="s">
        <v>967</v>
      </c>
    </row>
    <row r="447" spans="1:35">
      <c r="A447" s="13" t="s">
        <v>742</v>
      </c>
      <c r="B447" s="13" t="str">
        <f>_xlfn.XLOOKUP(J447,'Master Data 14-9-2026'!C:C,'Master Data 14-9-2026'!D:D)</f>
        <v>Fauzan Fathoni wx1504667</v>
      </c>
      <c r="C447" s="13"/>
      <c r="D447" s="13" t="str">
        <f>_xlfn.XLOOKUP(J447,'Master Data 14-9-2026'!C:C,'Master Data 14-9-2026'!E:E)</f>
        <v>XLSMART</v>
      </c>
      <c r="E447" s="13"/>
      <c r="F447" s="13"/>
      <c r="G447" s="13" t="s">
        <v>25</v>
      </c>
      <c r="H447" s="13" t="str">
        <f>_xlfn.XLOOKUP(J447,'Master Data 14-9-2026'!C:C,'Master Data 14-9-2026'!H:H)</f>
        <v>2026-06-30 - 2026-07-29</v>
      </c>
      <c r="I447" s="13" t="str">
        <f t="shared" si="6"/>
        <v>June</v>
      </c>
      <c r="J447" s="13" t="s">
        <v>1685</v>
      </c>
      <c r="K447" s="13" t="s">
        <v>1004</v>
      </c>
      <c r="L447" s="13" t="s">
        <v>461</v>
      </c>
      <c r="M447" s="15">
        <v>200003135915020</v>
      </c>
      <c r="N447" s="13" t="s">
        <v>924</v>
      </c>
      <c r="O447" s="13">
        <v>1.09120260710002E+17</v>
      </c>
      <c r="P447" s="13" t="s">
        <v>1598</v>
      </c>
      <c r="Q447" s="18">
        <v>77</v>
      </c>
      <c r="R447" s="18">
        <v>1</v>
      </c>
      <c r="S447" s="13">
        <v>8828132635</v>
      </c>
      <c r="T447" s="13" t="s">
        <v>926</v>
      </c>
      <c r="U447" s="19">
        <v>34220600</v>
      </c>
      <c r="V447" s="18">
        <v>1</v>
      </c>
      <c r="W447" s="18">
        <f>_xlfn.XLOOKUP(J447,'Master Data 14-9-2026'!C:C,'Master Data 14-9-2026'!L:L)</f>
        <v>1</v>
      </c>
      <c r="X447" s="23">
        <v>34220600</v>
      </c>
      <c r="Y447" s="13" t="s">
        <v>1599</v>
      </c>
      <c r="Z447" s="24" t="str">
        <f>_xlfn.XLOOKUP(J447,'Master Data 14-9-2026'!C:C,'Master Data 14-9-2026'!I:I)</f>
        <v>Ended</v>
      </c>
      <c r="AA447" s="4" t="s">
        <v>934</v>
      </c>
      <c r="AB447" s="13"/>
      <c r="AC447" s="13"/>
      <c r="AD447" s="13" t="s">
        <v>935</v>
      </c>
      <c r="AE447" s="13" t="str">
        <f>_xlfn.XLOOKUP(L447,'[1]ID PROJECT'!E:E,'[1]ID PROJECT'!F:F)</f>
        <v>PRJ-KUT-KPU-TPED-2026-04-00078</v>
      </c>
      <c r="AF447" s="34" t="s">
        <v>1667</v>
      </c>
      <c r="AG447" s="40" t="s">
        <v>3395</v>
      </c>
      <c r="AH447" s="65">
        <v>46267</v>
      </c>
      <c r="AI447" s="27" t="s">
        <v>967</v>
      </c>
    </row>
    <row r="448" spans="1:35" hidden="1">
      <c r="A448" s="13" t="s">
        <v>880</v>
      </c>
      <c r="B448" s="13" t="str">
        <f>_xlfn.XLOOKUP(J448,'Master Data 14-9-2026'!C:C,'Master Data 14-9-2026'!D:D)</f>
        <v>Anang Husnul Rizqani wx1529420</v>
      </c>
      <c r="C448" s="13"/>
      <c r="D448" s="13" t="str">
        <f>_xlfn.XLOOKUP(J448,'Master Data 14-9-2026'!C:C,'Master Data 14-9-2026'!E:E)</f>
        <v>XLSMART</v>
      </c>
      <c r="E448" s="13"/>
      <c r="F448" s="13"/>
      <c r="G448" s="13" t="s">
        <v>13</v>
      </c>
      <c r="H448" s="13" t="str">
        <f>_xlfn.XLOOKUP(J448,'Master Data 14-9-2026'!C:C,'Master Data 14-9-2026'!H:H)</f>
        <v>2026-07-01 - 2026-07-31</v>
      </c>
      <c r="I448" s="13" t="str">
        <f t="shared" si="6"/>
        <v>July</v>
      </c>
      <c r="J448" s="13" t="s">
        <v>1686</v>
      </c>
      <c r="K448" s="13" t="s">
        <v>1004</v>
      </c>
      <c r="L448" s="13" t="s">
        <v>441</v>
      </c>
      <c r="M448" s="15">
        <v>200003188223020</v>
      </c>
      <c r="N448" s="13" t="s">
        <v>924</v>
      </c>
      <c r="O448" s="13">
        <v>1.09120260710002E+17</v>
      </c>
      <c r="P448" s="13" t="s">
        <v>1598</v>
      </c>
      <c r="Q448" s="18">
        <v>78</v>
      </c>
      <c r="R448" s="18">
        <v>1</v>
      </c>
      <c r="S448" s="13">
        <v>8828132635</v>
      </c>
      <c r="T448" s="13" t="s">
        <v>926</v>
      </c>
      <c r="U448" s="19">
        <v>34220600</v>
      </c>
      <c r="V448" s="18">
        <v>1</v>
      </c>
      <c r="W448" s="18">
        <f>_xlfn.XLOOKUP(J448,'Master Data 14-9-2026'!C:C,'Master Data 14-9-2026'!L:L)</f>
        <v>0</v>
      </c>
      <c r="X448" s="23">
        <v>34220600</v>
      </c>
      <c r="Y448" s="13" t="s">
        <v>1599</v>
      </c>
      <c r="Z448" s="24" t="s">
        <v>15</v>
      </c>
      <c r="AA448" s="4" t="s">
        <v>1288</v>
      </c>
      <c r="AB448" s="40" t="s">
        <v>44</v>
      </c>
      <c r="AC448" s="13"/>
      <c r="AD448" s="13"/>
      <c r="AE448" s="13" t="str">
        <f>_xlfn.XLOOKUP(L448,'[1]ID PROJECT'!E:E,'[1]ID PROJECT'!F:F)</f>
        <v xml:space="preserve">PRJ-KUT-KPU-TPED-2026-04-00071 </v>
      </c>
      <c r="AF448" s="13"/>
      <c r="AG448" s="13"/>
      <c r="AH448" s="65"/>
      <c r="AI448" s="27"/>
    </row>
    <row r="449" spans="1:35">
      <c r="A449" s="13" t="s">
        <v>748</v>
      </c>
      <c r="B449" s="13" t="str">
        <f>_xlfn.XLOOKUP(J449,'Master Data 14-9-2026'!C:C,'Master Data 14-9-2026'!D:D)</f>
        <v>Donny Rizky Pratama wx1529421</v>
      </c>
      <c r="C449" s="13"/>
      <c r="D449" s="13" t="str">
        <f>_xlfn.XLOOKUP(J449,'Master Data 14-9-2026'!C:C,'Master Data 14-9-2026'!E:E)</f>
        <v>XLSMART</v>
      </c>
      <c r="E449" s="13"/>
      <c r="F449" s="13"/>
      <c r="G449" s="13" t="s">
        <v>13</v>
      </c>
      <c r="H449" s="13" t="str">
        <f>_xlfn.XLOOKUP(J449,'Master Data 14-9-2026'!C:C,'Master Data 14-9-2026'!H:H)</f>
        <v>2026-07-01 - 2026-07-31</v>
      </c>
      <c r="I449" s="13" t="str">
        <f t="shared" si="6"/>
        <v>July</v>
      </c>
      <c r="J449" s="13" t="s">
        <v>1687</v>
      </c>
      <c r="K449" s="13" t="s">
        <v>1004</v>
      </c>
      <c r="L449" s="13" t="s">
        <v>441</v>
      </c>
      <c r="M449" s="15">
        <v>200003188224020</v>
      </c>
      <c r="N449" s="13" t="s">
        <v>924</v>
      </c>
      <c r="O449" s="13">
        <v>1.09120260710002E+17</v>
      </c>
      <c r="P449" s="13" t="s">
        <v>1598</v>
      </c>
      <c r="Q449" s="18">
        <v>79</v>
      </c>
      <c r="R449" s="18">
        <v>1</v>
      </c>
      <c r="S449" s="13">
        <v>8828132635</v>
      </c>
      <c r="T449" s="13" t="s">
        <v>926</v>
      </c>
      <c r="U449" s="19">
        <v>34220600</v>
      </c>
      <c r="V449" s="18">
        <v>1</v>
      </c>
      <c r="W449" s="18">
        <f>_xlfn.XLOOKUP(J449,'Master Data 14-9-2026'!C:C,'Master Data 14-9-2026'!L:L)</f>
        <v>1</v>
      </c>
      <c r="X449" s="23">
        <v>34220600</v>
      </c>
      <c r="Y449" s="13" t="s">
        <v>1599</v>
      </c>
      <c r="Z449" s="24" t="str">
        <f>_xlfn.XLOOKUP(J449,'Master Data 14-9-2026'!C:C,'Master Data 14-9-2026'!I:I)</f>
        <v>Ended</v>
      </c>
      <c r="AA449" s="4" t="s">
        <v>934</v>
      </c>
      <c r="AB449" s="13"/>
      <c r="AC449" s="13"/>
      <c r="AD449" s="13" t="s">
        <v>935</v>
      </c>
      <c r="AE449" s="13" t="str">
        <f>_xlfn.XLOOKUP(L449,'[1]ID PROJECT'!E:E,'[1]ID PROJECT'!F:F)</f>
        <v xml:space="preserve">PRJ-KUT-KPU-TPED-2026-04-00071 </v>
      </c>
      <c r="AF449" s="13" t="s">
        <v>1674</v>
      </c>
      <c r="AG449" s="40" t="s">
        <v>1675</v>
      </c>
      <c r="AH449" s="65">
        <v>46266</v>
      </c>
      <c r="AI449" s="27" t="s">
        <v>967</v>
      </c>
    </row>
    <row r="450" spans="1:35" hidden="1">
      <c r="A450" s="13" t="s">
        <v>872</v>
      </c>
      <c r="B450" s="13" t="str">
        <f>_xlfn.XLOOKUP(J450,'Master Data 14-9-2026'!C:C,'Master Data 14-9-2026'!D:D)</f>
        <v>Popi Masdianto wx1529422</v>
      </c>
      <c r="C450" s="13"/>
      <c r="D450" s="13" t="str">
        <f>_xlfn.XLOOKUP(J450,'Master Data 14-9-2026'!C:C,'Master Data 14-9-2026'!E:E)</f>
        <v>XLSMART</v>
      </c>
      <c r="E450" s="13"/>
      <c r="F450" s="13"/>
      <c r="G450" s="13" t="s">
        <v>13</v>
      </c>
      <c r="H450" s="13" t="str">
        <f>_xlfn.XLOOKUP(J450,'Master Data 14-9-2026'!C:C,'Master Data 14-9-2026'!H:H)</f>
        <v>2026-07-01 - 2026-07-31</v>
      </c>
      <c r="I450" s="13" t="str">
        <f t="shared" si="6"/>
        <v>July</v>
      </c>
      <c r="J450" s="13" t="s">
        <v>1688</v>
      </c>
      <c r="K450" s="13" t="s">
        <v>1004</v>
      </c>
      <c r="L450" s="13" t="s">
        <v>441</v>
      </c>
      <c r="M450" s="15">
        <v>200003188225020</v>
      </c>
      <c r="N450" s="13" t="s">
        <v>924</v>
      </c>
      <c r="O450" s="13">
        <v>1.09120260710002E+17</v>
      </c>
      <c r="P450" s="13" t="s">
        <v>1598</v>
      </c>
      <c r="Q450" s="18">
        <v>80</v>
      </c>
      <c r="R450" s="18">
        <v>1</v>
      </c>
      <c r="S450" s="13">
        <v>8828132635</v>
      </c>
      <c r="T450" s="13" t="s">
        <v>926</v>
      </c>
      <c r="U450" s="19">
        <v>34220600</v>
      </c>
      <c r="V450" s="18">
        <v>1</v>
      </c>
      <c r="W450" s="18">
        <f>_xlfn.XLOOKUP(J450,'Master Data 14-9-2026'!C:C,'Master Data 14-9-2026'!L:L)</f>
        <v>0</v>
      </c>
      <c r="X450" s="23">
        <v>34220600</v>
      </c>
      <c r="Y450" s="13" t="s">
        <v>1599</v>
      </c>
      <c r="Z450" s="24" t="s">
        <v>15</v>
      </c>
      <c r="AA450" s="4" t="s">
        <v>1288</v>
      </c>
      <c r="AB450" s="40" t="s">
        <v>44</v>
      </c>
      <c r="AC450" s="13"/>
      <c r="AD450" s="13"/>
      <c r="AE450" s="13" t="str">
        <f>_xlfn.XLOOKUP(L450,'[1]ID PROJECT'!E:E,'[1]ID PROJECT'!F:F)</f>
        <v xml:space="preserve">PRJ-KUT-KPU-TPED-2026-04-00071 </v>
      </c>
      <c r="AF450" s="13"/>
      <c r="AG450" s="13"/>
      <c r="AH450" s="65"/>
      <c r="AI450" s="27"/>
    </row>
    <row r="451" spans="1:35" hidden="1">
      <c r="A451" s="13" t="s">
        <v>858</v>
      </c>
      <c r="B451" s="13" t="str">
        <f>_xlfn.XLOOKUP(J451,'Master Data 14-9-2026'!C:C,'Master Data 14-9-2026'!D:D)</f>
        <v>Wiweko Pramono wx1529163</v>
      </c>
      <c r="C451" s="13"/>
      <c r="D451" s="13" t="str">
        <f>_xlfn.XLOOKUP(J451,'Master Data 14-9-2026'!C:C,'Master Data 14-9-2026'!E:E)</f>
        <v>XLSMART</v>
      </c>
      <c r="E451" s="13"/>
      <c r="F451" s="13"/>
      <c r="G451" s="13" t="s">
        <v>13</v>
      </c>
      <c r="H451" s="13" t="str">
        <f>_xlfn.XLOOKUP(J451,'Master Data 14-9-2026'!C:C,'Master Data 14-9-2026'!H:H)</f>
        <v>2026-07-01 - 2026-07-31</v>
      </c>
      <c r="I451" s="13" t="str">
        <f t="shared" ref="I451:I514" si="7">TEXT(DATEVALUE(LEFT(H451,10)),"mmmm")</f>
        <v>July</v>
      </c>
      <c r="J451" s="13" t="s">
        <v>1689</v>
      </c>
      <c r="K451" s="13" t="s">
        <v>1004</v>
      </c>
      <c r="L451" s="13" t="s">
        <v>441</v>
      </c>
      <c r="M451" s="15">
        <v>200003188226020</v>
      </c>
      <c r="N451" s="13" t="s">
        <v>924</v>
      </c>
      <c r="O451" s="13">
        <v>1.09120260710002E+17</v>
      </c>
      <c r="P451" s="13" t="s">
        <v>1598</v>
      </c>
      <c r="Q451" s="18">
        <v>81</v>
      </c>
      <c r="R451" s="18">
        <v>1</v>
      </c>
      <c r="S451" s="13">
        <v>8828132635</v>
      </c>
      <c r="T451" s="13" t="s">
        <v>926</v>
      </c>
      <c r="U451" s="19">
        <v>34220600</v>
      </c>
      <c r="V451" s="18">
        <v>1</v>
      </c>
      <c r="W451" s="18">
        <f>_xlfn.XLOOKUP(J451,'Master Data 14-9-2026'!C:C,'Master Data 14-9-2026'!L:L)</f>
        <v>0.5</v>
      </c>
      <c r="X451" s="23">
        <v>34220600</v>
      </c>
      <c r="Y451" s="13" t="s">
        <v>1599</v>
      </c>
      <c r="Z451" s="24" t="s">
        <v>15</v>
      </c>
      <c r="AA451" s="4" t="s">
        <v>1288</v>
      </c>
      <c r="AB451" s="13" t="s">
        <v>1289</v>
      </c>
      <c r="AC451" s="13"/>
      <c r="AD451" s="13"/>
      <c r="AE451" s="13" t="str">
        <f>_xlfn.XLOOKUP(L451,'[1]ID PROJECT'!E:E,'[1]ID PROJECT'!F:F)</f>
        <v xml:space="preserve">PRJ-KUT-KPU-TPED-2026-04-00071 </v>
      </c>
      <c r="AF451" s="13"/>
      <c r="AG451" s="13"/>
      <c r="AH451" s="65"/>
      <c r="AI451" s="27"/>
    </row>
    <row r="452" spans="1:35">
      <c r="A452" s="13" t="s">
        <v>794</v>
      </c>
      <c r="B452" s="13" t="str">
        <f>_xlfn.XLOOKUP(J452,'Master Data 14-9-2026'!C:C,'Master Data 14-9-2026'!D:D)</f>
        <v>Dolly Alif Subhi Nasution WX1531578</v>
      </c>
      <c r="C452" s="13"/>
      <c r="D452" s="13" t="str">
        <f>_xlfn.XLOOKUP(J452,'Master Data 14-9-2026'!C:C,'Master Data 14-9-2026'!E:E)</f>
        <v>XLSMART</v>
      </c>
      <c r="E452" s="13"/>
      <c r="F452" s="13"/>
      <c r="G452" s="13" t="s">
        <v>13</v>
      </c>
      <c r="H452" s="13" t="str">
        <f>_xlfn.XLOOKUP(J452,'Master Data 14-9-2026'!C:C,'Master Data 14-9-2026'!H:H)</f>
        <v>2026-07-14 - 2026-08-13</v>
      </c>
      <c r="I452" s="13" t="str">
        <f t="shared" si="7"/>
        <v>July</v>
      </c>
      <c r="J452" s="13" t="s">
        <v>1690</v>
      </c>
      <c r="K452" s="16" t="s">
        <v>1004</v>
      </c>
      <c r="L452" s="13" t="s">
        <v>441</v>
      </c>
      <c r="M452" s="15">
        <v>200003188227020</v>
      </c>
      <c r="N452" s="13" t="s">
        <v>924</v>
      </c>
      <c r="O452" s="13">
        <v>1.09120260710002E+17</v>
      </c>
      <c r="P452" s="13" t="s">
        <v>1598</v>
      </c>
      <c r="Q452" s="18">
        <v>82</v>
      </c>
      <c r="R452" s="18">
        <v>1</v>
      </c>
      <c r="S452" s="13">
        <v>8828132635</v>
      </c>
      <c r="T452" s="13" t="s">
        <v>926</v>
      </c>
      <c r="U452" s="19">
        <v>34220600</v>
      </c>
      <c r="V452" s="18">
        <v>1</v>
      </c>
      <c r="W452" s="18">
        <f>_xlfn.XLOOKUP(J452,'Master Data 14-9-2026'!C:C,'Master Data 14-9-2026'!L:L)</f>
        <v>1</v>
      </c>
      <c r="X452" s="23">
        <v>34220600</v>
      </c>
      <c r="Y452" s="13" t="s">
        <v>1599</v>
      </c>
      <c r="Z452" s="24" t="str">
        <f>_xlfn.XLOOKUP(J452,'Master Data 14-9-2026'!C:C,'Master Data 14-9-2026'!I:I)</f>
        <v>Ended</v>
      </c>
      <c r="AA452" s="39" t="s">
        <v>934</v>
      </c>
      <c r="AB452" s="39"/>
      <c r="AC452" s="13"/>
      <c r="AD452" s="40" t="s">
        <v>935</v>
      </c>
      <c r="AE452" s="13" t="str">
        <f>_xlfn.XLOOKUP(L452,'[1]ID PROJECT'!E:E,'[1]ID PROJECT'!F:F)</f>
        <v xml:space="preserve">PRJ-KUT-KPU-TPED-2026-04-00071 </v>
      </c>
      <c r="AF452" s="39" t="s">
        <v>4120</v>
      </c>
      <c r="AG452" s="13" t="s">
        <v>4125</v>
      </c>
      <c r="AH452" s="65">
        <v>46275</v>
      </c>
      <c r="AI452" s="41" t="s">
        <v>967</v>
      </c>
    </row>
    <row r="453" spans="1:35" hidden="1">
      <c r="A453" s="13" t="s">
        <v>587</v>
      </c>
      <c r="B453" s="13" t="str">
        <f>_xlfn.XLOOKUP(J453,'Master Data 14-9-2026'!C:C,'Master Data 14-9-2026'!D:D)</f>
        <v>Sudrajat wx1529015</v>
      </c>
      <c r="C453" s="13"/>
      <c r="D453" s="13" t="str">
        <f>_xlfn.XLOOKUP(J453,'Master Data 14-9-2026'!C:C,'Master Data 14-9-2026'!E:E)</f>
        <v>XLSMART</v>
      </c>
      <c r="E453" s="13"/>
      <c r="F453" s="13"/>
      <c r="G453" s="13" t="s">
        <v>13</v>
      </c>
      <c r="H453" s="13" t="str">
        <f>_xlfn.XLOOKUP(J453,'Master Data 14-9-2026'!C:C,'Master Data 14-9-2026'!H:H)</f>
        <v>2026-06-18 - 2026-07-17</v>
      </c>
      <c r="I453" s="13" t="str">
        <f t="shared" si="7"/>
        <v>June</v>
      </c>
      <c r="J453" s="13" t="s">
        <v>1691</v>
      </c>
      <c r="K453" s="13" t="s">
        <v>1004</v>
      </c>
      <c r="L453" s="13" t="s">
        <v>441</v>
      </c>
      <c r="M453" s="15">
        <v>200003188228020</v>
      </c>
      <c r="N453" s="13" t="s">
        <v>924</v>
      </c>
      <c r="O453" s="13">
        <v>1.09120260710002E+17</v>
      </c>
      <c r="P453" s="13" t="s">
        <v>1598</v>
      </c>
      <c r="Q453" s="18">
        <v>83</v>
      </c>
      <c r="R453" s="18">
        <v>1</v>
      </c>
      <c r="S453" s="13">
        <v>8828132634</v>
      </c>
      <c r="T453" s="13" t="s">
        <v>978</v>
      </c>
      <c r="U453" s="19">
        <v>32542400</v>
      </c>
      <c r="V453" s="18">
        <v>1</v>
      </c>
      <c r="W453" s="18">
        <f>_xlfn.XLOOKUP(J453,'Master Data 14-9-2026'!C:C,'Master Data 14-9-2026'!L:L)</f>
        <v>0</v>
      </c>
      <c r="X453" s="23">
        <v>32542400</v>
      </c>
      <c r="Y453" s="13" t="s">
        <v>1599</v>
      </c>
      <c r="Z453" s="24" t="str">
        <f>_xlfn.XLOOKUP(J453,'Master Data 14-9-2026'!C:C,'Master Data 14-9-2026'!I:I)</f>
        <v>Ended</v>
      </c>
      <c r="AA453" s="4" t="s">
        <v>1288</v>
      </c>
      <c r="AB453" s="40" t="s">
        <v>44</v>
      </c>
      <c r="AC453" s="13"/>
      <c r="AD453" s="13"/>
      <c r="AE453" s="13" t="str">
        <f>_xlfn.XLOOKUP(L453,'[1]ID PROJECT'!E:E,'[1]ID PROJECT'!F:F)</f>
        <v xml:space="preserve">PRJ-KUT-KPU-TPED-2026-04-00071 </v>
      </c>
      <c r="AF453" s="13"/>
      <c r="AG453" s="13"/>
      <c r="AH453" s="65"/>
      <c r="AI453" s="27"/>
    </row>
    <row r="454" spans="1:35" hidden="1">
      <c r="A454" s="13" t="s">
        <v>585</v>
      </c>
      <c r="B454" s="13" t="str">
        <f>_xlfn.XLOOKUP(J454,'Master Data 14-9-2026'!C:C,'Master Data 14-9-2026'!D:D)</f>
        <v>APRIHADI WX1529432</v>
      </c>
      <c r="C454" s="13"/>
      <c r="D454" s="13" t="str">
        <f>_xlfn.XLOOKUP(J454,'Master Data 14-9-2026'!C:C,'Master Data 14-9-2026'!E:E)</f>
        <v>XLSMART</v>
      </c>
      <c r="E454" s="13"/>
      <c r="F454" s="13"/>
      <c r="G454" s="13" t="s">
        <v>13</v>
      </c>
      <c r="H454" s="13" t="str">
        <f>_xlfn.XLOOKUP(J454,'Master Data 14-9-2026'!C:C,'Master Data 14-9-2026'!H:H)</f>
        <v>2026-06-23 - 2026-07-22</v>
      </c>
      <c r="I454" s="13" t="str">
        <f t="shared" si="7"/>
        <v>June</v>
      </c>
      <c r="J454" s="13" t="s">
        <v>1692</v>
      </c>
      <c r="K454" s="13" t="s">
        <v>1004</v>
      </c>
      <c r="L454" s="13" t="s">
        <v>441</v>
      </c>
      <c r="M454" s="15">
        <v>200003188229020</v>
      </c>
      <c r="N454" s="13" t="s">
        <v>924</v>
      </c>
      <c r="O454" s="13">
        <v>1.09120260710002E+17</v>
      </c>
      <c r="P454" s="13" t="s">
        <v>1598</v>
      </c>
      <c r="Q454" s="18">
        <v>84</v>
      </c>
      <c r="R454" s="18">
        <v>1</v>
      </c>
      <c r="S454" s="13">
        <v>8828132634</v>
      </c>
      <c r="T454" s="13" t="s">
        <v>978</v>
      </c>
      <c r="U454" s="19">
        <v>32542400</v>
      </c>
      <c r="V454" s="18">
        <v>1</v>
      </c>
      <c r="W454" s="18">
        <f>_xlfn.XLOOKUP(J454,'Master Data 14-9-2026'!C:C,'Master Data 14-9-2026'!L:L)</f>
        <v>0.5</v>
      </c>
      <c r="X454" s="23">
        <v>32542400</v>
      </c>
      <c r="Y454" s="13" t="s">
        <v>1599</v>
      </c>
      <c r="Z454" s="24" t="str">
        <f>_xlfn.XLOOKUP(J454,'Master Data 14-9-2026'!C:C,'Master Data 14-9-2026'!I:I)</f>
        <v>Ended</v>
      </c>
      <c r="AA454" s="4" t="s">
        <v>1288</v>
      </c>
      <c r="AB454" s="13" t="s">
        <v>1289</v>
      </c>
      <c r="AC454" s="13"/>
      <c r="AD454" s="13"/>
      <c r="AE454" s="13" t="str">
        <f>_xlfn.XLOOKUP(L454,'[1]ID PROJECT'!E:E,'[1]ID PROJECT'!F:F)</f>
        <v xml:space="preserve">PRJ-KUT-KPU-TPED-2026-04-00071 </v>
      </c>
      <c r="AF454" s="13"/>
      <c r="AG454" s="13"/>
      <c r="AH454" s="65"/>
      <c r="AI454" s="27"/>
    </row>
    <row r="455" spans="1:35" hidden="1">
      <c r="A455" s="13" t="s">
        <v>732</v>
      </c>
      <c r="B455" s="13" t="str">
        <f>_xlfn.XLOOKUP(J455,'Master Data 14-9-2026'!C:C,'Master Data 14-9-2026'!D:D)</f>
        <v>Yonathan Janmorga wx1507284</v>
      </c>
      <c r="C455" s="13"/>
      <c r="D455" s="13" t="str">
        <f>_xlfn.XLOOKUP(J455,'Master Data 14-9-2026'!C:C,'Master Data 14-9-2026'!E:E)</f>
        <v>XLSMART</v>
      </c>
      <c r="E455" s="13"/>
      <c r="F455" s="13"/>
      <c r="G455" s="13" t="s">
        <v>25</v>
      </c>
      <c r="H455" s="13" t="str">
        <f>_xlfn.XLOOKUP(J455,'Master Data 14-9-2026'!C:C,'Master Data 14-9-2026'!H:H)</f>
        <v>2026-07-01 - 2026-07-31</v>
      </c>
      <c r="I455" s="13" t="str">
        <f t="shared" si="7"/>
        <v>July</v>
      </c>
      <c r="J455" s="13" t="s">
        <v>1693</v>
      </c>
      <c r="K455" s="13" t="s">
        <v>1004</v>
      </c>
      <c r="L455" s="13" t="s">
        <v>475</v>
      </c>
      <c r="M455" s="15">
        <v>200003135916020</v>
      </c>
      <c r="N455" s="13" t="s">
        <v>924</v>
      </c>
      <c r="O455" s="13">
        <v>1.09120260710002E+17</v>
      </c>
      <c r="P455" s="13" t="s">
        <v>1598</v>
      </c>
      <c r="Q455" s="18">
        <v>85</v>
      </c>
      <c r="R455" s="18">
        <v>1</v>
      </c>
      <c r="S455" s="13">
        <v>8828132635</v>
      </c>
      <c r="T455" s="13" t="s">
        <v>926</v>
      </c>
      <c r="U455" s="19">
        <v>34220600</v>
      </c>
      <c r="V455" s="18">
        <v>1</v>
      </c>
      <c r="W455" s="18">
        <f>_xlfn.XLOOKUP(J455,'Master Data 14-9-2026'!C:C,'Master Data 14-9-2026'!L:L)</f>
        <v>0.77</v>
      </c>
      <c r="X455" s="23">
        <v>34220600</v>
      </c>
      <c r="Y455" s="13" t="s">
        <v>1599</v>
      </c>
      <c r="Z455" s="24" t="s">
        <v>15</v>
      </c>
      <c r="AA455" s="4" t="s">
        <v>934</v>
      </c>
      <c r="AB455" s="13"/>
      <c r="AC455" s="13"/>
      <c r="AD455" s="13" t="s">
        <v>935</v>
      </c>
      <c r="AE455" s="13" t="str">
        <f>_xlfn.XLOOKUP(L455,'[1]ID PROJECT'!E:E,'[1]ID PROJECT'!F:F)</f>
        <v>PRJ-KUT-KPU-TPED-2026-04-00074</v>
      </c>
      <c r="AF455" s="4" t="s">
        <v>1611</v>
      </c>
      <c r="AG455" s="13" t="s">
        <v>1612</v>
      </c>
      <c r="AH455" s="65">
        <v>46260</v>
      </c>
      <c r="AI455" s="27" t="s">
        <v>1175</v>
      </c>
    </row>
    <row r="456" spans="1:35" hidden="1">
      <c r="A456" s="13" t="s">
        <v>736</v>
      </c>
      <c r="B456" s="13" t="str">
        <f>_xlfn.XLOOKUP(J456,'Master Data 14-9-2026'!C:C,'Master Data 14-9-2026'!D:D)</f>
        <v>Dheanera Fairuz Hasna wx1507280</v>
      </c>
      <c r="C456" s="13"/>
      <c r="D456" s="13" t="str">
        <f>_xlfn.XLOOKUP(J456,'Master Data 14-9-2026'!C:C,'Master Data 14-9-2026'!E:E)</f>
        <v>XLSMART</v>
      </c>
      <c r="E456" s="13"/>
      <c r="F456" s="13"/>
      <c r="G456" s="13" t="s">
        <v>25</v>
      </c>
      <c r="H456" s="13" t="str">
        <f>_xlfn.XLOOKUP(J456,'Master Data 14-9-2026'!C:C,'Master Data 14-9-2026'!H:H)</f>
        <v>2026-07-01 - 2026-07-31</v>
      </c>
      <c r="I456" s="13" t="str">
        <f t="shared" si="7"/>
        <v>July</v>
      </c>
      <c r="J456" s="13" t="s">
        <v>1694</v>
      </c>
      <c r="K456" s="13" t="s">
        <v>1004</v>
      </c>
      <c r="L456" s="13" t="s">
        <v>441</v>
      </c>
      <c r="M456" s="15">
        <v>200003135917020</v>
      </c>
      <c r="N456" s="13" t="s">
        <v>924</v>
      </c>
      <c r="O456" s="13">
        <v>1.09120260710002E+17</v>
      </c>
      <c r="P456" s="13" t="s">
        <v>1598</v>
      </c>
      <c r="Q456" s="18">
        <v>86</v>
      </c>
      <c r="R456" s="18">
        <v>1</v>
      </c>
      <c r="S456" s="13">
        <v>8828132635</v>
      </c>
      <c r="T456" s="13" t="s">
        <v>926</v>
      </c>
      <c r="U456" s="19">
        <v>34220600</v>
      </c>
      <c r="V456" s="18">
        <v>1</v>
      </c>
      <c r="W456" s="18">
        <f>_xlfn.XLOOKUP(J456,'Master Data 14-9-2026'!C:C,'Master Data 14-9-2026'!L:L)</f>
        <v>1</v>
      </c>
      <c r="X456" s="23">
        <v>34220600</v>
      </c>
      <c r="Y456" s="13" t="s">
        <v>1599</v>
      </c>
      <c r="Z456" s="24" t="str">
        <f>_xlfn.XLOOKUP(J456,'Master Data 14-9-2026'!C:C,'Master Data 14-9-2026'!I:I)</f>
        <v>Ended</v>
      </c>
      <c r="AA456" s="4" t="s">
        <v>934</v>
      </c>
      <c r="AB456" s="13"/>
      <c r="AC456" s="13"/>
      <c r="AD456" s="13" t="s">
        <v>935</v>
      </c>
      <c r="AE456" s="13" t="str">
        <f>_xlfn.XLOOKUP(L456,'[1]ID PROJECT'!E:E,'[1]ID PROJECT'!F:F)</f>
        <v xml:space="preserve">PRJ-KUT-KPU-TPED-2026-04-00071 </v>
      </c>
      <c r="AF456" s="4" t="s">
        <v>1611</v>
      </c>
      <c r="AG456" s="13" t="s">
        <v>1612</v>
      </c>
      <c r="AH456" s="65">
        <v>46260</v>
      </c>
      <c r="AI456" s="27" t="s">
        <v>1175</v>
      </c>
    </row>
    <row r="457" spans="1:35" hidden="1">
      <c r="A457" s="13" t="s">
        <v>728</v>
      </c>
      <c r="B457" s="13" t="str">
        <f>_xlfn.XLOOKUP(J457,'Master Data 14-9-2026'!C:C,'Master Data 14-9-2026'!D:D)</f>
        <v>Qudsiyah Zahra Ilham Naseela wx1507281</v>
      </c>
      <c r="C457" s="13"/>
      <c r="D457" s="13" t="str">
        <f>_xlfn.XLOOKUP(J457,'Master Data 14-9-2026'!C:C,'Master Data 14-9-2026'!E:E)</f>
        <v>XLSMART</v>
      </c>
      <c r="E457" s="13"/>
      <c r="F457" s="13"/>
      <c r="G457" s="13" t="s">
        <v>25</v>
      </c>
      <c r="H457" s="13" t="str">
        <f>_xlfn.XLOOKUP(J457,'Master Data 14-9-2026'!C:C,'Master Data 14-9-2026'!H:H)</f>
        <v>2026-07-01 - 2026-07-31</v>
      </c>
      <c r="I457" s="13" t="str">
        <f t="shared" si="7"/>
        <v>July</v>
      </c>
      <c r="J457" s="13" t="s">
        <v>1695</v>
      </c>
      <c r="K457" s="13" t="s">
        <v>1004</v>
      </c>
      <c r="L457" s="13" t="s">
        <v>441</v>
      </c>
      <c r="M457" s="15">
        <v>200003135918020</v>
      </c>
      <c r="N457" s="13" t="s">
        <v>924</v>
      </c>
      <c r="O457" s="13">
        <v>1.09120260710002E+17</v>
      </c>
      <c r="P457" s="13" t="s">
        <v>1598</v>
      </c>
      <c r="Q457" s="18">
        <v>87</v>
      </c>
      <c r="R457" s="18">
        <v>1</v>
      </c>
      <c r="S457" s="13">
        <v>8828132635</v>
      </c>
      <c r="T457" s="13" t="s">
        <v>926</v>
      </c>
      <c r="U457" s="19">
        <v>34220600</v>
      </c>
      <c r="V457" s="18">
        <v>1</v>
      </c>
      <c r="W457" s="18">
        <f>_xlfn.XLOOKUP(J457,'Master Data 14-9-2026'!C:C,'Master Data 14-9-2026'!L:L)</f>
        <v>0.5</v>
      </c>
      <c r="X457" s="23">
        <v>34220600</v>
      </c>
      <c r="Y457" s="13" t="s">
        <v>1599</v>
      </c>
      <c r="Z457" s="24" t="s">
        <v>15</v>
      </c>
      <c r="AB457" s="13"/>
      <c r="AC457" s="13"/>
      <c r="AD457" s="13"/>
      <c r="AE457" s="13" t="str">
        <f>_xlfn.XLOOKUP(L457,'[1]ID PROJECT'!E:E,'[1]ID PROJECT'!F:F)</f>
        <v xml:space="preserve">PRJ-KUT-KPU-TPED-2026-04-00071 </v>
      </c>
      <c r="AF457" s="13"/>
      <c r="AG457" s="13"/>
      <c r="AH457" s="65"/>
      <c r="AI457" s="27"/>
    </row>
    <row r="458" spans="1:35">
      <c r="A458" s="13" t="s">
        <v>792</v>
      </c>
      <c r="B458" s="13" t="str">
        <f>_xlfn.XLOOKUP(J458,'Master Data 14-9-2026'!C:C,'Master Data 14-9-2026'!D:D)</f>
        <v>Agus Hendra wx1506946</v>
      </c>
      <c r="C458" s="13"/>
      <c r="D458" s="13" t="str">
        <f>_xlfn.XLOOKUP(J458,'Master Data 14-9-2026'!C:C,'Master Data 14-9-2026'!E:E)</f>
        <v>XLSMART</v>
      </c>
      <c r="E458" s="13"/>
      <c r="F458" s="13"/>
      <c r="G458" s="13" t="s">
        <v>25</v>
      </c>
      <c r="H458" s="13" t="str">
        <f>_xlfn.XLOOKUP(J458,'Master Data 14-9-2026'!C:C,'Master Data 14-9-2026'!H:H)</f>
        <v>2026-07-01 - 2026-07-31</v>
      </c>
      <c r="I458" s="13" t="str">
        <f t="shared" si="7"/>
        <v>July</v>
      </c>
      <c r="J458" s="13" t="s">
        <v>1696</v>
      </c>
      <c r="K458" s="13" t="s">
        <v>1004</v>
      </c>
      <c r="L458" s="13" t="s">
        <v>441</v>
      </c>
      <c r="M458" s="15">
        <v>200003135919020</v>
      </c>
      <c r="N458" s="13" t="s">
        <v>924</v>
      </c>
      <c r="O458" s="13">
        <v>1.09120260710002E+17</v>
      </c>
      <c r="P458" s="13" t="s">
        <v>1598</v>
      </c>
      <c r="Q458" s="18">
        <v>88</v>
      </c>
      <c r="R458" s="18">
        <v>1</v>
      </c>
      <c r="S458" s="13">
        <v>8828132635</v>
      </c>
      <c r="T458" s="13" t="s">
        <v>926</v>
      </c>
      <c r="U458" s="19">
        <v>34220600</v>
      </c>
      <c r="V458" s="18">
        <v>1</v>
      </c>
      <c r="W458" s="18">
        <f>_xlfn.XLOOKUP(J458,'Master Data 14-9-2026'!C:C,'Master Data 14-9-2026'!L:L)</f>
        <v>1</v>
      </c>
      <c r="X458" s="23">
        <v>34220600</v>
      </c>
      <c r="Y458" s="13" t="s">
        <v>1599</v>
      </c>
      <c r="Z458" s="24" t="str">
        <f>_xlfn.XLOOKUP(J458,'Master Data 14-9-2026'!C:C,'Master Data 14-9-2026'!I:I)</f>
        <v>Ended</v>
      </c>
      <c r="AA458" s="4" t="s">
        <v>934</v>
      </c>
      <c r="AB458" s="13"/>
      <c r="AC458" s="13"/>
      <c r="AD458" s="13" t="s">
        <v>935</v>
      </c>
      <c r="AE458" s="13" t="str">
        <f>_xlfn.XLOOKUP(L458,'[1]ID PROJECT'!E:E,'[1]ID PROJECT'!F:F)</f>
        <v xml:space="preserve">PRJ-KUT-KPU-TPED-2026-04-00071 </v>
      </c>
      <c r="AF458" s="34" t="s">
        <v>1667</v>
      </c>
      <c r="AG458" s="40" t="s">
        <v>3395</v>
      </c>
      <c r="AH458" s="65">
        <v>46267</v>
      </c>
      <c r="AI458" s="27" t="s">
        <v>967</v>
      </c>
    </row>
    <row r="459" spans="1:35" hidden="1">
      <c r="A459" s="13" t="s">
        <v>790</v>
      </c>
      <c r="B459" s="13" t="str">
        <f>_xlfn.XLOOKUP(J459,'Master Data 14-9-2026'!C:C,'Master Data 14-9-2026'!D:D)</f>
        <v>Prawira Satria Yodhipati wx1507286</v>
      </c>
      <c r="C459" s="13"/>
      <c r="D459" s="13" t="str">
        <f>_xlfn.XLOOKUP(J459,'Master Data 14-9-2026'!C:C,'Master Data 14-9-2026'!E:E)</f>
        <v>XLSMART</v>
      </c>
      <c r="E459" s="13"/>
      <c r="F459" s="13"/>
      <c r="G459" s="13" t="s">
        <v>25</v>
      </c>
      <c r="H459" s="13" t="str">
        <f>_xlfn.XLOOKUP(J459,'Master Data 14-9-2026'!C:C,'Master Data 14-9-2026'!H:H)</f>
        <v>2026-07-01 - 2026-07-31</v>
      </c>
      <c r="I459" s="13" t="str">
        <f t="shared" si="7"/>
        <v>July</v>
      </c>
      <c r="J459" s="13" t="s">
        <v>1697</v>
      </c>
      <c r="K459" s="13" t="s">
        <v>1004</v>
      </c>
      <c r="L459" s="13" t="s">
        <v>475</v>
      </c>
      <c r="M459" s="15">
        <v>200003135921020</v>
      </c>
      <c r="N459" s="13" t="s">
        <v>924</v>
      </c>
      <c r="O459" s="13">
        <v>1.09120260710002E+17</v>
      </c>
      <c r="P459" s="13" t="s">
        <v>1598</v>
      </c>
      <c r="Q459" s="18">
        <v>89</v>
      </c>
      <c r="R459" s="18">
        <v>1</v>
      </c>
      <c r="S459" s="13">
        <v>8828132635</v>
      </c>
      <c r="T459" s="13" t="s">
        <v>926</v>
      </c>
      <c r="U459" s="19">
        <v>34220600</v>
      </c>
      <c r="V459" s="18">
        <v>1</v>
      </c>
      <c r="W459" s="18">
        <f>_xlfn.XLOOKUP(J459,'Master Data 14-9-2026'!C:C,'Master Data 14-9-2026'!L:L)</f>
        <v>1.5</v>
      </c>
      <c r="X459" s="23">
        <v>34220600</v>
      </c>
      <c r="Y459" s="13" t="s">
        <v>1599</v>
      </c>
      <c r="Z459" s="24" t="s">
        <v>15</v>
      </c>
      <c r="AB459" s="13"/>
      <c r="AC459" s="13"/>
      <c r="AD459" s="13"/>
      <c r="AE459" s="13" t="str">
        <f>_xlfn.XLOOKUP(L459,'[1]ID PROJECT'!E:E,'[1]ID PROJECT'!F:F)</f>
        <v>PRJ-KUT-KPU-TPED-2026-04-00074</v>
      </c>
      <c r="AF459" s="13"/>
      <c r="AG459" s="13"/>
      <c r="AH459" s="65"/>
      <c r="AI459" s="27"/>
    </row>
    <row r="460" spans="1:35" hidden="1">
      <c r="A460" s="13" t="s">
        <v>459</v>
      </c>
      <c r="B460" s="13" t="str">
        <f>_xlfn.XLOOKUP(J460,'Master Data 14-9-2026'!C:C,'Master Data 14-9-2026'!D:D)</f>
        <v>Leonard Ricardo Hutabarat wx1503633</v>
      </c>
      <c r="C460" s="13"/>
      <c r="D460" s="13" t="str">
        <f>_xlfn.XLOOKUP(J460,'Master Data 14-9-2026'!C:C,'Master Data 14-9-2026'!E:E)</f>
        <v>XLSMART</v>
      </c>
      <c r="E460" s="13"/>
      <c r="F460" s="13"/>
      <c r="G460" s="13" t="s">
        <v>25</v>
      </c>
      <c r="H460" s="13" t="str">
        <f>_xlfn.XLOOKUP(J460,'Master Data 14-9-2026'!C:C,'Master Data 14-9-2026'!H:H)</f>
        <v>2026-06-23 - 2026-07-22</v>
      </c>
      <c r="I460" s="13" t="str">
        <f t="shared" si="7"/>
        <v>June</v>
      </c>
      <c r="J460" s="13" t="s">
        <v>1698</v>
      </c>
      <c r="K460" s="13" t="s">
        <v>1004</v>
      </c>
      <c r="L460" s="13" t="s">
        <v>461</v>
      </c>
      <c r="M460" s="15">
        <v>200003135922020</v>
      </c>
      <c r="N460" s="13" t="s">
        <v>924</v>
      </c>
      <c r="O460" s="13">
        <v>1.09120260710002E+17</v>
      </c>
      <c r="P460" s="13" t="s">
        <v>1598</v>
      </c>
      <c r="Q460" s="18">
        <v>90</v>
      </c>
      <c r="R460" s="18">
        <v>1</v>
      </c>
      <c r="S460" s="13">
        <v>8828132636</v>
      </c>
      <c r="T460" s="13" t="s">
        <v>933</v>
      </c>
      <c r="U460" s="19">
        <v>36992000</v>
      </c>
      <c r="V460" s="18">
        <v>1</v>
      </c>
      <c r="W460" s="18">
        <f>_xlfn.XLOOKUP(J460,'Master Data 14-9-2026'!C:C,'Master Data 14-9-2026'!L:L)</f>
        <v>1.5</v>
      </c>
      <c r="X460" s="23">
        <v>36992000</v>
      </c>
      <c r="Y460" s="13" t="s">
        <v>1599</v>
      </c>
      <c r="Z460" s="24" t="str">
        <f>_xlfn.XLOOKUP(J460,'Master Data 14-9-2026'!C:C,'Master Data 14-9-2026'!I:I)</f>
        <v>Ended</v>
      </c>
      <c r="AB460" s="13"/>
      <c r="AC460" s="13"/>
      <c r="AD460" s="13"/>
      <c r="AE460" s="13" t="str">
        <f>_xlfn.XLOOKUP(L460,'[1]ID PROJECT'!E:E,'[1]ID PROJECT'!F:F)</f>
        <v>PRJ-KUT-KPU-TPED-2026-04-00078</v>
      </c>
      <c r="AF460" s="13"/>
      <c r="AG460" s="13"/>
      <c r="AH460" s="65"/>
      <c r="AI460" s="27"/>
    </row>
    <row r="461" spans="1:35" hidden="1">
      <c r="A461" s="13" t="s">
        <v>473</v>
      </c>
      <c r="B461" s="13" t="str">
        <f>_xlfn.XLOOKUP(J461,'Master Data 14-9-2026'!C:C,'Master Data 14-9-2026'!D:D)</f>
        <v>Risman Nurjaman wx1503969</v>
      </c>
      <c r="C461" s="13"/>
      <c r="D461" s="13" t="str">
        <f>_xlfn.XLOOKUP(J461,'Master Data 14-9-2026'!C:C,'Master Data 14-9-2026'!E:E)</f>
        <v>XLSMART</v>
      </c>
      <c r="E461" s="13"/>
      <c r="F461" s="13"/>
      <c r="G461" s="13" t="s">
        <v>25</v>
      </c>
      <c r="H461" s="13" t="str">
        <f>_xlfn.XLOOKUP(J461,'Master Data 14-9-2026'!C:C,'Master Data 14-9-2026'!H:H)</f>
        <v>2026-06-23 - 2026-07-22</v>
      </c>
      <c r="I461" s="13" t="str">
        <f t="shared" si="7"/>
        <v>June</v>
      </c>
      <c r="J461" s="13" t="s">
        <v>1699</v>
      </c>
      <c r="K461" s="13" t="s">
        <v>1004</v>
      </c>
      <c r="L461" s="13" t="s">
        <v>475</v>
      </c>
      <c r="M461" s="15">
        <v>200003135923020</v>
      </c>
      <c r="N461" s="13" t="s">
        <v>924</v>
      </c>
      <c r="O461" s="13">
        <v>1.09120260710002E+17</v>
      </c>
      <c r="P461" s="13" t="s">
        <v>1598</v>
      </c>
      <c r="Q461" s="18">
        <v>91</v>
      </c>
      <c r="R461" s="18">
        <v>1</v>
      </c>
      <c r="S461" s="13">
        <v>8828132636</v>
      </c>
      <c r="T461" s="13" t="s">
        <v>933</v>
      </c>
      <c r="U461" s="19">
        <v>36992000</v>
      </c>
      <c r="V461" s="18">
        <v>1</v>
      </c>
      <c r="W461" s="18">
        <f>_xlfn.XLOOKUP(J461,'Master Data 14-9-2026'!C:C,'Master Data 14-9-2026'!L:L)</f>
        <v>1.5</v>
      </c>
      <c r="X461" s="23">
        <v>36992000</v>
      </c>
      <c r="Y461" s="13" t="s">
        <v>1599</v>
      </c>
      <c r="Z461" s="24" t="str">
        <f>_xlfn.XLOOKUP(J461,'Master Data 14-9-2026'!C:C,'Master Data 14-9-2026'!I:I)</f>
        <v>Ended</v>
      </c>
      <c r="AB461" s="13"/>
      <c r="AC461" s="13"/>
      <c r="AD461" s="13"/>
      <c r="AE461" s="13" t="str">
        <f>_xlfn.XLOOKUP(L461,'[1]ID PROJECT'!E:E,'[1]ID PROJECT'!F:F)</f>
        <v>PRJ-KUT-KPU-TPED-2026-04-00074</v>
      </c>
      <c r="AF461" s="13"/>
      <c r="AG461" s="13"/>
      <c r="AH461" s="65"/>
      <c r="AI461" s="27"/>
    </row>
    <row r="462" spans="1:35" hidden="1">
      <c r="A462" s="13" t="s">
        <v>579</v>
      </c>
      <c r="B462" s="13" t="str">
        <f>_xlfn.XLOOKUP(J462,'Master Data 14-9-2026'!C:C,'Master Data 14-9-2026'!D:D)</f>
        <v>Lamhot Hamonangan Butar butar WX1529424</v>
      </c>
      <c r="C462" s="13"/>
      <c r="D462" s="13" t="str">
        <f>_xlfn.XLOOKUP(J462,'Master Data 14-9-2026'!C:C,'Master Data 14-9-2026'!E:E)</f>
        <v>XLSMART</v>
      </c>
      <c r="E462" s="13"/>
      <c r="F462" s="13"/>
      <c r="G462" s="13" t="s">
        <v>13</v>
      </c>
      <c r="H462" s="13" t="str">
        <f>_xlfn.XLOOKUP(J462,'Master Data 14-9-2026'!C:C,'Master Data 14-9-2026'!H:H)</f>
        <v>2026-06-23 - 2026-07-22</v>
      </c>
      <c r="I462" s="13" t="str">
        <f t="shared" si="7"/>
        <v>June</v>
      </c>
      <c r="J462" s="13" t="s">
        <v>1700</v>
      </c>
      <c r="K462" s="13" t="s">
        <v>1004</v>
      </c>
      <c r="L462" s="13" t="s">
        <v>441</v>
      </c>
      <c r="M462" s="15">
        <v>200003188230020</v>
      </c>
      <c r="N462" s="13" t="s">
        <v>924</v>
      </c>
      <c r="O462" s="13">
        <v>1.09120260710002E+17</v>
      </c>
      <c r="P462" s="13" t="s">
        <v>1598</v>
      </c>
      <c r="Q462" s="18">
        <v>92</v>
      </c>
      <c r="R462" s="18">
        <v>1</v>
      </c>
      <c r="S462" s="13">
        <v>8828132634</v>
      </c>
      <c r="T462" s="13" t="s">
        <v>978</v>
      </c>
      <c r="U462" s="19">
        <v>32542400</v>
      </c>
      <c r="V462" s="18">
        <v>1</v>
      </c>
      <c r="W462" s="18">
        <f>_xlfn.XLOOKUP(J462,'Master Data 14-9-2026'!C:C,'Master Data 14-9-2026'!L:L)</f>
        <v>0.5</v>
      </c>
      <c r="X462" s="23">
        <v>32542400</v>
      </c>
      <c r="Y462" s="13" t="s">
        <v>1599</v>
      </c>
      <c r="Z462" s="24" t="str">
        <f>_xlfn.XLOOKUP(J462,'Master Data 14-9-2026'!C:C,'Master Data 14-9-2026'!I:I)</f>
        <v>Ended</v>
      </c>
      <c r="AA462" s="4" t="s">
        <v>1288</v>
      </c>
      <c r="AB462" s="13" t="s">
        <v>1289</v>
      </c>
      <c r="AC462" s="13"/>
      <c r="AD462" s="13"/>
      <c r="AE462" s="13" t="str">
        <f>_xlfn.XLOOKUP(L462,'[1]ID PROJECT'!E:E,'[1]ID PROJECT'!F:F)</f>
        <v xml:space="preserve">PRJ-KUT-KPU-TPED-2026-04-00071 </v>
      </c>
      <c r="AF462" s="13"/>
      <c r="AG462" s="13"/>
      <c r="AH462" s="65"/>
      <c r="AI462" s="27"/>
    </row>
    <row r="463" spans="1:35" hidden="1">
      <c r="A463" s="13" t="s">
        <v>564</v>
      </c>
      <c r="B463" s="13" t="str">
        <f>_xlfn.XLOOKUP(J463,'Master Data 14-9-2026'!C:C,'Master Data 14-9-2026'!D:D)</f>
        <v>Agung Nugraha WX1529434</v>
      </c>
      <c r="C463" s="13"/>
      <c r="D463" s="13" t="str">
        <f>_xlfn.XLOOKUP(J463,'Master Data 14-9-2026'!C:C,'Master Data 14-9-2026'!E:E)</f>
        <v>XLSMART</v>
      </c>
      <c r="E463" s="13"/>
      <c r="F463" s="13"/>
      <c r="G463" s="13" t="s">
        <v>13</v>
      </c>
      <c r="H463" s="13" t="str">
        <f>_xlfn.XLOOKUP(J463,'Master Data 14-9-2026'!C:C,'Master Data 14-9-2026'!H:H)</f>
        <v>2026-06-23 - 2026-07-22</v>
      </c>
      <c r="I463" s="13" t="str">
        <f t="shared" si="7"/>
        <v>June</v>
      </c>
      <c r="J463" s="13" t="s">
        <v>1701</v>
      </c>
      <c r="K463" s="13" t="s">
        <v>1004</v>
      </c>
      <c r="L463" s="13" t="s">
        <v>441</v>
      </c>
      <c r="M463" s="15">
        <v>200003188231020</v>
      </c>
      <c r="N463" s="13" t="s">
        <v>924</v>
      </c>
      <c r="O463" s="13">
        <v>1.09120260710002E+17</v>
      </c>
      <c r="P463" s="13" t="s">
        <v>1598</v>
      </c>
      <c r="Q463" s="18">
        <v>93</v>
      </c>
      <c r="R463" s="18">
        <v>1</v>
      </c>
      <c r="S463" s="13">
        <v>8828132634</v>
      </c>
      <c r="T463" s="13" t="s">
        <v>978</v>
      </c>
      <c r="U463" s="19">
        <v>32542400</v>
      </c>
      <c r="V463" s="18">
        <v>1</v>
      </c>
      <c r="W463" s="18">
        <f>_xlfn.XLOOKUP(J463,'Master Data 14-9-2026'!C:C,'Master Data 14-9-2026'!L:L)</f>
        <v>0.5</v>
      </c>
      <c r="X463" s="23">
        <v>32542400</v>
      </c>
      <c r="Y463" s="13" t="s">
        <v>1599</v>
      </c>
      <c r="Z463" s="24" t="str">
        <f>_xlfn.XLOOKUP(J463,'Master Data 14-9-2026'!C:C,'Master Data 14-9-2026'!I:I)</f>
        <v>Ended</v>
      </c>
      <c r="AA463" s="4" t="s">
        <v>1288</v>
      </c>
      <c r="AB463" s="13" t="s">
        <v>1289</v>
      </c>
      <c r="AC463" s="13"/>
      <c r="AD463" s="13"/>
      <c r="AE463" s="13" t="str">
        <f>_xlfn.XLOOKUP(L463,'[1]ID PROJECT'!E:E,'[1]ID PROJECT'!F:F)</f>
        <v xml:space="preserve">PRJ-KUT-KPU-TPED-2026-04-00071 </v>
      </c>
      <c r="AF463" s="13"/>
      <c r="AG463" s="13"/>
      <c r="AH463" s="65"/>
      <c r="AI463" s="27"/>
    </row>
    <row r="464" spans="1:35" hidden="1">
      <c r="A464" s="13" t="s">
        <v>548</v>
      </c>
      <c r="B464" s="13" t="str">
        <f>_xlfn.XLOOKUP(J464,'Master Data 14-9-2026'!C:C,'Master Data 14-9-2026'!D:D)</f>
        <v>Rifky Febrianto WX1529426</v>
      </c>
      <c r="C464" s="13"/>
      <c r="D464" s="13" t="str">
        <f>_xlfn.XLOOKUP(J464,'Master Data 14-9-2026'!C:C,'Master Data 14-9-2026'!E:E)</f>
        <v>XLSMART</v>
      </c>
      <c r="E464" s="13"/>
      <c r="F464" s="13"/>
      <c r="G464" s="13" t="s">
        <v>13</v>
      </c>
      <c r="H464" s="13" t="str">
        <f>_xlfn.XLOOKUP(J464,'Master Data 14-9-2026'!C:C,'Master Data 14-9-2026'!H:H)</f>
        <v>2026-06-23 - 2026-07-22</v>
      </c>
      <c r="I464" s="13" t="str">
        <f t="shared" si="7"/>
        <v>June</v>
      </c>
      <c r="J464" s="13" t="s">
        <v>1702</v>
      </c>
      <c r="K464" s="13" t="s">
        <v>1004</v>
      </c>
      <c r="L464" s="13" t="s">
        <v>441</v>
      </c>
      <c r="M464" s="15">
        <v>200003188232020</v>
      </c>
      <c r="N464" s="13" t="s">
        <v>924</v>
      </c>
      <c r="O464" s="13">
        <v>1.09120260710002E+17</v>
      </c>
      <c r="P464" s="13" t="s">
        <v>1598</v>
      </c>
      <c r="Q464" s="18">
        <v>94</v>
      </c>
      <c r="R464" s="18">
        <v>1</v>
      </c>
      <c r="S464" s="13">
        <v>8828132634</v>
      </c>
      <c r="T464" s="13" t="s">
        <v>978</v>
      </c>
      <c r="U464" s="19">
        <v>32542400</v>
      </c>
      <c r="V464" s="18">
        <v>1</v>
      </c>
      <c r="W464" s="18">
        <f>_xlfn.XLOOKUP(J464,'Master Data 14-9-2026'!C:C,'Master Data 14-9-2026'!L:L)</f>
        <v>0</v>
      </c>
      <c r="X464" s="23">
        <v>32542400</v>
      </c>
      <c r="Y464" s="13" t="s">
        <v>1599</v>
      </c>
      <c r="Z464" s="24" t="str">
        <f>_xlfn.XLOOKUP(J464,'Master Data 14-9-2026'!C:C,'Master Data 14-9-2026'!I:I)</f>
        <v>Ended</v>
      </c>
      <c r="AA464" s="4" t="s">
        <v>1288</v>
      </c>
      <c r="AB464" s="40" t="s">
        <v>44</v>
      </c>
      <c r="AC464" s="13"/>
      <c r="AD464" s="13"/>
      <c r="AE464" s="13" t="str">
        <f>_xlfn.XLOOKUP(L464,'[1]ID PROJECT'!E:E,'[1]ID PROJECT'!F:F)</f>
        <v xml:space="preserve">PRJ-KUT-KPU-TPED-2026-04-00071 </v>
      </c>
      <c r="AF464" s="13"/>
      <c r="AG464" s="13"/>
      <c r="AH464" s="65"/>
      <c r="AI464" s="27"/>
    </row>
    <row r="465" spans="1:35" hidden="1">
      <c r="A465" s="13" t="s">
        <v>712</v>
      </c>
      <c r="B465" s="13" t="str">
        <f>_xlfn.XLOOKUP(J465,'Master Data 14-9-2026'!C:C,'Master Data 14-9-2026'!D:D)</f>
        <v>Yafet William B TaroreH WX1529431</v>
      </c>
      <c r="C465" s="13"/>
      <c r="D465" s="13" t="str">
        <f>_xlfn.XLOOKUP(J465,'Master Data 14-9-2026'!C:C,'Master Data 14-9-2026'!E:E)</f>
        <v>XLSMART</v>
      </c>
      <c r="E465" s="13"/>
      <c r="F465" s="13"/>
      <c r="G465" s="13" t="s">
        <v>13</v>
      </c>
      <c r="H465" s="13" t="str">
        <f>_xlfn.XLOOKUP(J465,'Master Data 14-9-2026'!C:C,'Master Data 14-9-2026'!H:H)</f>
        <v>2026-06-23 - 2026-07-22</v>
      </c>
      <c r="I465" s="13" t="str">
        <f t="shared" si="7"/>
        <v>June</v>
      </c>
      <c r="J465" s="13" t="s">
        <v>1703</v>
      </c>
      <c r="K465" s="13" t="s">
        <v>1004</v>
      </c>
      <c r="L465" s="13" t="s">
        <v>441</v>
      </c>
      <c r="M465" s="15">
        <v>200003188233020</v>
      </c>
      <c r="N465" s="13" t="s">
        <v>924</v>
      </c>
      <c r="O465" s="13">
        <v>1.09120260710002E+17</v>
      </c>
      <c r="P465" s="13" t="s">
        <v>1598</v>
      </c>
      <c r="Q465" s="18">
        <v>95</v>
      </c>
      <c r="R465" s="18">
        <v>1</v>
      </c>
      <c r="S465" s="13">
        <v>8828132634</v>
      </c>
      <c r="T465" s="13" t="s">
        <v>978</v>
      </c>
      <c r="U465" s="19">
        <v>32542400</v>
      </c>
      <c r="V465" s="18">
        <v>1</v>
      </c>
      <c r="W465" s="18">
        <f>_xlfn.XLOOKUP(J465,'Master Data 14-9-2026'!C:C,'Master Data 14-9-2026'!L:L)</f>
        <v>0.5</v>
      </c>
      <c r="X465" s="23">
        <v>32542400</v>
      </c>
      <c r="Y465" s="13" t="s">
        <v>1599</v>
      </c>
      <c r="Z465" s="24" t="str">
        <f>_xlfn.XLOOKUP(J465,'Master Data 14-9-2026'!C:C,'Master Data 14-9-2026'!I:I)</f>
        <v>Ended</v>
      </c>
      <c r="AA465" s="4" t="s">
        <v>1288</v>
      </c>
      <c r="AB465" s="13" t="s">
        <v>1289</v>
      </c>
      <c r="AC465" s="13"/>
      <c r="AD465" s="13"/>
      <c r="AE465" s="13" t="str">
        <f>_xlfn.XLOOKUP(L465,'[1]ID PROJECT'!E:E,'[1]ID PROJECT'!F:F)</f>
        <v xml:space="preserve">PRJ-KUT-KPU-TPED-2026-04-00071 </v>
      </c>
      <c r="AF465" s="13"/>
      <c r="AG465" s="13"/>
      <c r="AH465" s="65"/>
      <c r="AI465" s="27"/>
    </row>
    <row r="466" spans="1:35" hidden="1">
      <c r="A466" s="13" t="s">
        <v>706</v>
      </c>
      <c r="B466" s="13" t="str">
        <f>_xlfn.XLOOKUP(J466,'Master Data 14-9-2026'!C:C,'Master Data 14-9-2026'!D:D)</f>
        <v>Fajar Fabianto WX1529437</v>
      </c>
      <c r="C466" s="13"/>
      <c r="D466" s="13" t="str">
        <f>_xlfn.XLOOKUP(J466,'Master Data 14-9-2026'!C:C,'Master Data 14-9-2026'!E:E)</f>
        <v>XLSMART</v>
      </c>
      <c r="E466" s="13"/>
      <c r="F466" s="13"/>
      <c r="G466" s="13" t="s">
        <v>13</v>
      </c>
      <c r="H466" s="13" t="str">
        <f>_xlfn.XLOOKUP(J466,'Master Data 14-9-2026'!C:C,'Master Data 14-9-2026'!H:H)</f>
        <v>2026-06-23 - 2026-07-22</v>
      </c>
      <c r="I466" s="13" t="str">
        <f t="shared" si="7"/>
        <v>June</v>
      </c>
      <c r="J466" s="13" t="s">
        <v>1704</v>
      </c>
      <c r="K466" s="13" t="s">
        <v>1004</v>
      </c>
      <c r="L466" s="13" t="s">
        <v>441</v>
      </c>
      <c r="M466" s="15">
        <v>200003188234020</v>
      </c>
      <c r="N466" s="13" t="s">
        <v>924</v>
      </c>
      <c r="O466" s="13">
        <v>1.09120260710002E+17</v>
      </c>
      <c r="P466" s="13" t="s">
        <v>1598</v>
      </c>
      <c r="Q466" s="18">
        <v>96</v>
      </c>
      <c r="R466" s="18">
        <v>1</v>
      </c>
      <c r="S466" s="13">
        <v>8828132634</v>
      </c>
      <c r="T466" s="13" t="s">
        <v>978</v>
      </c>
      <c r="U466" s="19">
        <v>32542400</v>
      </c>
      <c r="V466" s="18">
        <v>1</v>
      </c>
      <c r="W466" s="18">
        <f>_xlfn.XLOOKUP(J466,'Master Data 14-9-2026'!C:C,'Master Data 14-9-2026'!L:L)</f>
        <v>0.53</v>
      </c>
      <c r="X466" s="23">
        <v>32542400</v>
      </c>
      <c r="Y466" s="13" t="s">
        <v>1599</v>
      </c>
      <c r="Z466" s="24" t="str">
        <f>_xlfn.XLOOKUP(J466,'Master Data 14-9-2026'!C:C,'Master Data 14-9-2026'!I:I)</f>
        <v>Ended</v>
      </c>
      <c r="AA466" s="4" t="s">
        <v>1288</v>
      </c>
      <c r="AB466" s="13" t="s">
        <v>1289</v>
      </c>
      <c r="AC466" s="13"/>
      <c r="AD466" s="13"/>
      <c r="AE466" s="13" t="str">
        <f>_xlfn.XLOOKUP(L466,'[1]ID PROJECT'!E:E,'[1]ID PROJECT'!F:F)</f>
        <v xml:space="preserve">PRJ-KUT-KPU-TPED-2026-04-00071 </v>
      </c>
      <c r="AF466" s="13"/>
      <c r="AG466" s="13"/>
      <c r="AH466" s="65"/>
      <c r="AI466" s="27"/>
    </row>
    <row r="467" spans="1:35" hidden="1">
      <c r="A467" s="13" t="s">
        <v>704</v>
      </c>
      <c r="B467" s="13" t="str">
        <f>_xlfn.XLOOKUP(J467,'Master Data 14-9-2026'!C:C,'Master Data 14-9-2026'!D:D)</f>
        <v>Bayu Putra Anggoro WX1529648</v>
      </c>
      <c r="C467" s="13"/>
      <c r="D467" s="13" t="str">
        <f>_xlfn.XLOOKUP(J467,'Master Data 14-9-2026'!C:C,'Master Data 14-9-2026'!E:E)</f>
        <v>XLSMART</v>
      </c>
      <c r="E467" s="13"/>
      <c r="F467" s="13"/>
      <c r="G467" s="13" t="s">
        <v>13</v>
      </c>
      <c r="H467" s="13" t="str">
        <f>_xlfn.XLOOKUP(J467,'Master Data 14-9-2026'!C:C,'Master Data 14-9-2026'!H:H)</f>
        <v>2026-06-23 - 2026-07-22</v>
      </c>
      <c r="I467" s="13" t="str">
        <f t="shared" si="7"/>
        <v>June</v>
      </c>
      <c r="J467" s="13" t="s">
        <v>1705</v>
      </c>
      <c r="K467" s="13" t="s">
        <v>1004</v>
      </c>
      <c r="L467" s="13" t="s">
        <v>441</v>
      </c>
      <c r="M467" s="15">
        <v>200003188235020</v>
      </c>
      <c r="N467" s="13" t="s">
        <v>924</v>
      </c>
      <c r="O467" s="13">
        <v>1.09120260710002E+17</v>
      </c>
      <c r="P467" s="13" t="s">
        <v>1598</v>
      </c>
      <c r="Q467" s="18">
        <v>97</v>
      </c>
      <c r="R467" s="18">
        <v>1</v>
      </c>
      <c r="S467" s="13">
        <v>8828132634</v>
      </c>
      <c r="T467" s="13" t="s">
        <v>978</v>
      </c>
      <c r="U467" s="19">
        <v>32542400</v>
      </c>
      <c r="V467" s="18">
        <v>1</v>
      </c>
      <c r="W467" s="18">
        <f>_xlfn.XLOOKUP(J467,'Master Data 14-9-2026'!C:C,'Master Data 14-9-2026'!L:L)</f>
        <v>0.5</v>
      </c>
      <c r="X467" s="23">
        <v>32542400</v>
      </c>
      <c r="Y467" s="13" t="s">
        <v>1599</v>
      </c>
      <c r="Z467" s="24" t="str">
        <f>_xlfn.XLOOKUP(J467,'Master Data 14-9-2026'!C:C,'Master Data 14-9-2026'!I:I)</f>
        <v>Ended</v>
      </c>
      <c r="AA467" s="4" t="s">
        <v>1288</v>
      </c>
      <c r="AB467" s="13" t="s">
        <v>1289</v>
      </c>
      <c r="AC467" s="13"/>
      <c r="AD467" s="13"/>
      <c r="AE467" s="13" t="str">
        <f>_xlfn.XLOOKUP(L467,'[1]ID PROJECT'!E:E,'[1]ID PROJECT'!F:F)</f>
        <v xml:space="preserve">PRJ-KUT-KPU-TPED-2026-04-00071 </v>
      </c>
      <c r="AF467" s="13"/>
      <c r="AG467" s="13"/>
      <c r="AH467" s="65"/>
      <c r="AI467" s="27"/>
    </row>
    <row r="468" spans="1:35" hidden="1">
      <c r="A468" s="13" t="s">
        <v>696</v>
      </c>
      <c r="B468" s="13" t="str">
        <f>_xlfn.XLOOKUP(J468,'Master Data 14-9-2026'!C:C,'Master Data 14-9-2026'!D:D)</f>
        <v>DAVIT WX1529645</v>
      </c>
      <c r="C468" s="13"/>
      <c r="D468" s="13" t="str">
        <f>_xlfn.XLOOKUP(J468,'Master Data 14-9-2026'!C:C,'Master Data 14-9-2026'!E:E)</f>
        <v>XLSMART</v>
      </c>
      <c r="E468" s="13"/>
      <c r="F468" s="13"/>
      <c r="G468" s="13" t="s">
        <v>13</v>
      </c>
      <c r="H468" s="13" t="str">
        <f>_xlfn.XLOOKUP(J468,'Master Data 14-9-2026'!C:C,'Master Data 14-9-2026'!H:H)</f>
        <v>2026-06-23 - 2026-07-22</v>
      </c>
      <c r="I468" s="13" t="str">
        <f t="shared" si="7"/>
        <v>June</v>
      </c>
      <c r="J468" s="13" t="s">
        <v>1706</v>
      </c>
      <c r="K468" s="13" t="s">
        <v>1004</v>
      </c>
      <c r="L468" s="13" t="s">
        <v>441</v>
      </c>
      <c r="M468" s="15">
        <v>200003188236020</v>
      </c>
      <c r="N468" s="13" t="s">
        <v>924</v>
      </c>
      <c r="O468" s="13">
        <v>1.09120260710002E+17</v>
      </c>
      <c r="P468" s="13" t="s">
        <v>1598</v>
      </c>
      <c r="Q468" s="18">
        <v>98</v>
      </c>
      <c r="R468" s="18">
        <v>1</v>
      </c>
      <c r="S468" s="13">
        <v>8828132634</v>
      </c>
      <c r="T468" s="13" t="s">
        <v>978</v>
      </c>
      <c r="U468" s="19">
        <v>32542400</v>
      </c>
      <c r="V468" s="18">
        <v>1</v>
      </c>
      <c r="W468" s="18">
        <f>_xlfn.XLOOKUP(J468,'Master Data 14-9-2026'!C:C,'Master Data 14-9-2026'!L:L)</f>
        <v>0.5</v>
      </c>
      <c r="X468" s="23">
        <v>32542400</v>
      </c>
      <c r="Y468" s="13" t="s">
        <v>1599</v>
      </c>
      <c r="Z468" s="24" t="str">
        <f>_xlfn.XLOOKUP(J468,'Master Data 14-9-2026'!C:C,'Master Data 14-9-2026'!I:I)</f>
        <v>Ended</v>
      </c>
      <c r="AA468" s="4" t="s">
        <v>1288</v>
      </c>
      <c r="AB468" s="13" t="s">
        <v>1289</v>
      </c>
      <c r="AC468" s="13"/>
      <c r="AD468" s="13"/>
      <c r="AE468" s="13" t="str">
        <f>_xlfn.XLOOKUP(L468,'[1]ID PROJECT'!E:E,'[1]ID PROJECT'!F:F)</f>
        <v xml:space="preserve">PRJ-KUT-KPU-TPED-2026-04-00071 </v>
      </c>
      <c r="AF468" s="13"/>
      <c r="AG468" s="13"/>
      <c r="AH468" s="65"/>
      <c r="AI468" s="27"/>
    </row>
    <row r="469" spans="1:35" hidden="1">
      <c r="A469" s="13" t="s">
        <v>478</v>
      </c>
      <c r="B469" s="13" t="str">
        <f>_xlfn.XLOOKUP(J469,'Master Data 14-9-2026'!C:C,'Master Data 14-9-2026'!D:D)</f>
        <v>Dewi Nur Annisa wx1503631</v>
      </c>
      <c r="C469" s="13"/>
      <c r="D469" s="13" t="str">
        <f>_xlfn.XLOOKUP(J469,'Master Data 14-9-2026'!C:C,'Master Data 14-9-2026'!E:E)</f>
        <v>XLSMART</v>
      </c>
      <c r="E469" s="13"/>
      <c r="F469" s="13"/>
      <c r="G469" s="13" t="s">
        <v>25</v>
      </c>
      <c r="H469" s="13" t="str">
        <f>_xlfn.XLOOKUP(J469,'Master Data 14-9-2026'!C:C,'Master Data 14-9-2026'!H:H)</f>
        <v>2026-06-25 - 2026-07-24</v>
      </c>
      <c r="I469" s="13" t="str">
        <f t="shared" si="7"/>
        <v>June</v>
      </c>
      <c r="J469" s="13" t="s">
        <v>1707</v>
      </c>
      <c r="K469" s="13" t="s">
        <v>1004</v>
      </c>
      <c r="L469" s="13" t="s">
        <v>461</v>
      </c>
      <c r="M469" s="15">
        <v>200003135924020</v>
      </c>
      <c r="N469" s="13" t="s">
        <v>924</v>
      </c>
      <c r="O469" s="13">
        <v>1.09120260710002E+17</v>
      </c>
      <c r="P469" s="13" t="s">
        <v>1598</v>
      </c>
      <c r="Q469" s="18">
        <v>99</v>
      </c>
      <c r="R469" s="18">
        <v>1</v>
      </c>
      <c r="S469" s="13">
        <v>8828132636</v>
      </c>
      <c r="T469" s="13" t="s">
        <v>933</v>
      </c>
      <c r="U469" s="19">
        <v>36992000</v>
      </c>
      <c r="V469" s="18">
        <v>1</v>
      </c>
      <c r="W469" s="18">
        <f>_xlfn.XLOOKUP(J469,'Master Data 14-9-2026'!C:C,'Master Data 14-9-2026'!L:L)</f>
        <v>1.43</v>
      </c>
      <c r="X469" s="23">
        <v>36992000</v>
      </c>
      <c r="Y469" s="13" t="s">
        <v>1599</v>
      </c>
      <c r="Z469" s="24" t="str">
        <f>_xlfn.XLOOKUP(J469,'Master Data 14-9-2026'!C:C,'Master Data 14-9-2026'!I:I)</f>
        <v>Ended</v>
      </c>
      <c r="AB469" s="13"/>
      <c r="AC469" s="13"/>
      <c r="AD469" s="13"/>
      <c r="AE469" s="13" t="str">
        <f>_xlfn.XLOOKUP(L469,'[1]ID PROJECT'!E:E,'[1]ID PROJECT'!F:F)</f>
        <v>PRJ-KUT-KPU-TPED-2026-04-00078</v>
      </c>
      <c r="AF469" s="13"/>
      <c r="AG469" s="13"/>
      <c r="AH469" s="65"/>
      <c r="AI469" s="27"/>
    </row>
    <row r="470" spans="1:35" hidden="1">
      <c r="A470" s="13" t="s">
        <v>444</v>
      </c>
      <c r="B470" s="13" t="str">
        <f>_xlfn.XLOOKUP(J470,'Master Data 14-9-2026'!C:C,'Master Data 14-9-2026'!D:D)</f>
        <v>Febby Ramadhan Ahmad Suhandi wx1503968</v>
      </c>
      <c r="C470" s="13"/>
      <c r="D470" s="13" t="str">
        <f>_xlfn.XLOOKUP(J470,'Master Data 14-9-2026'!C:C,'Master Data 14-9-2026'!E:E)</f>
        <v>XLSMART</v>
      </c>
      <c r="E470" s="13"/>
      <c r="F470" s="13"/>
      <c r="G470" s="13" t="s">
        <v>25</v>
      </c>
      <c r="H470" s="13" t="str">
        <f>_xlfn.XLOOKUP(J470,'Master Data 14-9-2026'!C:C,'Master Data 14-9-2026'!H:H)</f>
        <v>2026-06-25 - 2026-07-24</v>
      </c>
      <c r="I470" s="13" t="str">
        <f t="shared" si="7"/>
        <v>June</v>
      </c>
      <c r="J470" s="13" t="s">
        <v>1708</v>
      </c>
      <c r="K470" s="13" t="s">
        <v>1004</v>
      </c>
      <c r="L470" s="13" t="s">
        <v>441</v>
      </c>
      <c r="M470" s="15">
        <v>200003135925020</v>
      </c>
      <c r="N470" s="13" t="s">
        <v>924</v>
      </c>
      <c r="O470" s="13">
        <v>1.09120260710002E+17</v>
      </c>
      <c r="P470" s="13" t="s">
        <v>1598</v>
      </c>
      <c r="Q470" s="18">
        <v>100</v>
      </c>
      <c r="R470" s="18">
        <v>1</v>
      </c>
      <c r="S470" s="13">
        <v>8828132636</v>
      </c>
      <c r="T470" s="13" t="s">
        <v>933</v>
      </c>
      <c r="U470" s="19">
        <v>36992000</v>
      </c>
      <c r="V470" s="18">
        <v>1</v>
      </c>
      <c r="W470" s="18">
        <f>_xlfn.XLOOKUP(J470,'Master Data 14-9-2026'!C:C,'Master Data 14-9-2026'!L:L)</f>
        <v>1.5</v>
      </c>
      <c r="X470" s="23">
        <v>36992000</v>
      </c>
      <c r="Y470" s="13" t="s">
        <v>1599</v>
      </c>
      <c r="Z470" s="24" t="str">
        <f>_xlfn.XLOOKUP(J470,'Master Data 14-9-2026'!C:C,'Master Data 14-9-2026'!I:I)</f>
        <v>Ended</v>
      </c>
      <c r="AB470" s="13"/>
      <c r="AC470" s="13"/>
      <c r="AD470" s="13"/>
      <c r="AE470" s="13" t="str">
        <f>_xlfn.XLOOKUP(L470,'[1]ID PROJECT'!E:E,'[1]ID PROJECT'!F:F)</f>
        <v xml:space="preserve">PRJ-KUT-KPU-TPED-2026-04-00071 </v>
      </c>
      <c r="AF470" s="13"/>
      <c r="AG470" s="13"/>
      <c r="AH470" s="65"/>
      <c r="AI470" s="27"/>
    </row>
    <row r="471" spans="1:35" hidden="1">
      <c r="A471" s="13" t="s">
        <v>469</v>
      </c>
      <c r="B471" s="13" t="str">
        <f>_xlfn.XLOOKUP(J471,'Master Data 14-9-2026'!C:C,'Master Data 14-9-2026'!D:D)</f>
        <v>Heri Kusnanto wx1503971</v>
      </c>
      <c r="C471" s="13"/>
      <c r="D471" s="13" t="str">
        <f>_xlfn.XLOOKUP(J471,'Master Data 14-9-2026'!C:C,'Master Data 14-9-2026'!E:E)</f>
        <v>XLSMART</v>
      </c>
      <c r="E471" s="13"/>
      <c r="F471" s="13"/>
      <c r="G471" s="13" t="s">
        <v>25</v>
      </c>
      <c r="H471" s="13" t="str">
        <f>_xlfn.XLOOKUP(J471,'Master Data 14-9-2026'!C:C,'Master Data 14-9-2026'!H:H)</f>
        <v>2026-06-26 - 2026-07-25</v>
      </c>
      <c r="I471" s="13" t="str">
        <f t="shared" si="7"/>
        <v>June</v>
      </c>
      <c r="J471" s="13" t="s">
        <v>1709</v>
      </c>
      <c r="K471" s="13" t="s">
        <v>1004</v>
      </c>
      <c r="L471" s="13" t="s">
        <v>441</v>
      </c>
      <c r="M471" s="15">
        <v>200003135926020</v>
      </c>
      <c r="N471" s="13" t="s">
        <v>924</v>
      </c>
      <c r="O471" s="13">
        <v>1.09120260710002E+17</v>
      </c>
      <c r="P471" s="13" t="s">
        <v>1598</v>
      </c>
      <c r="Q471" s="18">
        <v>101</v>
      </c>
      <c r="R471" s="18">
        <v>1</v>
      </c>
      <c r="S471" s="13">
        <v>8828132636</v>
      </c>
      <c r="T471" s="13" t="s">
        <v>933</v>
      </c>
      <c r="U471" s="19">
        <v>36992000</v>
      </c>
      <c r="V471" s="18">
        <v>1</v>
      </c>
      <c r="W471" s="18">
        <f>_xlfn.XLOOKUP(J471,'Master Data 14-9-2026'!C:C,'Master Data 14-9-2026'!L:L)</f>
        <v>1.5</v>
      </c>
      <c r="X471" s="23">
        <v>36992000</v>
      </c>
      <c r="Y471" s="13" t="s">
        <v>1599</v>
      </c>
      <c r="Z471" s="24" t="str">
        <f>_xlfn.XLOOKUP(J471,'Master Data 14-9-2026'!C:C,'Master Data 14-9-2026'!I:I)</f>
        <v>Ended</v>
      </c>
      <c r="AB471" s="13"/>
      <c r="AC471" s="13"/>
      <c r="AD471" s="13"/>
      <c r="AE471" s="13" t="str">
        <f>_xlfn.XLOOKUP(L471,'[1]ID PROJECT'!E:E,'[1]ID PROJECT'!F:F)</f>
        <v xml:space="preserve">PRJ-KUT-KPU-TPED-2026-04-00071 </v>
      </c>
      <c r="AF471" s="13"/>
      <c r="AG471" s="13"/>
      <c r="AH471" s="65"/>
      <c r="AI471" s="27"/>
    </row>
    <row r="472" spans="1:35" hidden="1">
      <c r="A472" s="13" t="s">
        <v>508</v>
      </c>
      <c r="B472" s="13" t="str">
        <f>_xlfn.XLOOKUP(J472,'Master Data 14-9-2026'!C:C,'Master Data 14-9-2026'!D:D)</f>
        <v>Herni Peruzi wx1503973</v>
      </c>
      <c r="C472" s="13"/>
      <c r="D472" s="13" t="str">
        <f>_xlfn.XLOOKUP(J472,'Master Data 14-9-2026'!C:C,'Master Data 14-9-2026'!E:E)</f>
        <v>XLSMART</v>
      </c>
      <c r="E472" s="13"/>
      <c r="F472" s="13"/>
      <c r="G472" s="13" t="s">
        <v>25</v>
      </c>
      <c r="H472" s="13" t="str">
        <f>_xlfn.XLOOKUP(J472,'Master Data 14-9-2026'!C:C,'Master Data 14-9-2026'!H:H)</f>
        <v>2026-06-30 - 2026-07-29</v>
      </c>
      <c r="I472" s="13" t="str">
        <f t="shared" si="7"/>
        <v>June</v>
      </c>
      <c r="J472" s="13" t="s">
        <v>1710</v>
      </c>
      <c r="K472" s="13" t="s">
        <v>1004</v>
      </c>
      <c r="L472" s="13" t="s">
        <v>441</v>
      </c>
      <c r="M472" s="15">
        <v>200003135927020</v>
      </c>
      <c r="N472" s="13" t="s">
        <v>924</v>
      </c>
      <c r="O472" s="13">
        <v>1.09120260710002E+17</v>
      </c>
      <c r="P472" s="13" t="s">
        <v>1598</v>
      </c>
      <c r="Q472" s="18">
        <v>102</v>
      </c>
      <c r="R472" s="18">
        <v>1</v>
      </c>
      <c r="S472" s="13">
        <v>8828132636</v>
      </c>
      <c r="T472" s="13" t="s">
        <v>933</v>
      </c>
      <c r="U472" s="19">
        <v>36992000</v>
      </c>
      <c r="V472" s="18">
        <v>1</v>
      </c>
      <c r="W472" s="18">
        <f>_xlfn.XLOOKUP(J472,'Master Data 14-9-2026'!C:C,'Master Data 14-9-2026'!L:L)</f>
        <v>1.5</v>
      </c>
      <c r="X472" s="23">
        <v>36992000</v>
      </c>
      <c r="Y472" s="13" t="s">
        <v>1599</v>
      </c>
      <c r="Z472" s="24" t="str">
        <f>_xlfn.XLOOKUP(J472,'Master Data 14-9-2026'!C:C,'Master Data 14-9-2026'!I:I)</f>
        <v>Ended</v>
      </c>
      <c r="AB472" s="13"/>
      <c r="AC472" s="13"/>
      <c r="AD472" s="13"/>
      <c r="AE472" s="13" t="str">
        <f>_xlfn.XLOOKUP(L472,'[1]ID PROJECT'!E:E,'[1]ID PROJECT'!F:F)</f>
        <v xml:space="preserve">PRJ-KUT-KPU-TPED-2026-04-00071 </v>
      </c>
      <c r="AF472" s="13"/>
      <c r="AG472" s="13"/>
      <c r="AH472" s="65"/>
      <c r="AI472" s="27"/>
    </row>
    <row r="473" spans="1:35" hidden="1">
      <c r="A473" s="13" t="s">
        <v>498</v>
      </c>
      <c r="B473" s="13" t="str">
        <f>_xlfn.XLOOKUP(J473,'Master Data 14-9-2026'!C:C,'Master Data 14-9-2026'!D:D)</f>
        <v>Julham Hamid wx1507139</v>
      </c>
      <c r="C473" s="13"/>
      <c r="D473" s="13" t="str">
        <f>_xlfn.XLOOKUP(J473,'Master Data 14-9-2026'!C:C,'Master Data 14-9-2026'!E:E)</f>
        <v>XLSMART</v>
      </c>
      <c r="E473" s="13"/>
      <c r="F473" s="13"/>
      <c r="G473" s="13" t="s">
        <v>25</v>
      </c>
      <c r="H473" s="13" t="str">
        <f>_xlfn.XLOOKUP(J473,'Master Data 14-9-2026'!C:C,'Master Data 14-9-2026'!H:H)</f>
        <v>2026-07-01 - 2026-07-31</v>
      </c>
      <c r="I473" s="13" t="str">
        <f t="shared" si="7"/>
        <v>July</v>
      </c>
      <c r="J473" s="13" t="s">
        <v>1711</v>
      </c>
      <c r="K473" s="13" t="s">
        <v>1004</v>
      </c>
      <c r="L473" s="13" t="s">
        <v>500</v>
      </c>
      <c r="M473" s="15">
        <v>200003135928020</v>
      </c>
      <c r="N473" s="13" t="s">
        <v>924</v>
      </c>
      <c r="O473" s="13">
        <v>1.09120260710002E+17</v>
      </c>
      <c r="P473" s="13" t="s">
        <v>1598</v>
      </c>
      <c r="Q473" s="18">
        <v>103</v>
      </c>
      <c r="R473" s="18">
        <v>1</v>
      </c>
      <c r="S473" s="13">
        <v>8828132636</v>
      </c>
      <c r="T473" s="13" t="s">
        <v>933</v>
      </c>
      <c r="U473" s="19">
        <v>36992000</v>
      </c>
      <c r="V473" s="18">
        <v>1</v>
      </c>
      <c r="W473" s="18">
        <f>_xlfn.XLOOKUP(J473,'Master Data 14-9-2026'!C:C,'Master Data 14-9-2026'!L:L)</f>
        <v>1.5</v>
      </c>
      <c r="X473" s="23">
        <v>36992000</v>
      </c>
      <c r="Y473" s="13" t="s">
        <v>1599</v>
      </c>
      <c r="Z473" s="24" t="s">
        <v>15</v>
      </c>
      <c r="AB473" s="13"/>
      <c r="AC473" s="13"/>
      <c r="AD473" s="13"/>
      <c r="AE473" s="13" t="str">
        <f>_xlfn.XLOOKUP(L473,'[1]ID PROJECT'!E:E,'[1]ID PROJECT'!F:F)</f>
        <v>PRJ-KUT-KPU-TPED-2026-04-00080</v>
      </c>
      <c r="AF473" s="13"/>
      <c r="AG473" s="13"/>
      <c r="AH473" s="65"/>
      <c r="AI473" s="27"/>
    </row>
    <row r="474" spans="1:35" hidden="1">
      <c r="A474" s="13" t="s">
        <v>491</v>
      </c>
      <c r="B474" s="13" t="str">
        <f>_xlfn.XLOOKUP(J474,'Master Data 14-9-2026'!C:C,'Master Data 14-9-2026'!D:D)</f>
        <v>Muh Haidir Haswan wx1507136</v>
      </c>
      <c r="C474" s="13"/>
      <c r="D474" s="13" t="str">
        <f>_xlfn.XLOOKUP(J474,'Master Data 14-9-2026'!C:C,'Master Data 14-9-2026'!E:E)</f>
        <v>XLSMART</v>
      </c>
      <c r="E474" s="13"/>
      <c r="F474" s="13"/>
      <c r="G474" s="13" t="s">
        <v>25</v>
      </c>
      <c r="H474" s="13" t="str">
        <f>_xlfn.XLOOKUP(J474,'Master Data 14-9-2026'!C:C,'Master Data 14-9-2026'!H:H)</f>
        <v>2026-07-01 - 2026-07-31</v>
      </c>
      <c r="I474" s="13" t="str">
        <f t="shared" si="7"/>
        <v>July</v>
      </c>
      <c r="J474" s="13" t="s">
        <v>1712</v>
      </c>
      <c r="K474" s="13" t="s">
        <v>1004</v>
      </c>
      <c r="L474" s="13" t="s">
        <v>493</v>
      </c>
      <c r="M474" s="15">
        <v>200003135929020</v>
      </c>
      <c r="N474" s="13" t="s">
        <v>924</v>
      </c>
      <c r="O474" s="13">
        <v>1.09120260710002E+17</v>
      </c>
      <c r="P474" s="13" t="s">
        <v>1598</v>
      </c>
      <c r="Q474" s="18">
        <v>104</v>
      </c>
      <c r="R474" s="18">
        <v>1</v>
      </c>
      <c r="S474" s="13">
        <v>8828132636</v>
      </c>
      <c r="T474" s="13" t="s">
        <v>933</v>
      </c>
      <c r="U474" s="19">
        <v>36992000</v>
      </c>
      <c r="V474" s="18">
        <v>1</v>
      </c>
      <c r="W474" s="18">
        <f>_xlfn.XLOOKUP(J474,'Master Data 14-9-2026'!C:C,'Master Data 14-9-2026'!L:L)</f>
        <v>1.5</v>
      </c>
      <c r="X474" s="23">
        <v>36992000</v>
      </c>
      <c r="Y474" s="13" t="s">
        <v>1599</v>
      </c>
      <c r="Z474" s="24" t="s">
        <v>15</v>
      </c>
      <c r="AB474" s="13"/>
      <c r="AC474" s="13"/>
      <c r="AD474" s="13"/>
      <c r="AE474" s="13" t="str">
        <f>_xlfn.XLOOKUP(L474,'[1]ID PROJECT'!E:E,'[1]ID PROJECT'!F:F)</f>
        <v>PRJ-KUT-KPU-TPED-2026-04-00079</v>
      </c>
      <c r="AF474" s="13"/>
      <c r="AG474" s="13"/>
      <c r="AH474" s="65"/>
      <c r="AI474" s="27"/>
    </row>
    <row r="475" spans="1:35" hidden="1">
      <c r="A475" s="13" t="s">
        <v>501</v>
      </c>
      <c r="B475" s="13" t="str">
        <f>_xlfn.XLOOKUP(J475,'Master Data 14-9-2026'!C:C,'Master Data 14-9-2026'!D:D)</f>
        <v>Benny Prio Utomo wx1513406</v>
      </c>
      <c r="C475" s="13"/>
      <c r="D475" s="13" t="str">
        <f>_xlfn.XLOOKUP(J475,'Master Data 14-9-2026'!C:C,'Master Data 14-9-2026'!E:E)</f>
        <v>XLSMART</v>
      </c>
      <c r="E475" s="13"/>
      <c r="F475" s="13"/>
      <c r="G475" s="13" t="s">
        <v>25</v>
      </c>
      <c r="H475" s="13" t="str">
        <f>_xlfn.XLOOKUP(J475,'Master Data 14-9-2026'!C:C,'Master Data 14-9-2026'!H:H)</f>
        <v>2026-07-21 - 2026-08-20</v>
      </c>
      <c r="I475" s="13" t="str">
        <f t="shared" si="7"/>
        <v>July</v>
      </c>
      <c r="J475" s="13" t="s">
        <v>1713</v>
      </c>
      <c r="K475" s="13" t="s">
        <v>1004</v>
      </c>
      <c r="L475" s="13" t="s">
        <v>441</v>
      </c>
      <c r="M475" s="15">
        <v>200003135930020</v>
      </c>
      <c r="N475" s="13" t="s">
        <v>924</v>
      </c>
      <c r="O475" s="13">
        <v>1.09120260710002E+17</v>
      </c>
      <c r="P475" s="13" t="s">
        <v>1598</v>
      </c>
      <c r="Q475" s="18">
        <v>105</v>
      </c>
      <c r="R475" s="18">
        <v>1</v>
      </c>
      <c r="S475" s="13">
        <v>8828132636</v>
      </c>
      <c r="T475" s="13" t="s">
        <v>933</v>
      </c>
      <c r="U475" s="19">
        <v>36992000</v>
      </c>
      <c r="V475" s="18">
        <v>1</v>
      </c>
      <c r="W475" s="18">
        <f>_xlfn.XLOOKUP(J475,'Master Data 14-9-2026'!C:C,'Master Data 14-9-2026'!L:L)</f>
        <v>1.5</v>
      </c>
      <c r="X475" s="23">
        <v>36992000</v>
      </c>
      <c r="Y475" s="13" t="s">
        <v>1599</v>
      </c>
      <c r="Z475" s="24" t="s">
        <v>33</v>
      </c>
      <c r="AB475" s="13"/>
      <c r="AC475" s="13"/>
      <c r="AD475" s="13"/>
      <c r="AE475" s="13" t="str">
        <f>_xlfn.XLOOKUP(L475,'[1]ID PROJECT'!E:E,'[1]ID PROJECT'!F:F)</f>
        <v xml:space="preserve">PRJ-KUT-KPU-TPED-2026-04-00071 </v>
      </c>
      <c r="AF475" s="13"/>
      <c r="AG475" s="13"/>
      <c r="AH475" s="65"/>
      <c r="AI475" s="27"/>
    </row>
    <row r="476" spans="1:35" hidden="1">
      <c r="A476" s="13" t="s">
        <v>680</v>
      </c>
      <c r="B476" s="13" t="str">
        <f>_xlfn.XLOOKUP(J476,'Master Data 14-9-2026'!C:C,'Master Data 14-9-2026'!D:D)</f>
        <v>Agung Priyono WX1529427</v>
      </c>
      <c r="C476" s="13"/>
      <c r="D476" s="13" t="str">
        <f>_xlfn.XLOOKUP(J476,'Master Data 14-9-2026'!C:C,'Master Data 14-9-2026'!E:E)</f>
        <v>XLSMART</v>
      </c>
      <c r="E476" s="13"/>
      <c r="F476" s="13"/>
      <c r="G476" s="13" t="s">
        <v>13</v>
      </c>
      <c r="H476" s="13" t="str">
        <f>_xlfn.XLOOKUP(J476,'Master Data 14-9-2026'!C:C,'Master Data 14-9-2026'!H:H)</f>
        <v>2026-06-24 - 2026-07-23</v>
      </c>
      <c r="I476" s="13" t="str">
        <f t="shared" si="7"/>
        <v>June</v>
      </c>
      <c r="J476" s="13" t="s">
        <v>1714</v>
      </c>
      <c r="K476" s="13" t="s">
        <v>1004</v>
      </c>
      <c r="L476" s="13" t="s">
        <v>441</v>
      </c>
      <c r="M476" s="15">
        <v>200003188237020</v>
      </c>
      <c r="N476" s="13" t="s">
        <v>924</v>
      </c>
      <c r="O476" s="13">
        <v>1.09120260710002E+17</v>
      </c>
      <c r="P476" s="13" t="s">
        <v>1598</v>
      </c>
      <c r="Q476" s="18">
        <v>106</v>
      </c>
      <c r="R476" s="18">
        <v>1</v>
      </c>
      <c r="S476" s="13">
        <v>8828132634</v>
      </c>
      <c r="T476" s="13" t="s">
        <v>978</v>
      </c>
      <c r="U476" s="19">
        <v>32542400</v>
      </c>
      <c r="V476" s="18">
        <v>1</v>
      </c>
      <c r="W476" s="18">
        <f>_xlfn.XLOOKUP(J476,'Master Data 14-9-2026'!C:C,'Master Data 14-9-2026'!L:L)</f>
        <v>0.5</v>
      </c>
      <c r="X476" s="23">
        <v>32542400</v>
      </c>
      <c r="Y476" s="13" t="s">
        <v>1599</v>
      </c>
      <c r="Z476" s="24" t="str">
        <f>_xlfn.XLOOKUP(J476,'Master Data 14-9-2026'!C:C,'Master Data 14-9-2026'!I:I)</f>
        <v>Ended</v>
      </c>
      <c r="AA476" s="4" t="s">
        <v>1288</v>
      </c>
      <c r="AB476" s="13"/>
      <c r="AC476" s="13"/>
      <c r="AD476" s="13"/>
      <c r="AE476" s="13" t="str">
        <f>_xlfn.XLOOKUP(L476,'[1]ID PROJECT'!E:E,'[1]ID PROJECT'!F:F)</f>
        <v xml:space="preserve">PRJ-KUT-KPU-TPED-2026-04-00071 </v>
      </c>
      <c r="AF476" s="13"/>
      <c r="AG476" s="13"/>
      <c r="AH476" s="65"/>
      <c r="AI476" s="27"/>
    </row>
    <row r="477" spans="1:35" hidden="1">
      <c r="A477" s="13" t="s">
        <v>672</v>
      </c>
      <c r="B477" s="13" t="str">
        <f>_xlfn.XLOOKUP(J477,'Master Data 14-9-2026'!C:C,'Master Data 14-9-2026'!D:D)</f>
        <v>BAGUS PRAKOSO WX1529647</v>
      </c>
      <c r="C477" s="13"/>
      <c r="D477" s="13" t="str">
        <f>_xlfn.XLOOKUP(J477,'Master Data 14-9-2026'!C:C,'Master Data 14-9-2026'!E:E)</f>
        <v>XLSMART</v>
      </c>
      <c r="E477" s="13"/>
      <c r="F477" s="13"/>
      <c r="G477" s="13" t="s">
        <v>13</v>
      </c>
      <c r="H477" s="13" t="str">
        <f>_xlfn.XLOOKUP(J477,'Master Data 14-9-2026'!C:C,'Master Data 14-9-2026'!H:H)</f>
        <v>2026-06-24 - 2026-07-23</v>
      </c>
      <c r="I477" s="13" t="str">
        <f t="shared" si="7"/>
        <v>June</v>
      </c>
      <c r="J477" s="13" t="s">
        <v>1715</v>
      </c>
      <c r="K477" s="13" t="s">
        <v>1004</v>
      </c>
      <c r="L477" s="13" t="s">
        <v>441</v>
      </c>
      <c r="M477" s="15">
        <v>200003188238020</v>
      </c>
      <c r="N477" s="13" t="s">
        <v>924</v>
      </c>
      <c r="O477" s="13">
        <v>1.09120260710002E+17</v>
      </c>
      <c r="P477" s="13" t="s">
        <v>1598</v>
      </c>
      <c r="Q477" s="18">
        <v>107</v>
      </c>
      <c r="R477" s="18">
        <v>1</v>
      </c>
      <c r="S477" s="13">
        <v>8828132634</v>
      </c>
      <c r="T477" s="13" t="s">
        <v>978</v>
      </c>
      <c r="U477" s="19">
        <v>32542400</v>
      </c>
      <c r="V477" s="18">
        <v>1</v>
      </c>
      <c r="W477" s="18">
        <f>_xlfn.XLOOKUP(J477,'Master Data 14-9-2026'!C:C,'Master Data 14-9-2026'!L:L)</f>
        <v>0.5</v>
      </c>
      <c r="X477" s="23">
        <v>32542400</v>
      </c>
      <c r="Y477" s="13" t="s">
        <v>1599</v>
      </c>
      <c r="Z477" s="24" t="str">
        <f>_xlfn.XLOOKUP(J477,'Master Data 14-9-2026'!C:C,'Master Data 14-9-2026'!I:I)</f>
        <v>Ended</v>
      </c>
      <c r="AA477" s="4" t="s">
        <v>1288</v>
      </c>
      <c r="AB477" s="13" t="s">
        <v>1289</v>
      </c>
      <c r="AC477" s="13"/>
      <c r="AD477" s="13"/>
      <c r="AE477" s="13" t="str">
        <f>_xlfn.XLOOKUP(L477,'[1]ID PROJECT'!E:E,'[1]ID PROJECT'!F:F)</f>
        <v xml:space="preserve">PRJ-KUT-KPU-TPED-2026-04-00071 </v>
      </c>
      <c r="AF477" s="13"/>
      <c r="AG477" s="13"/>
      <c r="AH477" s="65"/>
      <c r="AI477" s="27"/>
    </row>
    <row r="478" spans="1:35" hidden="1">
      <c r="A478" s="13" t="s">
        <v>664</v>
      </c>
      <c r="B478" s="13" t="str">
        <f>_xlfn.XLOOKUP(J478,'Master Data 14-9-2026'!C:C,'Master Data 14-9-2026'!D:D)</f>
        <v>CESAR MANUEL WX1530061</v>
      </c>
      <c r="C478" s="13"/>
      <c r="D478" s="13" t="str">
        <f>_xlfn.XLOOKUP(J478,'Master Data 14-9-2026'!C:C,'Master Data 14-9-2026'!E:E)</f>
        <v>XLSMART</v>
      </c>
      <c r="E478" s="13"/>
      <c r="F478" s="13"/>
      <c r="G478" s="13" t="s">
        <v>13</v>
      </c>
      <c r="H478" s="13" t="str">
        <f>_xlfn.XLOOKUP(J478,'Master Data 14-9-2026'!C:C,'Master Data 14-9-2026'!H:H)</f>
        <v>2026-06-24 - 2026-07-23</v>
      </c>
      <c r="I478" s="13" t="str">
        <f t="shared" si="7"/>
        <v>June</v>
      </c>
      <c r="J478" s="13" t="s">
        <v>1716</v>
      </c>
      <c r="K478" s="13" t="s">
        <v>1004</v>
      </c>
      <c r="L478" s="13" t="s">
        <v>441</v>
      </c>
      <c r="M478" s="15">
        <v>200003188239020</v>
      </c>
      <c r="N478" s="13" t="s">
        <v>924</v>
      </c>
      <c r="O478" s="13">
        <v>1.09120260710002E+17</v>
      </c>
      <c r="P478" s="13" t="s">
        <v>1598</v>
      </c>
      <c r="Q478" s="18">
        <v>108</v>
      </c>
      <c r="R478" s="18">
        <v>1</v>
      </c>
      <c r="S478" s="13">
        <v>8828132634</v>
      </c>
      <c r="T478" s="13" t="s">
        <v>978</v>
      </c>
      <c r="U478" s="19">
        <v>32542400</v>
      </c>
      <c r="V478" s="18">
        <v>1</v>
      </c>
      <c r="W478" s="18">
        <f>_xlfn.XLOOKUP(J478,'Master Data 14-9-2026'!C:C,'Master Data 14-9-2026'!L:L)</f>
        <v>0.5</v>
      </c>
      <c r="X478" s="23">
        <v>32542400</v>
      </c>
      <c r="Y478" s="13" t="s">
        <v>1599</v>
      </c>
      <c r="Z478" s="24" t="str">
        <f>_xlfn.XLOOKUP(J478,'Master Data 14-9-2026'!C:C,'Master Data 14-9-2026'!I:I)</f>
        <v>Ended</v>
      </c>
      <c r="AA478" s="4" t="s">
        <v>1288</v>
      </c>
      <c r="AB478" s="13" t="s">
        <v>1289</v>
      </c>
      <c r="AC478" s="13"/>
      <c r="AD478" s="13"/>
      <c r="AE478" s="13" t="str">
        <f>_xlfn.XLOOKUP(L478,'[1]ID PROJECT'!E:E,'[1]ID PROJECT'!F:F)</f>
        <v xml:space="preserve">PRJ-KUT-KPU-TPED-2026-04-00071 </v>
      </c>
      <c r="AF478" s="13"/>
      <c r="AG478" s="13"/>
      <c r="AH478" s="65"/>
      <c r="AI478" s="27"/>
    </row>
    <row r="479" spans="1:35" hidden="1">
      <c r="A479" s="13" t="s">
        <v>656</v>
      </c>
      <c r="B479" s="13" t="str">
        <f>_xlfn.XLOOKUP(J479,'Master Data 14-9-2026'!C:C,'Master Data 14-9-2026'!D:D)</f>
        <v>Puad Maulana WX1530067</v>
      </c>
      <c r="C479" s="13"/>
      <c r="D479" s="13" t="str">
        <f>_xlfn.XLOOKUP(J479,'Master Data 14-9-2026'!C:C,'Master Data 14-9-2026'!E:E)</f>
        <v>XLSMART</v>
      </c>
      <c r="E479" s="13"/>
      <c r="F479" s="13"/>
      <c r="G479" s="13" t="s">
        <v>13</v>
      </c>
      <c r="H479" s="13" t="str">
        <f>_xlfn.XLOOKUP(J479,'Master Data 14-9-2026'!C:C,'Master Data 14-9-2026'!H:H)</f>
        <v>2026-06-24 - 2026-07-23</v>
      </c>
      <c r="I479" s="13" t="str">
        <f t="shared" si="7"/>
        <v>June</v>
      </c>
      <c r="J479" s="13" t="s">
        <v>1717</v>
      </c>
      <c r="K479" s="13" t="s">
        <v>1004</v>
      </c>
      <c r="L479" s="13" t="s">
        <v>441</v>
      </c>
      <c r="M479" s="15">
        <v>200003188240020</v>
      </c>
      <c r="N479" s="13" t="s">
        <v>924</v>
      </c>
      <c r="O479" s="13">
        <v>1.09120260710002E+17</v>
      </c>
      <c r="P479" s="13" t="s">
        <v>1598</v>
      </c>
      <c r="Q479" s="18">
        <v>109</v>
      </c>
      <c r="R479" s="18">
        <v>1</v>
      </c>
      <c r="S479" s="13">
        <v>8828132634</v>
      </c>
      <c r="T479" s="13" t="s">
        <v>978</v>
      </c>
      <c r="U479" s="19">
        <v>32542400</v>
      </c>
      <c r="V479" s="18">
        <v>1</v>
      </c>
      <c r="W479" s="18">
        <f>_xlfn.XLOOKUP(J479,'Master Data 14-9-2026'!C:C,'Master Data 14-9-2026'!L:L)</f>
        <v>0.5</v>
      </c>
      <c r="X479" s="23">
        <v>32542400</v>
      </c>
      <c r="Y479" s="13" t="s">
        <v>1599</v>
      </c>
      <c r="Z479" s="24" t="str">
        <f>_xlfn.XLOOKUP(J479,'Master Data 14-9-2026'!C:C,'Master Data 14-9-2026'!I:I)</f>
        <v>Ended</v>
      </c>
      <c r="AA479" s="4" t="s">
        <v>1288</v>
      </c>
      <c r="AB479" s="13" t="s">
        <v>1289</v>
      </c>
      <c r="AC479" s="13"/>
      <c r="AD479" s="13"/>
      <c r="AE479" s="13" t="str">
        <f>_xlfn.XLOOKUP(L479,'[1]ID PROJECT'!E:E,'[1]ID PROJECT'!F:F)</f>
        <v xml:space="preserve">PRJ-KUT-KPU-TPED-2026-04-00071 </v>
      </c>
      <c r="AF479" s="13"/>
      <c r="AG479" s="13"/>
      <c r="AH479" s="65"/>
      <c r="AI479" s="27"/>
    </row>
    <row r="480" spans="1:35" hidden="1">
      <c r="A480" s="13" t="s">
        <v>654</v>
      </c>
      <c r="B480" s="13" t="str">
        <f>_xlfn.XLOOKUP(J480,'Master Data 14-9-2026'!C:C,'Master Data 14-9-2026'!D:D)</f>
        <v>Susanto WX1530064</v>
      </c>
      <c r="C480" s="13"/>
      <c r="D480" s="13" t="str">
        <f>_xlfn.XLOOKUP(J480,'Master Data 14-9-2026'!C:C,'Master Data 14-9-2026'!E:E)</f>
        <v>XLSMART</v>
      </c>
      <c r="E480" s="13"/>
      <c r="F480" s="13"/>
      <c r="G480" s="13" t="s">
        <v>13</v>
      </c>
      <c r="H480" s="13" t="str">
        <f>_xlfn.XLOOKUP(J480,'Master Data 14-9-2026'!C:C,'Master Data 14-9-2026'!H:H)</f>
        <v>2026-06-25 - 2026-07-24</v>
      </c>
      <c r="I480" s="13" t="str">
        <f t="shared" si="7"/>
        <v>June</v>
      </c>
      <c r="J480" s="13" t="s">
        <v>1718</v>
      </c>
      <c r="K480" s="13" t="s">
        <v>1004</v>
      </c>
      <c r="L480" s="13" t="s">
        <v>441</v>
      </c>
      <c r="M480" s="15">
        <v>200003188241020</v>
      </c>
      <c r="N480" s="13" t="s">
        <v>924</v>
      </c>
      <c r="O480" s="13">
        <v>1.09120260710002E+17</v>
      </c>
      <c r="P480" s="13" t="s">
        <v>1598</v>
      </c>
      <c r="Q480" s="18">
        <v>110</v>
      </c>
      <c r="R480" s="18">
        <v>1</v>
      </c>
      <c r="S480" s="13">
        <v>8828132634</v>
      </c>
      <c r="T480" s="13" t="s">
        <v>978</v>
      </c>
      <c r="U480" s="19">
        <v>32542400</v>
      </c>
      <c r="V480" s="18">
        <v>1</v>
      </c>
      <c r="W480" s="18">
        <f>_xlfn.XLOOKUP(J480,'Master Data 14-9-2026'!C:C,'Master Data 14-9-2026'!L:L)</f>
        <v>0.5</v>
      </c>
      <c r="X480" s="23">
        <v>32542400</v>
      </c>
      <c r="Y480" s="13" t="s">
        <v>1599</v>
      </c>
      <c r="Z480" s="24" t="str">
        <f>_xlfn.XLOOKUP(J480,'Master Data 14-9-2026'!C:C,'Master Data 14-9-2026'!I:I)</f>
        <v>Ended</v>
      </c>
      <c r="AA480" s="4" t="s">
        <v>1288</v>
      </c>
      <c r="AB480" s="13" t="s">
        <v>1289</v>
      </c>
      <c r="AC480" s="13"/>
      <c r="AD480" s="13"/>
      <c r="AE480" s="13" t="str">
        <f>_xlfn.XLOOKUP(L480,'[1]ID PROJECT'!E:E,'[1]ID PROJECT'!F:F)</f>
        <v xml:space="preserve">PRJ-KUT-KPU-TPED-2026-04-00071 </v>
      </c>
      <c r="AF480" s="13"/>
      <c r="AG480" s="13"/>
      <c r="AH480" s="65"/>
      <c r="AI480" s="27"/>
    </row>
    <row r="481" spans="1:35" hidden="1">
      <c r="A481" s="13" t="s">
        <v>648</v>
      </c>
      <c r="B481" s="13" t="str">
        <f>_xlfn.XLOOKUP(J481,'Master Data 14-9-2026'!C:C,'Master Data 14-9-2026'!D:D)</f>
        <v>Aditya WX1530248</v>
      </c>
      <c r="C481" s="13"/>
      <c r="D481" s="13" t="str">
        <f>_xlfn.XLOOKUP(J481,'Master Data 14-9-2026'!C:C,'Master Data 14-9-2026'!E:E)</f>
        <v>XLSMART</v>
      </c>
      <c r="E481" s="13"/>
      <c r="F481" s="13"/>
      <c r="G481" s="13" t="s">
        <v>13</v>
      </c>
      <c r="H481" s="13" t="str">
        <f>_xlfn.XLOOKUP(J481,'Master Data 14-9-2026'!C:C,'Master Data 14-9-2026'!H:H)</f>
        <v>2026-06-25 - 2026-07-24</v>
      </c>
      <c r="I481" s="13" t="str">
        <f t="shared" si="7"/>
        <v>June</v>
      </c>
      <c r="J481" s="13" t="s">
        <v>1719</v>
      </c>
      <c r="K481" s="13" t="s">
        <v>1004</v>
      </c>
      <c r="L481" s="13" t="s">
        <v>441</v>
      </c>
      <c r="M481" s="15">
        <v>200003188242020</v>
      </c>
      <c r="N481" s="13" t="s">
        <v>924</v>
      </c>
      <c r="O481" s="13">
        <v>1.09120260710002E+17</v>
      </c>
      <c r="P481" s="13" t="s">
        <v>1598</v>
      </c>
      <c r="Q481" s="18">
        <v>111</v>
      </c>
      <c r="R481" s="18">
        <v>1</v>
      </c>
      <c r="S481" s="13">
        <v>8828132634</v>
      </c>
      <c r="T481" s="13" t="s">
        <v>978</v>
      </c>
      <c r="U481" s="19">
        <v>32542400</v>
      </c>
      <c r="V481" s="18">
        <v>1</v>
      </c>
      <c r="W481" s="18">
        <f>_xlfn.XLOOKUP(J481,'Master Data 14-9-2026'!C:C,'Master Data 14-9-2026'!L:L)</f>
        <v>0.5</v>
      </c>
      <c r="X481" s="23">
        <v>32542400</v>
      </c>
      <c r="Y481" s="13" t="s">
        <v>1599</v>
      </c>
      <c r="Z481" s="24" t="str">
        <f>_xlfn.XLOOKUP(J481,'Master Data 14-9-2026'!C:C,'Master Data 14-9-2026'!I:I)</f>
        <v>Ended</v>
      </c>
      <c r="AA481" s="4" t="s">
        <v>1288</v>
      </c>
      <c r="AB481" s="13" t="s">
        <v>1289</v>
      </c>
      <c r="AC481" s="13"/>
      <c r="AD481" s="13"/>
      <c r="AE481" s="13" t="str">
        <f>_xlfn.XLOOKUP(L481,'[1]ID PROJECT'!E:E,'[1]ID PROJECT'!F:F)</f>
        <v xml:space="preserve">PRJ-KUT-KPU-TPED-2026-04-00071 </v>
      </c>
      <c r="AF481" s="13"/>
      <c r="AG481" s="13"/>
      <c r="AH481" s="65"/>
      <c r="AI481" s="27"/>
    </row>
    <row r="482" spans="1:35" hidden="1">
      <c r="A482" s="13" t="s">
        <v>637</v>
      </c>
      <c r="B482" s="13" t="str">
        <f>_xlfn.XLOOKUP(J482,'Master Data 14-9-2026'!C:C,'Master Data 14-9-2026'!D:D)</f>
        <v>Cahyo Nirwono Agung WX1530245</v>
      </c>
      <c r="C482" s="13"/>
      <c r="D482" s="13" t="str">
        <f>_xlfn.XLOOKUP(J482,'Master Data 14-9-2026'!C:C,'Master Data 14-9-2026'!E:E)</f>
        <v>XLSMART</v>
      </c>
      <c r="E482" s="13"/>
      <c r="F482" s="13"/>
      <c r="G482" s="13" t="s">
        <v>13</v>
      </c>
      <c r="H482" s="13" t="str">
        <f>_xlfn.XLOOKUP(J482,'Master Data 14-9-2026'!C:C,'Master Data 14-9-2026'!H:H)</f>
        <v>2026-06-26 - 2026-07-25</v>
      </c>
      <c r="I482" s="13" t="str">
        <f t="shared" si="7"/>
        <v>June</v>
      </c>
      <c r="J482" s="13" t="s">
        <v>1720</v>
      </c>
      <c r="K482" s="13" t="s">
        <v>1004</v>
      </c>
      <c r="L482" s="13" t="s">
        <v>441</v>
      </c>
      <c r="M482" s="15">
        <v>200003188243020</v>
      </c>
      <c r="N482" s="13" t="s">
        <v>924</v>
      </c>
      <c r="O482" s="13">
        <v>1.09120260710002E+17</v>
      </c>
      <c r="P482" s="13" t="s">
        <v>1598</v>
      </c>
      <c r="Q482" s="18">
        <v>112</v>
      </c>
      <c r="R482" s="18">
        <v>1</v>
      </c>
      <c r="S482" s="13">
        <v>8828132634</v>
      </c>
      <c r="T482" s="13" t="s">
        <v>978</v>
      </c>
      <c r="U482" s="19">
        <v>32542400</v>
      </c>
      <c r="V482" s="18">
        <v>1</v>
      </c>
      <c r="W482" s="18">
        <f>_xlfn.XLOOKUP(J482,'Master Data 14-9-2026'!C:C,'Master Data 14-9-2026'!L:L)</f>
        <v>0.5</v>
      </c>
      <c r="X482" s="23">
        <v>32542400</v>
      </c>
      <c r="Y482" s="13" t="s">
        <v>1599</v>
      </c>
      <c r="Z482" s="24" t="str">
        <f>_xlfn.XLOOKUP(J482,'Master Data 14-9-2026'!C:C,'Master Data 14-9-2026'!I:I)</f>
        <v>Ended</v>
      </c>
      <c r="AA482" s="4" t="s">
        <v>1288</v>
      </c>
      <c r="AB482" s="13" t="s">
        <v>1289</v>
      </c>
      <c r="AC482" s="13"/>
      <c r="AD482" s="13"/>
      <c r="AE482" s="13" t="str">
        <f>_xlfn.XLOOKUP(L482,'[1]ID PROJECT'!E:E,'[1]ID PROJECT'!F:F)</f>
        <v xml:space="preserve">PRJ-KUT-KPU-TPED-2026-04-00071 </v>
      </c>
      <c r="AF482" s="13"/>
      <c r="AG482" s="13"/>
      <c r="AH482" s="65"/>
      <c r="AI482" s="27"/>
    </row>
    <row r="483" spans="1:35" hidden="1">
      <c r="A483" s="13" t="s">
        <v>583</v>
      </c>
      <c r="B483" s="13" t="str">
        <f>_xlfn.XLOOKUP(J483,'Master Data 14-9-2026'!C:C,'Master Data 14-9-2026'!D:D)</f>
        <v>Jepri Hamonangan Saragih wx1504646</v>
      </c>
      <c r="C483" s="13"/>
      <c r="D483" s="13" t="str">
        <f>_xlfn.XLOOKUP(J483,'Master Data 14-9-2026'!C:C,'Master Data 14-9-2026'!E:E)</f>
        <v>XLSMART</v>
      </c>
      <c r="E483" s="13"/>
      <c r="F483" s="13"/>
      <c r="G483" s="13" t="s">
        <v>25</v>
      </c>
      <c r="H483" s="13" t="str">
        <f>_xlfn.XLOOKUP(J483,'Master Data 14-9-2026'!C:C,'Master Data 14-9-2026'!H:H)</f>
        <v>2026-06-23 - 2026-07-22</v>
      </c>
      <c r="I483" s="13" t="str">
        <f t="shared" si="7"/>
        <v>June</v>
      </c>
      <c r="J483" s="13" t="s">
        <v>1721</v>
      </c>
      <c r="K483" s="13" t="s">
        <v>1004</v>
      </c>
      <c r="L483" s="13" t="s">
        <v>461</v>
      </c>
      <c r="M483" s="15">
        <v>200003135931020</v>
      </c>
      <c r="N483" s="13" t="s">
        <v>924</v>
      </c>
      <c r="O483" s="13">
        <v>1.09120260710002E+17</v>
      </c>
      <c r="P483" s="13" t="s">
        <v>1598</v>
      </c>
      <c r="Q483" s="18">
        <v>113</v>
      </c>
      <c r="R483" s="18">
        <v>1</v>
      </c>
      <c r="S483" s="13">
        <v>8828132634</v>
      </c>
      <c r="T483" s="13" t="s">
        <v>978</v>
      </c>
      <c r="U483" s="19">
        <v>32542400</v>
      </c>
      <c r="V483" s="18">
        <v>1</v>
      </c>
      <c r="W483" s="18">
        <f>_xlfn.XLOOKUP(J483,'Master Data 14-9-2026'!C:C,'Master Data 14-9-2026'!L:L)</f>
        <v>0</v>
      </c>
      <c r="X483" s="23">
        <v>32542400</v>
      </c>
      <c r="Y483" s="13" t="s">
        <v>1599</v>
      </c>
      <c r="Z483" s="24" t="str">
        <f>_xlfn.XLOOKUP(J483,'Master Data 14-9-2026'!C:C,'Master Data 14-9-2026'!I:I)</f>
        <v>Ended</v>
      </c>
      <c r="AA483" s="4" t="s">
        <v>1288</v>
      </c>
      <c r="AB483" s="40" t="s">
        <v>44</v>
      </c>
      <c r="AC483" s="13"/>
      <c r="AD483" s="13"/>
      <c r="AE483" s="13" t="str">
        <f>_xlfn.XLOOKUP(L483,'[1]ID PROJECT'!E:E,'[1]ID PROJECT'!F:F)</f>
        <v>PRJ-KUT-KPU-TPED-2026-04-00078</v>
      </c>
      <c r="AF483" s="13"/>
      <c r="AG483" s="13"/>
      <c r="AH483" s="65"/>
      <c r="AI483" s="27"/>
    </row>
    <row r="484" spans="1:35" hidden="1">
      <c r="A484" s="13" t="s">
        <v>603</v>
      </c>
      <c r="B484" s="13" t="str">
        <f>_xlfn.XLOOKUP(J484,'Master Data 14-9-2026'!C:C,'Master Data 14-9-2026'!D:D)</f>
        <v>Anggie Bayu Setyawan wx1503644</v>
      </c>
      <c r="C484" s="13"/>
      <c r="D484" s="13" t="str">
        <f>_xlfn.XLOOKUP(J484,'Master Data 14-9-2026'!C:C,'Master Data 14-9-2026'!E:E)</f>
        <v>XLSMART</v>
      </c>
      <c r="E484" s="13"/>
      <c r="F484" s="13"/>
      <c r="G484" s="13" t="s">
        <v>25</v>
      </c>
      <c r="H484" s="13" t="str">
        <f>_xlfn.XLOOKUP(J484,'Master Data 14-9-2026'!C:C,'Master Data 14-9-2026'!H:H)</f>
        <v>2026-06-23 - 2026-07-17</v>
      </c>
      <c r="I484" s="13" t="str">
        <f t="shared" si="7"/>
        <v>June</v>
      </c>
      <c r="J484" s="13" t="s">
        <v>1722</v>
      </c>
      <c r="K484" s="13" t="s">
        <v>1004</v>
      </c>
      <c r="L484" s="13" t="s">
        <v>520</v>
      </c>
      <c r="M484" s="15">
        <v>200003135932020</v>
      </c>
      <c r="N484" s="13" t="s">
        <v>924</v>
      </c>
      <c r="O484" s="13">
        <v>1.09120260710002E+17</v>
      </c>
      <c r="P484" s="13" t="s">
        <v>1598</v>
      </c>
      <c r="Q484" s="18">
        <v>114</v>
      </c>
      <c r="R484" s="18">
        <v>1</v>
      </c>
      <c r="S484" s="13">
        <v>8828132634</v>
      </c>
      <c r="T484" s="13" t="s">
        <v>978</v>
      </c>
      <c r="U484" s="19">
        <v>32542400</v>
      </c>
      <c r="V484" s="18">
        <v>1</v>
      </c>
      <c r="W484" s="18">
        <f>_xlfn.XLOOKUP(J484,'Master Data 14-9-2026'!C:C,'Master Data 14-9-2026'!L:L)</f>
        <v>0</v>
      </c>
      <c r="X484" s="23">
        <v>32542400</v>
      </c>
      <c r="Y484" s="13" t="s">
        <v>1599</v>
      </c>
      <c r="Z484" s="24" t="str">
        <f>_xlfn.XLOOKUP(J484,'Master Data 14-9-2026'!C:C,'Master Data 14-9-2026'!I:I)</f>
        <v>Ended</v>
      </c>
      <c r="AB484" s="13" t="s">
        <v>1149</v>
      </c>
      <c r="AC484" s="13"/>
      <c r="AD484" s="13"/>
      <c r="AE484" s="13" t="str">
        <f>_xlfn.XLOOKUP(L484,'[1]ID PROJECT'!E:E,'[1]ID PROJECT'!F:F)</f>
        <v>PRJ-KUT-KPU-TPED-2026-04-00077</v>
      </c>
      <c r="AF484" s="13"/>
      <c r="AG484" s="13"/>
      <c r="AH484" s="65"/>
      <c r="AI484" s="27"/>
    </row>
    <row r="485" spans="1:35" hidden="1">
      <c r="A485" s="13" t="s">
        <v>702</v>
      </c>
      <c r="B485" s="13" t="str">
        <f>_xlfn.XLOOKUP(J485,'Master Data 14-9-2026'!C:C,'Master Data 14-9-2026'!D:D)</f>
        <v>I Nyoman Satriya Wibawa wx1503651</v>
      </c>
      <c r="C485" s="13"/>
      <c r="D485" s="13" t="str">
        <f>_xlfn.XLOOKUP(J485,'Master Data 14-9-2026'!C:C,'Master Data 14-9-2026'!E:E)</f>
        <v>IOH</v>
      </c>
      <c r="E485" s="13"/>
      <c r="F485" s="13"/>
      <c r="G485" s="13" t="s">
        <v>25</v>
      </c>
      <c r="H485" s="13" t="str">
        <f>_xlfn.XLOOKUP(J485,'Master Data 14-9-2026'!C:C,'Master Data 14-9-2026'!H:H)</f>
        <v>2026-06-30 - 2026-07-29</v>
      </c>
      <c r="I485" s="13" t="str">
        <f t="shared" si="7"/>
        <v>June</v>
      </c>
      <c r="J485" s="13" t="s">
        <v>1723</v>
      </c>
      <c r="K485" s="13" t="s">
        <v>1004</v>
      </c>
      <c r="L485" s="13" t="s">
        <v>520</v>
      </c>
      <c r="M485" s="15">
        <v>200003135933020</v>
      </c>
      <c r="N485" s="13" t="s">
        <v>924</v>
      </c>
      <c r="O485" s="13">
        <v>1.09120260710002E+17</v>
      </c>
      <c r="P485" s="13" t="s">
        <v>1598</v>
      </c>
      <c r="Q485" s="18">
        <v>115</v>
      </c>
      <c r="R485" s="18">
        <v>1</v>
      </c>
      <c r="S485" s="13">
        <v>8828132634</v>
      </c>
      <c r="T485" s="13" t="s">
        <v>978</v>
      </c>
      <c r="U485" s="19">
        <v>32542400</v>
      </c>
      <c r="V485" s="18">
        <v>1</v>
      </c>
      <c r="W485" s="18">
        <f>_xlfn.XLOOKUP(J485,'Master Data 14-9-2026'!C:C,'Master Data 14-9-2026'!L:L)</f>
        <v>0</v>
      </c>
      <c r="X485" s="23">
        <v>32542400</v>
      </c>
      <c r="Y485" s="13" t="s">
        <v>1599</v>
      </c>
      <c r="Z485" s="24" t="str">
        <f>_xlfn.XLOOKUP(J485,'Master Data 14-9-2026'!C:C,'Master Data 14-9-2026'!I:I)</f>
        <v>Ended</v>
      </c>
      <c r="AA485" s="4" t="s">
        <v>1288</v>
      </c>
      <c r="AB485" s="40" t="s">
        <v>44</v>
      </c>
      <c r="AC485" s="13"/>
      <c r="AD485" s="13"/>
      <c r="AE485" s="13" t="str">
        <f>_xlfn.XLOOKUP(L485,'[1]ID PROJECT'!E:E,'[1]ID PROJECT'!F:F)</f>
        <v>PRJ-KUT-KPU-TPED-2026-04-00077</v>
      </c>
      <c r="AF485" s="13"/>
      <c r="AG485" s="13"/>
      <c r="AH485" s="65"/>
      <c r="AI485" s="27"/>
    </row>
    <row r="486" spans="1:35" hidden="1">
      <c r="A486" s="13" t="s">
        <v>577</v>
      </c>
      <c r="B486" s="13" t="str">
        <f>_xlfn.XLOOKUP(J486,'Master Data 14-9-2026'!C:C,'Master Data 14-9-2026'!D:D)</f>
        <v>Ferry Anggriawan wx1503648</v>
      </c>
      <c r="C486" s="13"/>
      <c r="D486" s="13" t="str">
        <f>_xlfn.XLOOKUP(J486,'Master Data 14-9-2026'!C:C,'Master Data 14-9-2026'!E:E)</f>
        <v>XLSMART</v>
      </c>
      <c r="E486" s="13"/>
      <c r="F486" s="13"/>
      <c r="G486" s="13" t="s">
        <v>25</v>
      </c>
      <c r="H486" s="13" t="str">
        <f>_xlfn.XLOOKUP(J486,'Master Data 14-9-2026'!C:C,'Master Data 14-9-2026'!H:H)</f>
        <v>2026-06-30 - 2026-07-30</v>
      </c>
      <c r="I486" s="13" t="str">
        <f t="shared" si="7"/>
        <v>June</v>
      </c>
      <c r="J486" s="13" t="s">
        <v>1724</v>
      </c>
      <c r="K486" s="13" t="s">
        <v>1004</v>
      </c>
      <c r="L486" s="13" t="s">
        <v>520</v>
      </c>
      <c r="M486" s="15">
        <v>200003135934020</v>
      </c>
      <c r="N486" s="13" t="s">
        <v>924</v>
      </c>
      <c r="O486" s="13">
        <v>1.09120260710002E+17</v>
      </c>
      <c r="P486" s="13" t="s">
        <v>1598</v>
      </c>
      <c r="Q486" s="18">
        <v>116</v>
      </c>
      <c r="R486" s="18">
        <v>1</v>
      </c>
      <c r="S486" s="13">
        <v>8828132634</v>
      </c>
      <c r="T486" s="13" t="s">
        <v>978</v>
      </c>
      <c r="U486" s="19">
        <v>32542400</v>
      </c>
      <c r="V486" s="18">
        <v>1</v>
      </c>
      <c r="W486" s="18">
        <f>_xlfn.XLOOKUP(J486,'Master Data 14-9-2026'!C:C,'Master Data 14-9-2026'!L:L)</f>
        <v>0</v>
      </c>
      <c r="X486" s="23">
        <v>32542400</v>
      </c>
      <c r="Y486" s="13" t="s">
        <v>1599</v>
      </c>
      <c r="Z486" s="24" t="str">
        <f>_xlfn.XLOOKUP(J486,'Master Data 14-9-2026'!C:C,'Master Data 14-9-2026'!I:I)</f>
        <v>Ended</v>
      </c>
      <c r="AA486" s="4" t="s">
        <v>1288</v>
      </c>
      <c r="AB486" s="40" t="s">
        <v>44</v>
      </c>
      <c r="AC486" s="13"/>
      <c r="AD486" s="13"/>
      <c r="AE486" s="13" t="str">
        <f>_xlfn.XLOOKUP(L486,'[1]ID PROJECT'!E:E,'[1]ID PROJECT'!F:F)</f>
        <v>PRJ-KUT-KPU-TPED-2026-04-00077</v>
      </c>
      <c r="AF486" s="13"/>
      <c r="AG486" s="13"/>
      <c r="AH486" s="65"/>
      <c r="AI486" s="27"/>
    </row>
    <row r="487" spans="1:35" hidden="1">
      <c r="A487" s="13" t="s">
        <v>617</v>
      </c>
      <c r="B487" s="13" t="str">
        <f>_xlfn.XLOOKUP(J487,'Master Data 14-9-2026'!C:C,'Master Data 14-9-2026'!D:D)</f>
        <v>Eko Syambudi Deviyanto wx1507285</v>
      </c>
      <c r="C487" s="13"/>
      <c r="D487" s="13" t="str">
        <f>_xlfn.XLOOKUP(J487,'Master Data 14-9-2026'!C:C,'Master Data 14-9-2026'!E:E)</f>
        <v>XL-FTTH</v>
      </c>
      <c r="E487" s="13"/>
      <c r="F487" s="13"/>
      <c r="G487" s="13" t="s">
        <v>25</v>
      </c>
      <c r="H487" s="13" t="str">
        <f>_xlfn.XLOOKUP(J487,'Master Data 14-9-2026'!C:C,'Master Data 14-9-2026'!H:H)</f>
        <v>2026-07-01 - 2026-07-31</v>
      </c>
      <c r="I487" s="13" t="str">
        <f t="shared" si="7"/>
        <v>July</v>
      </c>
      <c r="J487" s="13" t="s">
        <v>1725</v>
      </c>
      <c r="K487" s="13" t="s">
        <v>1004</v>
      </c>
      <c r="L487" s="13" t="s">
        <v>441</v>
      </c>
      <c r="M487" s="15">
        <v>200003135935020</v>
      </c>
      <c r="N487" s="13" t="s">
        <v>924</v>
      </c>
      <c r="O487" s="13">
        <v>1.09120260710002E+17</v>
      </c>
      <c r="P487" s="13" t="s">
        <v>1598</v>
      </c>
      <c r="Q487" s="18">
        <v>117</v>
      </c>
      <c r="R487" s="18">
        <v>1</v>
      </c>
      <c r="S487" s="13">
        <v>8828132634</v>
      </c>
      <c r="T487" s="13" t="s">
        <v>978</v>
      </c>
      <c r="U487" s="19">
        <v>32542400</v>
      </c>
      <c r="V487" s="18">
        <v>1</v>
      </c>
      <c r="W487" s="18">
        <f>_xlfn.XLOOKUP(J487,'Master Data 14-9-2026'!C:C,'Master Data 14-9-2026'!L:L)</f>
        <v>0</v>
      </c>
      <c r="X487" s="23">
        <v>32542400</v>
      </c>
      <c r="Y487" s="13" t="s">
        <v>1599</v>
      </c>
      <c r="Z487" s="24" t="s">
        <v>15</v>
      </c>
      <c r="AA487" s="4" t="s">
        <v>1288</v>
      </c>
      <c r="AB487" s="40" t="s">
        <v>44</v>
      </c>
      <c r="AC487" s="13"/>
      <c r="AD487" s="13"/>
      <c r="AE487" s="13" t="str">
        <f>_xlfn.XLOOKUP(L487,'[1]ID PROJECT'!E:E,'[1]ID PROJECT'!F:F)</f>
        <v xml:space="preserve">PRJ-KUT-KPU-TPED-2026-04-00071 </v>
      </c>
      <c r="AF487" s="13"/>
      <c r="AG487" s="13"/>
      <c r="AH487" s="65"/>
      <c r="AI487" s="27"/>
    </row>
    <row r="488" spans="1:35" hidden="1">
      <c r="A488" s="13" t="s">
        <v>286</v>
      </c>
      <c r="B488" s="13" t="str">
        <f>_xlfn.XLOOKUP(J488,'Master Data 14-9-2026'!C:C,'Master Data 14-9-2026'!D:D)</f>
        <v>Rifan Azkia wx1504665</v>
      </c>
      <c r="C488" s="13"/>
      <c r="D488" s="13" t="str">
        <f>_xlfn.XLOOKUP(J488,'Master Data 14-9-2026'!C:C,'Master Data 14-9-2026'!E:E)</f>
        <v>XLSMART</v>
      </c>
      <c r="E488" s="13"/>
      <c r="F488" s="13"/>
      <c r="G488" s="13" t="s">
        <v>28</v>
      </c>
      <c r="H488" s="13" t="str">
        <f>_xlfn.XLOOKUP(J488,'Master Data 14-9-2026'!C:C,'Master Data 14-9-2026'!H:H)</f>
        <v>2026-07-23 - 2026-08-22</v>
      </c>
      <c r="I488" s="13" t="str">
        <f t="shared" si="7"/>
        <v>July</v>
      </c>
      <c r="J488" s="13" t="s">
        <v>1726</v>
      </c>
      <c r="K488" s="13" t="s">
        <v>1004</v>
      </c>
      <c r="L488" s="13" t="s">
        <v>441</v>
      </c>
      <c r="M488" s="15">
        <v>200003135936020</v>
      </c>
      <c r="N488" s="13" t="s">
        <v>924</v>
      </c>
      <c r="O488" s="13">
        <v>1.09120260710002E+17</v>
      </c>
      <c r="P488" s="13" t="s">
        <v>1598</v>
      </c>
      <c r="Q488" s="18">
        <v>118</v>
      </c>
      <c r="R488" s="18">
        <v>1</v>
      </c>
      <c r="S488" s="13">
        <v>8828132633</v>
      </c>
      <c r="T488" s="13" t="s">
        <v>951</v>
      </c>
      <c r="U488" s="19">
        <v>28881900</v>
      </c>
      <c r="V488" s="18">
        <v>1</v>
      </c>
      <c r="W488" s="18">
        <f>_xlfn.XLOOKUP(J488,'Master Data 14-9-2026'!C:C,'Master Data 14-9-2026'!L:L)</f>
        <v>0</v>
      </c>
      <c r="X488" s="23">
        <v>28881900</v>
      </c>
      <c r="Y488" s="13" t="s">
        <v>1599</v>
      </c>
      <c r="Z488" s="24" t="s">
        <v>984</v>
      </c>
      <c r="AA488" s="4" t="s">
        <v>1288</v>
      </c>
      <c r="AB488" s="40" t="s">
        <v>44</v>
      </c>
      <c r="AC488" s="13"/>
      <c r="AD488" s="13"/>
      <c r="AE488" s="13" t="str">
        <f>_xlfn.XLOOKUP(L488,'[1]ID PROJECT'!E:E,'[1]ID PROJECT'!F:F)</f>
        <v xml:space="preserve">PRJ-KUT-KPU-TPED-2026-04-00071 </v>
      </c>
      <c r="AF488" s="13"/>
      <c r="AG488" s="13"/>
      <c r="AH488" s="65"/>
      <c r="AI488" s="27"/>
    </row>
    <row r="489" spans="1:35" hidden="1">
      <c r="A489" s="13" t="s">
        <v>388</v>
      </c>
      <c r="B489" s="13" t="str">
        <f>_xlfn.XLOOKUP(J489,'Master Data 14-9-2026'!C:C,'Master Data 14-9-2026'!D:D)</f>
        <v>Devi Dyah Palupi wx1503645</v>
      </c>
      <c r="C489" s="13"/>
      <c r="D489" s="13" t="str">
        <f>_xlfn.XLOOKUP(J489,'Master Data 14-9-2026'!C:C,'Master Data 14-9-2026'!E:E)</f>
        <v>IOH</v>
      </c>
      <c r="E489" s="13"/>
      <c r="F489" s="13"/>
      <c r="G489" s="13" t="s">
        <v>28</v>
      </c>
      <c r="H489" s="13" t="str">
        <f>_xlfn.XLOOKUP(J489,'Master Data 14-9-2026'!C:C,'Master Data 14-9-2026'!H:H)</f>
        <v>2026-07-23 - 2026-08-22</v>
      </c>
      <c r="I489" s="13" t="str">
        <f t="shared" si="7"/>
        <v>July</v>
      </c>
      <c r="J489" s="13" t="s">
        <v>1727</v>
      </c>
      <c r="K489" s="13" t="s">
        <v>1004</v>
      </c>
      <c r="L489" s="13" t="s">
        <v>441</v>
      </c>
      <c r="M489" s="15">
        <v>200003135937020</v>
      </c>
      <c r="N489" s="13" t="s">
        <v>924</v>
      </c>
      <c r="O489" s="13">
        <v>1.09120260710002E+17</v>
      </c>
      <c r="P489" s="13" t="s">
        <v>1598</v>
      </c>
      <c r="Q489" s="18">
        <v>119</v>
      </c>
      <c r="R489" s="18">
        <v>1</v>
      </c>
      <c r="S489" s="13">
        <v>8828132633</v>
      </c>
      <c r="T489" s="13" t="s">
        <v>951</v>
      </c>
      <c r="U489" s="19">
        <v>28881900</v>
      </c>
      <c r="V489" s="18">
        <v>1</v>
      </c>
      <c r="W489" s="18">
        <f>_xlfn.XLOOKUP(J489,'Master Data 14-9-2026'!C:C,'Master Data 14-9-2026'!L:L)</f>
        <v>1.5</v>
      </c>
      <c r="X489" s="23">
        <v>28881900</v>
      </c>
      <c r="Y489" s="13" t="s">
        <v>1599</v>
      </c>
      <c r="Z489" s="24" t="s">
        <v>984</v>
      </c>
      <c r="AA489" s="4" t="s">
        <v>1288</v>
      </c>
      <c r="AB489" s="13"/>
      <c r="AC489" s="13"/>
      <c r="AD489" s="13"/>
      <c r="AE489" s="13" t="str">
        <f>_xlfn.XLOOKUP(L489,'[1]ID PROJECT'!E:E,'[1]ID PROJECT'!F:F)</f>
        <v xml:space="preserve">PRJ-KUT-KPU-TPED-2026-04-00071 </v>
      </c>
      <c r="AF489" s="13"/>
      <c r="AG489" s="13"/>
      <c r="AH489" s="65"/>
      <c r="AI489" s="27"/>
    </row>
    <row r="490" spans="1:35" hidden="1">
      <c r="A490" s="13" t="s">
        <v>633</v>
      </c>
      <c r="B490" s="13" t="str">
        <f>_xlfn.XLOOKUP(J490,'Master Data 14-9-2026'!C:C,'Master Data 14-9-2026'!D:D)</f>
        <v>Gigih Hadi WX1530065</v>
      </c>
      <c r="C490" s="13"/>
      <c r="D490" s="13" t="str">
        <f>_xlfn.XLOOKUP(J490,'Master Data 14-9-2026'!C:C,'Master Data 14-9-2026'!E:E)</f>
        <v>XLSMART</v>
      </c>
      <c r="E490" s="13"/>
      <c r="F490" s="13"/>
      <c r="G490" s="13" t="s">
        <v>13</v>
      </c>
      <c r="H490" s="13" t="str">
        <f>_xlfn.XLOOKUP(J490,'Master Data 14-9-2026'!C:C,'Master Data 14-9-2026'!H:H)</f>
        <v>2026-06-26 - 2026-07-25</v>
      </c>
      <c r="I490" s="13" t="str">
        <f t="shared" si="7"/>
        <v>June</v>
      </c>
      <c r="J490" s="13" t="s">
        <v>1728</v>
      </c>
      <c r="K490" s="13" t="s">
        <v>1004</v>
      </c>
      <c r="L490" s="13" t="s">
        <v>441</v>
      </c>
      <c r="M490" s="15">
        <v>200003188244020</v>
      </c>
      <c r="N490" s="13" t="s">
        <v>924</v>
      </c>
      <c r="O490" s="13">
        <v>1.09120260710002E+17</v>
      </c>
      <c r="P490" s="13" t="s">
        <v>1598</v>
      </c>
      <c r="Q490" s="18">
        <v>120</v>
      </c>
      <c r="R490" s="18">
        <v>1</v>
      </c>
      <c r="S490" s="13">
        <v>8828132634</v>
      </c>
      <c r="T490" s="13" t="s">
        <v>978</v>
      </c>
      <c r="U490" s="19">
        <v>32542400</v>
      </c>
      <c r="V490" s="18">
        <v>1</v>
      </c>
      <c r="W490" s="18">
        <f>_xlfn.XLOOKUP(J490,'Master Data 14-9-2026'!C:C,'Master Data 14-9-2026'!L:L)</f>
        <v>0</v>
      </c>
      <c r="X490" s="23">
        <v>32542400</v>
      </c>
      <c r="Y490" s="13" t="s">
        <v>1599</v>
      </c>
      <c r="Z490" s="24" t="str">
        <f>_xlfn.XLOOKUP(J490,'Master Data 14-9-2026'!C:C,'Master Data 14-9-2026'!I:I)</f>
        <v>Ended</v>
      </c>
      <c r="AA490" s="4" t="s">
        <v>1288</v>
      </c>
      <c r="AB490" s="40" t="s">
        <v>44</v>
      </c>
      <c r="AC490" s="13"/>
      <c r="AD490" s="13"/>
      <c r="AE490" s="13" t="str">
        <f>_xlfn.XLOOKUP(L490,'[1]ID PROJECT'!E:E,'[1]ID PROJECT'!F:F)</f>
        <v xml:space="preserve">PRJ-KUT-KPU-TPED-2026-04-00071 </v>
      </c>
      <c r="AF490" s="13"/>
      <c r="AG490" s="13"/>
      <c r="AH490" s="65"/>
      <c r="AI490" s="27"/>
    </row>
    <row r="491" spans="1:35" hidden="1">
      <c r="A491" s="13" t="s">
        <v>623</v>
      </c>
      <c r="B491" s="13" t="str">
        <f>_xlfn.XLOOKUP(J491,'Master Data 14-9-2026'!C:C,'Master Data 14-9-2026'!D:D)</f>
        <v>Teguh Imam Setiawan WX1530243</v>
      </c>
      <c r="C491" s="13"/>
      <c r="D491" s="13" t="str">
        <f>_xlfn.XLOOKUP(J491,'Master Data 14-9-2026'!C:C,'Master Data 14-9-2026'!E:E)</f>
        <v>XLSMART</v>
      </c>
      <c r="E491" s="13"/>
      <c r="F491" s="13"/>
      <c r="G491" s="13" t="s">
        <v>13</v>
      </c>
      <c r="H491" s="13" t="str">
        <f>_xlfn.XLOOKUP(J491,'Master Data 14-9-2026'!C:C,'Master Data 14-9-2026'!H:H)</f>
        <v>2026-06-29 - 2026-07-28</v>
      </c>
      <c r="I491" s="13" t="str">
        <f t="shared" si="7"/>
        <v>June</v>
      </c>
      <c r="J491" s="13" t="s">
        <v>1729</v>
      </c>
      <c r="K491" s="13" t="s">
        <v>1004</v>
      </c>
      <c r="L491" s="13" t="s">
        <v>441</v>
      </c>
      <c r="M491" s="15">
        <v>200003188245020</v>
      </c>
      <c r="N491" s="13" t="s">
        <v>924</v>
      </c>
      <c r="O491" s="13">
        <v>1.09120260710002E+17</v>
      </c>
      <c r="P491" s="13" t="s">
        <v>1598</v>
      </c>
      <c r="Q491" s="18">
        <v>121</v>
      </c>
      <c r="R491" s="18">
        <v>1</v>
      </c>
      <c r="S491" s="13">
        <v>8828132634</v>
      </c>
      <c r="T491" s="13" t="s">
        <v>978</v>
      </c>
      <c r="U491" s="19">
        <v>32542400</v>
      </c>
      <c r="V491" s="18">
        <v>1</v>
      </c>
      <c r="W491" s="18">
        <f>_xlfn.XLOOKUP(J491,'Master Data 14-9-2026'!C:C,'Master Data 14-9-2026'!L:L)</f>
        <v>0.5</v>
      </c>
      <c r="X491" s="23">
        <v>32542400</v>
      </c>
      <c r="Y491" s="13" t="s">
        <v>1599</v>
      </c>
      <c r="Z491" s="24" t="str">
        <f>_xlfn.XLOOKUP(J491,'Master Data 14-9-2026'!C:C,'Master Data 14-9-2026'!I:I)</f>
        <v>Ended</v>
      </c>
      <c r="AA491" s="4" t="s">
        <v>1288</v>
      </c>
      <c r="AB491" s="13" t="s">
        <v>1289</v>
      </c>
      <c r="AC491" s="13"/>
      <c r="AD491" s="13"/>
      <c r="AE491" s="13" t="str">
        <f>_xlfn.XLOOKUP(L491,'[1]ID PROJECT'!E:E,'[1]ID PROJECT'!F:F)</f>
        <v xml:space="preserve">PRJ-KUT-KPU-TPED-2026-04-00071 </v>
      </c>
      <c r="AF491" s="13"/>
      <c r="AG491" s="13"/>
      <c r="AH491" s="65"/>
      <c r="AI491" s="27"/>
    </row>
    <row r="492" spans="1:35" hidden="1">
      <c r="A492" s="13" t="s">
        <v>612</v>
      </c>
      <c r="B492" s="13" t="str">
        <f>_xlfn.XLOOKUP(J492,'Master Data 14-9-2026'!C:C,'Master Data 14-9-2026'!D:D)</f>
        <v>Ervin Raditya WX1530249</v>
      </c>
      <c r="C492" s="13"/>
      <c r="D492" s="13" t="str">
        <f>_xlfn.XLOOKUP(J492,'Master Data 14-9-2026'!C:C,'Master Data 14-9-2026'!E:E)</f>
        <v>XLSMART</v>
      </c>
      <c r="E492" s="13"/>
      <c r="F492" s="13"/>
      <c r="G492" s="13" t="s">
        <v>13</v>
      </c>
      <c r="H492" s="13" t="str">
        <f>_xlfn.XLOOKUP(J492,'Master Data 14-9-2026'!C:C,'Master Data 14-9-2026'!H:H)</f>
        <v>2026-06-29 - 2026-07-28</v>
      </c>
      <c r="I492" s="13" t="str">
        <f t="shared" si="7"/>
        <v>June</v>
      </c>
      <c r="J492" s="13" t="s">
        <v>1730</v>
      </c>
      <c r="K492" s="13" t="s">
        <v>1004</v>
      </c>
      <c r="L492" s="13" t="s">
        <v>441</v>
      </c>
      <c r="M492" s="15">
        <v>200003188246020</v>
      </c>
      <c r="N492" s="13" t="s">
        <v>924</v>
      </c>
      <c r="O492" s="13">
        <v>1.09120260710002E+17</v>
      </c>
      <c r="P492" s="13" t="s">
        <v>1598</v>
      </c>
      <c r="Q492" s="18">
        <v>122</v>
      </c>
      <c r="R492" s="18">
        <v>1</v>
      </c>
      <c r="S492" s="13">
        <v>8828132634</v>
      </c>
      <c r="T492" s="13" t="s">
        <v>978</v>
      </c>
      <c r="U492" s="19">
        <v>32542400</v>
      </c>
      <c r="V492" s="18">
        <v>1</v>
      </c>
      <c r="W492" s="18">
        <f>_xlfn.XLOOKUP(J492,'Master Data 14-9-2026'!C:C,'Master Data 14-9-2026'!L:L)</f>
        <v>0.5</v>
      </c>
      <c r="X492" s="23">
        <v>32542400</v>
      </c>
      <c r="Y492" s="13" t="s">
        <v>1599</v>
      </c>
      <c r="Z492" s="24" t="str">
        <f>_xlfn.XLOOKUP(J492,'Master Data 14-9-2026'!C:C,'Master Data 14-9-2026'!I:I)</f>
        <v>Ended</v>
      </c>
      <c r="AA492" s="4" t="s">
        <v>1288</v>
      </c>
      <c r="AB492" s="13" t="s">
        <v>1289</v>
      </c>
      <c r="AC492" s="13"/>
      <c r="AD492" s="13"/>
      <c r="AE492" s="13" t="str">
        <f>_xlfn.XLOOKUP(L492,'[1]ID PROJECT'!E:E,'[1]ID PROJECT'!F:F)</f>
        <v xml:space="preserve">PRJ-KUT-KPU-TPED-2026-04-00071 </v>
      </c>
      <c r="AF492" s="13"/>
      <c r="AG492" s="13"/>
      <c r="AH492" s="65"/>
      <c r="AI492" s="27"/>
    </row>
    <row r="493" spans="1:35" hidden="1">
      <c r="A493" s="13" t="s">
        <v>610</v>
      </c>
      <c r="B493" s="13" t="str">
        <f>_xlfn.XLOOKUP(J493,'Master Data 14-9-2026'!C:C,'Master Data 14-9-2026'!D:D)</f>
        <v>Muhammad Indra Haryanto WX1529649</v>
      </c>
      <c r="C493" s="13"/>
      <c r="D493" s="13" t="str">
        <f>_xlfn.XLOOKUP(J493,'Master Data 14-9-2026'!C:C,'Master Data 14-9-2026'!E:E)</f>
        <v>XLSMART</v>
      </c>
      <c r="E493" s="13"/>
      <c r="F493" s="13"/>
      <c r="G493" s="13" t="s">
        <v>13</v>
      </c>
      <c r="H493" s="13" t="str">
        <f>_xlfn.XLOOKUP(J493,'Master Data 14-9-2026'!C:C,'Master Data 14-9-2026'!H:H)</f>
        <v>2026-07-03 - 2026-08-02</v>
      </c>
      <c r="I493" s="13" t="str">
        <f t="shared" si="7"/>
        <v>July</v>
      </c>
      <c r="J493" s="13" t="s">
        <v>1731</v>
      </c>
      <c r="K493" s="13" t="s">
        <v>1004</v>
      </c>
      <c r="L493" s="13" t="s">
        <v>441</v>
      </c>
      <c r="M493" s="15">
        <v>200003188247020</v>
      </c>
      <c r="N493" s="13" t="s">
        <v>924</v>
      </c>
      <c r="O493" s="13">
        <v>1.09120260710002E+17</v>
      </c>
      <c r="P493" s="13" t="s">
        <v>1598</v>
      </c>
      <c r="Q493" s="18">
        <v>123</v>
      </c>
      <c r="R493" s="18">
        <v>1</v>
      </c>
      <c r="S493" s="13">
        <v>8828132634</v>
      </c>
      <c r="T493" s="13" t="s">
        <v>978</v>
      </c>
      <c r="U493" s="19">
        <v>32542400</v>
      </c>
      <c r="V493" s="18">
        <v>1</v>
      </c>
      <c r="W493" s="18">
        <f>_xlfn.XLOOKUP(J493,'Master Data 14-9-2026'!C:C,'Master Data 14-9-2026'!L:L)</f>
        <v>0</v>
      </c>
      <c r="X493" s="23">
        <v>32542400</v>
      </c>
      <c r="Y493" s="13" t="s">
        <v>1599</v>
      </c>
      <c r="Z493" s="24" t="s">
        <v>15</v>
      </c>
      <c r="AA493" s="4" t="s">
        <v>1288</v>
      </c>
      <c r="AB493" s="40" t="s">
        <v>44</v>
      </c>
      <c r="AC493" s="13"/>
      <c r="AD493" s="13"/>
      <c r="AE493" s="13" t="str">
        <f>_xlfn.XLOOKUP(L493,'[1]ID PROJECT'!E:E,'[1]ID PROJECT'!F:F)</f>
        <v xml:space="preserve">PRJ-KUT-KPU-TPED-2026-04-00071 </v>
      </c>
      <c r="AF493" s="13"/>
      <c r="AG493" s="13"/>
      <c r="AH493" s="65"/>
      <c r="AI493" s="27"/>
    </row>
    <row r="494" spans="1:35" hidden="1">
      <c r="A494" s="13" t="s">
        <v>320</v>
      </c>
      <c r="B494" s="13" t="str">
        <f>_xlfn.XLOOKUP(J494,'Master Data 14-9-2026'!C:C,'Master Data 14-9-2026'!D:D)</f>
        <v>LEONARD JULIAN ARYAWINATA WX1529216</v>
      </c>
      <c r="C494" s="13"/>
      <c r="D494" s="13" t="str">
        <f>_xlfn.XLOOKUP(J494,'Master Data 14-9-2026'!C:C,'Master Data 14-9-2026'!E:E)</f>
        <v>XLSMART</v>
      </c>
      <c r="E494" s="13"/>
      <c r="F494" s="13"/>
      <c r="G494" s="13" t="s">
        <v>18</v>
      </c>
      <c r="H494" s="13" t="str">
        <f>_xlfn.XLOOKUP(J494,'Master Data 14-9-2026'!C:C,'Master Data 14-9-2026'!H:H)</f>
        <v>2026-07-22 - 2026-08-21</v>
      </c>
      <c r="I494" s="13" t="str">
        <f t="shared" si="7"/>
        <v>July</v>
      </c>
      <c r="J494" s="13" t="s">
        <v>1732</v>
      </c>
      <c r="K494" s="13" t="s">
        <v>1004</v>
      </c>
      <c r="L494" s="13" t="s">
        <v>441</v>
      </c>
      <c r="M494" s="15">
        <v>200003188248020</v>
      </c>
      <c r="N494" s="13" t="s">
        <v>924</v>
      </c>
      <c r="O494" s="13">
        <v>1.09120260710002E+17</v>
      </c>
      <c r="P494" s="13" t="s">
        <v>1598</v>
      </c>
      <c r="Q494" s="18">
        <v>124</v>
      </c>
      <c r="R494" s="18">
        <v>1</v>
      </c>
      <c r="S494" s="13">
        <v>8828132633</v>
      </c>
      <c r="T494" s="13" t="s">
        <v>951</v>
      </c>
      <c r="U494" s="19">
        <v>28881900</v>
      </c>
      <c r="V494" s="18">
        <v>1</v>
      </c>
      <c r="W494" s="18">
        <f>_xlfn.XLOOKUP(J494,'Master Data 14-9-2026'!C:C,'Master Data 14-9-2026'!L:L)</f>
        <v>0.5</v>
      </c>
      <c r="X494" s="23">
        <v>28881900</v>
      </c>
      <c r="Y494" s="13" t="s">
        <v>1599</v>
      </c>
      <c r="Z494" s="24" t="s">
        <v>984</v>
      </c>
      <c r="AA494" s="4" t="s">
        <v>1288</v>
      </c>
      <c r="AB494" s="13"/>
      <c r="AC494" s="13"/>
      <c r="AD494" s="13"/>
      <c r="AE494" s="13" t="str">
        <f>_xlfn.XLOOKUP(L494,'[1]ID PROJECT'!E:E,'[1]ID PROJECT'!F:F)</f>
        <v xml:space="preserve">PRJ-KUT-KPU-TPED-2026-04-00071 </v>
      </c>
      <c r="AF494" s="13"/>
      <c r="AG494" s="13"/>
      <c r="AH494" s="65"/>
      <c r="AI494" s="27"/>
    </row>
    <row r="495" spans="1:35" hidden="1">
      <c r="A495" s="13" t="s">
        <v>587</v>
      </c>
      <c r="B495" s="13" t="str">
        <f>_xlfn.XLOOKUP(J495,'Master Data 14-9-2026'!C:C,'Master Data 14-9-2026'!D:D)</f>
        <v>Sudrajat wx1529015</v>
      </c>
      <c r="C495" s="13"/>
      <c r="D495" s="13" t="str">
        <f>_xlfn.XLOOKUP(J495,'Master Data 14-9-2026'!C:C,'Master Data 14-9-2026'!E:E)</f>
        <v>XLSMART</v>
      </c>
      <c r="E495" s="13"/>
      <c r="F495" s="13"/>
      <c r="G495" s="13" t="s">
        <v>18</v>
      </c>
      <c r="H495" s="13" t="str">
        <f>_xlfn.XLOOKUP(J495,'Master Data 14-9-2026'!C:C,'Master Data 14-9-2026'!H:H)</f>
        <v>2026-07-18 - 2026-08-17</v>
      </c>
      <c r="I495" s="13" t="str">
        <f t="shared" si="7"/>
        <v>July</v>
      </c>
      <c r="J495" s="13" t="s">
        <v>1733</v>
      </c>
      <c r="K495" s="13" t="s">
        <v>1004</v>
      </c>
      <c r="L495" s="13" t="s">
        <v>441</v>
      </c>
      <c r="M495" s="15">
        <v>200003188249020</v>
      </c>
      <c r="N495" s="13" t="s">
        <v>924</v>
      </c>
      <c r="O495" s="13">
        <v>1.09120260710002E+17</v>
      </c>
      <c r="P495" s="13" t="s">
        <v>1598</v>
      </c>
      <c r="Q495" s="18">
        <v>125</v>
      </c>
      <c r="R495" s="18">
        <v>1</v>
      </c>
      <c r="S495" s="13">
        <v>8828132634</v>
      </c>
      <c r="T495" s="13" t="s">
        <v>978</v>
      </c>
      <c r="U495" s="19">
        <v>32542400</v>
      </c>
      <c r="V495" s="18">
        <v>1</v>
      </c>
      <c r="W495" s="18">
        <f>_xlfn.XLOOKUP(J495,'Master Data 14-9-2026'!C:C,'Master Data 14-9-2026'!L:L)</f>
        <v>0</v>
      </c>
      <c r="X495" s="23">
        <v>32542400</v>
      </c>
      <c r="Y495" s="13" t="s">
        <v>1599</v>
      </c>
      <c r="Z495" s="24" t="s">
        <v>15</v>
      </c>
      <c r="AA495" s="4" t="s">
        <v>1288</v>
      </c>
      <c r="AB495" s="40" t="s">
        <v>44</v>
      </c>
      <c r="AC495" s="13"/>
      <c r="AD495" s="13"/>
      <c r="AE495" s="13" t="str">
        <f>_xlfn.XLOOKUP(L495,'[1]ID PROJECT'!E:E,'[1]ID PROJECT'!F:F)</f>
        <v xml:space="preserve">PRJ-KUT-KPU-TPED-2026-04-00071 </v>
      </c>
      <c r="AF495" s="13"/>
      <c r="AG495" s="13"/>
      <c r="AH495" s="65"/>
      <c r="AI495" s="27"/>
    </row>
    <row r="496" spans="1:35" hidden="1">
      <c r="A496" s="13" t="s">
        <v>585</v>
      </c>
      <c r="B496" s="13" t="str">
        <f>_xlfn.XLOOKUP(J496,'Master Data 14-9-2026'!C:C,'Master Data 14-9-2026'!D:D)</f>
        <v>APRIHADI WX1529432</v>
      </c>
      <c r="C496" s="13"/>
      <c r="D496" s="13" t="str">
        <f>_xlfn.XLOOKUP(J496,'Master Data 14-9-2026'!C:C,'Master Data 14-9-2026'!E:E)</f>
        <v>XLSMART</v>
      </c>
      <c r="E496" s="13"/>
      <c r="F496" s="13"/>
      <c r="G496" s="13" t="s">
        <v>18</v>
      </c>
      <c r="H496" s="13" t="str">
        <f>_xlfn.XLOOKUP(J496,'Master Data 14-9-2026'!C:C,'Master Data 14-9-2026'!H:H)</f>
        <v>2026-07-23 - 2026-08-22</v>
      </c>
      <c r="I496" s="13" t="str">
        <f t="shared" si="7"/>
        <v>July</v>
      </c>
      <c r="J496" s="13" t="s">
        <v>1734</v>
      </c>
      <c r="K496" s="13" t="s">
        <v>1004</v>
      </c>
      <c r="L496" s="13" t="s">
        <v>441</v>
      </c>
      <c r="M496" s="15">
        <v>200003188250020</v>
      </c>
      <c r="N496" s="13" t="s">
        <v>924</v>
      </c>
      <c r="O496" s="13">
        <v>1.09120260710002E+17</v>
      </c>
      <c r="P496" s="13" t="s">
        <v>1598</v>
      </c>
      <c r="Q496" s="18">
        <v>126</v>
      </c>
      <c r="R496" s="18">
        <v>1</v>
      </c>
      <c r="S496" s="13">
        <v>8828132634</v>
      </c>
      <c r="T496" s="13" t="s">
        <v>978</v>
      </c>
      <c r="U496" s="19">
        <v>32542400</v>
      </c>
      <c r="V496" s="18">
        <v>1</v>
      </c>
      <c r="W496" s="18">
        <f>_xlfn.XLOOKUP(J496,'Master Data 14-9-2026'!C:C,'Master Data 14-9-2026'!L:L)</f>
        <v>0.5</v>
      </c>
      <c r="X496" s="23">
        <v>32542400</v>
      </c>
      <c r="Y496" s="13" t="s">
        <v>1599</v>
      </c>
      <c r="Z496" s="24" t="s">
        <v>33</v>
      </c>
      <c r="AA496" s="4" t="s">
        <v>1288</v>
      </c>
      <c r="AB496" s="13" t="s">
        <v>1289</v>
      </c>
      <c r="AC496" s="13"/>
      <c r="AD496" s="13"/>
      <c r="AE496" s="13" t="str">
        <f>_xlfn.XLOOKUP(L496,'[1]ID PROJECT'!E:E,'[1]ID PROJECT'!F:F)</f>
        <v xml:space="preserve">PRJ-KUT-KPU-TPED-2026-04-00071 </v>
      </c>
      <c r="AF496" s="13"/>
      <c r="AG496" s="13"/>
      <c r="AH496" s="65"/>
      <c r="AI496" s="27"/>
    </row>
    <row r="497" spans="1:35" hidden="1">
      <c r="A497" s="13" t="s">
        <v>330</v>
      </c>
      <c r="B497" s="13" t="str">
        <f>_xlfn.XLOOKUP(J497,'Master Data 14-9-2026'!C:C,'Master Data 14-9-2026'!D:D)</f>
        <v>Mauli Rizki Amelia wx1504666</v>
      </c>
      <c r="C497" s="13"/>
      <c r="D497" s="13" t="str">
        <f>_xlfn.XLOOKUP(J497,'Master Data 14-9-2026'!C:C,'Master Data 14-9-2026'!E:E)</f>
        <v>XLSMART</v>
      </c>
      <c r="E497" s="13"/>
      <c r="F497" s="13"/>
      <c r="G497" s="13" t="s">
        <v>28</v>
      </c>
      <c r="H497" s="13" t="str">
        <f>_xlfn.XLOOKUP(J497,'Master Data 14-9-2026'!C:C,'Master Data 14-9-2026'!H:H)</f>
        <v>2026-07-26 - 2026-08-25</v>
      </c>
      <c r="I497" s="13" t="str">
        <f t="shared" si="7"/>
        <v>July</v>
      </c>
      <c r="J497" s="13" t="s">
        <v>1735</v>
      </c>
      <c r="K497" s="13" t="s">
        <v>1004</v>
      </c>
      <c r="L497" s="13" t="s">
        <v>441</v>
      </c>
      <c r="M497" s="15">
        <v>200003135938020</v>
      </c>
      <c r="N497" s="13" t="s">
        <v>924</v>
      </c>
      <c r="O497" s="13">
        <v>1.09120260710002E+17</v>
      </c>
      <c r="P497" s="13" t="s">
        <v>1598</v>
      </c>
      <c r="Q497" s="18">
        <v>127</v>
      </c>
      <c r="R497" s="18">
        <v>1</v>
      </c>
      <c r="S497" s="13">
        <v>8828132633</v>
      </c>
      <c r="T497" s="13" t="s">
        <v>951</v>
      </c>
      <c r="U497" s="19">
        <v>28881900</v>
      </c>
      <c r="V497" s="18">
        <v>1</v>
      </c>
      <c r="W497" s="18">
        <f>_xlfn.XLOOKUP(J497,'Master Data 14-9-2026'!C:C,'Master Data 14-9-2026'!L:L)</f>
        <v>0</v>
      </c>
      <c r="X497" s="23">
        <v>28881900</v>
      </c>
      <c r="Y497" s="13" t="s">
        <v>1599</v>
      </c>
      <c r="Z497" s="24" t="s">
        <v>984</v>
      </c>
      <c r="AA497" s="4" t="s">
        <v>1288</v>
      </c>
      <c r="AB497" s="40" t="s">
        <v>44</v>
      </c>
      <c r="AC497" s="13"/>
      <c r="AD497" s="13"/>
      <c r="AE497" s="13" t="str">
        <f>_xlfn.XLOOKUP(L497,'[1]ID PROJECT'!E:E,'[1]ID PROJECT'!F:F)</f>
        <v xml:space="preserve">PRJ-KUT-KPU-TPED-2026-04-00071 </v>
      </c>
      <c r="AF497" s="13"/>
      <c r="AG497" s="13"/>
      <c r="AH497" s="65"/>
      <c r="AI497" s="27"/>
    </row>
    <row r="498" spans="1:35" hidden="1">
      <c r="A498" s="13" t="s">
        <v>98</v>
      </c>
      <c r="B498" s="13" t="str">
        <f>_xlfn.XLOOKUP(J498,'Master Data 14-9-2026'!C:C,'Master Data 14-9-2026'!D:D)</f>
        <v>Nurmawaty wx1504714</v>
      </c>
      <c r="C498" s="13"/>
      <c r="D498" s="13" t="str">
        <f>_xlfn.XLOOKUP(J498,'Master Data 14-9-2026'!C:C,'Master Data 14-9-2026'!E:E)</f>
        <v>XLSMART</v>
      </c>
      <c r="E498" s="13"/>
      <c r="F498" s="13"/>
      <c r="G498" s="13" t="s">
        <v>28</v>
      </c>
      <c r="H498" s="13" t="str">
        <f>_xlfn.XLOOKUP(J498,'Master Data 14-9-2026'!C:C,'Master Data 14-9-2026'!H:H)</f>
        <v>2026-07-28 - 2026-08-27</v>
      </c>
      <c r="I498" s="13" t="str">
        <f t="shared" si="7"/>
        <v>July</v>
      </c>
      <c r="J498" s="13" t="s">
        <v>1736</v>
      </c>
      <c r="K498" s="13" t="s">
        <v>1004</v>
      </c>
      <c r="L498" s="13" t="s">
        <v>441</v>
      </c>
      <c r="M498" s="15">
        <v>200003135939020</v>
      </c>
      <c r="N498" s="13" t="s">
        <v>924</v>
      </c>
      <c r="O498" s="13">
        <v>1.09120260710002E+17</v>
      </c>
      <c r="P498" s="13" t="s">
        <v>1598</v>
      </c>
      <c r="Q498" s="18">
        <v>128</v>
      </c>
      <c r="R498" s="18">
        <v>1</v>
      </c>
      <c r="S498" s="13">
        <v>8828132633</v>
      </c>
      <c r="T498" s="13" t="s">
        <v>951</v>
      </c>
      <c r="U498" s="19">
        <v>28881900</v>
      </c>
      <c r="V498" s="18">
        <v>1</v>
      </c>
      <c r="W498" s="18">
        <f>_xlfn.XLOOKUP(J498,'Master Data 14-9-2026'!C:C,'Master Data 14-9-2026'!L:L)</f>
        <v>0</v>
      </c>
      <c r="X498" s="23">
        <v>28881900</v>
      </c>
      <c r="Y498" s="13" t="s">
        <v>1599</v>
      </c>
      <c r="Z498" s="24" t="s">
        <v>984</v>
      </c>
      <c r="AA498" s="4" t="s">
        <v>1288</v>
      </c>
      <c r="AB498" s="40" t="s">
        <v>44</v>
      </c>
      <c r="AC498" s="13"/>
      <c r="AD498" s="13"/>
      <c r="AE498" s="13" t="str">
        <f>_xlfn.XLOOKUP(L498,'[1]ID PROJECT'!E:E,'[1]ID PROJECT'!F:F)</f>
        <v xml:space="preserve">PRJ-KUT-KPU-TPED-2026-04-00071 </v>
      </c>
      <c r="AF498" s="13"/>
      <c r="AG498" s="13"/>
      <c r="AH498" s="65"/>
      <c r="AI498" s="27"/>
    </row>
    <row r="499" spans="1:35">
      <c r="A499" s="13" t="s">
        <v>419</v>
      </c>
      <c r="B499" s="13" t="str">
        <f>_xlfn.XLOOKUP(J499,'Master Data 14-9-2026'!C:C,'Master Data 14-9-2026'!D:D)</f>
        <v>Didit Irawan wx1504645</v>
      </c>
      <c r="C499" s="13"/>
      <c r="D499" s="13" t="str">
        <f>_xlfn.XLOOKUP(J499,'Master Data 14-9-2026'!C:C,'Master Data 14-9-2026'!E:E)</f>
        <v>XLSMART</v>
      </c>
      <c r="E499" s="13"/>
      <c r="F499" s="13"/>
      <c r="G499" s="13" t="s">
        <v>28</v>
      </c>
      <c r="H499" s="13" t="str">
        <f>_xlfn.XLOOKUP(J499,'Master Data 14-9-2026'!C:C,'Master Data 14-9-2026'!H:H)</f>
        <v>2026-07-30 - 2026-08-29</v>
      </c>
      <c r="I499" s="13" t="str">
        <f t="shared" si="7"/>
        <v>July</v>
      </c>
      <c r="J499" s="13" t="s">
        <v>1737</v>
      </c>
      <c r="K499" s="13" t="s">
        <v>1004</v>
      </c>
      <c r="L499" s="13" t="s">
        <v>441</v>
      </c>
      <c r="M499" s="15">
        <v>200003135940020</v>
      </c>
      <c r="N499" s="13" t="s">
        <v>924</v>
      </c>
      <c r="O499" s="13">
        <v>1.09120260710002E+17</v>
      </c>
      <c r="P499" s="13" t="s">
        <v>1598</v>
      </c>
      <c r="Q499" s="18">
        <v>129</v>
      </c>
      <c r="R499" s="18">
        <v>1</v>
      </c>
      <c r="S499" s="13">
        <v>8828132633</v>
      </c>
      <c r="T499" s="13" t="s">
        <v>951</v>
      </c>
      <c r="U499" s="19">
        <v>28881900</v>
      </c>
      <c r="V499" s="18">
        <v>1</v>
      </c>
      <c r="W499" s="18">
        <f>_xlfn.XLOOKUP(J499,'Master Data 14-9-2026'!C:C,'Master Data 14-9-2026'!L:L)</f>
        <v>1</v>
      </c>
      <c r="X499" s="23">
        <v>28881900</v>
      </c>
      <c r="Y499" s="13" t="s">
        <v>1599</v>
      </c>
      <c r="Z499" s="24" t="str">
        <f>_xlfn.XLOOKUP(J499,'Master Data 14-9-2026'!C:C,'Master Data 14-9-2026'!I:I)</f>
        <v>Ended</v>
      </c>
      <c r="AA499" s="4" t="s">
        <v>934</v>
      </c>
      <c r="AB499" s="13"/>
      <c r="AC499" s="13"/>
      <c r="AD499" s="13" t="s">
        <v>935</v>
      </c>
      <c r="AE499" s="13" t="str">
        <f>_xlfn.XLOOKUP(L499,'[1]ID PROJECT'!E:E,'[1]ID PROJECT'!F:F)</f>
        <v xml:space="preserve">PRJ-KUT-KPU-TPED-2026-04-00071 </v>
      </c>
      <c r="AF499" s="34" t="s">
        <v>1667</v>
      </c>
      <c r="AG499" s="40" t="s">
        <v>3395</v>
      </c>
      <c r="AH499" s="65">
        <v>46267</v>
      </c>
      <c r="AI499" s="27" t="s">
        <v>967</v>
      </c>
    </row>
    <row r="500" spans="1:35">
      <c r="A500" s="13" t="s">
        <v>856</v>
      </c>
      <c r="B500" s="13" t="str">
        <f>_xlfn.XLOOKUP(J500,'Master Data 14-9-2026'!C:C,'Master Data 14-9-2026'!D:D)</f>
        <v>Rizqy Ramadhan Pramono wx1503632</v>
      </c>
      <c r="C500" s="13"/>
      <c r="D500" s="13" t="str">
        <f>_xlfn.XLOOKUP(J500,'Master Data 14-9-2026'!C:C,'Master Data 14-9-2026'!E:E)</f>
        <v>XLSMART</v>
      </c>
      <c r="E500" s="13"/>
      <c r="F500" s="13"/>
      <c r="G500" s="13" t="s">
        <v>28</v>
      </c>
      <c r="H500" s="13" t="str">
        <f>_xlfn.XLOOKUP(J500,'Master Data 14-9-2026'!C:C,'Master Data 14-9-2026'!H:H)</f>
        <v>2026-07-23 - 2026-08-22</v>
      </c>
      <c r="I500" s="13" t="str">
        <f t="shared" si="7"/>
        <v>July</v>
      </c>
      <c r="J500" s="13" t="s">
        <v>1738</v>
      </c>
      <c r="K500" s="13" t="s">
        <v>1004</v>
      </c>
      <c r="L500" s="13" t="s">
        <v>461</v>
      </c>
      <c r="M500" s="15">
        <v>200003135947020</v>
      </c>
      <c r="N500" s="13" t="s">
        <v>924</v>
      </c>
      <c r="O500" s="13">
        <v>1.09120260710002E+17</v>
      </c>
      <c r="P500" s="13" t="s">
        <v>1598</v>
      </c>
      <c r="Q500" s="18">
        <v>130</v>
      </c>
      <c r="R500" s="18">
        <v>1</v>
      </c>
      <c r="S500" s="13">
        <v>8828132635</v>
      </c>
      <c r="T500" s="13" t="s">
        <v>926</v>
      </c>
      <c r="U500" s="19">
        <v>34220600</v>
      </c>
      <c r="V500" s="18">
        <v>1</v>
      </c>
      <c r="W500" s="18">
        <f>_xlfn.XLOOKUP(J500,'Master Data 14-9-2026'!C:C,'Master Data 14-9-2026'!L:L)</f>
        <v>1</v>
      </c>
      <c r="X500" s="23">
        <v>34220600</v>
      </c>
      <c r="Y500" s="13" t="s">
        <v>1599</v>
      </c>
      <c r="Z500" s="24" t="str">
        <f>_xlfn.XLOOKUP(J500,'Master Data 14-9-2026'!C:C,'Master Data 14-9-2026'!I:I)</f>
        <v>Ended</v>
      </c>
      <c r="AA500" s="39" t="s">
        <v>934</v>
      </c>
      <c r="AB500" s="13"/>
      <c r="AC500" s="13"/>
      <c r="AD500" s="40" t="s">
        <v>935</v>
      </c>
      <c r="AE500" s="13" t="str">
        <f>_xlfn.XLOOKUP(L500,'[1]ID PROJECT'!E:E,'[1]ID PROJECT'!F:F)</f>
        <v>PRJ-KUT-KPU-TPED-2026-04-00078</v>
      </c>
      <c r="AF500" s="39" t="s">
        <v>4120</v>
      </c>
      <c r="AG500" s="13" t="s">
        <v>4125</v>
      </c>
      <c r="AH500" s="65">
        <v>46275</v>
      </c>
      <c r="AI500" s="41" t="s">
        <v>967</v>
      </c>
    </row>
    <row r="501" spans="1:35" hidden="1">
      <c r="A501" s="13" t="s">
        <v>734</v>
      </c>
      <c r="B501" s="13" t="str">
        <f>_xlfn.XLOOKUP(J501,'Master Data 14-9-2026'!C:C,'Master Data 14-9-2026'!D:D)</f>
        <v>Rayza Mayga Pratama wx1504644</v>
      </c>
      <c r="C501" s="13"/>
      <c r="D501" s="13" t="str">
        <f>_xlfn.XLOOKUP(J501,'Master Data 14-9-2026'!C:C,'Master Data 14-9-2026'!E:E)</f>
        <v>XLSMART</v>
      </c>
      <c r="E501" s="13"/>
      <c r="F501" s="13"/>
      <c r="G501" s="13" t="s">
        <v>28</v>
      </c>
      <c r="H501" s="13" t="str">
        <f>_xlfn.XLOOKUP(J501,'Master Data 14-9-2026'!C:C,'Master Data 14-9-2026'!H:H)</f>
        <v>2026-07-23 - 2026-08-22</v>
      </c>
      <c r="I501" s="13" t="str">
        <f t="shared" si="7"/>
        <v>July</v>
      </c>
      <c r="J501" s="13" t="s">
        <v>1739</v>
      </c>
      <c r="K501" s="13" t="s">
        <v>1004</v>
      </c>
      <c r="L501" s="13" t="s">
        <v>441</v>
      </c>
      <c r="M501" s="15">
        <v>200003135948020</v>
      </c>
      <c r="N501" s="13" t="s">
        <v>924</v>
      </c>
      <c r="O501" s="13">
        <v>1.09120260710002E+17</v>
      </c>
      <c r="P501" s="13" t="s">
        <v>1598</v>
      </c>
      <c r="Q501" s="18">
        <v>131</v>
      </c>
      <c r="R501" s="18">
        <v>1</v>
      </c>
      <c r="S501" s="13">
        <v>8828132635</v>
      </c>
      <c r="T501" s="13" t="s">
        <v>926</v>
      </c>
      <c r="U501" s="19">
        <v>34220600</v>
      </c>
      <c r="V501" s="18">
        <v>1</v>
      </c>
      <c r="W501" s="18">
        <f>_xlfn.XLOOKUP(J501,'Master Data 14-9-2026'!C:C,'Master Data 14-9-2026'!L:L)</f>
        <v>0.5</v>
      </c>
      <c r="X501" s="23">
        <v>34220600</v>
      </c>
      <c r="Y501" s="13" t="s">
        <v>1599</v>
      </c>
      <c r="Z501" s="24" t="s">
        <v>33</v>
      </c>
      <c r="AA501" s="4" t="s">
        <v>1288</v>
      </c>
      <c r="AB501" s="13" t="s">
        <v>1289</v>
      </c>
      <c r="AC501" s="13"/>
      <c r="AD501" s="13"/>
      <c r="AE501" s="13" t="str">
        <f>_xlfn.XLOOKUP(L501,'[1]ID PROJECT'!E:E,'[1]ID PROJECT'!F:F)</f>
        <v xml:space="preserve">PRJ-KUT-KPU-TPED-2026-04-00071 </v>
      </c>
      <c r="AF501" s="13"/>
      <c r="AG501" s="13"/>
      <c r="AH501" s="65"/>
      <c r="AI501" s="27"/>
    </row>
    <row r="502" spans="1:35">
      <c r="A502" s="13" t="s">
        <v>862</v>
      </c>
      <c r="B502" s="13" t="str">
        <f>_xlfn.XLOOKUP(J502,'Master Data 14-9-2026'!C:C,'Master Data 14-9-2026'!D:D)</f>
        <v>Sugeng Andrianto wx1504668</v>
      </c>
      <c r="C502" s="13"/>
      <c r="D502" s="13" t="str">
        <f>_xlfn.XLOOKUP(J502,'Master Data 14-9-2026'!C:C,'Master Data 14-9-2026'!E:E)</f>
        <v>XLSMART</v>
      </c>
      <c r="E502" s="13"/>
      <c r="F502" s="13"/>
      <c r="G502" s="13" t="s">
        <v>28</v>
      </c>
      <c r="H502" s="13" t="str">
        <f>_xlfn.XLOOKUP(J502,'Master Data 14-9-2026'!C:C,'Master Data 14-9-2026'!H:H)</f>
        <v>2026-07-30 - 2026-08-29</v>
      </c>
      <c r="I502" s="13" t="str">
        <f t="shared" si="7"/>
        <v>July</v>
      </c>
      <c r="J502" s="13" t="s">
        <v>1740</v>
      </c>
      <c r="K502" s="13" t="s">
        <v>1004</v>
      </c>
      <c r="L502" s="13" t="s">
        <v>461</v>
      </c>
      <c r="M502" s="15">
        <v>200003135949020</v>
      </c>
      <c r="N502" s="13" t="s">
        <v>924</v>
      </c>
      <c r="O502" s="13">
        <v>1.09120260710002E+17</v>
      </c>
      <c r="P502" s="13" t="s">
        <v>1598</v>
      </c>
      <c r="Q502" s="18">
        <v>132</v>
      </c>
      <c r="R502" s="18">
        <v>1</v>
      </c>
      <c r="S502" s="13">
        <v>8828132635</v>
      </c>
      <c r="T502" s="13" t="s">
        <v>926</v>
      </c>
      <c r="U502" s="19">
        <v>34220600</v>
      </c>
      <c r="V502" s="18">
        <v>1</v>
      </c>
      <c r="W502" s="18">
        <f>_xlfn.XLOOKUP(J502,'Master Data 14-9-2026'!C:C,'Master Data 14-9-2026'!L:L)</f>
        <v>1</v>
      </c>
      <c r="X502" s="23">
        <v>34220600</v>
      </c>
      <c r="Y502" s="13" t="s">
        <v>1599</v>
      </c>
      <c r="Z502" s="24" t="str">
        <f>_xlfn.XLOOKUP(J502,'Master Data 14-9-2026'!C:C,'Master Data 14-9-2026'!I:I)</f>
        <v>Ended</v>
      </c>
      <c r="AA502" s="39" t="s">
        <v>934</v>
      </c>
      <c r="AB502" s="13"/>
      <c r="AC502" s="13"/>
      <c r="AD502" s="40" t="s">
        <v>935</v>
      </c>
      <c r="AE502" s="13" t="str">
        <f>_xlfn.XLOOKUP(L502,'[1]ID PROJECT'!E:E,'[1]ID PROJECT'!F:F)</f>
        <v>PRJ-KUT-KPU-TPED-2026-04-00078</v>
      </c>
      <c r="AF502" s="39" t="s">
        <v>4120</v>
      </c>
      <c r="AG502" s="13" t="s">
        <v>4125</v>
      </c>
      <c r="AH502" s="65">
        <v>46275</v>
      </c>
      <c r="AI502" s="41" t="s">
        <v>967</v>
      </c>
    </row>
    <row r="503" spans="1:35">
      <c r="A503" s="13" t="s">
        <v>742</v>
      </c>
      <c r="B503" s="13" t="str">
        <f>_xlfn.XLOOKUP(J503,'Master Data 14-9-2026'!C:C,'Master Data 14-9-2026'!D:D)</f>
        <v>Fauzan Fathoni wx1504667</v>
      </c>
      <c r="C503" s="13"/>
      <c r="D503" s="13" t="str">
        <f>_xlfn.XLOOKUP(J503,'Master Data 14-9-2026'!C:C,'Master Data 14-9-2026'!E:E)</f>
        <v>XLSMART</v>
      </c>
      <c r="E503" s="13"/>
      <c r="F503" s="13"/>
      <c r="G503" s="13" t="s">
        <v>28</v>
      </c>
      <c r="H503" s="13" t="str">
        <f>_xlfn.XLOOKUP(J503,'Master Data 14-9-2026'!C:C,'Master Data 14-9-2026'!H:H)</f>
        <v>2026-07-30 - 2026-08-29</v>
      </c>
      <c r="I503" s="13" t="str">
        <f t="shared" si="7"/>
        <v>July</v>
      </c>
      <c r="J503" s="13" t="s">
        <v>1741</v>
      </c>
      <c r="K503" s="13" t="s">
        <v>1004</v>
      </c>
      <c r="L503" s="13" t="s">
        <v>461</v>
      </c>
      <c r="M503" s="15">
        <v>200003135950020</v>
      </c>
      <c r="N503" s="13" t="s">
        <v>924</v>
      </c>
      <c r="O503" s="13">
        <v>1.09120260710002E+17</v>
      </c>
      <c r="P503" s="13" t="s">
        <v>1598</v>
      </c>
      <c r="Q503" s="18">
        <v>133</v>
      </c>
      <c r="R503" s="18">
        <v>1</v>
      </c>
      <c r="S503" s="13">
        <v>8828132635</v>
      </c>
      <c r="T503" s="13" t="s">
        <v>926</v>
      </c>
      <c r="U503" s="19">
        <v>34220600</v>
      </c>
      <c r="V503" s="18">
        <v>1</v>
      </c>
      <c r="W503" s="18">
        <f>_xlfn.XLOOKUP(J503,'Master Data 14-9-2026'!C:C,'Master Data 14-9-2026'!L:L)</f>
        <v>1</v>
      </c>
      <c r="X503" s="23">
        <v>34220600</v>
      </c>
      <c r="Y503" s="13" t="s">
        <v>1599</v>
      </c>
      <c r="Z503" s="24" t="str">
        <f>_xlfn.XLOOKUP(J503,'Master Data 14-9-2026'!C:C,'Master Data 14-9-2026'!I:I)</f>
        <v>Ended</v>
      </c>
      <c r="AA503" s="39" t="s">
        <v>934</v>
      </c>
      <c r="AB503" s="13"/>
      <c r="AC503" s="13"/>
      <c r="AD503" s="40" t="s">
        <v>935</v>
      </c>
      <c r="AE503" s="13" t="str">
        <f>_xlfn.XLOOKUP(L503,'[1]ID PROJECT'!E:E,'[1]ID PROJECT'!F:F)</f>
        <v>PRJ-KUT-KPU-TPED-2026-04-00078</v>
      </c>
      <c r="AF503" s="39" t="s">
        <v>4120</v>
      </c>
      <c r="AG503" s="13" t="s">
        <v>4125</v>
      </c>
      <c r="AH503" s="65">
        <v>46275</v>
      </c>
      <c r="AI503" s="41" t="s">
        <v>967</v>
      </c>
    </row>
    <row r="504" spans="1:35" hidden="1">
      <c r="A504" s="13" t="s">
        <v>579</v>
      </c>
      <c r="B504" s="13" t="str">
        <f>_xlfn.XLOOKUP(J504,'Master Data 14-9-2026'!C:C,'Master Data 14-9-2026'!D:D)</f>
        <v>Lamhot Hamonangan Butar butar WX1529424</v>
      </c>
      <c r="C504" s="13"/>
      <c r="D504" s="13" t="str">
        <f>_xlfn.XLOOKUP(J504,'Master Data 14-9-2026'!C:C,'Master Data 14-9-2026'!E:E)</f>
        <v>XLSMART</v>
      </c>
      <c r="E504" s="13"/>
      <c r="F504" s="13"/>
      <c r="G504" s="13" t="s">
        <v>18</v>
      </c>
      <c r="H504" s="13" t="str">
        <f>_xlfn.XLOOKUP(J504,'Master Data 14-9-2026'!C:C,'Master Data 14-9-2026'!H:H)</f>
        <v>2026-07-23 - 2026-08-22</v>
      </c>
      <c r="I504" s="13" t="str">
        <f t="shared" si="7"/>
        <v>July</v>
      </c>
      <c r="J504" s="13" t="s">
        <v>1742</v>
      </c>
      <c r="K504" s="13" t="s">
        <v>1004</v>
      </c>
      <c r="L504" s="13" t="s">
        <v>441</v>
      </c>
      <c r="M504" s="15">
        <v>200003188251020</v>
      </c>
      <c r="N504" s="13" t="s">
        <v>924</v>
      </c>
      <c r="O504" s="13">
        <v>1.09120260710002E+17</v>
      </c>
      <c r="P504" s="13" t="s">
        <v>1598</v>
      </c>
      <c r="Q504" s="18">
        <v>134</v>
      </c>
      <c r="R504" s="18">
        <v>1</v>
      </c>
      <c r="S504" s="13">
        <v>8828132634</v>
      </c>
      <c r="T504" s="13" t="s">
        <v>978</v>
      </c>
      <c r="U504" s="19">
        <v>32542400</v>
      </c>
      <c r="V504" s="18">
        <v>1</v>
      </c>
      <c r="W504" s="18">
        <f>_xlfn.XLOOKUP(J504,'Master Data 14-9-2026'!C:C,'Master Data 14-9-2026'!L:L)</f>
        <v>0.5</v>
      </c>
      <c r="X504" s="23">
        <v>32542400</v>
      </c>
      <c r="Y504" s="13" t="s">
        <v>1599</v>
      </c>
      <c r="Z504" s="24" t="s">
        <v>33</v>
      </c>
      <c r="AA504" s="4" t="s">
        <v>1288</v>
      </c>
      <c r="AB504" s="13" t="s">
        <v>1289</v>
      </c>
      <c r="AC504" s="13"/>
      <c r="AD504" s="13"/>
      <c r="AE504" s="13" t="str">
        <f>_xlfn.XLOOKUP(L504,'[1]ID PROJECT'!E:E,'[1]ID PROJECT'!F:F)</f>
        <v xml:space="preserve">PRJ-KUT-KPU-TPED-2026-04-00071 </v>
      </c>
      <c r="AF504" s="13"/>
      <c r="AG504" s="13"/>
      <c r="AH504" s="65"/>
      <c r="AI504" s="27"/>
    </row>
    <row r="505" spans="1:35" hidden="1">
      <c r="A505" s="13" t="s">
        <v>564</v>
      </c>
      <c r="B505" s="13" t="str">
        <f>_xlfn.XLOOKUP(J505,'Master Data 14-9-2026'!C:C,'Master Data 14-9-2026'!D:D)</f>
        <v>Agung Nugraha WX1529434</v>
      </c>
      <c r="C505" s="13"/>
      <c r="D505" s="13" t="str">
        <f>_xlfn.XLOOKUP(J505,'Master Data 14-9-2026'!C:C,'Master Data 14-9-2026'!E:E)</f>
        <v>XLSMART</v>
      </c>
      <c r="E505" s="13"/>
      <c r="F505" s="13"/>
      <c r="G505" s="13" t="s">
        <v>18</v>
      </c>
      <c r="H505" s="13" t="str">
        <f>_xlfn.XLOOKUP(J505,'Master Data 14-9-2026'!C:C,'Master Data 14-9-2026'!H:H)</f>
        <v>2026-07-23 - 2026-08-22</v>
      </c>
      <c r="I505" s="13" t="str">
        <f t="shared" si="7"/>
        <v>July</v>
      </c>
      <c r="J505" s="13" t="s">
        <v>1743</v>
      </c>
      <c r="K505" s="13" t="s">
        <v>1004</v>
      </c>
      <c r="L505" s="13" t="s">
        <v>441</v>
      </c>
      <c r="M505" s="15">
        <v>200003188252020</v>
      </c>
      <c r="N505" s="13" t="s">
        <v>924</v>
      </c>
      <c r="O505" s="13">
        <v>1.09120260710002E+17</v>
      </c>
      <c r="P505" s="13" t="s">
        <v>1598</v>
      </c>
      <c r="Q505" s="18">
        <v>135</v>
      </c>
      <c r="R505" s="18">
        <v>1</v>
      </c>
      <c r="S505" s="13">
        <v>8828132634</v>
      </c>
      <c r="T505" s="13" t="s">
        <v>978</v>
      </c>
      <c r="U505" s="19">
        <v>32542400</v>
      </c>
      <c r="V505" s="18">
        <v>1</v>
      </c>
      <c r="W505" s="18">
        <f>_xlfn.XLOOKUP(J505,'Master Data 14-9-2026'!C:C,'Master Data 14-9-2026'!L:L)</f>
        <v>0.5</v>
      </c>
      <c r="X505" s="23">
        <v>32542400</v>
      </c>
      <c r="Y505" s="13" t="s">
        <v>1599</v>
      </c>
      <c r="Z505" s="24" t="s">
        <v>33</v>
      </c>
      <c r="AA505" s="4" t="s">
        <v>1288</v>
      </c>
      <c r="AB505" s="13"/>
      <c r="AC505" s="13"/>
      <c r="AD505" s="13"/>
      <c r="AE505" s="13" t="str">
        <f>_xlfn.XLOOKUP(L505,'[1]ID PROJECT'!E:E,'[1]ID PROJECT'!F:F)</f>
        <v xml:space="preserve">PRJ-KUT-KPU-TPED-2026-04-00071 </v>
      </c>
      <c r="AF505" s="13"/>
      <c r="AG505" s="13"/>
      <c r="AH505" s="65"/>
      <c r="AI505" s="27"/>
    </row>
    <row r="506" spans="1:35" hidden="1">
      <c r="A506" s="13" t="s">
        <v>548</v>
      </c>
      <c r="B506" s="13" t="str">
        <f>_xlfn.XLOOKUP(J506,'Master Data 14-9-2026'!C:C,'Master Data 14-9-2026'!D:D)</f>
        <v>Rifky Febrianto WX1529426</v>
      </c>
      <c r="C506" s="13"/>
      <c r="D506" s="13" t="str">
        <f>_xlfn.XLOOKUP(J506,'Master Data 14-9-2026'!C:C,'Master Data 14-9-2026'!E:E)</f>
        <v>XLSMART</v>
      </c>
      <c r="E506" s="13"/>
      <c r="F506" s="13"/>
      <c r="G506" s="13" t="s">
        <v>18</v>
      </c>
      <c r="H506" s="13" t="str">
        <f>_xlfn.XLOOKUP(J506,'Master Data 14-9-2026'!C:C,'Master Data 14-9-2026'!H:H)</f>
        <v>2026-07-23 - 2026-08-22</v>
      </c>
      <c r="I506" s="13" t="str">
        <f t="shared" si="7"/>
        <v>July</v>
      </c>
      <c r="J506" s="13" t="s">
        <v>1744</v>
      </c>
      <c r="K506" s="13" t="s">
        <v>1004</v>
      </c>
      <c r="L506" s="13" t="s">
        <v>441</v>
      </c>
      <c r="M506" s="15">
        <v>200003188253020</v>
      </c>
      <c r="N506" s="13" t="s">
        <v>924</v>
      </c>
      <c r="O506" s="13">
        <v>1.09120260710002E+17</v>
      </c>
      <c r="P506" s="13" t="s">
        <v>1598</v>
      </c>
      <c r="Q506" s="18">
        <v>136</v>
      </c>
      <c r="R506" s="18">
        <v>1</v>
      </c>
      <c r="S506" s="13">
        <v>8828132634</v>
      </c>
      <c r="T506" s="13" t="s">
        <v>978</v>
      </c>
      <c r="U506" s="19">
        <v>32542400</v>
      </c>
      <c r="V506" s="18">
        <v>1</v>
      </c>
      <c r="W506" s="18">
        <f>_xlfn.XLOOKUP(J506,'Master Data 14-9-2026'!C:C,'Master Data 14-9-2026'!L:L)</f>
        <v>0.5</v>
      </c>
      <c r="X506" s="23">
        <v>32542400</v>
      </c>
      <c r="Y506" s="13" t="s">
        <v>1599</v>
      </c>
      <c r="Z506" s="24" t="s">
        <v>33</v>
      </c>
      <c r="AA506" s="4" t="s">
        <v>1288</v>
      </c>
      <c r="AB506" s="13"/>
      <c r="AC506" s="13"/>
      <c r="AD506" s="13"/>
      <c r="AE506" s="13" t="str">
        <f>_xlfn.XLOOKUP(L506,'[1]ID PROJECT'!E:E,'[1]ID PROJECT'!F:F)</f>
        <v xml:space="preserve">PRJ-KUT-KPU-TPED-2026-04-00071 </v>
      </c>
      <c r="AF506" s="13"/>
      <c r="AG506" s="13"/>
      <c r="AH506" s="65"/>
      <c r="AI506" s="27"/>
    </row>
    <row r="507" spans="1:35" hidden="1">
      <c r="A507" s="13" t="s">
        <v>712</v>
      </c>
      <c r="B507" s="13" t="str">
        <f>_xlfn.XLOOKUP(J507,'Master Data 14-9-2026'!C:C,'Master Data 14-9-2026'!D:D)</f>
        <v>Yafet William B TaroreH WX1529431</v>
      </c>
      <c r="C507" s="13"/>
      <c r="D507" s="13" t="str">
        <f>_xlfn.XLOOKUP(J507,'Master Data 14-9-2026'!C:C,'Master Data 14-9-2026'!E:E)</f>
        <v>XLSMART</v>
      </c>
      <c r="E507" s="13"/>
      <c r="F507" s="13"/>
      <c r="G507" s="13" t="s">
        <v>18</v>
      </c>
      <c r="H507" s="13" t="str">
        <f>_xlfn.XLOOKUP(J507,'Master Data 14-9-2026'!C:C,'Master Data 14-9-2026'!H:H)</f>
        <v>2026-07-23 - 2026-08-22</v>
      </c>
      <c r="I507" s="13" t="str">
        <f t="shared" si="7"/>
        <v>July</v>
      </c>
      <c r="J507" s="13" t="s">
        <v>1745</v>
      </c>
      <c r="K507" s="13" t="s">
        <v>1004</v>
      </c>
      <c r="L507" s="13" t="s">
        <v>441</v>
      </c>
      <c r="M507" s="15">
        <v>200003188254020</v>
      </c>
      <c r="N507" s="13" t="s">
        <v>924</v>
      </c>
      <c r="O507" s="13">
        <v>1.09120260710002E+17</v>
      </c>
      <c r="P507" s="13" t="s">
        <v>1598</v>
      </c>
      <c r="Q507" s="18">
        <v>137</v>
      </c>
      <c r="R507" s="18">
        <v>1</v>
      </c>
      <c r="S507" s="13">
        <v>8828132634</v>
      </c>
      <c r="T507" s="13" t="s">
        <v>978</v>
      </c>
      <c r="U507" s="19">
        <v>32542400</v>
      </c>
      <c r="V507" s="18">
        <v>1</v>
      </c>
      <c r="W507" s="18">
        <f>_xlfn.XLOOKUP(J507,'Master Data 14-9-2026'!C:C,'Master Data 14-9-2026'!L:L)</f>
        <v>0.72</v>
      </c>
      <c r="X507" s="23">
        <v>32542400</v>
      </c>
      <c r="Y507" s="13" t="s">
        <v>1599</v>
      </c>
      <c r="Z507" s="24" t="s">
        <v>33</v>
      </c>
      <c r="AA507" s="4" t="s">
        <v>1288</v>
      </c>
      <c r="AB507" s="13"/>
      <c r="AC507" s="13"/>
      <c r="AD507" s="13"/>
      <c r="AE507" s="13" t="str">
        <f>_xlfn.XLOOKUP(L507,'[1]ID PROJECT'!E:E,'[1]ID PROJECT'!F:F)</f>
        <v xml:space="preserve">PRJ-KUT-KPU-TPED-2026-04-00071 </v>
      </c>
      <c r="AF507" s="13"/>
      <c r="AG507" s="13"/>
      <c r="AH507" s="65"/>
      <c r="AI507" s="27"/>
    </row>
    <row r="508" spans="1:35" hidden="1">
      <c r="A508" s="13" t="s">
        <v>706</v>
      </c>
      <c r="B508" s="13" t="str">
        <f>_xlfn.XLOOKUP(J508,'Master Data 14-9-2026'!C:C,'Master Data 14-9-2026'!D:D)</f>
        <v>Fajar Fabianto WX1529437</v>
      </c>
      <c r="C508" s="13"/>
      <c r="D508" s="13" t="str">
        <f>_xlfn.XLOOKUP(J508,'Master Data 14-9-2026'!C:C,'Master Data 14-9-2026'!E:E)</f>
        <v>XLSMART</v>
      </c>
      <c r="E508" s="13"/>
      <c r="F508" s="13"/>
      <c r="G508" s="13" t="s">
        <v>18</v>
      </c>
      <c r="H508" s="13" t="str">
        <f>_xlfn.XLOOKUP(J508,'Master Data 14-9-2026'!C:C,'Master Data 14-9-2026'!H:H)</f>
        <v>2026-07-23 - 2026-08-22</v>
      </c>
      <c r="I508" s="13" t="str">
        <f t="shared" si="7"/>
        <v>July</v>
      </c>
      <c r="J508" s="13" t="s">
        <v>1746</v>
      </c>
      <c r="K508" s="13" t="s">
        <v>1004</v>
      </c>
      <c r="L508" s="13" t="s">
        <v>441</v>
      </c>
      <c r="M508" s="15">
        <v>200003188255020</v>
      </c>
      <c r="N508" s="13" t="s">
        <v>924</v>
      </c>
      <c r="O508" s="13">
        <v>1.09120260710002E+17</v>
      </c>
      <c r="P508" s="13" t="s">
        <v>1598</v>
      </c>
      <c r="Q508" s="18">
        <v>138</v>
      </c>
      <c r="R508" s="18">
        <v>1</v>
      </c>
      <c r="S508" s="13">
        <v>8828132634</v>
      </c>
      <c r="T508" s="13" t="s">
        <v>978</v>
      </c>
      <c r="U508" s="19">
        <v>32542400</v>
      </c>
      <c r="V508" s="18">
        <v>1</v>
      </c>
      <c r="W508" s="18">
        <f>_xlfn.XLOOKUP(J508,'Master Data 14-9-2026'!C:C,'Master Data 14-9-2026'!L:L)</f>
        <v>0.5</v>
      </c>
      <c r="X508" s="23">
        <v>32542400</v>
      </c>
      <c r="Y508" s="13" t="s">
        <v>1599</v>
      </c>
      <c r="Z508" s="24" t="s">
        <v>33</v>
      </c>
      <c r="AA508" s="4" t="s">
        <v>1288</v>
      </c>
      <c r="AB508" s="13" t="s">
        <v>1289</v>
      </c>
      <c r="AC508" s="13"/>
      <c r="AD508" s="13"/>
      <c r="AE508" s="13" t="str">
        <f>_xlfn.XLOOKUP(L508,'[1]ID PROJECT'!E:E,'[1]ID PROJECT'!F:F)</f>
        <v xml:space="preserve">PRJ-KUT-KPU-TPED-2026-04-00071 </v>
      </c>
      <c r="AF508" s="13"/>
      <c r="AG508" s="13"/>
      <c r="AH508" s="65"/>
      <c r="AI508" s="27"/>
    </row>
    <row r="509" spans="1:35" hidden="1">
      <c r="A509" s="13" t="s">
        <v>704</v>
      </c>
      <c r="B509" s="13" t="str">
        <f>_xlfn.XLOOKUP(J509,'Master Data 14-9-2026'!C:C,'Master Data 14-9-2026'!D:D)</f>
        <v>Bayu Putra Anggoro WX1529648</v>
      </c>
      <c r="C509" s="13"/>
      <c r="D509" s="13" t="str">
        <f>_xlfn.XLOOKUP(J509,'Master Data 14-9-2026'!C:C,'Master Data 14-9-2026'!E:E)</f>
        <v>XLSMART</v>
      </c>
      <c r="E509" s="13"/>
      <c r="F509" s="13"/>
      <c r="G509" s="13" t="s">
        <v>18</v>
      </c>
      <c r="H509" s="13" t="str">
        <f>_xlfn.XLOOKUP(J509,'Master Data 14-9-2026'!C:C,'Master Data 14-9-2026'!H:H)</f>
        <v>2026-07-23 - 2026-08-22</v>
      </c>
      <c r="I509" s="13" t="str">
        <f t="shared" si="7"/>
        <v>July</v>
      </c>
      <c r="J509" s="13" t="s">
        <v>1747</v>
      </c>
      <c r="K509" s="13" t="s">
        <v>1004</v>
      </c>
      <c r="L509" s="13" t="s">
        <v>441</v>
      </c>
      <c r="M509" s="15">
        <v>200003188256020</v>
      </c>
      <c r="N509" s="13" t="s">
        <v>924</v>
      </c>
      <c r="O509" s="13">
        <v>1.09120260710002E+17</v>
      </c>
      <c r="P509" s="13" t="s">
        <v>1598</v>
      </c>
      <c r="Q509" s="18">
        <v>139</v>
      </c>
      <c r="R509" s="18">
        <v>1</v>
      </c>
      <c r="S509" s="13">
        <v>8828132634</v>
      </c>
      <c r="T509" s="13" t="s">
        <v>978</v>
      </c>
      <c r="U509" s="19">
        <v>32542400</v>
      </c>
      <c r="V509" s="18">
        <v>1</v>
      </c>
      <c r="W509" s="18">
        <f>_xlfn.XLOOKUP(J509,'Master Data 14-9-2026'!C:C,'Master Data 14-9-2026'!L:L)</f>
        <v>0.5</v>
      </c>
      <c r="X509" s="23">
        <v>32542400</v>
      </c>
      <c r="Y509" s="13" t="s">
        <v>1599</v>
      </c>
      <c r="Z509" s="24" t="s">
        <v>33</v>
      </c>
      <c r="AA509" s="4" t="s">
        <v>1288</v>
      </c>
      <c r="AB509" s="13"/>
      <c r="AC509" s="13"/>
      <c r="AD509" s="13"/>
      <c r="AE509" s="13" t="str">
        <f>_xlfn.XLOOKUP(L509,'[1]ID PROJECT'!E:E,'[1]ID PROJECT'!F:F)</f>
        <v xml:space="preserve">PRJ-KUT-KPU-TPED-2026-04-00071 </v>
      </c>
      <c r="AF509" s="13"/>
      <c r="AG509" s="13"/>
      <c r="AH509" s="65"/>
      <c r="AI509" s="27"/>
    </row>
    <row r="510" spans="1:35" hidden="1">
      <c r="A510" s="13" t="s">
        <v>696</v>
      </c>
      <c r="B510" s="13" t="str">
        <f>_xlfn.XLOOKUP(J510,'Master Data 14-9-2026'!C:C,'Master Data 14-9-2026'!D:D)</f>
        <v>DAVIT WX1529645</v>
      </c>
      <c r="C510" s="13"/>
      <c r="D510" s="13" t="str">
        <f>_xlfn.XLOOKUP(J510,'Master Data 14-9-2026'!C:C,'Master Data 14-9-2026'!E:E)</f>
        <v>XLSMART</v>
      </c>
      <c r="E510" s="13"/>
      <c r="F510" s="13"/>
      <c r="G510" s="13" t="s">
        <v>18</v>
      </c>
      <c r="H510" s="13" t="str">
        <f>_xlfn.XLOOKUP(J510,'Master Data 14-9-2026'!C:C,'Master Data 14-9-2026'!H:H)</f>
        <v>2026-07-23 - 2026-08-22</v>
      </c>
      <c r="I510" s="13" t="str">
        <f t="shared" si="7"/>
        <v>July</v>
      </c>
      <c r="J510" s="13" t="s">
        <v>1748</v>
      </c>
      <c r="K510" s="13" t="s">
        <v>1004</v>
      </c>
      <c r="L510" s="13" t="s">
        <v>441</v>
      </c>
      <c r="M510" s="15">
        <v>200003188257020</v>
      </c>
      <c r="N510" s="13" t="s">
        <v>924</v>
      </c>
      <c r="O510" s="13">
        <v>1.09120260710002E+17</v>
      </c>
      <c r="P510" s="13" t="s">
        <v>1598</v>
      </c>
      <c r="Q510" s="18">
        <v>140</v>
      </c>
      <c r="R510" s="18">
        <v>1</v>
      </c>
      <c r="S510" s="13">
        <v>8828132634</v>
      </c>
      <c r="T510" s="13" t="s">
        <v>978</v>
      </c>
      <c r="U510" s="19">
        <v>32542400</v>
      </c>
      <c r="V510" s="18">
        <v>1</v>
      </c>
      <c r="W510" s="18">
        <f>_xlfn.XLOOKUP(J510,'Master Data 14-9-2026'!C:C,'Master Data 14-9-2026'!L:L)</f>
        <v>0</v>
      </c>
      <c r="X510" s="23">
        <v>32542400</v>
      </c>
      <c r="Y510" s="13" t="s">
        <v>1599</v>
      </c>
      <c r="Z510" s="24" t="s">
        <v>33</v>
      </c>
      <c r="AA510" s="4" t="s">
        <v>1288</v>
      </c>
      <c r="AB510" s="40" t="s">
        <v>44</v>
      </c>
      <c r="AC510" s="13"/>
      <c r="AD510" s="13"/>
      <c r="AE510" s="13" t="str">
        <f>_xlfn.XLOOKUP(L510,'[1]ID PROJECT'!E:E,'[1]ID PROJECT'!F:F)</f>
        <v xml:space="preserve">PRJ-KUT-KPU-TPED-2026-04-00071 </v>
      </c>
      <c r="AF510" s="13"/>
      <c r="AG510" s="13"/>
      <c r="AH510" s="65"/>
      <c r="AI510" s="27"/>
    </row>
    <row r="511" spans="1:35" hidden="1">
      <c r="A511" s="13" t="s">
        <v>459</v>
      </c>
      <c r="B511" s="13" t="str">
        <f>_xlfn.XLOOKUP(J511,'Master Data 14-9-2026'!C:C,'Master Data 14-9-2026'!D:D)</f>
        <v>Leonard Ricardo Hutabarat wx1503633</v>
      </c>
      <c r="C511" s="13"/>
      <c r="D511" s="13" t="str">
        <f>_xlfn.XLOOKUP(J511,'Master Data 14-9-2026'!C:C,'Master Data 14-9-2026'!E:E)</f>
        <v>XLSMART</v>
      </c>
      <c r="E511" s="13"/>
      <c r="F511" s="13"/>
      <c r="G511" s="13" t="s">
        <v>28</v>
      </c>
      <c r="H511" s="13" t="str">
        <f>_xlfn.XLOOKUP(J511,'Master Data 14-9-2026'!C:C,'Master Data 14-9-2026'!H:H)</f>
        <v>2026-07-23 - 2026-08-22</v>
      </c>
      <c r="I511" s="13" t="str">
        <f t="shared" si="7"/>
        <v>July</v>
      </c>
      <c r="J511" s="13" t="s">
        <v>1749</v>
      </c>
      <c r="K511" s="13" t="s">
        <v>1004</v>
      </c>
      <c r="L511" s="13" t="s">
        <v>461</v>
      </c>
      <c r="M511" s="15">
        <v>200003135957020</v>
      </c>
      <c r="N511" s="13" t="s">
        <v>924</v>
      </c>
      <c r="O511" s="13">
        <v>1.09120260710002E+17</v>
      </c>
      <c r="P511" s="13" t="s">
        <v>1598</v>
      </c>
      <c r="Q511" s="18">
        <v>141</v>
      </c>
      <c r="R511" s="18">
        <v>1</v>
      </c>
      <c r="S511" s="13">
        <v>8828132636</v>
      </c>
      <c r="T511" s="13" t="s">
        <v>933</v>
      </c>
      <c r="U511" s="19">
        <v>36992000</v>
      </c>
      <c r="V511" s="18">
        <v>1</v>
      </c>
      <c r="W511" s="18">
        <f>_xlfn.XLOOKUP(J511,'Master Data 14-9-2026'!C:C,'Master Data 14-9-2026'!L:L)</f>
        <v>1.5</v>
      </c>
      <c r="X511" s="23">
        <v>36992000</v>
      </c>
      <c r="Y511" s="13" t="s">
        <v>1599</v>
      </c>
      <c r="Z511" s="24" t="s">
        <v>33</v>
      </c>
      <c r="AA511" s="4" t="s">
        <v>1288</v>
      </c>
      <c r="AB511" s="13" t="s">
        <v>1600</v>
      </c>
      <c r="AC511" s="13"/>
      <c r="AD511" s="13"/>
      <c r="AE511" s="13" t="str">
        <f>_xlfn.XLOOKUP(L511,'[1]ID PROJECT'!E:E,'[1]ID PROJECT'!F:F)</f>
        <v>PRJ-KUT-KPU-TPED-2026-04-00078</v>
      </c>
      <c r="AF511" s="13"/>
      <c r="AG511" s="13"/>
      <c r="AH511" s="65"/>
      <c r="AI511" s="27"/>
    </row>
    <row r="512" spans="1:35" hidden="1">
      <c r="A512" s="13" t="s">
        <v>473</v>
      </c>
      <c r="B512" s="13" t="str">
        <f>_xlfn.XLOOKUP(J512,'Master Data 14-9-2026'!C:C,'Master Data 14-9-2026'!D:D)</f>
        <v>Risman Nurjaman wx1503969</v>
      </c>
      <c r="C512" s="13"/>
      <c r="D512" s="13" t="str">
        <f>_xlfn.XLOOKUP(J512,'Master Data 14-9-2026'!C:C,'Master Data 14-9-2026'!E:E)</f>
        <v>XLSMART</v>
      </c>
      <c r="E512" s="13"/>
      <c r="F512" s="13"/>
      <c r="G512" s="13" t="s">
        <v>28</v>
      </c>
      <c r="H512" s="13" t="str">
        <f>_xlfn.XLOOKUP(J512,'Master Data 14-9-2026'!C:C,'Master Data 14-9-2026'!H:H)</f>
        <v>2026-07-23 - 2026-08-22</v>
      </c>
      <c r="I512" s="13" t="str">
        <f t="shared" si="7"/>
        <v>July</v>
      </c>
      <c r="J512" s="13" t="s">
        <v>1750</v>
      </c>
      <c r="K512" s="13" t="s">
        <v>1004</v>
      </c>
      <c r="L512" s="13" t="s">
        <v>475</v>
      </c>
      <c r="M512" s="15">
        <v>200003135958020</v>
      </c>
      <c r="N512" s="13" t="s">
        <v>924</v>
      </c>
      <c r="O512" s="13">
        <v>1.09120260710002E+17</v>
      </c>
      <c r="P512" s="13" t="s">
        <v>1598</v>
      </c>
      <c r="Q512" s="18">
        <v>142</v>
      </c>
      <c r="R512" s="18">
        <v>1</v>
      </c>
      <c r="S512" s="13">
        <v>8828132636</v>
      </c>
      <c r="T512" s="13" t="s">
        <v>933</v>
      </c>
      <c r="U512" s="19">
        <v>36992000</v>
      </c>
      <c r="V512" s="18">
        <v>1</v>
      </c>
      <c r="W512" s="18">
        <f>_xlfn.XLOOKUP(J512,'Master Data 14-9-2026'!C:C,'Master Data 14-9-2026'!L:L)</f>
        <v>1.5</v>
      </c>
      <c r="X512" s="23">
        <v>36992000</v>
      </c>
      <c r="Y512" s="13" t="s">
        <v>1599</v>
      </c>
      <c r="Z512" s="24" t="s">
        <v>33</v>
      </c>
      <c r="AA512" s="4" t="s">
        <v>1288</v>
      </c>
      <c r="AB512" s="13" t="s">
        <v>1600</v>
      </c>
      <c r="AC512" s="13"/>
      <c r="AD512" s="13"/>
      <c r="AE512" s="13" t="str">
        <f>_xlfn.XLOOKUP(L512,'[1]ID PROJECT'!E:E,'[1]ID PROJECT'!F:F)</f>
        <v>PRJ-KUT-KPU-TPED-2026-04-00074</v>
      </c>
      <c r="AF512" s="13"/>
      <c r="AG512" s="13"/>
      <c r="AH512" s="65"/>
      <c r="AI512" s="27"/>
    </row>
    <row r="513" spans="1:35" hidden="1">
      <c r="A513" s="13" t="s">
        <v>478</v>
      </c>
      <c r="B513" s="13" t="str">
        <f>_xlfn.XLOOKUP(J513,'Master Data 14-9-2026'!C:C,'Master Data 14-9-2026'!D:D)</f>
        <v>Dewi Nur Annisa wx1503631</v>
      </c>
      <c r="C513" s="13"/>
      <c r="D513" s="13" t="str">
        <f>_xlfn.XLOOKUP(J513,'Master Data 14-9-2026'!C:C,'Master Data 14-9-2026'!E:E)</f>
        <v>XLSMART</v>
      </c>
      <c r="E513" s="13"/>
      <c r="F513" s="13"/>
      <c r="G513" s="13" t="s">
        <v>28</v>
      </c>
      <c r="H513" s="13" t="str">
        <f>_xlfn.XLOOKUP(J513,'Master Data 14-9-2026'!C:C,'Master Data 14-9-2026'!H:H)</f>
        <v>2026-07-25 - 2026-08-24</v>
      </c>
      <c r="I513" s="13" t="str">
        <f t="shared" si="7"/>
        <v>July</v>
      </c>
      <c r="J513" s="13" t="s">
        <v>1751</v>
      </c>
      <c r="K513" s="13" t="s">
        <v>1004</v>
      </c>
      <c r="L513" s="13" t="s">
        <v>461</v>
      </c>
      <c r="M513" s="15">
        <v>200003135959020</v>
      </c>
      <c r="N513" s="13" t="s">
        <v>924</v>
      </c>
      <c r="O513" s="13">
        <v>1.09120260710002E+17</v>
      </c>
      <c r="P513" s="13" t="s">
        <v>1598</v>
      </c>
      <c r="Q513" s="18">
        <v>143</v>
      </c>
      <c r="R513" s="18">
        <v>1</v>
      </c>
      <c r="S513" s="13">
        <v>8828132636</v>
      </c>
      <c r="T513" s="13" t="s">
        <v>933</v>
      </c>
      <c r="U513" s="19">
        <v>36992000</v>
      </c>
      <c r="V513" s="18">
        <v>1</v>
      </c>
      <c r="W513" s="18">
        <f>_xlfn.XLOOKUP(J513,'Master Data 14-9-2026'!C:C,'Master Data 14-9-2026'!L:L)</f>
        <v>1.1000000000000001</v>
      </c>
      <c r="X513" s="23">
        <v>36992000</v>
      </c>
      <c r="Y513" s="13" t="s">
        <v>1599</v>
      </c>
      <c r="Z513" s="24" t="s">
        <v>33</v>
      </c>
      <c r="AA513" s="4" t="s">
        <v>1288</v>
      </c>
      <c r="AB513" s="13" t="s">
        <v>1289</v>
      </c>
      <c r="AC513" s="13"/>
      <c r="AD513" s="13"/>
      <c r="AE513" s="13" t="str">
        <f>_xlfn.XLOOKUP(L513,'[1]ID PROJECT'!E:E,'[1]ID PROJECT'!F:F)</f>
        <v>PRJ-KUT-KPU-TPED-2026-04-00078</v>
      </c>
      <c r="AF513" s="13"/>
      <c r="AG513" s="13"/>
      <c r="AH513" s="65"/>
      <c r="AI513" s="27"/>
    </row>
    <row r="514" spans="1:35" hidden="1">
      <c r="A514" s="13" t="s">
        <v>444</v>
      </c>
      <c r="B514" s="13" t="str">
        <f>_xlfn.XLOOKUP(J514,'Master Data 14-9-2026'!C:C,'Master Data 14-9-2026'!D:D)</f>
        <v>Febby Ramadhan Ahmad Suhandi wx1503968</v>
      </c>
      <c r="C514" s="13"/>
      <c r="D514" s="13" t="str">
        <f>_xlfn.XLOOKUP(J514,'Master Data 14-9-2026'!C:C,'Master Data 14-9-2026'!E:E)</f>
        <v>XLSMART</v>
      </c>
      <c r="E514" s="13"/>
      <c r="F514" s="13"/>
      <c r="G514" s="13" t="s">
        <v>28</v>
      </c>
      <c r="H514" s="13" t="str">
        <f>_xlfn.XLOOKUP(J514,'Master Data 14-9-2026'!C:C,'Master Data 14-9-2026'!H:H)</f>
        <v>2026-07-25 - 2026-08-24</v>
      </c>
      <c r="I514" s="13" t="str">
        <f t="shared" si="7"/>
        <v>July</v>
      </c>
      <c r="J514" s="13" t="s">
        <v>1752</v>
      </c>
      <c r="K514" s="13" t="s">
        <v>1004</v>
      </c>
      <c r="L514" s="13" t="s">
        <v>441</v>
      </c>
      <c r="M514" s="15">
        <v>200003135960020</v>
      </c>
      <c r="N514" s="13" t="s">
        <v>924</v>
      </c>
      <c r="O514" s="13">
        <v>1.09120260710002E+17</v>
      </c>
      <c r="P514" s="13" t="s">
        <v>1598</v>
      </c>
      <c r="Q514" s="18">
        <v>144</v>
      </c>
      <c r="R514" s="18">
        <v>1</v>
      </c>
      <c r="S514" s="13">
        <v>8828132636</v>
      </c>
      <c r="T514" s="13" t="s">
        <v>933</v>
      </c>
      <c r="U514" s="19">
        <v>36992000</v>
      </c>
      <c r="V514" s="18">
        <v>1</v>
      </c>
      <c r="W514" s="18">
        <f>_xlfn.XLOOKUP(J514,'Master Data 14-9-2026'!C:C,'Master Data 14-9-2026'!L:L)</f>
        <v>1.5</v>
      </c>
      <c r="X514" s="23">
        <v>36992000</v>
      </c>
      <c r="Y514" s="13" t="s">
        <v>1599</v>
      </c>
      <c r="Z514" s="24" t="s">
        <v>33</v>
      </c>
      <c r="AA514" s="4" t="s">
        <v>1288</v>
      </c>
      <c r="AB514" s="13" t="s">
        <v>1600</v>
      </c>
      <c r="AC514" s="13"/>
      <c r="AD514" s="13"/>
      <c r="AE514" s="13" t="str">
        <f>_xlfn.XLOOKUP(L514,'[1]ID PROJECT'!E:E,'[1]ID PROJECT'!F:F)</f>
        <v xml:space="preserve">PRJ-KUT-KPU-TPED-2026-04-00071 </v>
      </c>
      <c r="AF514" s="13"/>
      <c r="AG514" s="13"/>
      <c r="AH514" s="65"/>
      <c r="AI514" s="27"/>
    </row>
    <row r="515" spans="1:35" hidden="1">
      <c r="A515" s="13" t="s">
        <v>469</v>
      </c>
      <c r="B515" s="13" t="str">
        <f>_xlfn.XLOOKUP(J515,'Master Data 14-9-2026'!C:C,'Master Data 14-9-2026'!D:D)</f>
        <v>Heri Kusnanto wx1503971</v>
      </c>
      <c r="C515" s="13"/>
      <c r="D515" s="13" t="str">
        <f>_xlfn.XLOOKUP(J515,'Master Data 14-9-2026'!C:C,'Master Data 14-9-2026'!E:E)</f>
        <v>XLSMART</v>
      </c>
      <c r="E515" s="13"/>
      <c r="F515" s="13"/>
      <c r="G515" s="13" t="s">
        <v>28</v>
      </c>
      <c r="H515" s="13" t="str">
        <f>_xlfn.XLOOKUP(J515,'Master Data 14-9-2026'!C:C,'Master Data 14-9-2026'!H:H)</f>
        <v>2026-07-26 - 2026-08-25</v>
      </c>
      <c r="I515" s="13" t="str">
        <f t="shared" ref="I515:I578" si="8">TEXT(DATEVALUE(LEFT(H515,10)),"mmmm")</f>
        <v>July</v>
      </c>
      <c r="J515" s="13" t="s">
        <v>1753</v>
      </c>
      <c r="K515" s="13" t="s">
        <v>1004</v>
      </c>
      <c r="L515" s="13" t="s">
        <v>441</v>
      </c>
      <c r="M515" s="15">
        <v>200003135961020</v>
      </c>
      <c r="N515" s="13" t="s">
        <v>924</v>
      </c>
      <c r="O515" s="13">
        <v>1.09120260710002E+17</v>
      </c>
      <c r="P515" s="13" t="s">
        <v>1598</v>
      </c>
      <c r="Q515" s="18">
        <v>145</v>
      </c>
      <c r="R515" s="18">
        <v>1</v>
      </c>
      <c r="S515" s="13">
        <v>8828132636</v>
      </c>
      <c r="T515" s="13" t="s">
        <v>933</v>
      </c>
      <c r="U515" s="19">
        <v>36992000</v>
      </c>
      <c r="V515" s="18">
        <v>1</v>
      </c>
      <c r="W515" s="18">
        <f>_xlfn.XLOOKUP(J515,'Master Data 14-9-2026'!C:C,'Master Data 14-9-2026'!L:L)</f>
        <v>1.5</v>
      </c>
      <c r="X515" s="23">
        <v>36992000</v>
      </c>
      <c r="Y515" s="13" t="s">
        <v>1599</v>
      </c>
      <c r="Z515" s="24" t="s">
        <v>33</v>
      </c>
      <c r="AA515" s="4" t="s">
        <v>1288</v>
      </c>
      <c r="AB515" s="13" t="s">
        <v>1600</v>
      </c>
      <c r="AC515" s="13"/>
      <c r="AD515" s="13"/>
      <c r="AE515" s="13" t="str">
        <f>_xlfn.XLOOKUP(L515,'[1]ID PROJECT'!E:E,'[1]ID PROJECT'!F:F)</f>
        <v xml:space="preserve">PRJ-KUT-KPU-TPED-2026-04-00071 </v>
      </c>
      <c r="AF515" s="13"/>
      <c r="AG515" s="13"/>
      <c r="AH515" s="65"/>
      <c r="AI515" s="27"/>
    </row>
    <row r="516" spans="1:35" hidden="1">
      <c r="A516" s="13" t="s">
        <v>508</v>
      </c>
      <c r="B516" s="13" t="str">
        <f>_xlfn.XLOOKUP(J516,'Master Data 14-9-2026'!C:C,'Master Data 14-9-2026'!D:D)</f>
        <v>Herni Peruzi wx1503973</v>
      </c>
      <c r="C516" s="13"/>
      <c r="D516" s="13" t="str">
        <f>_xlfn.XLOOKUP(J516,'Master Data 14-9-2026'!C:C,'Master Data 14-9-2026'!E:E)</f>
        <v>XLSMART</v>
      </c>
      <c r="E516" s="13"/>
      <c r="F516" s="13"/>
      <c r="G516" s="13" t="s">
        <v>28</v>
      </c>
      <c r="H516" s="13" t="str">
        <f>_xlfn.XLOOKUP(J516,'Master Data 14-9-2026'!C:C,'Master Data 14-9-2026'!H:H)</f>
        <v>2026-07-30 - 2026-08-29</v>
      </c>
      <c r="I516" s="13" t="str">
        <f t="shared" si="8"/>
        <v>July</v>
      </c>
      <c r="J516" s="13" t="s">
        <v>1754</v>
      </c>
      <c r="K516" s="13" t="s">
        <v>1004</v>
      </c>
      <c r="L516" s="13" t="s">
        <v>441</v>
      </c>
      <c r="M516" s="15">
        <v>200003135962020</v>
      </c>
      <c r="N516" s="13" t="s">
        <v>924</v>
      </c>
      <c r="O516" s="13">
        <v>1.09120260710002E+17</v>
      </c>
      <c r="P516" s="13" t="s">
        <v>1598</v>
      </c>
      <c r="Q516" s="18">
        <v>146</v>
      </c>
      <c r="R516" s="18">
        <v>1</v>
      </c>
      <c r="S516" s="13">
        <v>8828132636</v>
      </c>
      <c r="T516" s="13" t="s">
        <v>933</v>
      </c>
      <c r="U516" s="19">
        <v>36992000</v>
      </c>
      <c r="V516" s="18">
        <v>1</v>
      </c>
      <c r="W516" s="18">
        <f>_xlfn.XLOOKUP(J516,'Master Data 14-9-2026'!C:C,'Master Data 14-9-2026'!L:L)</f>
        <v>1.5</v>
      </c>
      <c r="X516" s="23">
        <v>36992000</v>
      </c>
      <c r="Y516" s="13" t="s">
        <v>1599</v>
      </c>
      <c r="Z516" s="24" t="s">
        <v>33</v>
      </c>
      <c r="AA516" s="4" t="s">
        <v>1288</v>
      </c>
      <c r="AB516" s="13" t="s">
        <v>1600</v>
      </c>
      <c r="AC516" s="13"/>
      <c r="AD516" s="13"/>
      <c r="AE516" s="13" t="str">
        <f>_xlfn.XLOOKUP(L516,'[1]ID PROJECT'!E:E,'[1]ID PROJECT'!F:F)</f>
        <v xml:space="preserve">PRJ-KUT-KPU-TPED-2026-04-00071 </v>
      </c>
      <c r="AF516" s="13"/>
      <c r="AG516" s="13"/>
      <c r="AH516" s="65"/>
      <c r="AI516" s="27"/>
    </row>
    <row r="517" spans="1:35" hidden="1">
      <c r="A517" s="13" t="s">
        <v>583</v>
      </c>
      <c r="B517" s="13" t="str">
        <f>_xlfn.XLOOKUP(J517,'Master Data 14-9-2026'!C:C,'Master Data 14-9-2026'!D:D)</f>
        <v>Jepri Hamonangan Saragih wx1504646</v>
      </c>
      <c r="C517" s="13"/>
      <c r="D517" s="13" t="str">
        <f>_xlfn.XLOOKUP(J517,'Master Data 14-9-2026'!C:C,'Master Data 14-9-2026'!E:E)</f>
        <v>XLSMART</v>
      </c>
      <c r="E517" s="13"/>
      <c r="F517" s="13"/>
      <c r="G517" s="13" t="s">
        <v>28</v>
      </c>
      <c r="H517" s="13" t="str">
        <f>_xlfn.XLOOKUP(J517,'Master Data 14-9-2026'!C:C,'Master Data 14-9-2026'!H:H)</f>
        <v>2026-07-23 - 2026-08-22</v>
      </c>
      <c r="I517" s="13" t="str">
        <f t="shared" si="8"/>
        <v>July</v>
      </c>
      <c r="J517" s="13" t="s">
        <v>1755</v>
      </c>
      <c r="K517" s="13" t="s">
        <v>1004</v>
      </c>
      <c r="L517" s="13" t="s">
        <v>461</v>
      </c>
      <c r="M517" s="15">
        <v>200003135966020</v>
      </c>
      <c r="N517" s="13" t="s">
        <v>924</v>
      </c>
      <c r="O517" s="13">
        <v>1.09120260710002E+17</v>
      </c>
      <c r="P517" s="13" t="s">
        <v>1598</v>
      </c>
      <c r="Q517" s="18">
        <v>147</v>
      </c>
      <c r="R517" s="18">
        <v>1</v>
      </c>
      <c r="S517" s="13">
        <v>8828132634</v>
      </c>
      <c r="T517" s="13" t="s">
        <v>978</v>
      </c>
      <c r="U517" s="19">
        <v>32542400</v>
      </c>
      <c r="V517" s="18">
        <v>1</v>
      </c>
      <c r="W517" s="18">
        <f>_xlfn.XLOOKUP(J517,'Master Data 14-9-2026'!C:C,'Master Data 14-9-2026'!L:L)</f>
        <v>0.5</v>
      </c>
      <c r="X517" s="23">
        <v>32542400</v>
      </c>
      <c r="Y517" s="13" t="s">
        <v>1599</v>
      </c>
      <c r="Z517" s="24" t="s">
        <v>33</v>
      </c>
      <c r="AA517" s="4" t="s">
        <v>1288</v>
      </c>
      <c r="AB517" s="13"/>
      <c r="AC517" s="13"/>
      <c r="AD517" s="13"/>
      <c r="AE517" s="13" t="str">
        <f>_xlfn.XLOOKUP(L517,'[1]ID PROJECT'!E:E,'[1]ID PROJECT'!F:F)</f>
        <v>PRJ-KUT-KPU-TPED-2026-04-00078</v>
      </c>
      <c r="AF517" s="13"/>
      <c r="AG517" s="13"/>
      <c r="AH517" s="65"/>
      <c r="AI517" s="27"/>
    </row>
    <row r="518" spans="1:35" hidden="1">
      <c r="A518" s="13" t="s">
        <v>680</v>
      </c>
      <c r="B518" s="13" t="str">
        <f>_xlfn.XLOOKUP(J518,'Master Data 14-9-2026'!C:C,'Master Data 14-9-2026'!D:D)</f>
        <v>Agung Priyono WX1529427</v>
      </c>
      <c r="C518" s="13"/>
      <c r="D518" s="13" t="str">
        <f>_xlfn.XLOOKUP(J518,'Master Data 14-9-2026'!C:C,'Master Data 14-9-2026'!E:E)</f>
        <v>XLSMART</v>
      </c>
      <c r="E518" s="13"/>
      <c r="F518" s="13"/>
      <c r="G518" s="13" t="s">
        <v>18</v>
      </c>
      <c r="H518" s="13" t="str">
        <f>_xlfn.XLOOKUP(J518,'Master Data 14-9-2026'!C:C,'Master Data 14-9-2026'!H:H)</f>
        <v>2026-07-24 - 2026-08-23</v>
      </c>
      <c r="I518" s="13" t="str">
        <f t="shared" si="8"/>
        <v>July</v>
      </c>
      <c r="J518" s="13" t="s">
        <v>1756</v>
      </c>
      <c r="K518" s="13" t="s">
        <v>1004</v>
      </c>
      <c r="L518" s="13" t="s">
        <v>441</v>
      </c>
      <c r="M518" s="15">
        <v>200003188258020</v>
      </c>
      <c r="N518" s="13" t="s">
        <v>924</v>
      </c>
      <c r="O518" s="13">
        <v>1.09120260710002E+17</v>
      </c>
      <c r="P518" s="13" t="s">
        <v>1598</v>
      </c>
      <c r="Q518" s="18">
        <v>148</v>
      </c>
      <c r="R518" s="18">
        <v>1</v>
      </c>
      <c r="S518" s="13">
        <v>8828132634</v>
      </c>
      <c r="T518" s="13" t="s">
        <v>978</v>
      </c>
      <c r="U518" s="19">
        <v>32542400</v>
      </c>
      <c r="V518" s="18">
        <v>1</v>
      </c>
      <c r="W518" s="18">
        <f>_xlfn.XLOOKUP(J518,'Master Data 14-9-2026'!C:C,'Master Data 14-9-2026'!L:L)</f>
        <v>0.75</v>
      </c>
      <c r="X518" s="23">
        <v>32542400</v>
      </c>
      <c r="Y518" s="13" t="s">
        <v>1599</v>
      </c>
      <c r="Z518" s="24" t="s">
        <v>33</v>
      </c>
      <c r="AA518" s="4" t="s">
        <v>1288</v>
      </c>
      <c r="AB518" s="13" t="s">
        <v>1289</v>
      </c>
      <c r="AC518" s="13"/>
      <c r="AD518" s="13"/>
      <c r="AE518" s="13" t="str">
        <f>_xlfn.XLOOKUP(L518,'[1]ID PROJECT'!E:E,'[1]ID PROJECT'!F:F)</f>
        <v xml:space="preserve">PRJ-KUT-KPU-TPED-2026-04-00071 </v>
      </c>
      <c r="AF518" s="13"/>
      <c r="AG518" s="13"/>
      <c r="AH518" s="65"/>
      <c r="AI518" s="27"/>
    </row>
    <row r="519" spans="1:35" hidden="1">
      <c r="A519" s="13" t="s">
        <v>672</v>
      </c>
      <c r="B519" s="13" t="str">
        <f>_xlfn.XLOOKUP(J519,'Master Data 14-9-2026'!C:C,'Master Data 14-9-2026'!D:D)</f>
        <v>BAGUS PRAKOSO WX1529647</v>
      </c>
      <c r="C519" s="13"/>
      <c r="D519" s="13" t="str">
        <f>_xlfn.XLOOKUP(J519,'Master Data 14-9-2026'!C:C,'Master Data 14-9-2026'!E:E)</f>
        <v>XLSMART</v>
      </c>
      <c r="E519" s="13"/>
      <c r="F519" s="13"/>
      <c r="G519" s="13" t="s">
        <v>18</v>
      </c>
      <c r="H519" s="13" t="str">
        <f>_xlfn.XLOOKUP(J519,'Master Data 14-9-2026'!C:C,'Master Data 14-9-2026'!H:H)</f>
        <v>2026-07-24 - 2026-08-23</v>
      </c>
      <c r="I519" s="13" t="str">
        <f t="shared" si="8"/>
        <v>July</v>
      </c>
      <c r="J519" s="13" t="s">
        <v>1757</v>
      </c>
      <c r="K519" s="13" t="s">
        <v>1004</v>
      </c>
      <c r="L519" s="13" t="s">
        <v>441</v>
      </c>
      <c r="M519" s="15">
        <v>200003188259020</v>
      </c>
      <c r="N519" s="13" t="s">
        <v>924</v>
      </c>
      <c r="O519" s="13">
        <v>1.09120260710002E+17</v>
      </c>
      <c r="P519" s="13" t="s">
        <v>1598</v>
      </c>
      <c r="Q519" s="18">
        <v>149</v>
      </c>
      <c r="R519" s="18">
        <v>1</v>
      </c>
      <c r="S519" s="13">
        <v>8828132634</v>
      </c>
      <c r="T519" s="13" t="s">
        <v>978</v>
      </c>
      <c r="U519" s="19">
        <v>32542400</v>
      </c>
      <c r="V519" s="18">
        <v>1</v>
      </c>
      <c r="W519" s="18">
        <f>_xlfn.XLOOKUP(J519,'Master Data 14-9-2026'!C:C,'Master Data 14-9-2026'!L:L)</f>
        <v>0.5</v>
      </c>
      <c r="X519" s="23">
        <v>32542400</v>
      </c>
      <c r="Y519" s="13" t="s">
        <v>1599</v>
      </c>
      <c r="Z519" s="24" t="s">
        <v>33</v>
      </c>
      <c r="AA519" s="4" t="s">
        <v>1288</v>
      </c>
      <c r="AB519" s="13"/>
      <c r="AC519" s="13"/>
      <c r="AD519" s="13"/>
      <c r="AE519" s="13" t="str">
        <f>_xlfn.XLOOKUP(L519,'[1]ID PROJECT'!E:E,'[1]ID PROJECT'!F:F)</f>
        <v xml:space="preserve">PRJ-KUT-KPU-TPED-2026-04-00071 </v>
      </c>
      <c r="AF519" s="13"/>
      <c r="AG519" s="13"/>
      <c r="AH519" s="65"/>
      <c r="AI519" s="27"/>
    </row>
    <row r="520" spans="1:35" hidden="1">
      <c r="A520" s="13" t="s">
        <v>664</v>
      </c>
      <c r="B520" s="13" t="str">
        <f>_xlfn.XLOOKUP(J520,'Master Data 14-9-2026'!C:C,'Master Data 14-9-2026'!D:D)</f>
        <v>CESAR MANUEL WX1530061</v>
      </c>
      <c r="C520" s="13"/>
      <c r="D520" s="13" t="str">
        <f>_xlfn.XLOOKUP(J520,'Master Data 14-9-2026'!C:C,'Master Data 14-9-2026'!E:E)</f>
        <v>XLSMART</v>
      </c>
      <c r="E520" s="13"/>
      <c r="F520" s="13"/>
      <c r="G520" s="13" t="s">
        <v>18</v>
      </c>
      <c r="H520" s="13" t="str">
        <f>_xlfn.XLOOKUP(J520,'Master Data 14-9-2026'!C:C,'Master Data 14-9-2026'!H:H)</f>
        <v>2026-07-24 - 2026-08-23</v>
      </c>
      <c r="I520" s="13" t="str">
        <f t="shared" si="8"/>
        <v>July</v>
      </c>
      <c r="J520" s="13" t="s">
        <v>1758</v>
      </c>
      <c r="K520" s="13" t="s">
        <v>1004</v>
      </c>
      <c r="L520" s="13" t="s">
        <v>441</v>
      </c>
      <c r="M520" s="15">
        <v>200003188260020</v>
      </c>
      <c r="N520" s="13" t="s">
        <v>924</v>
      </c>
      <c r="O520" s="13">
        <v>1.09120260710002E+17</v>
      </c>
      <c r="P520" s="13" t="s">
        <v>1598</v>
      </c>
      <c r="Q520" s="18">
        <v>150</v>
      </c>
      <c r="R520" s="18">
        <v>1</v>
      </c>
      <c r="S520" s="13">
        <v>8828132634</v>
      </c>
      <c r="T520" s="13" t="s">
        <v>978</v>
      </c>
      <c r="U520" s="19">
        <v>32542400</v>
      </c>
      <c r="V520" s="18">
        <v>1</v>
      </c>
      <c r="W520" s="18">
        <f>_xlfn.XLOOKUP(J520,'Master Data 14-9-2026'!C:C,'Master Data 14-9-2026'!L:L)</f>
        <v>0.5</v>
      </c>
      <c r="X520" s="23">
        <v>32542400</v>
      </c>
      <c r="Y520" s="13" t="s">
        <v>1599</v>
      </c>
      <c r="Z520" s="24" t="s">
        <v>33</v>
      </c>
      <c r="AA520" s="4" t="s">
        <v>1288</v>
      </c>
      <c r="AB520" s="13" t="s">
        <v>1289</v>
      </c>
      <c r="AC520" s="13"/>
      <c r="AD520" s="13"/>
      <c r="AE520" s="13" t="str">
        <f>_xlfn.XLOOKUP(L520,'[1]ID PROJECT'!E:E,'[1]ID PROJECT'!F:F)</f>
        <v xml:space="preserve">PRJ-KUT-KPU-TPED-2026-04-00071 </v>
      </c>
      <c r="AF520" s="13"/>
      <c r="AG520" s="13"/>
      <c r="AH520" s="65"/>
      <c r="AI520" s="27"/>
    </row>
    <row r="521" spans="1:35" hidden="1">
      <c r="A521" s="13" t="s">
        <v>656</v>
      </c>
      <c r="B521" s="13" t="str">
        <f>_xlfn.XLOOKUP(J521,'Master Data 14-9-2026'!C:C,'Master Data 14-9-2026'!D:D)</f>
        <v>Puad Maulana WX1530067</v>
      </c>
      <c r="C521" s="13"/>
      <c r="D521" s="13" t="str">
        <f>_xlfn.XLOOKUP(J521,'Master Data 14-9-2026'!C:C,'Master Data 14-9-2026'!E:E)</f>
        <v>XLSMART</v>
      </c>
      <c r="E521" s="13"/>
      <c r="F521" s="13"/>
      <c r="G521" s="13" t="s">
        <v>18</v>
      </c>
      <c r="H521" s="13" t="str">
        <f>_xlfn.XLOOKUP(J521,'Master Data 14-9-2026'!C:C,'Master Data 14-9-2026'!H:H)</f>
        <v>2026-07-24 - 2026-08-23</v>
      </c>
      <c r="I521" s="13" t="str">
        <f t="shared" si="8"/>
        <v>July</v>
      </c>
      <c r="J521" s="13" t="s">
        <v>1759</v>
      </c>
      <c r="K521" s="13" t="s">
        <v>1004</v>
      </c>
      <c r="L521" s="13" t="s">
        <v>441</v>
      </c>
      <c r="M521" s="15">
        <v>200003188261020</v>
      </c>
      <c r="N521" s="13" t="s">
        <v>924</v>
      </c>
      <c r="O521" s="13">
        <v>1.09120260710002E+17</v>
      </c>
      <c r="P521" s="13" t="s">
        <v>1598</v>
      </c>
      <c r="Q521" s="18">
        <v>151</v>
      </c>
      <c r="R521" s="18">
        <v>1</v>
      </c>
      <c r="S521" s="13">
        <v>8828132634</v>
      </c>
      <c r="T521" s="13" t="s">
        <v>978</v>
      </c>
      <c r="U521" s="19">
        <v>32542400</v>
      </c>
      <c r="V521" s="18">
        <v>1</v>
      </c>
      <c r="W521" s="18">
        <f>_xlfn.XLOOKUP(J521,'Master Data 14-9-2026'!C:C,'Master Data 14-9-2026'!L:L)</f>
        <v>0.5</v>
      </c>
      <c r="X521" s="23">
        <v>32542400</v>
      </c>
      <c r="Y521" s="13" t="s">
        <v>1599</v>
      </c>
      <c r="Z521" s="24" t="s">
        <v>33</v>
      </c>
      <c r="AA521" s="4" t="s">
        <v>1288</v>
      </c>
      <c r="AB521" s="13" t="s">
        <v>1289</v>
      </c>
      <c r="AC521" s="13"/>
      <c r="AD521" s="13"/>
      <c r="AE521" s="13" t="str">
        <f>_xlfn.XLOOKUP(L521,'[1]ID PROJECT'!E:E,'[1]ID PROJECT'!F:F)</f>
        <v xml:space="preserve">PRJ-KUT-KPU-TPED-2026-04-00071 </v>
      </c>
      <c r="AF521" s="13"/>
      <c r="AG521" s="13"/>
      <c r="AH521" s="65"/>
      <c r="AI521" s="27"/>
    </row>
    <row r="522" spans="1:35" hidden="1">
      <c r="A522" s="13" t="s">
        <v>654</v>
      </c>
      <c r="B522" s="13" t="str">
        <f>_xlfn.XLOOKUP(J522,'Master Data 14-9-2026'!C:C,'Master Data 14-9-2026'!D:D)</f>
        <v>Susanto WX1530064</v>
      </c>
      <c r="C522" s="13"/>
      <c r="D522" s="13" t="str">
        <f>_xlfn.XLOOKUP(J522,'Master Data 14-9-2026'!C:C,'Master Data 14-9-2026'!E:E)</f>
        <v>XLSMART</v>
      </c>
      <c r="E522" s="13"/>
      <c r="F522" s="13"/>
      <c r="G522" s="13" t="s">
        <v>18</v>
      </c>
      <c r="H522" s="13" t="str">
        <f>_xlfn.XLOOKUP(J522,'Master Data 14-9-2026'!C:C,'Master Data 14-9-2026'!H:H)</f>
        <v>2026-07-25 - 2026-08-24</v>
      </c>
      <c r="I522" s="13" t="str">
        <f t="shared" si="8"/>
        <v>July</v>
      </c>
      <c r="J522" s="13" t="s">
        <v>1760</v>
      </c>
      <c r="K522" s="13" t="s">
        <v>1004</v>
      </c>
      <c r="L522" s="13" t="s">
        <v>441</v>
      </c>
      <c r="M522" s="15">
        <v>200003188262020</v>
      </c>
      <c r="N522" s="13" t="s">
        <v>924</v>
      </c>
      <c r="O522" s="13">
        <v>1.09120260710002E+17</v>
      </c>
      <c r="P522" s="13" t="s">
        <v>1598</v>
      </c>
      <c r="Q522" s="18">
        <v>152</v>
      </c>
      <c r="R522" s="18">
        <v>1</v>
      </c>
      <c r="S522" s="13">
        <v>8828132634</v>
      </c>
      <c r="T522" s="13" t="s">
        <v>978</v>
      </c>
      <c r="U522" s="19">
        <v>32542400</v>
      </c>
      <c r="V522" s="18">
        <v>1</v>
      </c>
      <c r="W522" s="18">
        <f>_xlfn.XLOOKUP(J522,'Master Data 14-9-2026'!C:C,'Master Data 14-9-2026'!L:L)</f>
        <v>0.5</v>
      </c>
      <c r="X522" s="23">
        <v>32542400</v>
      </c>
      <c r="Y522" s="13" t="s">
        <v>1599</v>
      </c>
      <c r="Z522" s="24" t="s">
        <v>33</v>
      </c>
      <c r="AA522" s="4" t="s">
        <v>1288</v>
      </c>
      <c r="AB522" s="13"/>
      <c r="AC522" s="13"/>
      <c r="AD522" s="13"/>
      <c r="AE522" s="13" t="str">
        <f>_xlfn.XLOOKUP(L522,'[1]ID PROJECT'!E:E,'[1]ID PROJECT'!F:F)</f>
        <v xml:space="preserve">PRJ-KUT-KPU-TPED-2026-04-00071 </v>
      </c>
      <c r="AF522" s="13"/>
      <c r="AG522" s="13"/>
      <c r="AH522" s="65"/>
      <c r="AI522" s="27"/>
    </row>
    <row r="523" spans="1:35" hidden="1">
      <c r="A523" s="13" t="s">
        <v>648</v>
      </c>
      <c r="B523" s="13" t="str">
        <f>_xlfn.XLOOKUP(J523,'Master Data 14-9-2026'!C:C,'Master Data 14-9-2026'!D:D)</f>
        <v>Aditya WX1530248</v>
      </c>
      <c r="C523" s="13"/>
      <c r="D523" s="13" t="str">
        <f>_xlfn.XLOOKUP(J523,'Master Data 14-9-2026'!C:C,'Master Data 14-9-2026'!E:E)</f>
        <v>XLSMART</v>
      </c>
      <c r="E523" s="13"/>
      <c r="F523" s="13"/>
      <c r="G523" s="13" t="s">
        <v>18</v>
      </c>
      <c r="H523" s="13" t="str">
        <f>_xlfn.XLOOKUP(J523,'Master Data 14-9-2026'!C:C,'Master Data 14-9-2026'!H:H)</f>
        <v>2026-07-25 - 2026-08-24</v>
      </c>
      <c r="I523" s="13" t="str">
        <f t="shared" si="8"/>
        <v>July</v>
      </c>
      <c r="J523" s="13" t="s">
        <v>1761</v>
      </c>
      <c r="K523" s="13" t="s">
        <v>1004</v>
      </c>
      <c r="L523" s="13" t="s">
        <v>441</v>
      </c>
      <c r="M523" s="15">
        <v>200003188263020</v>
      </c>
      <c r="N523" s="13" t="s">
        <v>924</v>
      </c>
      <c r="O523" s="13">
        <v>1.09120260710002E+17</v>
      </c>
      <c r="P523" s="13" t="s">
        <v>1598</v>
      </c>
      <c r="Q523" s="18">
        <v>153</v>
      </c>
      <c r="R523" s="18">
        <v>1</v>
      </c>
      <c r="S523" s="13">
        <v>8828132634</v>
      </c>
      <c r="T523" s="13" t="s">
        <v>978</v>
      </c>
      <c r="U523" s="19">
        <v>32542400</v>
      </c>
      <c r="V523" s="18">
        <v>1</v>
      </c>
      <c r="W523" s="18">
        <f>_xlfn.XLOOKUP(J523,'Master Data 14-9-2026'!C:C,'Master Data 14-9-2026'!L:L)</f>
        <v>0.5</v>
      </c>
      <c r="X523" s="23">
        <v>32542400</v>
      </c>
      <c r="Y523" s="13" t="s">
        <v>1599</v>
      </c>
      <c r="Z523" s="24" t="s">
        <v>33</v>
      </c>
      <c r="AA523" s="4" t="s">
        <v>1288</v>
      </c>
      <c r="AB523" s="13"/>
      <c r="AC523" s="13"/>
      <c r="AD523" s="13"/>
      <c r="AE523" s="13" t="str">
        <f>_xlfn.XLOOKUP(L523,'[1]ID PROJECT'!E:E,'[1]ID PROJECT'!F:F)</f>
        <v xml:space="preserve">PRJ-KUT-KPU-TPED-2026-04-00071 </v>
      </c>
      <c r="AF523" s="13"/>
      <c r="AG523" s="13"/>
      <c r="AH523" s="65"/>
      <c r="AI523" s="27"/>
    </row>
    <row r="524" spans="1:35" hidden="1">
      <c r="A524" s="13" t="s">
        <v>637</v>
      </c>
      <c r="B524" s="13" t="str">
        <f>_xlfn.XLOOKUP(J524,'Master Data 14-9-2026'!C:C,'Master Data 14-9-2026'!D:D)</f>
        <v>Cahyo Nirwono Agung WX1530245</v>
      </c>
      <c r="C524" s="13"/>
      <c r="D524" s="13" t="str">
        <f>_xlfn.XLOOKUP(J524,'Master Data 14-9-2026'!C:C,'Master Data 14-9-2026'!E:E)</f>
        <v>XLSMART</v>
      </c>
      <c r="E524" s="13"/>
      <c r="F524" s="13"/>
      <c r="G524" s="13" t="s">
        <v>18</v>
      </c>
      <c r="H524" s="13" t="str">
        <f>_xlfn.XLOOKUP(J524,'Master Data 14-9-2026'!C:C,'Master Data 14-9-2026'!H:H)</f>
        <v>2026-07-26 - 2026-08-25</v>
      </c>
      <c r="I524" s="13" t="str">
        <f t="shared" si="8"/>
        <v>July</v>
      </c>
      <c r="J524" s="13" t="s">
        <v>1762</v>
      </c>
      <c r="K524" s="13" t="s">
        <v>1004</v>
      </c>
      <c r="L524" s="13" t="s">
        <v>441</v>
      </c>
      <c r="M524" s="15">
        <v>200003188264020</v>
      </c>
      <c r="N524" s="13" t="s">
        <v>924</v>
      </c>
      <c r="O524" s="13">
        <v>1.09120260710002E+17</v>
      </c>
      <c r="P524" s="13" t="s">
        <v>1598</v>
      </c>
      <c r="Q524" s="18">
        <v>154</v>
      </c>
      <c r="R524" s="18">
        <v>1</v>
      </c>
      <c r="S524" s="13">
        <v>8828132634</v>
      </c>
      <c r="T524" s="13" t="s">
        <v>978</v>
      </c>
      <c r="U524" s="19">
        <v>32542400</v>
      </c>
      <c r="V524" s="18">
        <v>1</v>
      </c>
      <c r="W524" s="18">
        <f>_xlfn.XLOOKUP(J524,'Master Data 14-9-2026'!C:C,'Master Data 14-9-2026'!L:L)</f>
        <v>0.5</v>
      </c>
      <c r="X524" s="23">
        <v>32542400</v>
      </c>
      <c r="Y524" s="13" t="s">
        <v>1599</v>
      </c>
      <c r="Z524" s="24" t="s">
        <v>33</v>
      </c>
      <c r="AA524" s="4" t="s">
        <v>1288</v>
      </c>
      <c r="AB524" s="13"/>
      <c r="AC524" s="13"/>
      <c r="AD524" s="13"/>
      <c r="AE524" s="13" t="str">
        <f>_xlfn.XLOOKUP(L524,'[1]ID PROJECT'!E:E,'[1]ID PROJECT'!F:F)</f>
        <v xml:space="preserve">PRJ-KUT-KPU-TPED-2026-04-00071 </v>
      </c>
      <c r="AF524" s="13"/>
      <c r="AG524" s="13"/>
      <c r="AH524" s="65"/>
      <c r="AI524" s="27"/>
    </row>
    <row r="525" spans="1:35" hidden="1">
      <c r="A525" s="13" t="s">
        <v>603</v>
      </c>
      <c r="B525" s="13" t="e">
        <f>_xlfn.XLOOKUP(J525,'Master Data 14-9-2026'!C:C,'Master Data 14-9-2026'!D:D)</f>
        <v>#N/A</v>
      </c>
      <c r="C525" s="13"/>
      <c r="D525" s="13" t="e">
        <f>_xlfn.XLOOKUP(J525,'Master Data 14-9-2026'!C:C,'Master Data 14-9-2026'!E:E)</f>
        <v>#N/A</v>
      </c>
      <c r="E525" s="13"/>
      <c r="F525" s="13"/>
      <c r="G525" s="13" t="s">
        <v>28</v>
      </c>
      <c r="H525" s="13" t="e">
        <f>_xlfn.XLOOKUP(J525,'Master Data 14-9-2026'!C:C,'Master Data 14-9-2026'!H:H)</f>
        <v>#N/A</v>
      </c>
      <c r="I525" s="13" t="e">
        <f t="shared" si="8"/>
        <v>#N/A</v>
      </c>
      <c r="J525" s="13" t="s">
        <v>1763</v>
      </c>
      <c r="K525" s="13" t="s">
        <v>1004</v>
      </c>
      <c r="L525" s="13" t="s">
        <v>520</v>
      </c>
      <c r="M525" s="15">
        <v>200003135967020</v>
      </c>
      <c r="N525" s="13" t="s">
        <v>924</v>
      </c>
      <c r="O525" s="13">
        <v>1.09120260710002E+17</v>
      </c>
      <c r="P525" s="13" t="s">
        <v>1598</v>
      </c>
      <c r="Q525" s="18">
        <v>155</v>
      </c>
      <c r="R525" s="18">
        <v>1</v>
      </c>
      <c r="S525" s="13">
        <v>8828132634</v>
      </c>
      <c r="T525" s="13" t="s">
        <v>978</v>
      </c>
      <c r="U525" s="19">
        <v>32542400</v>
      </c>
      <c r="V525" s="18">
        <v>1</v>
      </c>
      <c r="W525" s="18" t="e">
        <f>_xlfn.XLOOKUP(J525,'Master Data 14-9-2026'!C:C,'Master Data 14-9-2026'!L:L)</f>
        <v>#N/A</v>
      </c>
      <c r="X525" s="23">
        <v>32542400</v>
      </c>
      <c r="Y525" s="13" t="s">
        <v>1599</v>
      </c>
      <c r="Z525" s="24" t="s">
        <v>984</v>
      </c>
      <c r="AB525" s="13" t="s">
        <v>1126</v>
      </c>
      <c r="AC525" s="13" t="s">
        <v>1149</v>
      </c>
      <c r="AD525" s="13"/>
      <c r="AE525" s="13" t="str">
        <f>_xlfn.XLOOKUP(L525,'[1]ID PROJECT'!E:E,'[1]ID PROJECT'!F:F)</f>
        <v>PRJ-KUT-KPU-TPED-2026-04-00077</v>
      </c>
      <c r="AF525" s="13"/>
      <c r="AG525" s="13"/>
      <c r="AH525" s="65"/>
      <c r="AI525" s="27"/>
    </row>
    <row r="526" spans="1:35" hidden="1">
      <c r="A526" s="13" t="s">
        <v>702</v>
      </c>
      <c r="B526" s="13" t="str">
        <f>_xlfn.XLOOKUP(J526,'Master Data 14-9-2026'!C:C,'Master Data 14-9-2026'!D:D)</f>
        <v>I Nyoman Satriya Wibawa wx1503651</v>
      </c>
      <c r="C526" s="13"/>
      <c r="D526" s="13" t="str">
        <f>_xlfn.XLOOKUP(J526,'Master Data 14-9-2026'!C:C,'Master Data 14-9-2026'!E:E)</f>
        <v>IOH</v>
      </c>
      <c r="E526" s="13"/>
      <c r="F526" s="13"/>
      <c r="G526" s="13" t="s">
        <v>28</v>
      </c>
      <c r="H526" s="13" t="str">
        <f>_xlfn.XLOOKUP(J526,'Master Data 14-9-2026'!C:C,'Master Data 14-9-2026'!H:H)</f>
        <v>2026-07-30 - 2026-08-29</v>
      </c>
      <c r="I526" s="13" t="str">
        <f t="shared" si="8"/>
        <v>July</v>
      </c>
      <c r="J526" s="13" t="s">
        <v>1764</v>
      </c>
      <c r="K526" s="13" t="s">
        <v>1004</v>
      </c>
      <c r="L526" s="13" t="s">
        <v>520</v>
      </c>
      <c r="M526" s="15">
        <v>200003135968020</v>
      </c>
      <c r="N526" s="13" t="s">
        <v>924</v>
      </c>
      <c r="O526" s="13">
        <v>1.09120260710002E+17</v>
      </c>
      <c r="P526" s="13" t="s">
        <v>1598</v>
      </c>
      <c r="Q526" s="18">
        <v>156</v>
      </c>
      <c r="R526" s="18">
        <v>1</v>
      </c>
      <c r="S526" s="13">
        <v>8828132634</v>
      </c>
      <c r="T526" s="13" t="s">
        <v>978</v>
      </c>
      <c r="U526" s="19">
        <v>32542400</v>
      </c>
      <c r="V526" s="18">
        <v>1</v>
      </c>
      <c r="W526" s="18">
        <f>_xlfn.XLOOKUP(J526,'Master Data 14-9-2026'!C:C,'Master Data 14-9-2026'!L:L)</f>
        <v>0</v>
      </c>
      <c r="X526" s="23">
        <v>32542400</v>
      </c>
      <c r="Y526" s="13" t="s">
        <v>1599</v>
      </c>
      <c r="Z526" s="24" t="s">
        <v>33</v>
      </c>
      <c r="AA526" s="4" t="s">
        <v>1288</v>
      </c>
      <c r="AB526" s="40" t="s">
        <v>44</v>
      </c>
      <c r="AC526" s="13"/>
      <c r="AD526" s="13"/>
      <c r="AE526" s="13" t="str">
        <f>_xlfn.XLOOKUP(L526,'[1]ID PROJECT'!E:E,'[1]ID PROJECT'!F:F)</f>
        <v>PRJ-KUT-KPU-TPED-2026-04-00077</v>
      </c>
      <c r="AF526" s="13"/>
      <c r="AG526" s="13"/>
      <c r="AH526" s="65"/>
      <c r="AI526" s="27"/>
    </row>
    <row r="527" spans="1:35" hidden="1">
      <c r="A527" s="13" t="s">
        <v>577</v>
      </c>
      <c r="B527" s="13" t="str">
        <f>_xlfn.XLOOKUP(J527,'Master Data 14-9-2026'!C:C,'Master Data 14-9-2026'!D:D)</f>
        <v>Ferry Anggriawan wx1503648</v>
      </c>
      <c r="C527" s="13"/>
      <c r="D527" s="13" t="str">
        <f>_xlfn.XLOOKUP(J527,'Master Data 14-9-2026'!C:C,'Master Data 14-9-2026'!E:E)</f>
        <v>XLSMART</v>
      </c>
      <c r="E527" s="13"/>
      <c r="F527" s="13"/>
      <c r="G527" s="13" t="s">
        <v>28</v>
      </c>
      <c r="H527" s="13" t="str">
        <f>_xlfn.XLOOKUP(J527,'Master Data 14-9-2026'!C:C,'Master Data 14-9-2026'!H:H)</f>
        <v>2026-07-31 - 2026-08-30</v>
      </c>
      <c r="I527" s="13" t="str">
        <f t="shared" si="8"/>
        <v>July</v>
      </c>
      <c r="J527" s="13" t="s">
        <v>1765</v>
      </c>
      <c r="K527" s="13" t="s">
        <v>1004</v>
      </c>
      <c r="L527" s="13" t="s">
        <v>520</v>
      </c>
      <c r="M527" s="15">
        <v>200003135969020</v>
      </c>
      <c r="N527" s="13" t="s">
        <v>924</v>
      </c>
      <c r="O527" s="13">
        <v>1.09120260710002E+17</v>
      </c>
      <c r="P527" s="13" t="s">
        <v>1598</v>
      </c>
      <c r="Q527" s="18">
        <v>157</v>
      </c>
      <c r="R527" s="18">
        <v>1</v>
      </c>
      <c r="S527" s="13">
        <v>8828132634</v>
      </c>
      <c r="T527" s="13" t="s">
        <v>978</v>
      </c>
      <c r="U527" s="19">
        <v>32542400</v>
      </c>
      <c r="V527" s="18">
        <v>1</v>
      </c>
      <c r="W527" s="18">
        <f>_xlfn.XLOOKUP(J527,'Master Data 14-9-2026'!C:C,'Master Data 14-9-2026'!L:L)</f>
        <v>0</v>
      </c>
      <c r="X527" s="23">
        <v>32542400</v>
      </c>
      <c r="Y527" s="13" t="s">
        <v>1599</v>
      </c>
      <c r="Z527" s="24" t="s">
        <v>33</v>
      </c>
      <c r="AA527" s="4" t="s">
        <v>1288</v>
      </c>
      <c r="AB527" s="40" t="s">
        <v>44</v>
      </c>
      <c r="AC527" s="13"/>
      <c r="AD527" s="13"/>
      <c r="AE527" s="13" t="str">
        <f>_xlfn.XLOOKUP(L527,'[1]ID PROJECT'!E:E,'[1]ID PROJECT'!F:F)</f>
        <v>PRJ-KUT-KPU-TPED-2026-04-00077</v>
      </c>
      <c r="AF527" s="13"/>
      <c r="AG527" s="13"/>
      <c r="AH527" s="65"/>
      <c r="AI527" s="27"/>
    </row>
    <row r="528" spans="1:35" hidden="1">
      <c r="A528" s="13" t="s">
        <v>381</v>
      </c>
      <c r="B528" s="13" t="str">
        <f>_xlfn.XLOOKUP(J528,'Master Data 14-9-2026'!C:C,'Master Data 14-9-2026'!D:D)</f>
        <v>Redina Bella Masitho wx1524102</v>
      </c>
      <c r="C528" s="13"/>
      <c r="D528" s="13" t="str">
        <f>_xlfn.XLOOKUP(J528,'Master Data 14-9-2026'!C:C,'Master Data 14-9-2026'!E:E)</f>
        <v>XLSMART</v>
      </c>
      <c r="E528" s="13"/>
      <c r="F528" s="13"/>
      <c r="G528" s="13" t="s">
        <v>13</v>
      </c>
      <c r="H528" s="13" t="str">
        <f>_xlfn.XLOOKUP(J528,'Master Data 14-9-2026'!C:C,'Master Data 14-9-2026'!H:H)</f>
        <v>2026-06-02 - 2026-07-01</v>
      </c>
      <c r="I528" s="13" t="str">
        <f t="shared" si="8"/>
        <v>June</v>
      </c>
      <c r="J528" s="13" t="s">
        <v>1766</v>
      </c>
      <c r="K528" s="13" t="s">
        <v>1597</v>
      </c>
      <c r="L528" s="13" t="s">
        <v>441</v>
      </c>
      <c r="M528" s="15">
        <v>200003184827020</v>
      </c>
      <c r="N528" s="13" t="s">
        <v>924</v>
      </c>
      <c r="O528" s="13">
        <v>1.09120260710002E+17</v>
      </c>
      <c r="P528" s="13" t="s">
        <v>1598</v>
      </c>
      <c r="Q528" s="18">
        <v>158</v>
      </c>
      <c r="R528" s="18">
        <v>1</v>
      </c>
      <c r="S528" s="13">
        <v>8828132633</v>
      </c>
      <c r="T528" s="13" t="s">
        <v>951</v>
      </c>
      <c r="U528" s="19">
        <v>28881900</v>
      </c>
      <c r="V528" s="18">
        <v>1</v>
      </c>
      <c r="W528" s="18">
        <f>_xlfn.XLOOKUP(J528,'Master Data 14-9-2026'!C:C,'Master Data 14-9-2026'!L:L)</f>
        <v>0.5</v>
      </c>
      <c r="X528" s="23">
        <v>28881900</v>
      </c>
      <c r="Y528" s="13" t="s">
        <v>1599</v>
      </c>
      <c r="Z528" s="24" t="str">
        <f>_xlfn.XLOOKUP(J528,'Master Data 14-9-2026'!C:C,'Master Data 14-9-2026'!I:I)</f>
        <v>Ended</v>
      </c>
      <c r="AA528" s="4" t="s">
        <v>1288</v>
      </c>
      <c r="AB528" s="13"/>
      <c r="AC528" s="13"/>
      <c r="AD528" s="13"/>
      <c r="AE528" s="13" t="str">
        <f>_xlfn.XLOOKUP(L528,'[1]ID PROJECT'!E:E,'[1]ID PROJECT'!F:F)</f>
        <v xml:space="preserve">PRJ-KUT-KPU-TPED-2026-04-00071 </v>
      </c>
      <c r="AF528" s="13"/>
      <c r="AG528" s="13"/>
      <c r="AH528" s="65"/>
      <c r="AI528" s="27"/>
    </row>
    <row r="529" spans="1:35" hidden="1">
      <c r="A529" s="13" t="s">
        <v>381</v>
      </c>
      <c r="B529" s="13" t="str">
        <f>_xlfn.XLOOKUP(J529,'Master Data 14-9-2026'!C:C,'Master Data 14-9-2026'!D:D)</f>
        <v>Redina Bella Masitho wx1524102</v>
      </c>
      <c r="C529" s="13"/>
      <c r="D529" s="13" t="str">
        <f>_xlfn.XLOOKUP(J529,'Master Data 14-9-2026'!C:C,'Master Data 14-9-2026'!E:E)</f>
        <v>XLSMART</v>
      </c>
      <c r="E529" s="13"/>
      <c r="F529" s="13"/>
      <c r="G529" s="13" t="s">
        <v>18</v>
      </c>
      <c r="H529" s="13" t="str">
        <f>_xlfn.XLOOKUP(J529,'Master Data 14-9-2026'!C:C,'Master Data 14-9-2026'!H:H)</f>
        <v>2026-07-02 - 2026-08-01</v>
      </c>
      <c r="I529" s="13" t="str">
        <f t="shared" si="8"/>
        <v>July</v>
      </c>
      <c r="J529" s="13" t="s">
        <v>1767</v>
      </c>
      <c r="K529" s="13" t="s">
        <v>1597</v>
      </c>
      <c r="L529" s="13" t="s">
        <v>441</v>
      </c>
      <c r="M529" s="15">
        <v>200003184828020</v>
      </c>
      <c r="N529" s="13" t="s">
        <v>924</v>
      </c>
      <c r="O529" s="13">
        <v>1.09120260710002E+17</v>
      </c>
      <c r="P529" s="13" t="s">
        <v>1598</v>
      </c>
      <c r="Q529" s="18">
        <v>159</v>
      </c>
      <c r="R529" s="18">
        <v>1</v>
      </c>
      <c r="S529" s="13">
        <v>8828132633</v>
      </c>
      <c r="T529" s="13" t="s">
        <v>951</v>
      </c>
      <c r="U529" s="19">
        <v>28881900</v>
      </c>
      <c r="V529" s="18">
        <v>1</v>
      </c>
      <c r="W529" s="18">
        <f>_xlfn.XLOOKUP(J529,'Master Data 14-9-2026'!C:C,'Master Data 14-9-2026'!L:L)</f>
        <v>0</v>
      </c>
      <c r="X529" s="23">
        <v>28881900</v>
      </c>
      <c r="Y529" s="13" t="s">
        <v>1599</v>
      </c>
      <c r="Z529" s="24" t="s">
        <v>984</v>
      </c>
      <c r="AA529" s="4" t="s">
        <v>1288</v>
      </c>
      <c r="AB529" s="40" t="s">
        <v>44</v>
      </c>
      <c r="AC529" s="13"/>
      <c r="AD529" s="13"/>
      <c r="AE529" s="13" t="str">
        <f>_xlfn.XLOOKUP(L529,'[1]ID PROJECT'!E:E,'[1]ID PROJECT'!F:F)</f>
        <v xml:space="preserve">PRJ-KUT-KPU-TPED-2026-04-00071 </v>
      </c>
      <c r="AF529" s="13"/>
      <c r="AG529" s="13"/>
      <c r="AH529" s="65"/>
      <c r="AI529" s="27"/>
    </row>
    <row r="530" spans="1:35">
      <c r="A530" s="13" t="s">
        <v>754</v>
      </c>
      <c r="B530" s="13" t="str">
        <f>_xlfn.XLOOKUP(J530,'Master Data 14-9-2026'!C:C,'Master Data 14-9-2026'!D:D)</f>
        <v>Hasbi Arbi Nugroho wx1524103</v>
      </c>
      <c r="C530" s="13"/>
      <c r="D530" s="13" t="str">
        <f>_xlfn.XLOOKUP(J530,'Master Data 14-9-2026'!C:C,'Master Data 14-9-2026'!E:E)</f>
        <v>XLSMART</v>
      </c>
      <c r="E530" s="13"/>
      <c r="F530" s="13"/>
      <c r="G530" s="13" t="s">
        <v>13</v>
      </c>
      <c r="H530" s="13" t="str">
        <f>_xlfn.XLOOKUP(J530,'Master Data 14-9-2026'!C:C,'Master Data 14-9-2026'!H:H)</f>
        <v>2026-06-02 - 2026-07-01</v>
      </c>
      <c r="I530" s="13" t="str">
        <f t="shared" si="8"/>
        <v>June</v>
      </c>
      <c r="J530" s="13" t="s">
        <v>1768</v>
      </c>
      <c r="K530" s="16" t="s">
        <v>1597</v>
      </c>
      <c r="L530" s="13" t="s">
        <v>468</v>
      </c>
      <c r="M530" s="15">
        <v>200003184829020</v>
      </c>
      <c r="N530" s="13" t="s">
        <v>924</v>
      </c>
      <c r="O530" s="13">
        <v>1.09120260710002E+17</v>
      </c>
      <c r="P530" s="13" t="s">
        <v>1598</v>
      </c>
      <c r="Q530" s="18">
        <v>160</v>
      </c>
      <c r="R530" s="18">
        <v>1</v>
      </c>
      <c r="S530" s="13">
        <v>8828132635</v>
      </c>
      <c r="T530" s="13" t="s">
        <v>926</v>
      </c>
      <c r="U530" s="19">
        <v>34220600</v>
      </c>
      <c r="V530" s="18">
        <v>1</v>
      </c>
      <c r="W530" s="18">
        <f>_xlfn.XLOOKUP(J530,'Master Data 14-9-2026'!C:C,'Master Data 14-9-2026'!L:L)</f>
        <v>1</v>
      </c>
      <c r="X530" s="23">
        <v>34220600</v>
      </c>
      <c r="Y530" s="13" t="s">
        <v>1599</v>
      </c>
      <c r="Z530" s="24" t="str">
        <f>_xlfn.XLOOKUP(J530,'Master Data 14-9-2026'!C:C,'Master Data 14-9-2026'!I:I)</f>
        <v>Ended</v>
      </c>
      <c r="AA530" s="39" t="s">
        <v>934</v>
      </c>
      <c r="AB530" s="40"/>
      <c r="AC530" s="13"/>
      <c r="AD530" s="40" t="s">
        <v>935</v>
      </c>
      <c r="AE530" s="13" t="str">
        <f>_xlfn.XLOOKUP(L530,'[1]ID PROJECT'!E:E,'[1]ID PROJECT'!F:F)</f>
        <v>PRJ-KUT-KPU-TPED-2026-04-00075</v>
      </c>
      <c r="AF530" s="39" t="s">
        <v>4164</v>
      </c>
      <c r="AG530" s="13" t="s">
        <v>4193</v>
      </c>
      <c r="AH530" s="66">
        <v>46286</v>
      </c>
      <c r="AI530" s="41" t="s">
        <v>967</v>
      </c>
    </row>
    <row r="531" spans="1:35" hidden="1">
      <c r="A531" s="13" t="s">
        <v>754</v>
      </c>
      <c r="B531" s="13" t="str">
        <f>_xlfn.XLOOKUP(J531,'Master Data 14-9-2026'!C:C,'Master Data 14-9-2026'!D:D)</f>
        <v>Hasbi Arbi Nugroho wx1524103</v>
      </c>
      <c r="C531" s="13"/>
      <c r="D531" s="13" t="str">
        <f>_xlfn.XLOOKUP(J531,'Master Data 14-9-2026'!C:C,'Master Data 14-9-2026'!E:E)</f>
        <v>XLSMART</v>
      </c>
      <c r="E531" s="13"/>
      <c r="F531" s="13"/>
      <c r="G531" s="13" t="s">
        <v>18</v>
      </c>
      <c r="H531" s="13" t="str">
        <f>_xlfn.XLOOKUP(J531,'Master Data 14-9-2026'!C:C,'Master Data 14-9-2026'!H:H)</f>
        <v>2026-07-02 - 2026-08-01</v>
      </c>
      <c r="I531" s="13" t="str">
        <f t="shared" si="8"/>
        <v>July</v>
      </c>
      <c r="J531" s="13" t="s">
        <v>1769</v>
      </c>
      <c r="K531" s="13" t="s">
        <v>1597</v>
      </c>
      <c r="L531" s="13" t="s">
        <v>468</v>
      </c>
      <c r="M531" s="15">
        <v>200003184830020</v>
      </c>
      <c r="N531" s="13" t="s">
        <v>924</v>
      </c>
      <c r="O531" s="13">
        <v>1.09120260710002E+17</v>
      </c>
      <c r="P531" s="13" t="s">
        <v>1598</v>
      </c>
      <c r="Q531" s="18">
        <v>161</v>
      </c>
      <c r="R531" s="18">
        <v>1</v>
      </c>
      <c r="S531" s="13">
        <v>8828132635</v>
      </c>
      <c r="T531" s="13" t="s">
        <v>926</v>
      </c>
      <c r="U531" s="19">
        <v>34220600</v>
      </c>
      <c r="V531" s="18">
        <v>1</v>
      </c>
      <c r="W531" s="18">
        <f>_xlfn.XLOOKUP(J531,'Master Data 14-9-2026'!C:C,'Master Data 14-9-2026'!L:L)</f>
        <v>1</v>
      </c>
      <c r="X531" s="23">
        <v>34220600</v>
      </c>
      <c r="Y531" s="13" t="s">
        <v>1599</v>
      </c>
      <c r="Z531" s="24" t="str">
        <f>_xlfn.XLOOKUP(J531,'Master Data 14-9-2026'!C:C,'Master Data 14-9-2026'!I:I)</f>
        <v>Ended</v>
      </c>
      <c r="AA531" s="4" t="s">
        <v>934</v>
      </c>
      <c r="AB531" s="13"/>
      <c r="AC531" s="13"/>
      <c r="AD531" s="13" t="s">
        <v>935</v>
      </c>
      <c r="AE531" s="13" t="str">
        <f>_xlfn.XLOOKUP(L531,'[1]ID PROJECT'!E:E,'[1]ID PROJECT'!F:F)</f>
        <v>PRJ-KUT-KPU-TPED-2026-04-00075</v>
      </c>
      <c r="AF531" s="4" t="s">
        <v>1611</v>
      </c>
      <c r="AG531" s="13" t="s">
        <v>1612</v>
      </c>
      <c r="AH531" s="65">
        <v>46260</v>
      </c>
      <c r="AI531" s="27" t="s">
        <v>1175</v>
      </c>
    </row>
    <row r="532" spans="1:35" hidden="1">
      <c r="A532" s="13" t="s">
        <v>633</v>
      </c>
      <c r="B532" s="13" t="str">
        <f>_xlfn.XLOOKUP(J532,'Master Data 14-9-2026'!C:C,'Master Data 14-9-2026'!D:D)</f>
        <v>Gigih Hadi WX1530065</v>
      </c>
      <c r="C532" s="13"/>
      <c r="D532" s="13" t="str">
        <f>_xlfn.XLOOKUP(J532,'Master Data 14-9-2026'!C:C,'Master Data 14-9-2026'!E:E)</f>
        <v>XLSMART</v>
      </c>
      <c r="E532" s="13"/>
      <c r="F532" s="13"/>
      <c r="G532" s="13" t="s">
        <v>18</v>
      </c>
      <c r="H532" s="13" t="str">
        <f>_xlfn.XLOOKUP(J532,'Master Data 14-9-2026'!C:C,'Master Data 14-9-2026'!H:H)</f>
        <v>2026-07-26 - 2026-08-25</v>
      </c>
      <c r="I532" s="13" t="str">
        <f t="shared" si="8"/>
        <v>July</v>
      </c>
      <c r="J532" s="13" t="s">
        <v>1770</v>
      </c>
      <c r="K532" s="13" t="s">
        <v>1004</v>
      </c>
      <c r="L532" s="13" t="s">
        <v>441</v>
      </c>
      <c r="M532" s="15">
        <v>200003188265020</v>
      </c>
      <c r="N532" s="13" t="s">
        <v>924</v>
      </c>
      <c r="O532" s="13">
        <v>1.09120260710002E+17</v>
      </c>
      <c r="P532" s="13" t="s">
        <v>1598</v>
      </c>
      <c r="Q532" s="18">
        <v>162</v>
      </c>
      <c r="R532" s="18">
        <v>1</v>
      </c>
      <c r="S532" s="13">
        <v>8828132634</v>
      </c>
      <c r="T532" s="13" t="s">
        <v>978</v>
      </c>
      <c r="U532" s="19">
        <v>32542400</v>
      </c>
      <c r="V532" s="18">
        <v>1</v>
      </c>
      <c r="W532" s="18">
        <f>_xlfn.XLOOKUP(J532,'Master Data 14-9-2026'!C:C,'Master Data 14-9-2026'!L:L)</f>
        <v>0</v>
      </c>
      <c r="X532" s="23">
        <v>32542400</v>
      </c>
      <c r="Y532" s="13" t="s">
        <v>1599</v>
      </c>
      <c r="Z532" s="24" t="s">
        <v>33</v>
      </c>
      <c r="AA532" s="4" t="s">
        <v>1288</v>
      </c>
      <c r="AB532" s="40" t="s">
        <v>44</v>
      </c>
      <c r="AC532" s="13"/>
      <c r="AD532" s="13"/>
      <c r="AE532" s="13" t="str">
        <f>_xlfn.XLOOKUP(L532,'[1]ID PROJECT'!E:E,'[1]ID PROJECT'!F:F)</f>
        <v xml:space="preserve">PRJ-KUT-KPU-TPED-2026-04-00071 </v>
      </c>
      <c r="AF532" s="13"/>
      <c r="AG532" s="13"/>
      <c r="AH532" s="65"/>
      <c r="AI532" s="27"/>
    </row>
    <row r="533" spans="1:35" hidden="1">
      <c r="A533" s="13" t="s">
        <v>623</v>
      </c>
      <c r="B533" s="13" t="str">
        <f>_xlfn.XLOOKUP(J533,'Master Data 14-9-2026'!C:C,'Master Data 14-9-2026'!D:D)</f>
        <v>Teguh Imam Setiawan WX1530243</v>
      </c>
      <c r="C533" s="13"/>
      <c r="D533" s="13" t="str">
        <f>_xlfn.XLOOKUP(J533,'Master Data 14-9-2026'!C:C,'Master Data 14-9-2026'!E:E)</f>
        <v>XLSMART</v>
      </c>
      <c r="E533" s="13"/>
      <c r="F533" s="13"/>
      <c r="G533" s="13" t="s">
        <v>18</v>
      </c>
      <c r="H533" s="13" t="str">
        <f>_xlfn.XLOOKUP(J533,'Master Data 14-9-2026'!C:C,'Master Data 14-9-2026'!H:H)</f>
        <v>2026-07-29 - 2026-08-28</v>
      </c>
      <c r="I533" s="13" t="str">
        <f t="shared" si="8"/>
        <v>July</v>
      </c>
      <c r="J533" s="13" t="s">
        <v>1771</v>
      </c>
      <c r="K533" s="13" t="s">
        <v>1004</v>
      </c>
      <c r="L533" s="13" t="s">
        <v>441</v>
      </c>
      <c r="M533" s="15">
        <v>200003188266020</v>
      </c>
      <c r="N533" s="13" t="s">
        <v>924</v>
      </c>
      <c r="O533" s="13">
        <v>1.09120260710002E+17</v>
      </c>
      <c r="P533" s="13" t="s">
        <v>1598</v>
      </c>
      <c r="Q533" s="18">
        <v>163</v>
      </c>
      <c r="R533" s="18">
        <v>1</v>
      </c>
      <c r="S533" s="13">
        <v>8828132634</v>
      </c>
      <c r="T533" s="13" t="s">
        <v>978</v>
      </c>
      <c r="U533" s="19">
        <v>32542400</v>
      </c>
      <c r="V533" s="18">
        <v>1</v>
      </c>
      <c r="W533" s="18">
        <f>_xlfn.XLOOKUP(J533,'Master Data 14-9-2026'!C:C,'Master Data 14-9-2026'!L:L)</f>
        <v>0.5</v>
      </c>
      <c r="X533" s="23">
        <v>32542400</v>
      </c>
      <c r="Y533" s="13" t="s">
        <v>1599</v>
      </c>
      <c r="Z533" s="24" t="s">
        <v>33</v>
      </c>
      <c r="AA533" s="4" t="s">
        <v>1288</v>
      </c>
      <c r="AB533" s="13"/>
      <c r="AC533" s="13"/>
      <c r="AD533" s="13"/>
      <c r="AE533" s="13" t="str">
        <f>_xlfn.XLOOKUP(L533,'[1]ID PROJECT'!E:E,'[1]ID PROJECT'!F:F)</f>
        <v xml:space="preserve">PRJ-KUT-KPU-TPED-2026-04-00071 </v>
      </c>
      <c r="AF533" s="13"/>
      <c r="AG533" s="13"/>
      <c r="AH533" s="65"/>
      <c r="AI533" s="27"/>
    </row>
    <row r="534" spans="1:35" hidden="1">
      <c r="A534" s="13" t="s">
        <v>612</v>
      </c>
      <c r="B534" s="13" t="str">
        <f>_xlfn.XLOOKUP(J534,'Master Data 14-9-2026'!C:C,'Master Data 14-9-2026'!D:D)</f>
        <v>Ervin Raditya WX1530249</v>
      </c>
      <c r="C534" s="13"/>
      <c r="D534" s="13" t="str">
        <f>_xlfn.XLOOKUP(J534,'Master Data 14-9-2026'!C:C,'Master Data 14-9-2026'!E:E)</f>
        <v>XLSMART</v>
      </c>
      <c r="E534" s="13"/>
      <c r="F534" s="13"/>
      <c r="G534" s="13" t="s">
        <v>18</v>
      </c>
      <c r="H534" s="13" t="str">
        <f>_xlfn.XLOOKUP(J534,'Master Data 14-9-2026'!C:C,'Master Data 14-9-2026'!H:H)</f>
        <v>2026-07-29 - 2026-08-28</v>
      </c>
      <c r="I534" s="13" t="str">
        <f t="shared" si="8"/>
        <v>July</v>
      </c>
      <c r="J534" s="13" t="s">
        <v>1772</v>
      </c>
      <c r="K534" s="13" t="s">
        <v>1004</v>
      </c>
      <c r="L534" s="13" t="s">
        <v>441</v>
      </c>
      <c r="M534" s="15">
        <v>200003188267020</v>
      </c>
      <c r="N534" s="13" t="s">
        <v>924</v>
      </c>
      <c r="O534" s="13">
        <v>1.09120260710002E+17</v>
      </c>
      <c r="P534" s="13" t="s">
        <v>1598</v>
      </c>
      <c r="Q534" s="18">
        <v>164</v>
      </c>
      <c r="R534" s="18">
        <v>1</v>
      </c>
      <c r="S534" s="13">
        <v>8828132634</v>
      </c>
      <c r="T534" s="13" t="s">
        <v>978</v>
      </c>
      <c r="U534" s="19">
        <v>32542400</v>
      </c>
      <c r="V534" s="18">
        <v>1</v>
      </c>
      <c r="W534" s="18">
        <f>_xlfn.XLOOKUP(J534,'Master Data 14-9-2026'!C:C,'Master Data 14-9-2026'!L:L)</f>
        <v>0.5</v>
      </c>
      <c r="X534" s="23">
        <v>32542400</v>
      </c>
      <c r="Y534" s="13" t="s">
        <v>1599</v>
      </c>
      <c r="Z534" s="24" t="s">
        <v>33</v>
      </c>
      <c r="AA534" s="4" t="s">
        <v>1288</v>
      </c>
      <c r="AB534" s="13"/>
      <c r="AC534" s="13"/>
      <c r="AD534" s="13"/>
      <c r="AE534" s="13" t="str">
        <f>_xlfn.XLOOKUP(L534,'[1]ID PROJECT'!E:E,'[1]ID PROJECT'!F:F)</f>
        <v xml:space="preserve">PRJ-KUT-KPU-TPED-2026-04-00071 </v>
      </c>
      <c r="AF534" s="13"/>
      <c r="AG534" s="13"/>
      <c r="AH534" s="65"/>
      <c r="AI534" s="27"/>
    </row>
    <row r="535" spans="1:35" hidden="1">
      <c r="A535" s="13" t="s">
        <v>845</v>
      </c>
      <c r="B535" s="13" t="str">
        <f>_xlfn.XLOOKUP(J535,'Master Data 14-9-2026'!C:C,'Master Data 14-9-2026'!D:D)</f>
        <v>Viona Yose Ariani wx1504713</v>
      </c>
      <c r="C535" s="13"/>
      <c r="D535" s="13" t="str">
        <f>_xlfn.XLOOKUP(J535,'Master Data 14-9-2026'!C:C,'Master Data 14-9-2026'!E:E)</f>
        <v>Enterprise</v>
      </c>
      <c r="E535" s="13"/>
      <c r="F535" s="13"/>
      <c r="G535" s="13" t="s">
        <v>25</v>
      </c>
      <c r="H535" s="13" t="str">
        <f>_xlfn.XLOOKUP(J535,'Master Data 14-9-2026'!C:C,'Master Data 14-9-2026'!H:H)</f>
        <v>2026-06-26 - 2026-07-25</v>
      </c>
      <c r="I535" s="13" t="str">
        <f t="shared" si="8"/>
        <v>June</v>
      </c>
      <c r="J535" s="13" t="s">
        <v>1773</v>
      </c>
      <c r="K535" s="13" t="s">
        <v>1773</v>
      </c>
      <c r="L535" s="13" t="s">
        <v>441</v>
      </c>
      <c r="M535" s="15">
        <v>200003102937020</v>
      </c>
      <c r="N535" s="13" t="s">
        <v>924</v>
      </c>
      <c r="O535" s="13">
        <v>1.0912026071300099E+17</v>
      </c>
      <c r="P535" s="13" t="s">
        <v>1774</v>
      </c>
      <c r="Q535" s="18">
        <v>1</v>
      </c>
      <c r="R535" s="18">
        <v>1</v>
      </c>
      <c r="S535" s="13">
        <v>8828132635</v>
      </c>
      <c r="T535" s="13" t="s">
        <v>926</v>
      </c>
      <c r="U535" s="19">
        <v>34220600</v>
      </c>
      <c r="V535" s="18">
        <v>1</v>
      </c>
      <c r="W535" s="18">
        <f>_xlfn.XLOOKUP(J535,'Master Data 14-9-2026'!C:C,'Master Data 14-9-2026'!L:L)</f>
        <v>0</v>
      </c>
      <c r="X535" s="23">
        <v>34220600</v>
      </c>
      <c r="Y535" s="13" t="s">
        <v>1599</v>
      </c>
      <c r="Z535" s="24" t="str">
        <f>_xlfn.XLOOKUP(J535,'Master Data 14-9-2026'!C:C,'Master Data 14-9-2026'!I:I)</f>
        <v>Ended</v>
      </c>
      <c r="AA535" s="4" t="s">
        <v>1288</v>
      </c>
      <c r="AB535" s="40" t="s">
        <v>44</v>
      </c>
      <c r="AC535" s="13"/>
      <c r="AD535" s="13"/>
      <c r="AE535" s="13" t="str">
        <f>_xlfn.XLOOKUP(L535,'[1]ID PROJECT'!E:E,'[1]ID PROJECT'!F:F)</f>
        <v xml:space="preserve">PRJ-KUT-KPU-TPED-2026-04-00071 </v>
      </c>
      <c r="AF535" s="13"/>
      <c r="AG535" s="13"/>
      <c r="AH535" s="65"/>
      <c r="AI535" s="27"/>
    </row>
    <row r="536" spans="1:35" hidden="1">
      <c r="A536" s="13" t="s">
        <v>845</v>
      </c>
      <c r="B536" s="13" t="str">
        <f>_xlfn.XLOOKUP(J536,'Master Data 14-9-2026'!C:C,'Master Data 14-9-2026'!D:D)</f>
        <v>Viona Yose Ariani wx1504713</v>
      </c>
      <c r="C536" s="13"/>
      <c r="D536" s="13" t="str">
        <f>_xlfn.XLOOKUP(J536,'Master Data 14-9-2026'!C:C,'Master Data 14-9-2026'!E:E)</f>
        <v>Enterprise</v>
      </c>
      <c r="E536" s="13"/>
      <c r="F536" s="13"/>
      <c r="G536" s="13" t="s">
        <v>28</v>
      </c>
      <c r="H536" s="13" t="str">
        <f>_xlfn.XLOOKUP(J536,'Master Data 14-9-2026'!C:C,'Master Data 14-9-2026'!H:H)</f>
        <v>2026-07-26 - 2026-08-25</v>
      </c>
      <c r="I536" s="13" t="str">
        <f t="shared" si="8"/>
        <v>July</v>
      </c>
      <c r="J536" s="13" t="s">
        <v>1775</v>
      </c>
      <c r="K536" s="13" t="s">
        <v>1775</v>
      </c>
      <c r="L536" s="13" t="s">
        <v>441</v>
      </c>
      <c r="M536" s="15">
        <v>200003102313020</v>
      </c>
      <c r="N536" s="13" t="s">
        <v>924</v>
      </c>
      <c r="O536" s="13">
        <v>1.0912026071300099E+17</v>
      </c>
      <c r="P536" s="13" t="s">
        <v>1774</v>
      </c>
      <c r="Q536" s="18">
        <v>2</v>
      </c>
      <c r="R536" s="18">
        <v>1</v>
      </c>
      <c r="S536" s="13">
        <v>8828132635</v>
      </c>
      <c r="T536" s="13" t="s">
        <v>926</v>
      </c>
      <c r="U536" s="19">
        <v>34220600</v>
      </c>
      <c r="V536" s="18">
        <v>1</v>
      </c>
      <c r="W536" s="18">
        <f>_xlfn.XLOOKUP(J536,'Master Data 14-9-2026'!C:C,'Master Data 14-9-2026'!L:L)</f>
        <v>0</v>
      </c>
      <c r="X536" s="23">
        <v>34220600</v>
      </c>
      <c r="Y536" s="13" t="s">
        <v>1599</v>
      </c>
      <c r="Z536" s="24" t="s">
        <v>33</v>
      </c>
      <c r="AA536" s="4" t="s">
        <v>1288</v>
      </c>
      <c r="AB536" s="40" t="s">
        <v>44</v>
      </c>
      <c r="AC536" s="13"/>
      <c r="AD536" s="13"/>
      <c r="AE536" s="13" t="str">
        <f>_xlfn.XLOOKUP(L536,'[1]ID PROJECT'!E:E,'[1]ID PROJECT'!F:F)</f>
        <v xml:space="preserve">PRJ-KUT-KPU-TPED-2026-04-00071 </v>
      </c>
      <c r="AF536" s="13"/>
      <c r="AG536" s="13"/>
      <c r="AH536" s="65"/>
      <c r="AI536" s="27"/>
    </row>
    <row r="537" spans="1:35" hidden="1">
      <c r="A537" s="13" t="s">
        <v>162</v>
      </c>
      <c r="B537" s="13" t="str">
        <f>_xlfn.XLOOKUP(J537,'Master Data 14-9-2026'!C:C,'Master Data 14-9-2026'!D:D)</f>
        <v>Mona Margaretha Tobing wx1507282</v>
      </c>
      <c r="C537" s="13"/>
      <c r="D537" s="13" t="str">
        <f>_xlfn.XLOOKUP(J537,'Master Data 14-9-2026'!C:C,'Master Data 14-9-2026'!E:E)</f>
        <v>TELKOMSEL</v>
      </c>
      <c r="E537" s="13"/>
      <c r="F537" s="13"/>
      <c r="G537" s="13" t="s">
        <v>25</v>
      </c>
      <c r="H537" s="13" t="str">
        <f>_xlfn.XLOOKUP(J537,'Master Data 14-9-2026'!C:C,'Master Data 14-9-2026'!H:H)</f>
        <v>2026-07-01 - 2026-07-31</v>
      </c>
      <c r="I537" s="13" t="str">
        <f t="shared" si="8"/>
        <v>July</v>
      </c>
      <c r="J537" s="13" t="s">
        <v>1776</v>
      </c>
      <c r="K537" s="13" t="s">
        <v>1776</v>
      </c>
      <c r="L537" s="13" t="s">
        <v>441</v>
      </c>
      <c r="M537" s="15">
        <v>200003133450020</v>
      </c>
      <c r="N537" s="13" t="s">
        <v>924</v>
      </c>
      <c r="O537" s="13">
        <v>1.09120260713002E+17</v>
      </c>
      <c r="P537" s="13" t="s">
        <v>1777</v>
      </c>
      <c r="Q537" s="18">
        <v>1</v>
      </c>
      <c r="R537" s="18">
        <v>1</v>
      </c>
      <c r="S537" s="13">
        <v>8828132633</v>
      </c>
      <c r="T537" s="13" t="s">
        <v>951</v>
      </c>
      <c r="U537" s="19">
        <v>28881900</v>
      </c>
      <c r="V537" s="18">
        <v>1</v>
      </c>
      <c r="W537" s="18">
        <f>_xlfn.XLOOKUP(J537,'Master Data 14-9-2026'!C:C,'Master Data 14-9-2026'!L:L)</f>
        <v>1.5</v>
      </c>
      <c r="X537" s="23">
        <v>28881900</v>
      </c>
      <c r="Y537" s="13" t="s">
        <v>1599</v>
      </c>
      <c r="Z537" s="24" t="s">
        <v>984</v>
      </c>
      <c r="AA537" s="4" t="s">
        <v>1288</v>
      </c>
      <c r="AB537" s="13" t="s">
        <v>1600</v>
      </c>
      <c r="AC537" s="13"/>
      <c r="AD537" s="13"/>
      <c r="AE537" s="13" t="str">
        <f>_xlfn.XLOOKUP(L537,'[1]ID PROJECT'!E:E,'[1]ID PROJECT'!F:F)</f>
        <v xml:space="preserve">PRJ-KUT-KPU-TPED-2026-04-00071 </v>
      </c>
      <c r="AF537" s="13"/>
      <c r="AG537" s="13"/>
      <c r="AH537" s="65"/>
      <c r="AI537" s="27"/>
    </row>
    <row r="538" spans="1:35" hidden="1">
      <c r="A538" s="13" t="s">
        <v>35</v>
      </c>
      <c r="B538" s="13" t="str">
        <f>_xlfn.XLOOKUP(J538,'Master Data 14-9-2026'!C:C,'Master Data 14-9-2026'!D:D)</f>
        <v>Nancy Febrila Eko wx1524066</v>
      </c>
      <c r="C538" s="13"/>
      <c r="D538" s="13" t="str">
        <f>_xlfn.XLOOKUP(J538,'Master Data 14-9-2026'!C:C,'Master Data 14-9-2026'!E:E)</f>
        <v>TELKOMSEL</v>
      </c>
      <c r="E538" s="13"/>
      <c r="F538" s="13"/>
      <c r="G538" s="13" t="s">
        <v>13</v>
      </c>
      <c r="H538" s="13" t="str">
        <f>_xlfn.XLOOKUP(J538,'Master Data 14-9-2026'!C:C,'Master Data 14-9-2026'!H:H)</f>
        <v>2026-06-02 - 2026-07-01</v>
      </c>
      <c r="I538" s="13" t="str">
        <f t="shared" si="8"/>
        <v>June</v>
      </c>
      <c r="J538" s="13" t="s">
        <v>1778</v>
      </c>
      <c r="K538" s="13" t="s">
        <v>1778</v>
      </c>
      <c r="L538" s="13" t="s">
        <v>441</v>
      </c>
      <c r="M538" s="15">
        <v>200003186621020</v>
      </c>
      <c r="N538" s="13" t="s">
        <v>924</v>
      </c>
      <c r="O538" s="13">
        <v>1.09120260713002E+17</v>
      </c>
      <c r="P538" s="13" t="s">
        <v>1779</v>
      </c>
      <c r="Q538" s="18">
        <v>1</v>
      </c>
      <c r="R538" s="18">
        <v>1</v>
      </c>
      <c r="S538" s="13">
        <v>8828132633</v>
      </c>
      <c r="T538" s="13" t="s">
        <v>951</v>
      </c>
      <c r="U538" s="19">
        <v>28881900</v>
      </c>
      <c r="V538" s="18">
        <v>1</v>
      </c>
      <c r="W538" s="18">
        <f>_xlfn.XLOOKUP(J538,'Master Data 14-9-2026'!C:C,'Master Data 14-9-2026'!L:L)</f>
        <v>1.5</v>
      </c>
      <c r="X538" s="23">
        <v>28881900</v>
      </c>
      <c r="Y538" s="13" t="s">
        <v>1599</v>
      </c>
      <c r="Z538" s="24" t="str">
        <f>_xlfn.XLOOKUP(J538,'Master Data 14-9-2026'!C:C,'Master Data 14-9-2026'!I:I)</f>
        <v>Ended</v>
      </c>
      <c r="AA538" s="4" t="s">
        <v>1288</v>
      </c>
      <c r="AB538" s="13" t="s">
        <v>1600</v>
      </c>
      <c r="AC538" s="13"/>
      <c r="AD538" s="13"/>
      <c r="AE538" s="13" t="str">
        <f>_xlfn.XLOOKUP(L538,'[1]ID PROJECT'!E:E,'[1]ID PROJECT'!F:F)</f>
        <v xml:space="preserve">PRJ-KUT-KPU-TPED-2026-04-00071 </v>
      </c>
      <c r="AF538" s="13"/>
      <c r="AG538" s="13"/>
      <c r="AH538" s="65"/>
      <c r="AI538" s="27"/>
    </row>
    <row r="539" spans="1:35" hidden="1">
      <c r="A539" s="13" t="s">
        <v>35</v>
      </c>
      <c r="B539" s="13" t="str">
        <f>_xlfn.XLOOKUP(J539,'Master Data 14-9-2026'!C:C,'Master Data 14-9-2026'!D:D)</f>
        <v>Nancy Febrila Eko wx1524066</v>
      </c>
      <c r="C539" s="13"/>
      <c r="D539" s="13" t="str">
        <f>_xlfn.XLOOKUP(J539,'Master Data 14-9-2026'!C:C,'Master Data 14-9-2026'!E:E)</f>
        <v>TELKOMSEL</v>
      </c>
      <c r="E539" s="13"/>
      <c r="F539" s="13"/>
      <c r="G539" s="13" t="s">
        <v>18</v>
      </c>
      <c r="H539" s="13" t="str">
        <f>_xlfn.XLOOKUP(J539,'Master Data 14-9-2026'!C:C,'Master Data 14-9-2026'!H:H)</f>
        <v>2026-07-02 - 2026-08-01</v>
      </c>
      <c r="I539" s="13" t="str">
        <f t="shared" si="8"/>
        <v>July</v>
      </c>
      <c r="J539" s="13" t="s">
        <v>1780</v>
      </c>
      <c r="K539" s="13" t="s">
        <v>1780</v>
      </c>
      <c r="L539" s="13" t="s">
        <v>441</v>
      </c>
      <c r="M539" s="15">
        <v>200003186624020</v>
      </c>
      <c r="N539" s="13" t="s">
        <v>924</v>
      </c>
      <c r="O539" s="13">
        <v>1.09120260713002E+17</v>
      </c>
      <c r="P539" s="13" t="s">
        <v>1781</v>
      </c>
      <c r="Q539" s="18">
        <v>1</v>
      </c>
      <c r="R539" s="18">
        <v>1</v>
      </c>
      <c r="S539" s="13">
        <v>8828132633</v>
      </c>
      <c r="T539" s="13" t="s">
        <v>951</v>
      </c>
      <c r="U539" s="19">
        <v>28881900</v>
      </c>
      <c r="V539" s="18">
        <v>1</v>
      </c>
      <c r="W539" s="18">
        <f>_xlfn.XLOOKUP(J539,'Master Data 14-9-2026'!C:C,'Master Data 14-9-2026'!L:L)</f>
        <v>1.5</v>
      </c>
      <c r="X539" s="23">
        <v>28881900</v>
      </c>
      <c r="Y539" s="13" t="s">
        <v>1599</v>
      </c>
      <c r="Z539" s="24" t="s">
        <v>984</v>
      </c>
      <c r="AA539" s="4" t="s">
        <v>1288</v>
      </c>
      <c r="AB539" s="13" t="s">
        <v>1600</v>
      </c>
      <c r="AC539" s="13"/>
      <c r="AD539" s="13"/>
      <c r="AE539" s="13" t="str">
        <f>_xlfn.XLOOKUP(L539,'[1]ID PROJECT'!E:E,'[1]ID PROJECT'!F:F)</f>
        <v xml:space="preserve">PRJ-KUT-KPU-TPED-2026-04-00071 </v>
      </c>
      <c r="AF539" s="13"/>
      <c r="AG539" s="13"/>
      <c r="AH539" s="65"/>
      <c r="AI539" s="27"/>
    </row>
    <row r="540" spans="1:35" hidden="1">
      <c r="A540" s="13" t="s">
        <v>81</v>
      </c>
      <c r="B540" s="13" t="str">
        <f>_xlfn.XLOOKUP(J540,'Master Data 14-9-2026'!C:C,'Master Data 14-9-2026'!D:D)</f>
        <v>Putri Mawaring Wening wx1524101</v>
      </c>
      <c r="C540" s="13"/>
      <c r="D540" s="13" t="str">
        <f>_xlfn.XLOOKUP(J540,'Master Data 14-9-2026'!C:C,'Master Data 14-9-2026'!E:E)</f>
        <v>TELKOMSEL</v>
      </c>
      <c r="E540" s="13"/>
      <c r="F540" s="13"/>
      <c r="G540" s="13" t="s">
        <v>13</v>
      </c>
      <c r="H540" s="13" t="str">
        <f>_xlfn.XLOOKUP(J540,'Master Data 14-9-2026'!C:C,'Master Data 14-9-2026'!H:H)</f>
        <v>2026-06-02 - 2026-07-01</v>
      </c>
      <c r="I540" s="13" t="str">
        <f t="shared" si="8"/>
        <v>June</v>
      </c>
      <c r="J540" s="13" t="s">
        <v>1782</v>
      </c>
      <c r="K540" s="13" t="s">
        <v>1782</v>
      </c>
      <c r="L540" s="13" t="s">
        <v>441</v>
      </c>
      <c r="M540" s="15">
        <v>200003186615020</v>
      </c>
      <c r="N540" s="13" t="s">
        <v>924</v>
      </c>
      <c r="O540" s="13">
        <v>1.09120260713002E+17</v>
      </c>
      <c r="P540" s="13" t="s">
        <v>1783</v>
      </c>
      <c r="Q540" s="18">
        <v>1</v>
      </c>
      <c r="R540" s="18">
        <v>1</v>
      </c>
      <c r="S540" s="13">
        <v>8828132633</v>
      </c>
      <c r="T540" s="13" t="s">
        <v>951</v>
      </c>
      <c r="U540" s="19">
        <v>28881900</v>
      </c>
      <c r="V540" s="18">
        <v>1</v>
      </c>
      <c r="W540" s="18">
        <f>_xlfn.XLOOKUP(J540,'Master Data 14-9-2026'!C:C,'Master Data 14-9-2026'!L:L)</f>
        <v>1.1399999999999999</v>
      </c>
      <c r="X540" s="23">
        <v>28881900</v>
      </c>
      <c r="Y540" s="13" t="s">
        <v>1599</v>
      </c>
      <c r="Z540" s="24" t="str">
        <f>_xlfn.XLOOKUP(J540,'Master Data 14-9-2026'!C:C,'Master Data 14-9-2026'!I:I)</f>
        <v>Ended</v>
      </c>
      <c r="AA540" s="4" t="s">
        <v>1288</v>
      </c>
      <c r="AB540" s="13" t="s">
        <v>1600</v>
      </c>
      <c r="AC540" s="13"/>
      <c r="AD540" s="13"/>
      <c r="AE540" s="13" t="str">
        <f>_xlfn.XLOOKUP(L540,'[1]ID PROJECT'!E:E,'[1]ID PROJECT'!F:F)</f>
        <v xml:space="preserve">PRJ-KUT-KPU-TPED-2026-04-00071 </v>
      </c>
      <c r="AF540" s="13"/>
      <c r="AG540" s="13"/>
      <c r="AH540" s="65"/>
      <c r="AI540" s="27"/>
    </row>
    <row r="541" spans="1:35" hidden="1">
      <c r="A541" s="13" t="s">
        <v>788</v>
      </c>
      <c r="B541" s="13" t="str">
        <f>_xlfn.XLOOKUP(J541,'Master Data 14-9-2026'!C:C,'Master Data 14-9-2026'!D:D)</f>
        <v>Andrew Ardella Abdullah wx1503970</v>
      </c>
      <c r="C541" s="13"/>
      <c r="D541" s="13" t="str">
        <f>_xlfn.XLOOKUP(J541,'Master Data 14-9-2026'!C:C,'Master Data 14-9-2026'!E:E)</f>
        <v>TELKOMSEL</v>
      </c>
      <c r="E541" s="13"/>
      <c r="F541" s="13"/>
      <c r="G541" s="13" t="s">
        <v>28</v>
      </c>
      <c r="H541" s="13" t="str">
        <f>_xlfn.XLOOKUP(J541,'Master Data 14-9-2026'!C:C,'Master Data 14-9-2026'!H:H)</f>
        <v>2026-07-26 - 2026-08-25</v>
      </c>
      <c r="I541" s="13" t="str">
        <f t="shared" si="8"/>
        <v>July</v>
      </c>
      <c r="J541" s="13" t="s">
        <v>1784</v>
      </c>
      <c r="K541" s="13" t="s">
        <v>1784</v>
      </c>
      <c r="L541" s="13" t="s">
        <v>441</v>
      </c>
      <c r="M541" s="15">
        <v>200003186634020</v>
      </c>
      <c r="N541" s="13" t="s">
        <v>924</v>
      </c>
      <c r="O541" s="13">
        <v>1.09120260713002E+17</v>
      </c>
      <c r="P541" s="13" t="s">
        <v>1785</v>
      </c>
      <c r="Q541" s="18">
        <v>1</v>
      </c>
      <c r="R541" s="18">
        <v>1</v>
      </c>
      <c r="S541" s="13">
        <v>8828132635</v>
      </c>
      <c r="T541" s="13" t="s">
        <v>926</v>
      </c>
      <c r="U541" s="19">
        <v>34220600</v>
      </c>
      <c r="V541" s="18">
        <v>1</v>
      </c>
      <c r="W541" s="18">
        <f>_xlfn.XLOOKUP(J541,'Master Data 14-9-2026'!C:C,'Master Data 14-9-2026'!L:L)</f>
        <v>0.57999999999999996</v>
      </c>
      <c r="X541" s="23">
        <v>34220600</v>
      </c>
      <c r="Y541" s="13" t="s">
        <v>1599</v>
      </c>
      <c r="Z541" s="24" t="s">
        <v>33</v>
      </c>
      <c r="AA541" s="4" t="s">
        <v>1288</v>
      </c>
      <c r="AB541" s="13" t="s">
        <v>1289</v>
      </c>
      <c r="AC541" s="13"/>
      <c r="AD541" s="13"/>
      <c r="AE541" s="13" t="str">
        <f>_xlfn.XLOOKUP(L541,'[1]ID PROJECT'!E:E,'[1]ID PROJECT'!F:F)</f>
        <v xml:space="preserve">PRJ-KUT-KPU-TPED-2026-04-00071 </v>
      </c>
      <c r="AF541" s="13"/>
      <c r="AG541" s="13"/>
      <c r="AH541" s="65"/>
      <c r="AI541" s="27"/>
    </row>
    <row r="542" spans="1:35" hidden="1">
      <c r="A542" s="13" t="s">
        <v>788</v>
      </c>
      <c r="B542" s="13" t="str">
        <f>_xlfn.XLOOKUP(J542,'Master Data 14-9-2026'!C:C,'Master Data 14-9-2026'!D:D)</f>
        <v>Andrew Ardella Abdullah wx1503970</v>
      </c>
      <c r="C542" s="13"/>
      <c r="D542" s="13" t="str">
        <f>_xlfn.XLOOKUP(J542,'Master Data 14-9-2026'!C:C,'Master Data 14-9-2026'!E:E)</f>
        <v>TELKOMSEL</v>
      </c>
      <c r="E542" s="13"/>
      <c r="F542" s="13"/>
      <c r="G542" s="13" t="s">
        <v>25</v>
      </c>
      <c r="H542" s="13" t="str">
        <f>_xlfn.XLOOKUP(J542,'Master Data 14-9-2026'!C:C,'Master Data 14-9-2026'!H:H)</f>
        <v>2026-06-26 - 2026-07-25</v>
      </c>
      <c r="I542" s="13" t="str">
        <f t="shared" si="8"/>
        <v>June</v>
      </c>
      <c r="J542" s="13" t="s">
        <v>1786</v>
      </c>
      <c r="K542" s="13" t="s">
        <v>1786</v>
      </c>
      <c r="L542" s="13" t="s">
        <v>441</v>
      </c>
      <c r="M542" s="15">
        <v>200003186631020</v>
      </c>
      <c r="N542" s="13" t="s">
        <v>924</v>
      </c>
      <c r="O542" s="13">
        <v>1.09120260713002E+17</v>
      </c>
      <c r="P542" s="13" t="s">
        <v>1787</v>
      </c>
      <c r="Q542" s="18">
        <v>1</v>
      </c>
      <c r="R542" s="18">
        <v>1</v>
      </c>
      <c r="S542" s="13">
        <v>8828132635</v>
      </c>
      <c r="T542" s="13" t="s">
        <v>926</v>
      </c>
      <c r="U542" s="19">
        <v>34220600</v>
      </c>
      <c r="V542" s="18">
        <v>1</v>
      </c>
      <c r="W542" s="18">
        <f>_xlfn.XLOOKUP(J542,'Master Data 14-9-2026'!C:C,'Master Data 14-9-2026'!L:L)</f>
        <v>1</v>
      </c>
      <c r="X542" s="23">
        <v>34220600</v>
      </c>
      <c r="Y542" s="13" t="s">
        <v>1599</v>
      </c>
      <c r="Z542" s="24" t="str">
        <f>_xlfn.XLOOKUP(J542,'Master Data 14-9-2026'!C:C,'Master Data 14-9-2026'!I:I)</f>
        <v>Ended</v>
      </c>
      <c r="AA542" s="4" t="s">
        <v>934</v>
      </c>
      <c r="AB542" s="13"/>
      <c r="AC542" s="13"/>
      <c r="AD542" s="13" t="s">
        <v>935</v>
      </c>
      <c r="AE542" s="13" t="str">
        <f>_xlfn.XLOOKUP(L542,'[1]ID PROJECT'!E:E,'[1]ID PROJECT'!F:F)</f>
        <v xml:space="preserve">PRJ-KUT-KPU-TPED-2026-04-00071 </v>
      </c>
      <c r="AF542" s="4" t="s">
        <v>1788</v>
      </c>
      <c r="AG542" s="13" t="s">
        <v>1789</v>
      </c>
      <c r="AH542" s="65">
        <v>46262</v>
      </c>
      <c r="AI542" s="27" t="s">
        <v>1095</v>
      </c>
    </row>
    <row r="543" spans="1:35" hidden="1">
      <c r="A543" s="13" t="s">
        <v>788</v>
      </c>
      <c r="B543" s="13" t="str">
        <f>_xlfn.XLOOKUP(J543,'Master Data 14-9-2026'!C:C,'Master Data 14-9-2026'!D:D)</f>
        <v>Andrew Ardella Abdullah wx1503970</v>
      </c>
      <c r="C543" s="13"/>
      <c r="D543" s="13" t="str">
        <f>_xlfn.XLOOKUP(J543,'Master Data 14-9-2026'!C:C,'Master Data 14-9-2026'!E:E)</f>
        <v>TELKOMSEL</v>
      </c>
      <c r="E543" s="13"/>
      <c r="F543" s="13"/>
      <c r="G543" s="13" t="s">
        <v>22</v>
      </c>
      <c r="H543" s="13" t="str">
        <f>_xlfn.XLOOKUP(J543,'Master Data 14-9-2026'!C:C,'Master Data 14-9-2026'!H:H)</f>
        <v>2026-05-26 - 2026-06-25</v>
      </c>
      <c r="I543" s="13" t="str">
        <f t="shared" si="8"/>
        <v>May</v>
      </c>
      <c r="J543" s="13" t="s">
        <v>1790</v>
      </c>
      <c r="K543" s="13" t="s">
        <v>1790</v>
      </c>
      <c r="L543" s="13" t="s">
        <v>441</v>
      </c>
      <c r="M543" s="15">
        <v>200003186628020</v>
      </c>
      <c r="N543" s="13" t="s">
        <v>924</v>
      </c>
      <c r="O543" s="13">
        <v>1.09120260713002E+17</v>
      </c>
      <c r="P543" s="13" t="s">
        <v>1791</v>
      </c>
      <c r="Q543" s="18">
        <v>1</v>
      </c>
      <c r="R543" s="18">
        <v>1</v>
      </c>
      <c r="S543" s="13">
        <v>8828132635</v>
      </c>
      <c r="T543" s="13" t="s">
        <v>926</v>
      </c>
      <c r="U543" s="19">
        <v>34220600</v>
      </c>
      <c r="V543" s="18">
        <v>1</v>
      </c>
      <c r="W543" s="18">
        <f>_xlfn.XLOOKUP(J543,'Master Data 14-9-2026'!C:C,'Master Data 14-9-2026'!L:L)</f>
        <v>1</v>
      </c>
      <c r="X543" s="23">
        <v>34220600</v>
      </c>
      <c r="Y543" s="13" t="s">
        <v>1599</v>
      </c>
      <c r="Z543" s="24" t="str">
        <f>_xlfn.XLOOKUP(J543,'Master Data 14-9-2026'!C:C,'Master Data 14-9-2026'!I:I)</f>
        <v>Ended</v>
      </c>
      <c r="AA543" s="4" t="s">
        <v>934</v>
      </c>
      <c r="AB543" s="13"/>
      <c r="AC543" s="13"/>
      <c r="AD543" s="13" t="s">
        <v>935</v>
      </c>
      <c r="AE543" s="13" t="str">
        <f>_xlfn.XLOOKUP(L543,'[1]ID PROJECT'!E:E,'[1]ID PROJECT'!F:F)</f>
        <v xml:space="preserve">PRJ-KUT-KPU-TPED-2026-04-00071 </v>
      </c>
      <c r="AF543" s="34" t="s">
        <v>1792</v>
      </c>
      <c r="AG543" s="13" t="s">
        <v>1793</v>
      </c>
      <c r="AH543" s="65">
        <v>46262</v>
      </c>
      <c r="AI543" s="27" t="s">
        <v>1095</v>
      </c>
    </row>
    <row r="544" spans="1:35" hidden="1">
      <c r="A544" s="13" t="s">
        <v>170</v>
      </c>
      <c r="B544" s="13" t="str">
        <f>_xlfn.XLOOKUP(J544,'Master Data 14-9-2026'!C:C,'Master Data 14-9-2026'!D:D)</f>
        <v>Yosephine Yudianto wx1503656</v>
      </c>
      <c r="C544" s="13"/>
      <c r="D544" s="13" t="str">
        <f>_xlfn.XLOOKUP(J544,'Master Data 14-9-2026'!C:C,'Master Data 14-9-2026'!E:E)</f>
        <v>TELKOMSEL</v>
      </c>
      <c r="E544" s="13"/>
      <c r="F544" s="13"/>
      <c r="G544" s="13" t="s">
        <v>28</v>
      </c>
      <c r="H544" s="13" t="str">
        <f>_xlfn.XLOOKUP(J544,'Master Data 14-9-2026'!C:C,'Master Data 14-9-2026'!H:H)</f>
        <v>2026-07-30 - 2026-08-29</v>
      </c>
      <c r="I544" s="13" t="str">
        <f t="shared" si="8"/>
        <v>July</v>
      </c>
      <c r="J544" s="13" t="s">
        <v>1794</v>
      </c>
      <c r="K544" s="13" t="s">
        <v>1794</v>
      </c>
      <c r="L544" s="13" t="s">
        <v>441</v>
      </c>
      <c r="M544" s="15">
        <v>200003133467020</v>
      </c>
      <c r="N544" s="13" t="s">
        <v>924</v>
      </c>
      <c r="O544" s="13">
        <v>1.09120260713002E+17</v>
      </c>
      <c r="P544" s="13" t="s">
        <v>1795</v>
      </c>
      <c r="Q544" s="18">
        <v>1</v>
      </c>
      <c r="R544" s="18">
        <v>1</v>
      </c>
      <c r="S544" s="13">
        <v>8828132633</v>
      </c>
      <c r="T544" s="13" t="s">
        <v>951</v>
      </c>
      <c r="U544" s="19">
        <v>28881900</v>
      </c>
      <c r="V544" s="18">
        <v>1</v>
      </c>
      <c r="W544" s="18">
        <f>_xlfn.XLOOKUP(J544,'Master Data 14-9-2026'!C:C,'Master Data 14-9-2026'!L:L)</f>
        <v>1.5</v>
      </c>
      <c r="X544" s="23">
        <v>28881900</v>
      </c>
      <c r="Y544" s="13" t="s">
        <v>1599</v>
      </c>
      <c r="Z544" s="24" t="s">
        <v>984</v>
      </c>
      <c r="AA544" s="4" t="s">
        <v>1288</v>
      </c>
      <c r="AB544" s="13" t="s">
        <v>1600</v>
      </c>
      <c r="AC544" s="13"/>
      <c r="AD544" s="13"/>
      <c r="AE544" s="13" t="str">
        <f>_xlfn.XLOOKUP(L544,'[1]ID PROJECT'!E:E,'[1]ID PROJECT'!F:F)</f>
        <v xml:space="preserve">PRJ-KUT-KPU-TPED-2026-04-00071 </v>
      </c>
      <c r="AF544" s="13"/>
      <c r="AG544" s="13"/>
      <c r="AH544" s="65"/>
      <c r="AI544" s="27"/>
    </row>
    <row r="545" spans="1:35">
      <c r="A545" s="13" t="s">
        <v>744</v>
      </c>
      <c r="B545" s="13" t="str">
        <f>_xlfn.XLOOKUP(J545,'Master Data 14-9-2026'!C:C,'Master Data 14-9-2026'!D:D)</f>
        <v>Vina Putri Saffanah wx1503974</v>
      </c>
      <c r="C545" s="13"/>
      <c r="D545" s="13" t="str">
        <f>_xlfn.XLOOKUP(J545,'Master Data 14-9-2026'!C:C,'Master Data 14-9-2026'!E:E)</f>
        <v>TELKOMSEL</v>
      </c>
      <c r="E545" s="13"/>
      <c r="F545" s="13"/>
      <c r="G545" s="13" t="s">
        <v>28</v>
      </c>
      <c r="H545" s="13" t="str">
        <f>_xlfn.XLOOKUP(J545,'Master Data 14-9-2026'!C:C,'Master Data 14-9-2026'!H:H)</f>
        <v>2026-07-31 - 2026-08-30</v>
      </c>
      <c r="I545" s="13" t="str">
        <f t="shared" si="8"/>
        <v>July</v>
      </c>
      <c r="J545" s="13" t="s">
        <v>1796</v>
      </c>
      <c r="K545" s="16" t="s">
        <v>1796</v>
      </c>
      <c r="L545" s="13" t="s">
        <v>441</v>
      </c>
      <c r="M545" s="15">
        <v>200003133471020</v>
      </c>
      <c r="N545" s="13" t="s">
        <v>924</v>
      </c>
      <c r="O545" s="13">
        <v>1.09120260713002E+17</v>
      </c>
      <c r="P545" s="13" t="s">
        <v>1797</v>
      </c>
      <c r="Q545" s="18">
        <v>1</v>
      </c>
      <c r="R545" s="18">
        <v>1</v>
      </c>
      <c r="S545" s="13">
        <v>8828132635</v>
      </c>
      <c r="T545" s="13" t="s">
        <v>926</v>
      </c>
      <c r="U545" s="19">
        <v>34220600</v>
      </c>
      <c r="V545" s="18">
        <v>1</v>
      </c>
      <c r="W545" s="18">
        <f>_xlfn.XLOOKUP(J545,'Master Data 14-9-2026'!C:C,'Master Data 14-9-2026'!L:L)</f>
        <v>1</v>
      </c>
      <c r="X545" s="23">
        <v>34220600</v>
      </c>
      <c r="Y545" s="13" t="s">
        <v>1599</v>
      </c>
      <c r="Z545" s="24" t="str">
        <f>_xlfn.XLOOKUP(J545,'Master Data 14-9-2026'!C:C,'Master Data 14-9-2026'!I:I)</f>
        <v>Ended</v>
      </c>
      <c r="AA545" s="39" t="s">
        <v>934</v>
      </c>
      <c r="AB545" s="13"/>
      <c r="AC545" s="13"/>
      <c r="AD545" s="40" t="s">
        <v>935</v>
      </c>
      <c r="AE545" s="13" t="str">
        <f>_xlfn.XLOOKUP(L545,'[1]ID PROJECT'!E:E,'[1]ID PROJECT'!F:F)</f>
        <v xml:space="preserve">PRJ-KUT-KPU-TPED-2026-04-00071 </v>
      </c>
      <c r="AF545" s="39" t="s">
        <v>4136</v>
      </c>
      <c r="AG545" s="46" t="s">
        <v>4167</v>
      </c>
      <c r="AH545" s="65">
        <v>46279</v>
      </c>
      <c r="AI545" s="41" t="s">
        <v>967</v>
      </c>
    </row>
    <row r="546" spans="1:35" hidden="1">
      <c r="A546" s="13" t="s">
        <v>170</v>
      </c>
      <c r="B546" s="13" t="str">
        <f>_xlfn.XLOOKUP(J546,'Master Data 14-9-2026'!C:C,'Master Data 14-9-2026'!D:D)</f>
        <v>Yosephine Yudianto wx1503656</v>
      </c>
      <c r="C546" s="13"/>
      <c r="D546" s="13" t="str">
        <f>_xlfn.XLOOKUP(J546,'Master Data 14-9-2026'!C:C,'Master Data 14-9-2026'!E:E)</f>
        <v>TELKOMSEL</v>
      </c>
      <c r="E546" s="13"/>
      <c r="F546" s="13"/>
      <c r="G546" s="13" t="s">
        <v>25</v>
      </c>
      <c r="H546" s="13" t="str">
        <f>_xlfn.XLOOKUP(J546,'Master Data 14-9-2026'!C:C,'Master Data 14-9-2026'!H:H)</f>
        <v>2026-06-30 - 2026-07-29</v>
      </c>
      <c r="I546" s="13" t="str">
        <f t="shared" si="8"/>
        <v>June</v>
      </c>
      <c r="J546" s="13" t="s">
        <v>1798</v>
      </c>
      <c r="K546" s="13" t="s">
        <v>1798</v>
      </c>
      <c r="L546" s="13" t="s">
        <v>441</v>
      </c>
      <c r="M546" s="15">
        <v>200003133448020</v>
      </c>
      <c r="N546" s="13" t="s">
        <v>924</v>
      </c>
      <c r="O546" s="13">
        <v>1.09120260713002E+17</v>
      </c>
      <c r="P546" s="13" t="s">
        <v>1799</v>
      </c>
      <c r="Q546" s="18">
        <v>1</v>
      </c>
      <c r="R546" s="18">
        <v>1</v>
      </c>
      <c r="S546" s="13">
        <v>8828132633</v>
      </c>
      <c r="T546" s="13" t="s">
        <v>951</v>
      </c>
      <c r="U546" s="19">
        <v>28881900</v>
      </c>
      <c r="V546" s="18">
        <v>1</v>
      </c>
      <c r="W546" s="18">
        <f>_xlfn.XLOOKUP(J546,'Master Data 14-9-2026'!C:C,'Master Data 14-9-2026'!L:L)</f>
        <v>1.5</v>
      </c>
      <c r="X546" s="23">
        <v>28881900</v>
      </c>
      <c r="Y546" s="13" t="s">
        <v>1599</v>
      </c>
      <c r="Z546" s="24" t="str">
        <f>_xlfn.XLOOKUP(J546,'Master Data 14-9-2026'!C:C,'Master Data 14-9-2026'!I:I)</f>
        <v>Ended</v>
      </c>
      <c r="AA546" s="4" t="s">
        <v>1288</v>
      </c>
      <c r="AB546" s="13" t="s">
        <v>1600</v>
      </c>
      <c r="AC546" s="13"/>
      <c r="AD546" s="13"/>
      <c r="AE546" s="13" t="str">
        <f>_xlfn.XLOOKUP(L546,'[1]ID PROJECT'!E:E,'[1]ID PROJECT'!F:F)</f>
        <v xml:space="preserve">PRJ-KUT-KPU-TPED-2026-04-00071 </v>
      </c>
      <c r="AF546" s="13"/>
      <c r="AG546" s="13"/>
      <c r="AH546" s="65"/>
      <c r="AI546" s="27"/>
    </row>
    <row r="547" spans="1:35" hidden="1">
      <c r="A547" s="13" t="s">
        <v>744</v>
      </c>
      <c r="B547" s="13" t="str">
        <f>_xlfn.XLOOKUP(J547,'Master Data 14-9-2026'!C:C,'Master Data 14-9-2026'!D:D)</f>
        <v>Vina Putri Saffanah wx1503974</v>
      </c>
      <c r="C547" s="13"/>
      <c r="D547" s="13" t="str">
        <f>_xlfn.XLOOKUP(J547,'Master Data 14-9-2026'!C:C,'Master Data 14-9-2026'!E:E)</f>
        <v>TELKOMSEL</v>
      </c>
      <c r="E547" s="13"/>
      <c r="F547" s="13"/>
      <c r="G547" s="13" t="s">
        <v>25</v>
      </c>
      <c r="H547" s="13" t="str">
        <f>_xlfn.XLOOKUP(J547,'Master Data 14-9-2026'!C:C,'Master Data 14-9-2026'!H:H)</f>
        <v>2026-06-30 - 2026-07-30</v>
      </c>
      <c r="I547" s="13" t="str">
        <f t="shared" si="8"/>
        <v>June</v>
      </c>
      <c r="J547" s="13" t="s">
        <v>1800</v>
      </c>
      <c r="K547" s="13" t="s">
        <v>1800</v>
      </c>
      <c r="L547" s="13" t="s">
        <v>441</v>
      </c>
      <c r="M547" s="15">
        <v>200003133452020</v>
      </c>
      <c r="N547" s="13" t="s">
        <v>924</v>
      </c>
      <c r="O547" s="13">
        <v>1.09120260713002E+17</v>
      </c>
      <c r="P547" s="13" t="s">
        <v>1801</v>
      </c>
      <c r="Q547" s="18">
        <v>1</v>
      </c>
      <c r="R547" s="18">
        <v>1</v>
      </c>
      <c r="S547" s="13">
        <v>8828132635</v>
      </c>
      <c r="T547" s="13" t="s">
        <v>926</v>
      </c>
      <c r="U547" s="19">
        <v>34220600</v>
      </c>
      <c r="V547" s="18">
        <v>1</v>
      </c>
      <c r="W547" s="18">
        <f>_xlfn.XLOOKUP(J547,'Master Data 14-9-2026'!C:C,'Master Data 14-9-2026'!L:L)</f>
        <v>1</v>
      </c>
      <c r="X547" s="23">
        <v>34220600</v>
      </c>
      <c r="Y547" s="13" t="s">
        <v>1599</v>
      </c>
      <c r="Z547" s="24" t="str">
        <f>_xlfn.XLOOKUP(J547,'Master Data 14-9-2026'!C:C,'Master Data 14-9-2026'!I:I)</f>
        <v>Ended</v>
      </c>
      <c r="AA547" s="4" t="s">
        <v>934</v>
      </c>
      <c r="AB547" s="13"/>
      <c r="AC547" s="13"/>
      <c r="AD547" s="13" t="s">
        <v>935</v>
      </c>
      <c r="AE547" s="13" t="str">
        <f>_xlfn.XLOOKUP(L547,'[1]ID PROJECT'!E:E,'[1]ID PROJECT'!F:F)</f>
        <v xml:space="preserve">PRJ-KUT-KPU-TPED-2026-04-00071 </v>
      </c>
      <c r="AF547" s="34" t="s">
        <v>1802</v>
      </c>
      <c r="AG547" s="13" t="s">
        <v>1803</v>
      </c>
      <c r="AH547" s="65">
        <v>46262</v>
      </c>
      <c r="AI547" s="27" t="s">
        <v>1095</v>
      </c>
    </row>
    <row r="548" spans="1:35" hidden="1">
      <c r="A548" s="13" t="s">
        <v>625</v>
      </c>
      <c r="B548" s="13" t="str">
        <f>_xlfn.XLOOKUP(J548,'Master Data 14-9-2026'!C:C,'Master Data 14-9-2026'!D:D)</f>
        <v>Iwan Syafaat WX1531019</v>
      </c>
      <c r="C548" s="13"/>
      <c r="D548" s="13" t="str">
        <f>_xlfn.XLOOKUP(J548,'Master Data 14-9-2026'!C:C,'Master Data 14-9-2026'!E:E)</f>
        <v>TELKOMSEL</v>
      </c>
      <c r="E548" s="13"/>
      <c r="F548" s="13"/>
      <c r="G548" s="13" t="s">
        <v>13</v>
      </c>
      <c r="H548" s="13" t="str">
        <f>_xlfn.XLOOKUP(J548,'Master Data 14-9-2026'!C:C,'Master Data 14-9-2026'!H:H)</f>
        <v>2026-06-29 - 2026-07-28</v>
      </c>
      <c r="I548" s="13" t="str">
        <f t="shared" si="8"/>
        <v>June</v>
      </c>
      <c r="J548" s="13" t="s">
        <v>1804</v>
      </c>
      <c r="K548" s="13" t="s">
        <v>1804</v>
      </c>
      <c r="L548" s="13" t="s">
        <v>441</v>
      </c>
      <c r="M548" s="15">
        <v>200003186623020</v>
      </c>
      <c r="N548" s="13" t="s">
        <v>924</v>
      </c>
      <c r="O548" s="13">
        <v>1.09120260713002E+17</v>
      </c>
      <c r="P548" s="13" t="s">
        <v>1805</v>
      </c>
      <c r="Q548" s="18">
        <v>1</v>
      </c>
      <c r="R548" s="18">
        <v>1</v>
      </c>
      <c r="S548" s="13">
        <v>8828132634</v>
      </c>
      <c r="T548" s="13" t="s">
        <v>978</v>
      </c>
      <c r="U548" s="19">
        <v>32542400</v>
      </c>
      <c r="V548" s="18">
        <v>1</v>
      </c>
      <c r="W548" s="18">
        <f>_xlfn.XLOOKUP(J548,'Master Data 14-9-2026'!C:C,'Master Data 14-9-2026'!L:L)</f>
        <v>0.5</v>
      </c>
      <c r="X548" s="23">
        <v>32542400</v>
      </c>
      <c r="Y548" s="13" t="s">
        <v>1599</v>
      </c>
      <c r="Z548" s="24" t="str">
        <f>_xlfn.XLOOKUP(J548,'Master Data 14-9-2026'!C:C,'Master Data 14-9-2026'!I:I)</f>
        <v>Ended</v>
      </c>
      <c r="AA548" s="4" t="s">
        <v>1288</v>
      </c>
      <c r="AB548" s="13" t="s">
        <v>1289</v>
      </c>
      <c r="AC548" s="13"/>
      <c r="AD548" s="13"/>
      <c r="AE548" s="13" t="str">
        <f>_xlfn.XLOOKUP(L548,'[1]ID PROJECT'!E:E,'[1]ID PROJECT'!F:F)</f>
        <v xml:space="preserve">PRJ-KUT-KPU-TPED-2026-04-00071 </v>
      </c>
      <c r="AF548" s="13"/>
      <c r="AG548" s="13"/>
      <c r="AH548" s="65"/>
      <c r="AI548" s="27"/>
    </row>
    <row r="549" spans="1:35" hidden="1">
      <c r="A549" s="13" t="s">
        <v>625</v>
      </c>
      <c r="B549" s="13" t="str">
        <f>_xlfn.XLOOKUP(J549,'Master Data 14-9-2026'!C:C,'Master Data 14-9-2026'!D:D)</f>
        <v>Iwan Syafaat WX1531019</v>
      </c>
      <c r="C549" s="13"/>
      <c r="D549" s="13" t="str">
        <f>_xlfn.XLOOKUP(J549,'Master Data 14-9-2026'!C:C,'Master Data 14-9-2026'!E:E)</f>
        <v>TELKOMSEL</v>
      </c>
      <c r="E549" s="13"/>
      <c r="F549" s="13"/>
      <c r="G549" s="13" t="s">
        <v>18</v>
      </c>
      <c r="H549" s="13" t="str">
        <f>_xlfn.XLOOKUP(J549,'Master Data 14-9-2026'!C:C,'Master Data 14-9-2026'!H:H)</f>
        <v>2026-07-29 - 2026-08-28</v>
      </c>
      <c r="I549" s="13" t="str">
        <f t="shared" si="8"/>
        <v>July</v>
      </c>
      <c r="J549" s="13" t="s">
        <v>1806</v>
      </c>
      <c r="K549" s="13" t="s">
        <v>1806</v>
      </c>
      <c r="L549" s="13" t="s">
        <v>441</v>
      </c>
      <c r="M549" s="15">
        <v>200003186626020</v>
      </c>
      <c r="N549" s="13" t="s">
        <v>924</v>
      </c>
      <c r="O549" s="13">
        <v>1.09120260713002E+17</v>
      </c>
      <c r="P549" s="13" t="s">
        <v>1807</v>
      </c>
      <c r="Q549" s="18">
        <v>1</v>
      </c>
      <c r="R549" s="18">
        <v>1</v>
      </c>
      <c r="S549" s="13">
        <v>8828132634</v>
      </c>
      <c r="T549" s="13" t="s">
        <v>978</v>
      </c>
      <c r="U549" s="19">
        <v>32542400</v>
      </c>
      <c r="V549" s="18">
        <v>1</v>
      </c>
      <c r="W549" s="18">
        <f>_xlfn.XLOOKUP(J549,'Master Data 14-9-2026'!C:C,'Master Data 14-9-2026'!L:L)</f>
        <v>0.63</v>
      </c>
      <c r="X549" s="23">
        <v>32542400</v>
      </c>
      <c r="Y549" s="13" t="s">
        <v>1599</v>
      </c>
      <c r="Z549" s="24" t="s">
        <v>33</v>
      </c>
      <c r="AB549" s="13"/>
      <c r="AC549" s="13"/>
      <c r="AD549" s="13"/>
      <c r="AE549" s="13" t="str">
        <f>_xlfn.XLOOKUP(L549,'[1]ID PROJECT'!E:E,'[1]ID PROJECT'!F:F)</f>
        <v xml:space="preserve">PRJ-KUT-KPU-TPED-2026-04-00071 </v>
      </c>
      <c r="AF549" s="13"/>
      <c r="AG549" s="13"/>
      <c r="AH549" s="65"/>
      <c r="AI549" s="27"/>
    </row>
    <row r="550" spans="1:35" hidden="1">
      <c r="A550" s="13" t="s">
        <v>81</v>
      </c>
      <c r="B550" s="13" t="str">
        <f>_xlfn.XLOOKUP(J550,'Master Data 14-9-2026'!C:C,'Master Data 14-9-2026'!D:D)</f>
        <v>Putri Mawaring Wening wx1524101</v>
      </c>
      <c r="C550" s="13"/>
      <c r="D550" s="13" t="str">
        <f>_xlfn.XLOOKUP(J550,'Master Data 14-9-2026'!C:C,'Master Data 14-9-2026'!E:E)</f>
        <v>TELKOMSEL</v>
      </c>
      <c r="E550" s="13"/>
      <c r="F550" s="13"/>
      <c r="G550" s="13" t="s">
        <v>18</v>
      </c>
      <c r="H550" s="13" t="str">
        <f>_xlfn.XLOOKUP(J550,'Master Data 14-9-2026'!C:C,'Master Data 14-9-2026'!H:H)</f>
        <v>2026-07-02 - 2026-08-01</v>
      </c>
      <c r="I550" s="13" t="str">
        <f t="shared" si="8"/>
        <v>July</v>
      </c>
      <c r="J550" s="13" t="s">
        <v>1808</v>
      </c>
      <c r="K550" s="13" t="s">
        <v>1808</v>
      </c>
      <c r="L550" s="13" t="s">
        <v>441</v>
      </c>
      <c r="M550" s="15">
        <v>200003186616020</v>
      </c>
      <c r="N550" s="13" t="s">
        <v>924</v>
      </c>
      <c r="O550" s="13">
        <v>1.09120260713002E+17</v>
      </c>
      <c r="P550" s="13" t="s">
        <v>1809</v>
      </c>
      <c r="Q550" s="18">
        <v>1</v>
      </c>
      <c r="R550" s="18">
        <v>1</v>
      </c>
      <c r="S550" s="13">
        <v>8828132633</v>
      </c>
      <c r="T550" s="13" t="s">
        <v>951</v>
      </c>
      <c r="U550" s="19">
        <v>28881900</v>
      </c>
      <c r="V550" s="18">
        <v>1</v>
      </c>
      <c r="W550" s="18">
        <f>_xlfn.XLOOKUP(J550,'Master Data 14-9-2026'!C:C,'Master Data 14-9-2026'!L:L)</f>
        <v>1.5</v>
      </c>
      <c r="X550" s="23">
        <v>28881900</v>
      </c>
      <c r="Y550" s="13" t="s">
        <v>1599</v>
      </c>
      <c r="Z550" s="24" t="s">
        <v>984</v>
      </c>
      <c r="AB550" s="13"/>
      <c r="AC550" s="13"/>
      <c r="AD550" s="13"/>
      <c r="AE550" s="13" t="str">
        <f>_xlfn.XLOOKUP(L550,'[1]ID PROJECT'!E:E,'[1]ID PROJECT'!F:F)</f>
        <v xml:space="preserve">PRJ-KUT-KPU-TPED-2026-04-00071 </v>
      </c>
      <c r="AF550" s="13"/>
      <c r="AG550" s="13"/>
      <c r="AH550" s="65"/>
      <c r="AI550" s="27"/>
    </row>
    <row r="551" spans="1:35" hidden="1">
      <c r="A551" s="13" t="s">
        <v>534</v>
      </c>
      <c r="B551" s="13" t="str">
        <f>_xlfn.XLOOKUP(J551,'Master Data 14-9-2026'!C:C,'Master Data 14-9-2026'!D:D)</f>
        <v>Risky Septiadi Hartono wx1503496</v>
      </c>
      <c r="C551" s="13"/>
      <c r="D551" s="13" t="str">
        <f>_xlfn.XLOOKUP(J551,'Master Data 14-9-2026'!C:C,'Master Data 14-9-2026'!E:E)</f>
        <v>TELKOMSEL</v>
      </c>
      <c r="E551" s="13"/>
      <c r="F551" s="13"/>
      <c r="G551" s="13" t="s">
        <v>28</v>
      </c>
      <c r="H551" s="13" t="str">
        <f>_xlfn.XLOOKUP(J551,'Master Data 14-9-2026'!C:C,'Master Data 14-9-2026'!H:H)</f>
        <v>2026-07-23 - 2026-08-22</v>
      </c>
      <c r="I551" s="13" t="str">
        <f t="shared" si="8"/>
        <v>July</v>
      </c>
      <c r="J551" s="13" t="s">
        <v>1810</v>
      </c>
      <c r="K551" s="13" t="s">
        <v>1810</v>
      </c>
      <c r="L551" s="13" t="s">
        <v>457</v>
      </c>
      <c r="M551" s="15">
        <v>200003133475020</v>
      </c>
      <c r="N551" s="13" t="s">
        <v>924</v>
      </c>
      <c r="O551" s="13">
        <v>1.09120260713002E+17</v>
      </c>
      <c r="P551" s="13" t="s">
        <v>1811</v>
      </c>
      <c r="Q551" s="18">
        <v>1</v>
      </c>
      <c r="R551" s="18">
        <v>1</v>
      </c>
      <c r="S551" s="13">
        <v>8828132636</v>
      </c>
      <c r="T551" s="13" t="s">
        <v>933</v>
      </c>
      <c r="U551" s="19">
        <v>36992000</v>
      </c>
      <c r="V551" s="18">
        <v>1</v>
      </c>
      <c r="W551" s="18">
        <f>_xlfn.XLOOKUP(J551,'Master Data 14-9-2026'!C:C,'Master Data 14-9-2026'!L:L)</f>
        <v>1.28</v>
      </c>
      <c r="X551" s="23">
        <v>36992000</v>
      </c>
      <c r="Y551" s="13" t="s">
        <v>1599</v>
      </c>
      <c r="Z551" s="24" t="s">
        <v>33</v>
      </c>
      <c r="AB551" s="13"/>
      <c r="AC551" s="13"/>
      <c r="AD551" s="13"/>
      <c r="AE551" s="13" t="str">
        <f>_xlfn.XLOOKUP(L551,'[1]ID PROJECT'!E:E,'[1]ID PROJECT'!F:F)</f>
        <v>PRJ-KUT-KPU-TPED-2026-04-00076</v>
      </c>
      <c r="AF551" s="13"/>
      <c r="AG551" s="13"/>
      <c r="AH551" s="65"/>
      <c r="AI551" s="27"/>
    </row>
    <row r="552" spans="1:35" hidden="1">
      <c r="A552" s="13" t="s">
        <v>534</v>
      </c>
      <c r="B552" s="13" t="str">
        <f>_xlfn.XLOOKUP(J552,'Master Data 14-9-2026'!C:C,'Master Data 14-9-2026'!D:D)</f>
        <v>Risky Septiadi Hartono wx1503496</v>
      </c>
      <c r="C552" s="13"/>
      <c r="D552" s="13" t="str">
        <f>_xlfn.XLOOKUP(J552,'Master Data 14-9-2026'!C:C,'Master Data 14-9-2026'!E:E)</f>
        <v>TELKOMSEL</v>
      </c>
      <c r="E552" s="13"/>
      <c r="F552" s="13"/>
      <c r="G552" s="13" t="s">
        <v>25</v>
      </c>
      <c r="H552" s="13" t="str">
        <f>_xlfn.XLOOKUP(J552,'Master Data 14-9-2026'!C:C,'Master Data 14-9-2026'!H:H)</f>
        <v>2026-06-23 - 2026-07-22</v>
      </c>
      <c r="I552" s="13" t="str">
        <f t="shared" si="8"/>
        <v>June</v>
      </c>
      <c r="J552" s="13" t="s">
        <v>1812</v>
      </c>
      <c r="K552" s="13" t="s">
        <v>1812</v>
      </c>
      <c r="L552" s="13" t="s">
        <v>457</v>
      </c>
      <c r="M552" s="15">
        <v>200003133456020</v>
      </c>
      <c r="N552" s="13" t="s">
        <v>924</v>
      </c>
      <c r="O552" s="13">
        <v>1.09120260713002E+17</v>
      </c>
      <c r="P552" s="13" t="s">
        <v>1813</v>
      </c>
      <c r="Q552" s="18">
        <v>1</v>
      </c>
      <c r="R552" s="18">
        <v>1</v>
      </c>
      <c r="S552" s="13">
        <v>8828132636</v>
      </c>
      <c r="T552" s="13" t="s">
        <v>933</v>
      </c>
      <c r="U552" s="19">
        <v>36992000</v>
      </c>
      <c r="V552" s="18">
        <v>1</v>
      </c>
      <c r="W552" s="18">
        <f>_xlfn.XLOOKUP(J552,'Master Data 14-9-2026'!C:C,'Master Data 14-9-2026'!L:L)</f>
        <v>1.5</v>
      </c>
      <c r="X552" s="23">
        <v>36992000</v>
      </c>
      <c r="Y552" s="13" t="s">
        <v>1599</v>
      </c>
      <c r="Z552" s="24" t="str">
        <f>_xlfn.XLOOKUP(J552,'Master Data 14-9-2026'!C:C,'Master Data 14-9-2026'!I:I)</f>
        <v>Ended</v>
      </c>
      <c r="AB552" s="13"/>
      <c r="AC552" s="13"/>
      <c r="AD552" s="13"/>
      <c r="AE552" s="13" t="str">
        <f>_xlfn.XLOOKUP(L552,'[1]ID PROJECT'!E:E,'[1]ID PROJECT'!F:F)</f>
        <v>PRJ-KUT-KPU-TPED-2026-04-00076</v>
      </c>
      <c r="AF552" s="13"/>
      <c r="AG552" s="13"/>
      <c r="AH552" s="65"/>
      <c r="AI552" s="27"/>
    </row>
    <row r="553" spans="1:35" hidden="1">
      <c r="A553" s="13" t="s">
        <v>756</v>
      </c>
      <c r="B553" s="13" t="str">
        <f>_xlfn.XLOOKUP(J553,'Master Data 14-9-2026'!C:C,'Master Data 14-9-2026'!D:D)</f>
        <v>Triana Sukeci wx1503625</v>
      </c>
      <c r="C553" s="13"/>
      <c r="D553" s="13" t="str">
        <f>_xlfn.XLOOKUP(J553,'Master Data 14-9-2026'!C:C,'Master Data 14-9-2026'!E:E)</f>
        <v>TELKOMSEL</v>
      </c>
      <c r="E553" s="13"/>
      <c r="F553" s="13"/>
      <c r="G553" s="13" t="s">
        <v>28</v>
      </c>
      <c r="H553" s="13" t="str">
        <f>_xlfn.XLOOKUP(J553,'Master Data 14-9-2026'!C:C,'Master Data 14-9-2026'!H:H)</f>
        <v>2026-07-27 - 2026-08-26</v>
      </c>
      <c r="I553" s="13" t="str">
        <f t="shared" si="8"/>
        <v>July</v>
      </c>
      <c r="J553" s="13" t="s">
        <v>1814</v>
      </c>
      <c r="K553" s="13" t="s">
        <v>1814</v>
      </c>
      <c r="L553" s="13" t="s">
        <v>461</v>
      </c>
      <c r="M553" s="15">
        <v>200003133470020</v>
      </c>
      <c r="N553" s="13" t="s">
        <v>924</v>
      </c>
      <c r="O553" s="13">
        <v>1.09120260713002E+17</v>
      </c>
      <c r="P553" s="13" t="s">
        <v>1815</v>
      </c>
      <c r="Q553" s="18">
        <v>1</v>
      </c>
      <c r="R553" s="18">
        <v>1</v>
      </c>
      <c r="S553" s="13">
        <v>8828132635</v>
      </c>
      <c r="T553" s="13" t="s">
        <v>926</v>
      </c>
      <c r="U553" s="19">
        <v>34220600</v>
      </c>
      <c r="V553" s="18">
        <v>1</v>
      </c>
      <c r="W553" s="18">
        <f>_xlfn.XLOOKUP(J553,'Master Data 14-9-2026'!C:C,'Master Data 14-9-2026'!L:L)</f>
        <v>1.5</v>
      </c>
      <c r="X553" s="23">
        <v>34220600</v>
      </c>
      <c r="Y553" s="13" t="s">
        <v>1599</v>
      </c>
      <c r="Z553" s="24" t="s">
        <v>33</v>
      </c>
      <c r="AB553" s="13"/>
      <c r="AC553" s="13"/>
      <c r="AD553" s="13"/>
      <c r="AE553" s="13" t="str">
        <f>_xlfn.XLOOKUP(L553,'[1]ID PROJECT'!E:E,'[1]ID PROJECT'!F:F)</f>
        <v>PRJ-KUT-KPU-TPED-2026-04-00078</v>
      </c>
      <c r="AF553" s="13"/>
      <c r="AG553" s="13"/>
      <c r="AH553" s="65"/>
      <c r="AI553" s="27"/>
    </row>
    <row r="554" spans="1:35" hidden="1">
      <c r="A554" s="13" t="s">
        <v>9</v>
      </c>
      <c r="B554" s="13" t="str">
        <f>_xlfn.XLOOKUP(J554,'Master Data 14-9-2026'!C:C,'Master Data 14-9-2026'!D:D)</f>
        <v>Winarsih wx1503649</v>
      </c>
      <c r="C554" s="13"/>
      <c r="D554" s="13" t="str">
        <f>_xlfn.XLOOKUP(J554,'Master Data 14-9-2026'!C:C,'Master Data 14-9-2026'!E:E)</f>
        <v>TELKOMSEL</v>
      </c>
      <c r="E554" s="13"/>
      <c r="F554" s="13"/>
      <c r="G554" s="13" t="s">
        <v>25</v>
      </c>
      <c r="H554" s="13" t="str">
        <f>_xlfn.XLOOKUP(J554,'Master Data 14-9-2026'!C:C,'Master Data 14-9-2026'!H:H)</f>
        <v>2026-07-01 - 2026-07-31</v>
      </c>
      <c r="I554" s="13" t="str">
        <f t="shared" si="8"/>
        <v>July</v>
      </c>
      <c r="J554" s="13" t="s">
        <v>1816</v>
      </c>
      <c r="K554" s="13" t="s">
        <v>1816</v>
      </c>
      <c r="L554" s="13" t="s">
        <v>441</v>
      </c>
      <c r="M554" s="15">
        <v>200003133449020</v>
      </c>
      <c r="N554" s="13" t="s">
        <v>924</v>
      </c>
      <c r="O554" s="13">
        <v>1.09120260713002E+17</v>
      </c>
      <c r="P554" s="13" t="s">
        <v>1817</v>
      </c>
      <c r="Q554" s="18">
        <v>1</v>
      </c>
      <c r="R554" s="18">
        <v>1</v>
      </c>
      <c r="S554" s="13">
        <v>8828132633</v>
      </c>
      <c r="T554" s="13" t="s">
        <v>951</v>
      </c>
      <c r="U554" s="19">
        <v>28881900</v>
      </c>
      <c r="V554" s="18">
        <v>1</v>
      </c>
      <c r="W554" s="18">
        <f>_xlfn.XLOOKUP(J554,'Master Data 14-9-2026'!C:C,'Master Data 14-9-2026'!L:L)</f>
        <v>1.43</v>
      </c>
      <c r="X554" s="23">
        <v>28881900</v>
      </c>
      <c r="Y554" s="13" t="s">
        <v>1599</v>
      </c>
      <c r="Z554" s="24" t="s">
        <v>984</v>
      </c>
      <c r="AB554" s="13"/>
      <c r="AC554" s="13"/>
      <c r="AD554" s="13"/>
      <c r="AE554" s="13" t="str">
        <f>_xlfn.XLOOKUP(L554,'[1]ID PROJECT'!E:E,'[1]ID PROJECT'!F:F)</f>
        <v xml:space="preserve">PRJ-KUT-KPU-TPED-2026-04-00071 </v>
      </c>
      <c r="AF554" s="13"/>
      <c r="AG554" s="13"/>
      <c r="AH554" s="65"/>
      <c r="AI554" s="27"/>
    </row>
    <row r="555" spans="1:35" hidden="1">
      <c r="A555" s="13" t="s">
        <v>756</v>
      </c>
      <c r="B555" s="13" t="str">
        <f>_xlfn.XLOOKUP(J555,'Master Data 14-9-2026'!C:C,'Master Data 14-9-2026'!D:D)</f>
        <v>Triana Sukeci wx1503625</v>
      </c>
      <c r="C555" s="13"/>
      <c r="D555" s="13" t="str">
        <f>_xlfn.XLOOKUP(J555,'Master Data 14-9-2026'!C:C,'Master Data 14-9-2026'!E:E)</f>
        <v>TELKOMSEL</v>
      </c>
      <c r="E555" s="13"/>
      <c r="F555" s="13"/>
      <c r="G555" s="13" t="s">
        <v>25</v>
      </c>
      <c r="H555" s="13" t="str">
        <f>_xlfn.XLOOKUP(J555,'Master Data 14-9-2026'!C:C,'Master Data 14-9-2026'!H:H)</f>
        <v>2026-06-27 - 2026-07-26</v>
      </c>
      <c r="I555" s="13" t="str">
        <f t="shared" si="8"/>
        <v>June</v>
      </c>
      <c r="J555" s="13" t="s">
        <v>1818</v>
      </c>
      <c r="K555" s="13" t="s">
        <v>1818</v>
      </c>
      <c r="L555" s="13" t="s">
        <v>461</v>
      </c>
      <c r="M555" s="15">
        <v>200003133451020</v>
      </c>
      <c r="N555" s="13" t="s">
        <v>924</v>
      </c>
      <c r="O555" s="13">
        <v>1.09120260713002E+17</v>
      </c>
      <c r="P555" s="13" t="s">
        <v>1819</v>
      </c>
      <c r="Q555" s="18">
        <v>1</v>
      </c>
      <c r="R555" s="18">
        <v>1</v>
      </c>
      <c r="S555" s="13">
        <v>8828132635</v>
      </c>
      <c r="T555" s="13" t="s">
        <v>926</v>
      </c>
      <c r="U555" s="19">
        <v>34220600</v>
      </c>
      <c r="V555" s="18">
        <v>1</v>
      </c>
      <c r="W555" s="18">
        <f>_xlfn.XLOOKUP(J555,'Master Data 14-9-2026'!C:C,'Master Data 14-9-2026'!L:L)</f>
        <v>1.5</v>
      </c>
      <c r="X555" s="23">
        <v>34220600</v>
      </c>
      <c r="Y555" s="13" t="s">
        <v>1599</v>
      </c>
      <c r="Z555" s="24" t="str">
        <f>_xlfn.XLOOKUP(J555,'Master Data 14-9-2026'!C:C,'Master Data 14-9-2026'!I:I)</f>
        <v>Ended</v>
      </c>
      <c r="AB555" s="13"/>
      <c r="AC555" s="13"/>
      <c r="AD555" s="13"/>
      <c r="AE555" s="13" t="str">
        <f>_xlfn.XLOOKUP(L555,'[1]ID PROJECT'!E:E,'[1]ID PROJECT'!F:F)</f>
        <v>PRJ-KUT-KPU-TPED-2026-04-00078</v>
      </c>
      <c r="AF555" s="13"/>
      <c r="AG555" s="13"/>
      <c r="AH555" s="65"/>
      <c r="AI555" s="27"/>
    </row>
    <row r="556" spans="1:35" hidden="1">
      <c r="A556" s="13" t="s">
        <v>489</v>
      </c>
      <c r="B556" s="13" t="str">
        <f>_xlfn.XLOOKUP(J556,'Master Data 14-9-2026'!C:C,'Master Data 14-9-2026'!D:D)</f>
        <v>Alvin Ramadhan wx1507288</v>
      </c>
      <c r="C556" s="13"/>
      <c r="D556" s="13" t="str">
        <f>_xlfn.XLOOKUP(J556,'Master Data 14-9-2026'!C:C,'Master Data 14-9-2026'!E:E)</f>
        <v>TELKOMSEL</v>
      </c>
      <c r="E556" s="13"/>
      <c r="F556" s="13"/>
      <c r="G556" s="13" t="s">
        <v>25</v>
      </c>
      <c r="H556" s="13" t="str">
        <f>_xlfn.XLOOKUP(J556,'Master Data 14-9-2026'!C:C,'Master Data 14-9-2026'!H:H)</f>
        <v>2026-07-01 - 2026-07-31</v>
      </c>
      <c r="I556" s="13" t="str">
        <f t="shared" si="8"/>
        <v>July</v>
      </c>
      <c r="J556" s="13" t="s">
        <v>1820</v>
      </c>
      <c r="K556" s="13" t="s">
        <v>1820</v>
      </c>
      <c r="L556" s="13" t="s">
        <v>475</v>
      </c>
      <c r="M556" s="15">
        <v>200003133459020</v>
      </c>
      <c r="N556" s="13" t="s">
        <v>924</v>
      </c>
      <c r="O556" s="13">
        <v>1.09120260713002E+17</v>
      </c>
      <c r="P556" s="13" t="s">
        <v>1821</v>
      </c>
      <c r="Q556" s="18">
        <v>1</v>
      </c>
      <c r="R556" s="18">
        <v>1</v>
      </c>
      <c r="S556" s="13">
        <v>8828132636</v>
      </c>
      <c r="T556" s="13" t="s">
        <v>933</v>
      </c>
      <c r="U556" s="19">
        <v>36992000</v>
      </c>
      <c r="V556" s="18">
        <v>1</v>
      </c>
      <c r="W556" s="18">
        <f>_xlfn.XLOOKUP(J556,'Master Data 14-9-2026'!C:C,'Master Data 14-9-2026'!L:L)</f>
        <v>1.5</v>
      </c>
      <c r="X556" s="23">
        <v>36992000</v>
      </c>
      <c r="Y556" s="13" t="s">
        <v>1599</v>
      </c>
      <c r="Z556" s="24" t="s">
        <v>15</v>
      </c>
      <c r="AB556" s="13"/>
      <c r="AC556" s="13"/>
      <c r="AD556" s="13"/>
      <c r="AE556" s="13" t="str">
        <f>_xlfn.XLOOKUP(L556,'[1]ID PROJECT'!E:E,'[1]ID PROJECT'!F:F)</f>
        <v>PRJ-KUT-KPU-TPED-2026-04-00074</v>
      </c>
      <c r="AF556" s="13"/>
      <c r="AG556" s="13"/>
      <c r="AH556" s="65"/>
      <c r="AI556" s="27"/>
    </row>
    <row r="557" spans="1:35" hidden="1">
      <c r="A557" s="13" t="s">
        <v>466</v>
      </c>
      <c r="B557" s="13" t="str">
        <f>_xlfn.XLOOKUP(J557,'Master Data 14-9-2026'!C:C,'Master Data 14-9-2026'!D:D)</f>
        <v>Makarias Lindon Sihombing wx1503643</v>
      </c>
      <c r="C557" s="13"/>
      <c r="D557" s="13" t="str">
        <f>_xlfn.XLOOKUP(J557,'Master Data 14-9-2026'!C:C,'Master Data 14-9-2026'!E:E)</f>
        <v>TELKOMSEL</v>
      </c>
      <c r="E557" s="13"/>
      <c r="F557" s="13"/>
      <c r="G557" s="13" t="s">
        <v>25</v>
      </c>
      <c r="H557" s="13" t="str">
        <f>_xlfn.XLOOKUP(J557,'Master Data 14-9-2026'!C:C,'Master Data 14-9-2026'!H:H)</f>
        <v>2026-07-01 - 2026-07-31</v>
      </c>
      <c r="I557" s="13" t="str">
        <f t="shared" si="8"/>
        <v>July</v>
      </c>
      <c r="J557" s="13" t="s">
        <v>1822</v>
      </c>
      <c r="K557" s="13" t="s">
        <v>1822</v>
      </c>
      <c r="L557" s="13" t="s">
        <v>468</v>
      </c>
      <c r="M557" s="15">
        <v>200003133460020</v>
      </c>
      <c r="N557" s="13" t="s">
        <v>924</v>
      </c>
      <c r="O557" s="13">
        <v>1.09120260713002E+17</v>
      </c>
      <c r="P557" s="13" t="s">
        <v>1823</v>
      </c>
      <c r="Q557" s="18">
        <v>1</v>
      </c>
      <c r="R557" s="18">
        <v>1</v>
      </c>
      <c r="S557" s="13">
        <v>8828132636</v>
      </c>
      <c r="T557" s="13" t="s">
        <v>933</v>
      </c>
      <c r="U557" s="19">
        <v>36992000</v>
      </c>
      <c r="V557" s="18">
        <v>1</v>
      </c>
      <c r="W557" s="18">
        <f>_xlfn.XLOOKUP(J557,'Master Data 14-9-2026'!C:C,'Master Data 14-9-2026'!L:L)</f>
        <v>1.5</v>
      </c>
      <c r="X557" s="23">
        <v>36992000</v>
      </c>
      <c r="Y557" s="13" t="s">
        <v>1599</v>
      </c>
      <c r="Z557" s="24" t="s">
        <v>15</v>
      </c>
      <c r="AB557" s="13"/>
      <c r="AC557" s="13"/>
      <c r="AD557" s="13"/>
      <c r="AE557" s="13" t="str">
        <f>_xlfn.XLOOKUP(L557,'[1]ID PROJECT'!E:E,'[1]ID PROJECT'!F:F)</f>
        <v>PRJ-KUT-KPU-TPED-2026-04-00075</v>
      </c>
      <c r="AF557" s="13"/>
      <c r="AG557" s="13"/>
      <c r="AH557" s="65"/>
      <c r="AI557" s="27"/>
    </row>
    <row r="558" spans="1:35" hidden="1">
      <c r="A558" s="13" t="s">
        <v>788</v>
      </c>
      <c r="B558" s="13" t="str">
        <f>_xlfn.XLOOKUP(J558,'Master Data 14-9-2026'!C:C,'Master Data 14-9-2026'!D:D)</f>
        <v>Andrew Ardella Abdullah wx1503970</v>
      </c>
      <c r="C558" s="13"/>
      <c r="D558" s="13" t="str">
        <f>_xlfn.XLOOKUP(J558,'Master Data 14-9-2026'!C:C,'Master Data 14-9-2026'!E:E)</f>
        <v>TELKOMSEL</v>
      </c>
      <c r="E558" s="13"/>
      <c r="F558" s="13"/>
      <c r="G558" s="13" t="s">
        <v>18</v>
      </c>
      <c r="H558" s="13" t="str">
        <f>_xlfn.XLOOKUP(J558,'Master Data 14-9-2026'!C:C,'Master Data 14-9-2026'!H:H)</f>
        <v>2026-04-26 - 2026-05-25</v>
      </c>
      <c r="I558" s="13" t="str">
        <f t="shared" si="8"/>
        <v>April</v>
      </c>
      <c r="J558" s="13" t="s">
        <v>1824</v>
      </c>
      <c r="K558" s="13" t="s">
        <v>1824</v>
      </c>
      <c r="L558" s="13" t="s">
        <v>441</v>
      </c>
      <c r="M558" s="15">
        <v>200003186625020</v>
      </c>
      <c r="N558" s="13" t="s">
        <v>924</v>
      </c>
      <c r="O558" s="13">
        <v>1.09120260713002E+17</v>
      </c>
      <c r="P558" s="13" t="s">
        <v>1825</v>
      </c>
      <c r="Q558" s="18">
        <v>1</v>
      </c>
      <c r="R558" s="18">
        <v>1</v>
      </c>
      <c r="S558" s="13">
        <v>8828132635</v>
      </c>
      <c r="T558" s="13" t="s">
        <v>926</v>
      </c>
      <c r="U558" s="19">
        <v>34220600</v>
      </c>
      <c r="V558" s="18">
        <v>1</v>
      </c>
      <c r="W558" s="18">
        <f>_xlfn.XLOOKUP(J558,'Master Data 14-9-2026'!C:C,'Master Data 14-9-2026'!L:L)</f>
        <v>1</v>
      </c>
      <c r="X558" s="23">
        <v>34220600</v>
      </c>
      <c r="Y558" s="13" t="s">
        <v>1599</v>
      </c>
      <c r="Z558" s="24" t="str">
        <f>_xlfn.XLOOKUP(J558,'Master Data 14-9-2026'!C:C,'Master Data 14-9-2026'!I:I)</f>
        <v>Ended</v>
      </c>
      <c r="AA558" s="4" t="s">
        <v>934</v>
      </c>
      <c r="AB558" s="13"/>
      <c r="AC558" s="13"/>
      <c r="AD558" s="13" t="s">
        <v>935</v>
      </c>
      <c r="AE558" s="13" t="str">
        <f>_xlfn.XLOOKUP(L558,'[1]ID PROJECT'!E:E,'[1]ID PROJECT'!F:F)</f>
        <v xml:space="preserve">PRJ-KUT-KPU-TPED-2026-04-00071 </v>
      </c>
      <c r="AF558" s="4" t="s">
        <v>1826</v>
      </c>
      <c r="AG558" s="13" t="s">
        <v>1827</v>
      </c>
      <c r="AH558" s="65">
        <v>46262</v>
      </c>
      <c r="AI558" s="27" t="s">
        <v>1175</v>
      </c>
    </row>
    <row r="559" spans="1:35" hidden="1">
      <c r="A559" s="13" t="s">
        <v>788</v>
      </c>
      <c r="B559" s="13" t="str">
        <f>_xlfn.XLOOKUP(J559,'Master Data 14-9-2026'!C:C,'Master Data 14-9-2026'!D:D)</f>
        <v>Andrew Ardella Abdullah wx1503970</v>
      </c>
      <c r="C559" s="13"/>
      <c r="D559" s="13" t="str">
        <f>_xlfn.XLOOKUP(J559,'Master Data 14-9-2026'!C:C,'Master Data 14-9-2026'!E:E)</f>
        <v>TELKOMSEL</v>
      </c>
      <c r="E559" s="13"/>
      <c r="F559" s="13"/>
      <c r="G559" s="13" t="s">
        <v>13</v>
      </c>
      <c r="H559" s="13" t="str">
        <f>_xlfn.XLOOKUP(J559,'Master Data 14-9-2026'!C:C,'Master Data 14-9-2026'!H:H)</f>
        <v>2026-03-26 - 2026-04-25</v>
      </c>
      <c r="I559" s="13" t="str">
        <f t="shared" si="8"/>
        <v>March</v>
      </c>
      <c r="J559" s="13" t="s">
        <v>1828</v>
      </c>
      <c r="K559" s="13" t="s">
        <v>1828</v>
      </c>
      <c r="L559" s="13" t="s">
        <v>441</v>
      </c>
      <c r="M559" s="15">
        <v>200003186622020</v>
      </c>
      <c r="N559" s="13" t="s">
        <v>924</v>
      </c>
      <c r="O559" s="13">
        <v>1.09120260713002E+17</v>
      </c>
      <c r="P559" s="13" t="s">
        <v>1829</v>
      </c>
      <c r="Q559" s="18">
        <v>1</v>
      </c>
      <c r="R559" s="18">
        <v>1</v>
      </c>
      <c r="S559" s="13">
        <v>8828132635</v>
      </c>
      <c r="T559" s="13" t="s">
        <v>926</v>
      </c>
      <c r="U559" s="19">
        <v>34220600</v>
      </c>
      <c r="V559" s="18">
        <v>1</v>
      </c>
      <c r="W559" s="18">
        <f>_xlfn.XLOOKUP(J559,'Master Data 14-9-2026'!C:C,'Master Data 14-9-2026'!L:L)</f>
        <v>1</v>
      </c>
      <c r="X559" s="23">
        <v>34220600</v>
      </c>
      <c r="Y559" s="13" t="s">
        <v>1599</v>
      </c>
      <c r="Z559" s="24" t="str">
        <f>_xlfn.XLOOKUP(J559,'Master Data 14-9-2026'!C:C,'Master Data 14-9-2026'!I:I)</f>
        <v>Ended</v>
      </c>
      <c r="AA559" s="13" t="s">
        <v>934</v>
      </c>
      <c r="AB559" s="13"/>
      <c r="AC559" s="13"/>
      <c r="AD559" s="13" t="s">
        <v>935</v>
      </c>
      <c r="AE559" s="13" t="str">
        <f>_xlfn.XLOOKUP(L559,'[1]ID PROJECT'!E:E,'[1]ID PROJECT'!F:F)</f>
        <v xml:space="preserve">PRJ-KUT-KPU-TPED-2026-04-00071 </v>
      </c>
      <c r="AF559" s="4" t="s">
        <v>1830</v>
      </c>
      <c r="AG559" s="13" t="s">
        <v>1831</v>
      </c>
      <c r="AH559" s="65">
        <v>46221</v>
      </c>
      <c r="AI559" s="27" t="s">
        <v>938</v>
      </c>
    </row>
    <row r="560" spans="1:35" hidden="1">
      <c r="A560" s="13" t="s">
        <v>240</v>
      </c>
      <c r="B560" s="13" t="str">
        <f>_xlfn.XLOOKUP(J560,'Master Data 14-9-2026'!C:C,'Master Data 14-9-2026'!D:D)</f>
        <v>Gigih Dharma Sulistya wx1503511</v>
      </c>
      <c r="C560" s="13"/>
      <c r="D560" s="13" t="str">
        <f>_xlfn.XLOOKUP(J560,'Master Data 14-9-2026'!C:C,'Master Data 14-9-2026'!E:E)</f>
        <v>TELKOMSEL</v>
      </c>
      <c r="E560" s="13"/>
      <c r="F560" s="13"/>
      <c r="G560" s="13" t="s">
        <v>28</v>
      </c>
      <c r="H560" s="13" t="str">
        <f>_xlfn.XLOOKUP(J560,'Master Data 14-9-2026'!C:C,'Master Data 14-9-2026'!H:H)</f>
        <v>2026-07-23 - 2026-08-22</v>
      </c>
      <c r="I560" s="13" t="str">
        <f t="shared" si="8"/>
        <v>July</v>
      </c>
      <c r="J560" s="13" t="s">
        <v>1832</v>
      </c>
      <c r="K560" s="13" t="s">
        <v>1832</v>
      </c>
      <c r="L560" s="13" t="s">
        <v>441</v>
      </c>
      <c r="M560" s="15">
        <v>200003133464020</v>
      </c>
      <c r="N560" s="13" t="s">
        <v>924</v>
      </c>
      <c r="O560" s="13">
        <v>1.09120260713002E+17</v>
      </c>
      <c r="P560" s="13" t="s">
        <v>1833</v>
      </c>
      <c r="Q560" s="18">
        <v>1</v>
      </c>
      <c r="R560" s="18">
        <v>1</v>
      </c>
      <c r="S560" s="13">
        <v>8828132633</v>
      </c>
      <c r="T560" s="13" t="s">
        <v>951</v>
      </c>
      <c r="U560" s="19">
        <v>28881900</v>
      </c>
      <c r="V560" s="18">
        <v>1</v>
      </c>
      <c r="W560" s="18">
        <f>_xlfn.XLOOKUP(J560,'Master Data 14-9-2026'!C:C,'Master Data 14-9-2026'!L:L)</f>
        <v>1.5</v>
      </c>
      <c r="X560" s="23">
        <v>28881900</v>
      </c>
      <c r="Y560" s="13" t="s">
        <v>1599</v>
      </c>
      <c r="Z560" s="24" t="s">
        <v>984</v>
      </c>
      <c r="AB560" s="13"/>
      <c r="AC560" s="13"/>
      <c r="AD560" s="13"/>
      <c r="AE560" s="13" t="str">
        <f>_xlfn.XLOOKUP(L560,'[1]ID PROJECT'!E:E,'[1]ID PROJECT'!F:F)</f>
        <v xml:space="preserve">PRJ-KUT-KPU-TPED-2026-04-00071 </v>
      </c>
      <c r="AF560" s="13"/>
      <c r="AG560" s="13"/>
      <c r="AH560" s="65"/>
      <c r="AI560" s="27"/>
    </row>
    <row r="561" spans="1:35" hidden="1">
      <c r="A561" s="13" t="s">
        <v>58</v>
      </c>
      <c r="B561" s="13" t="str">
        <f>_xlfn.XLOOKUP(J561,'Master Data 14-9-2026'!C:C,'Master Data 14-9-2026'!D:D)</f>
        <v>Sri Hardianti Purnamasari wx1503627</v>
      </c>
      <c r="C561" s="13"/>
      <c r="D561" s="13" t="str">
        <f>_xlfn.XLOOKUP(J561,'Master Data 14-9-2026'!C:C,'Master Data 14-9-2026'!E:E)</f>
        <v>TELKOMSEL</v>
      </c>
      <c r="E561" s="13"/>
      <c r="F561" s="13"/>
      <c r="G561" s="13" t="s">
        <v>25</v>
      </c>
      <c r="H561" s="13" t="str">
        <f>_xlfn.XLOOKUP(J561,'Master Data 14-9-2026'!C:C,'Master Data 14-9-2026'!H:H)</f>
        <v>2026-06-23 - 2026-07-22</v>
      </c>
      <c r="I561" s="13" t="str">
        <f t="shared" si="8"/>
        <v>June</v>
      </c>
      <c r="J561" s="13" t="s">
        <v>1834</v>
      </c>
      <c r="K561" s="13" t="s">
        <v>1834</v>
      </c>
      <c r="L561" s="13" t="s">
        <v>441</v>
      </c>
      <c r="M561" s="15">
        <v>200003133444020</v>
      </c>
      <c r="N561" s="13" t="s">
        <v>924</v>
      </c>
      <c r="O561" s="13">
        <v>1.09120260713002E+17</v>
      </c>
      <c r="P561" s="13" t="s">
        <v>1835</v>
      </c>
      <c r="Q561" s="18">
        <v>1</v>
      </c>
      <c r="R561" s="18">
        <v>1</v>
      </c>
      <c r="S561" s="13">
        <v>8828132633</v>
      </c>
      <c r="T561" s="13" t="s">
        <v>951</v>
      </c>
      <c r="U561" s="19">
        <v>28881900</v>
      </c>
      <c r="V561" s="18">
        <v>1</v>
      </c>
      <c r="W561" s="18">
        <f>_xlfn.XLOOKUP(J561,'Master Data 14-9-2026'!C:C,'Master Data 14-9-2026'!L:L)</f>
        <v>1.5</v>
      </c>
      <c r="X561" s="23">
        <v>28881900</v>
      </c>
      <c r="Y561" s="13" t="s">
        <v>1599</v>
      </c>
      <c r="Z561" s="24" t="str">
        <f>_xlfn.XLOOKUP(J561,'Master Data 14-9-2026'!C:C,'Master Data 14-9-2026'!I:I)</f>
        <v>Ended</v>
      </c>
      <c r="AB561" s="13"/>
      <c r="AC561" s="13"/>
      <c r="AD561" s="13"/>
      <c r="AE561" s="13" t="str">
        <f>_xlfn.XLOOKUP(L561,'[1]ID PROJECT'!E:E,'[1]ID PROJECT'!F:F)</f>
        <v xml:space="preserve">PRJ-KUT-KPU-TPED-2026-04-00071 </v>
      </c>
      <c r="AF561" s="13"/>
      <c r="AG561" s="13"/>
      <c r="AH561" s="65"/>
      <c r="AI561" s="27"/>
    </row>
    <row r="562" spans="1:35" hidden="1">
      <c r="A562" s="13" t="s">
        <v>58</v>
      </c>
      <c r="B562" s="13" t="str">
        <f>_xlfn.XLOOKUP(J562,'Master Data 14-9-2026'!C:C,'Master Data 14-9-2026'!D:D)</f>
        <v>Sri Hardianti Purnamasari wx1503627</v>
      </c>
      <c r="C562" s="13"/>
      <c r="D562" s="13" t="str">
        <f>_xlfn.XLOOKUP(J562,'Master Data 14-9-2026'!C:C,'Master Data 14-9-2026'!E:E)</f>
        <v>TELKOMSEL</v>
      </c>
      <c r="E562" s="13"/>
      <c r="F562" s="13"/>
      <c r="G562" s="13" t="s">
        <v>28</v>
      </c>
      <c r="H562" s="13" t="str">
        <f>_xlfn.XLOOKUP(J562,'Master Data 14-9-2026'!C:C,'Master Data 14-9-2026'!H:H)</f>
        <v>2026-07-23 - 2026-08-22</v>
      </c>
      <c r="I562" s="13" t="str">
        <f t="shared" si="8"/>
        <v>July</v>
      </c>
      <c r="J562" s="13" t="s">
        <v>1836</v>
      </c>
      <c r="K562" s="13" t="s">
        <v>1836</v>
      </c>
      <c r="L562" s="13" t="s">
        <v>441</v>
      </c>
      <c r="M562" s="15">
        <v>200003133463020</v>
      </c>
      <c r="N562" s="13" t="s">
        <v>924</v>
      </c>
      <c r="O562" s="13">
        <v>1.09120260713002E+17</v>
      </c>
      <c r="P562" s="13" t="s">
        <v>1837</v>
      </c>
      <c r="Q562" s="18">
        <v>1</v>
      </c>
      <c r="R562" s="18">
        <v>1</v>
      </c>
      <c r="S562" s="13">
        <v>8828132633</v>
      </c>
      <c r="T562" s="13" t="s">
        <v>951</v>
      </c>
      <c r="U562" s="19">
        <v>28881900</v>
      </c>
      <c r="V562" s="18">
        <v>1</v>
      </c>
      <c r="W562" s="18">
        <f>_xlfn.XLOOKUP(J562,'Master Data 14-9-2026'!C:C,'Master Data 14-9-2026'!L:L)</f>
        <v>1.5</v>
      </c>
      <c r="X562" s="23">
        <v>28881900</v>
      </c>
      <c r="Y562" s="13" t="s">
        <v>1599</v>
      </c>
      <c r="Z562" s="24" t="s">
        <v>984</v>
      </c>
      <c r="AB562" s="13"/>
      <c r="AC562" s="13"/>
      <c r="AD562" s="13"/>
      <c r="AE562" s="13" t="str">
        <f>_xlfn.XLOOKUP(L562,'[1]ID PROJECT'!E:E,'[1]ID PROJECT'!F:F)</f>
        <v xml:space="preserve">PRJ-KUT-KPU-TPED-2026-04-00071 </v>
      </c>
      <c r="AF562" s="13"/>
      <c r="AG562" s="13"/>
      <c r="AH562" s="65"/>
      <c r="AI562" s="27"/>
    </row>
    <row r="563" spans="1:35" hidden="1">
      <c r="A563" s="13" t="s">
        <v>258</v>
      </c>
      <c r="B563" s="13" t="str">
        <f>_xlfn.XLOOKUP(J563,'Master Data 14-9-2026'!C:C,'Master Data 14-9-2026'!D:D)</f>
        <v>F Albert Jacob wx1504717</v>
      </c>
      <c r="C563" s="13"/>
      <c r="D563" s="13" t="str">
        <f>_xlfn.XLOOKUP(J563,'Master Data 14-9-2026'!C:C,'Master Data 14-9-2026'!E:E)</f>
        <v>TELKOMSEL</v>
      </c>
      <c r="E563" s="13"/>
      <c r="F563" s="13"/>
      <c r="G563" s="13" t="s">
        <v>28</v>
      </c>
      <c r="H563" s="13" t="str">
        <f>_xlfn.XLOOKUP(J563,'Master Data 14-9-2026'!C:C,'Master Data 14-9-2026'!H:H)</f>
        <v>2026-07-23 - 2026-08-22</v>
      </c>
      <c r="I563" s="13" t="str">
        <f t="shared" si="8"/>
        <v>July</v>
      </c>
      <c r="J563" s="13" t="s">
        <v>1838</v>
      </c>
      <c r="K563" s="13" t="s">
        <v>1838</v>
      </c>
      <c r="L563" s="13" t="s">
        <v>441</v>
      </c>
      <c r="M563" s="15">
        <v>200003133465020</v>
      </c>
      <c r="N563" s="13" t="s">
        <v>924</v>
      </c>
      <c r="O563" s="13">
        <v>1.09120260713002E+17</v>
      </c>
      <c r="P563" s="13" t="s">
        <v>1839</v>
      </c>
      <c r="Q563" s="18">
        <v>1</v>
      </c>
      <c r="R563" s="18">
        <v>1</v>
      </c>
      <c r="S563" s="13">
        <v>8828132633</v>
      </c>
      <c r="T563" s="13" t="s">
        <v>951</v>
      </c>
      <c r="U563" s="19">
        <v>28881900</v>
      </c>
      <c r="V563" s="18">
        <v>1</v>
      </c>
      <c r="W563" s="18">
        <f>_xlfn.XLOOKUP(J563,'Master Data 14-9-2026'!C:C,'Master Data 14-9-2026'!L:L)</f>
        <v>1.01</v>
      </c>
      <c r="X563" s="23">
        <v>28881900</v>
      </c>
      <c r="Y563" s="13" t="s">
        <v>1599</v>
      </c>
      <c r="Z563" s="24" t="s">
        <v>984</v>
      </c>
      <c r="AB563" s="13"/>
      <c r="AC563" s="13"/>
      <c r="AD563" s="13"/>
      <c r="AE563" s="13" t="str">
        <f>_xlfn.XLOOKUP(L563,'[1]ID PROJECT'!E:E,'[1]ID PROJECT'!F:F)</f>
        <v xml:space="preserve">PRJ-KUT-KPU-TPED-2026-04-00071 </v>
      </c>
      <c r="AF563" s="13"/>
      <c r="AG563" s="13"/>
      <c r="AH563" s="65"/>
      <c r="AI563" s="27"/>
    </row>
    <row r="564" spans="1:35" hidden="1">
      <c r="A564" s="13" t="s">
        <v>120</v>
      </c>
      <c r="B564" s="13" t="str">
        <f>_xlfn.XLOOKUP(J564,'Master Data 14-9-2026'!C:C,'Master Data 14-9-2026'!D:D)</f>
        <v>Febryyanti Nawang Wulan wx1503626</v>
      </c>
      <c r="C564" s="13"/>
      <c r="D564" s="13" t="str">
        <f>_xlfn.XLOOKUP(J564,'Master Data 14-9-2026'!C:C,'Master Data 14-9-2026'!E:E)</f>
        <v>TELKOMSEL</v>
      </c>
      <c r="E564" s="13"/>
      <c r="F564" s="13"/>
      <c r="G564" s="13" t="s">
        <v>25</v>
      </c>
      <c r="H564" s="13" t="str">
        <f>_xlfn.XLOOKUP(J564,'Master Data 14-9-2026'!C:C,'Master Data 14-9-2026'!H:H)</f>
        <v>2026-06-30 - 2026-07-29</v>
      </c>
      <c r="I564" s="13" t="str">
        <f t="shared" si="8"/>
        <v>June</v>
      </c>
      <c r="J564" s="13" t="s">
        <v>1840</v>
      </c>
      <c r="K564" s="13" t="s">
        <v>1840</v>
      </c>
      <c r="L564" s="13" t="s">
        <v>441</v>
      </c>
      <c r="M564" s="15">
        <v>200003133447020</v>
      </c>
      <c r="N564" s="13" t="s">
        <v>924</v>
      </c>
      <c r="O564" s="13">
        <v>1.09120260713002E+17</v>
      </c>
      <c r="P564" s="13" t="s">
        <v>1841</v>
      </c>
      <c r="Q564" s="18">
        <v>1</v>
      </c>
      <c r="R564" s="18">
        <v>1</v>
      </c>
      <c r="S564" s="13">
        <v>8828132633</v>
      </c>
      <c r="T564" s="13" t="s">
        <v>951</v>
      </c>
      <c r="U564" s="19">
        <v>28881900</v>
      </c>
      <c r="V564" s="18">
        <v>1</v>
      </c>
      <c r="W564" s="18">
        <f>_xlfn.XLOOKUP(J564,'Master Data 14-9-2026'!C:C,'Master Data 14-9-2026'!L:L)</f>
        <v>1.5</v>
      </c>
      <c r="X564" s="23">
        <v>28881900</v>
      </c>
      <c r="Y564" s="13" t="s">
        <v>1599</v>
      </c>
      <c r="Z564" s="24" t="str">
        <f>_xlfn.XLOOKUP(J564,'Master Data 14-9-2026'!C:C,'Master Data 14-9-2026'!I:I)</f>
        <v>Ended</v>
      </c>
      <c r="AB564" s="13"/>
      <c r="AC564" s="13"/>
      <c r="AD564" s="13"/>
      <c r="AE564" s="13" t="str">
        <f>_xlfn.XLOOKUP(L564,'[1]ID PROJECT'!E:E,'[1]ID PROJECT'!F:F)</f>
        <v xml:space="preserve">PRJ-KUT-KPU-TPED-2026-04-00071 </v>
      </c>
      <c r="AF564" s="13"/>
      <c r="AG564" s="13"/>
      <c r="AH564" s="65"/>
      <c r="AI564" s="27"/>
    </row>
    <row r="565" spans="1:35" hidden="1">
      <c r="A565" s="13" t="s">
        <v>240</v>
      </c>
      <c r="B565" s="13" t="str">
        <f>_xlfn.XLOOKUP(J565,'Master Data 14-9-2026'!C:C,'Master Data 14-9-2026'!D:D)</f>
        <v>Gigih Dharma Sulistya wx1503511</v>
      </c>
      <c r="C565" s="13"/>
      <c r="D565" s="13" t="str">
        <f>_xlfn.XLOOKUP(J565,'Master Data 14-9-2026'!C:C,'Master Data 14-9-2026'!E:E)</f>
        <v>TELKOMSEL</v>
      </c>
      <c r="E565" s="13"/>
      <c r="F565" s="13"/>
      <c r="G565" s="13" t="s">
        <v>25</v>
      </c>
      <c r="H565" s="13" t="str">
        <f>_xlfn.XLOOKUP(J565,'Master Data 14-9-2026'!C:C,'Master Data 14-9-2026'!H:H)</f>
        <v>2026-06-23 - 2026-07-22</v>
      </c>
      <c r="I565" s="13" t="str">
        <f t="shared" si="8"/>
        <v>June</v>
      </c>
      <c r="J565" s="13" t="s">
        <v>1842</v>
      </c>
      <c r="K565" s="13" t="s">
        <v>1842</v>
      </c>
      <c r="L565" s="13" t="s">
        <v>441</v>
      </c>
      <c r="M565" s="15">
        <v>200003133445020</v>
      </c>
      <c r="N565" s="13" t="s">
        <v>924</v>
      </c>
      <c r="O565" s="13">
        <v>1.09120260713002E+17</v>
      </c>
      <c r="P565" s="13" t="s">
        <v>1843</v>
      </c>
      <c r="Q565" s="18">
        <v>1</v>
      </c>
      <c r="R565" s="18">
        <v>1</v>
      </c>
      <c r="S565" s="13">
        <v>8828132633</v>
      </c>
      <c r="T565" s="13" t="s">
        <v>951</v>
      </c>
      <c r="U565" s="19">
        <v>28881900</v>
      </c>
      <c r="V565" s="18">
        <v>1</v>
      </c>
      <c r="W565" s="18">
        <f>_xlfn.XLOOKUP(J565,'Master Data 14-9-2026'!C:C,'Master Data 14-9-2026'!L:L)</f>
        <v>1.5</v>
      </c>
      <c r="X565" s="23">
        <v>28881900</v>
      </c>
      <c r="Y565" s="13" t="s">
        <v>1599</v>
      </c>
      <c r="Z565" s="24" t="str">
        <f>_xlfn.XLOOKUP(J565,'Master Data 14-9-2026'!C:C,'Master Data 14-9-2026'!I:I)</f>
        <v>Ended</v>
      </c>
      <c r="AB565" s="13"/>
      <c r="AC565" s="13"/>
      <c r="AD565" s="13"/>
      <c r="AE565" s="13" t="str">
        <f>_xlfn.XLOOKUP(L565,'[1]ID PROJECT'!E:E,'[1]ID PROJECT'!F:F)</f>
        <v xml:space="preserve">PRJ-KUT-KPU-TPED-2026-04-00071 </v>
      </c>
      <c r="AF565" s="13"/>
      <c r="AG565" s="13"/>
      <c r="AH565" s="65"/>
      <c r="AI565" s="27"/>
    </row>
    <row r="566" spans="1:35" hidden="1">
      <c r="A566" s="13" t="s">
        <v>439</v>
      </c>
      <c r="B566" s="13" t="str">
        <f>_xlfn.XLOOKUP(J566,'Master Data 14-9-2026'!C:C,'Master Data 14-9-2026'!D:D)</f>
        <v>Farizqi Anisah Nudhar wx1503972</v>
      </c>
      <c r="C566" s="13"/>
      <c r="D566" s="13" t="str">
        <f>_xlfn.XLOOKUP(J566,'Master Data 14-9-2026'!C:C,'Master Data 14-9-2026'!E:E)</f>
        <v>TELKOMSEL</v>
      </c>
      <c r="E566" s="13"/>
      <c r="F566" s="13"/>
      <c r="G566" s="13" t="s">
        <v>28</v>
      </c>
      <c r="H566" s="13" t="str">
        <f>_xlfn.XLOOKUP(J566,'Master Data 14-9-2026'!C:C,'Master Data 14-9-2026'!H:H)</f>
        <v>2026-07-30 - 2026-08-29</v>
      </c>
      <c r="I566" s="13" t="str">
        <f t="shared" si="8"/>
        <v>July</v>
      </c>
      <c r="J566" s="13" t="s">
        <v>1844</v>
      </c>
      <c r="K566" s="13" t="s">
        <v>1844</v>
      </c>
      <c r="L566" s="13" t="s">
        <v>441</v>
      </c>
      <c r="M566" s="15">
        <v>200003133476020</v>
      </c>
      <c r="N566" s="13" t="s">
        <v>924</v>
      </c>
      <c r="O566" s="13">
        <v>1.09120260713002E+17</v>
      </c>
      <c r="P566" s="13" t="s">
        <v>1845</v>
      </c>
      <c r="Q566" s="18">
        <v>1</v>
      </c>
      <c r="R566" s="18">
        <v>1</v>
      </c>
      <c r="S566" s="13">
        <v>8828132636</v>
      </c>
      <c r="T566" s="13" t="s">
        <v>933</v>
      </c>
      <c r="U566" s="19">
        <v>36992000</v>
      </c>
      <c r="V566" s="18">
        <v>1</v>
      </c>
      <c r="W566" s="18">
        <f>_xlfn.XLOOKUP(J566,'Master Data 14-9-2026'!C:C,'Master Data 14-9-2026'!L:L)</f>
        <v>1.1499999999999999</v>
      </c>
      <c r="X566" s="23">
        <v>36992000</v>
      </c>
      <c r="Y566" s="13" t="s">
        <v>1599</v>
      </c>
      <c r="Z566" s="24" t="s">
        <v>33</v>
      </c>
      <c r="AB566" s="13"/>
      <c r="AC566" s="13"/>
      <c r="AD566" s="13"/>
      <c r="AE566" s="13" t="str">
        <f>_xlfn.XLOOKUP(L566,'[1]ID PROJECT'!E:E,'[1]ID PROJECT'!F:F)</f>
        <v xml:space="preserve">PRJ-KUT-KPU-TPED-2026-04-00071 </v>
      </c>
      <c r="AF566" s="13"/>
      <c r="AG566" s="13"/>
      <c r="AH566" s="65"/>
      <c r="AI566" s="27"/>
    </row>
    <row r="567" spans="1:35" hidden="1">
      <c r="A567" s="13" t="s">
        <v>120</v>
      </c>
      <c r="B567" s="13" t="str">
        <f>_xlfn.XLOOKUP(J567,'Master Data 14-9-2026'!C:C,'Master Data 14-9-2026'!D:D)</f>
        <v>Febryyanti Nawang Wulan wx1503626</v>
      </c>
      <c r="C567" s="13"/>
      <c r="D567" s="13" t="str">
        <f>_xlfn.XLOOKUP(J567,'Master Data 14-9-2026'!C:C,'Master Data 14-9-2026'!E:E)</f>
        <v>TELKOMSEL</v>
      </c>
      <c r="E567" s="13"/>
      <c r="F567" s="13"/>
      <c r="G567" s="13" t="s">
        <v>28</v>
      </c>
      <c r="H567" s="13" t="str">
        <f>_xlfn.XLOOKUP(J567,'Master Data 14-9-2026'!C:C,'Master Data 14-9-2026'!H:H)</f>
        <v>2026-07-30 - 2026-08-29</v>
      </c>
      <c r="I567" s="13" t="str">
        <f t="shared" si="8"/>
        <v>July</v>
      </c>
      <c r="J567" s="13" t="s">
        <v>1846</v>
      </c>
      <c r="K567" s="13" t="s">
        <v>1846</v>
      </c>
      <c r="L567" s="13" t="s">
        <v>441</v>
      </c>
      <c r="M567" s="15">
        <v>200003133466020</v>
      </c>
      <c r="N567" s="13" t="s">
        <v>924</v>
      </c>
      <c r="O567" s="13">
        <v>1.09120260713002E+17</v>
      </c>
      <c r="P567" s="13" t="s">
        <v>1847</v>
      </c>
      <c r="Q567" s="18">
        <v>1</v>
      </c>
      <c r="R567" s="18">
        <v>1</v>
      </c>
      <c r="S567" s="13">
        <v>8828132633</v>
      </c>
      <c r="T567" s="13" t="s">
        <v>951</v>
      </c>
      <c r="U567" s="19">
        <v>28881900</v>
      </c>
      <c r="V567" s="18">
        <v>1</v>
      </c>
      <c r="W567" s="18">
        <f>_xlfn.XLOOKUP(J567,'Master Data 14-9-2026'!C:C,'Master Data 14-9-2026'!L:L)</f>
        <v>1.24</v>
      </c>
      <c r="X567" s="23">
        <v>28881900</v>
      </c>
      <c r="Y567" s="13" t="s">
        <v>1599</v>
      </c>
      <c r="Z567" s="24" t="s">
        <v>984</v>
      </c>
      <c r="AB567" s="13"/>
      <c r="AC567" s="13"/>
      <c r="AD567" s="13"/>
      <c r="AE567" s="13" t="str">
        <f>_xlfn.XLOOKUP(L567,'[1]ID PROJECT'!E:E,'[1]ID PROJECT'!F:F)</f>
        <v xml:space="preserve">PRJ-KUT-KPU-TPED-2026-04-00071 </v>
      </c>
      <c r="AF567" s="13"/>
      <c r="AG567" s="13"/>
      <c r="AH567" s="65"/>
      <c r="AI567" s="27"/>
    </row>
    <row r="568" spans="1:35" hidden="1">
      <c r="A568" s="13" t="s">
        <v>258</v>
      </c>
      <c r="B568" s="13" t="str">
        <f>_xlfn.XLOOKUP(J568,'Master Data 14-9-2026'!C:C,'Master Data 14-9-2026'!D:D)</f>
        <v>F Albert Jacob wx1504717</v>
      </c>
      <c r="C568" s="13"/>
      <c r="D568" s="13" t="str">
        <f>_xlfn.XLOOKUP(J568,'Master Data 14-9-2026'!C:C,'Master Data 14-9-2026'!E:E)</f>
        <v>TELKOMSEL</v>
      </c>
      <c r="E568" s="13"/>
      <c r="F568" s="13"/>
      <c r="G568" s="13" t="s">
        <v>25</v>
      </c>
      <c r="H568" s="13" t="str">
        <f>_xlfn.XLOOKUP(J568,'Master Data 14-9-2026'!C:C,'Master Data 14-9-2026'!H:H)</f>
        <v>2026-06-23 - 2026-07-22</v>
      </c>
      <c r="I568" s="13" t="str">
        <f t="shared" si="8"/>
        <v>June</v>
      </c>
      <c r="J568" s="13" t="s">
        <v>1848</v>
      </c>
      <c r="K568" s="13" t="s">
        <v>1848</v>
      </c>
      <c r="L568" s="13" t="s">
        <v>441</v>
      </c>
      <c r="M568" s="15">
        <v>200003133446020</v>
      </c>
      <c r="N568" s="13" t="s">
        <v>924</v>
      </c>
      <c r="O568" s="13">
        <v>1.09120260713002E+17</v>
      </c>
      <c r="P568" s="13" t="s">
        <v>1849</v>
      </c>
      <c r="Q568" s="18">
        <v>1</v>
      </c>
      <c r="R568" s="18">
        <v>1</v>
      </c>
      <c r="S568" s="13">
        <v>8828132633</v>
      </c>
      <c r="T568" s="13" t="s">
        <v>951</v>
      </c>
      <c r="U568" s="19">
        <v>28881900</v>
      </c>
      <c r="V568" s="18">
        <v>1</v>
      </c>
      <c r="W568" s="18">
        <f>_xlfn.XLOOKUP(J568,'Master Data 14-9-2026'!C:C,'Master Data 14-9-2026'!L:L)</f>
        <v>1.5</v>
      </c>
      <c r="X568" s="23">
        <v>28881900</v>
      </c>
      <c r="Y568" s="13" t="s">
        <v>1599</v>
      </c>
      <c r="Z568" s="24" t="str">
        <f>_xlfn.XLOOKUP(J568,'Master Data 14-9-2026'!C:C,'Master Data 14-9-2026'!I:I)</f>
        <v>Ended</v>
      </c>
      <c r="AB568" s="13"/>
      <c r="AC568" s="13"/>
      <c r="AD568" s="13"/>
      <c r="AE568" s="13" t="str">
        <f>_xlfn.XLOOKUP(L568,'[1]ID PROJECT'!E:E,'[1]ID PROJECT'!F:F)</f>
        <v xml:space="preserve">PRJ-KUT-KPU-TPED-2026-04-00071 </v>
      </c>
      <c r="AF568" s="13"/>
      <c r="AG568" s="13"/>
      <c r="AH568" s="65"/>
      <c r="AI568" s="27"/>
    </row>
    <row r="569" spans="1:35" hidden="1">
      <c r="A569" s="13" t="s">
        <v>766</v>
      </c>
      <c r="B569" s="13" t="str">
        <f>_xlfn.XLOOKUP(J569,'Master Data 14-9-2026'!C:C,'Master Data 14-9-2026'!D:D)</f>
        <v>Slamet Riyanto wx1503652</v>
      </c>
      <c r="C569" s="13"/>
      <c r="D569" s="13" t="str">
        <f>_xlfn.XLOOKUP(J569,'Master Data 14-9-2026'!C:C,'Master Data 14-9-2026'!E:E)</f>
        <v>TELKOMSEL</v>
      </c>
      <c r="E569" s="13"/>
      <c r="F569" s="13"/>
      <c r="G569" s="13" t="s">
        <v>25</v>
      </c>
      <c r="H569" s="13" t="str">
        <f>_xlfn.XLOOKUP(J569,'Master Data 14-9-2026'!C:C,'Master Data 14-9-2026'!H:H)</f>
        <v>2026-07-01 - 2026-07-31</v>
      </c>
      <c r="I569" s="13" t="str">
        <f t="shared" si="8"/>
        <v>July</v>
      </c>
      <c r="J569" s="13" t="s">
        <v>1850</v>
      </c>
      <c r="K569" s="13" t="s">
        <v>1850</v>
      </c>
      <c r="L569" s="13" t="s">
        <v>468</v>
      </c>
      <c r="M569" s="15">
        <v>200003133453020</v>
      </c>
      <c r="N569" s="13" t="s">
        <v>924</v>
      </c>
      <c r="O569" s="13">
        <v>1.09120260713002E+17</v>
      </c>
      <c r="P569" s="13" t="s">
        <v>1851</v>
      </c>
      <c r="Q569" s="18">
        <v>1</v>
      </c>
      <c r="R569" s="18">
        <v>1</v>
      </c>
      <c r="S569" s="13">
        <v>8828132635</v>
      </c>
      <c r="T569" s="13" t="s">
        <v>926</v>
      </c>
      <c r="U569" s="19">
        <v>34220600</v>
      </c>
      <c r="V569" s="18">
        <v>1</v>
      </c>
      <c r="W569" s="18">
        <f>_xlfn.XLOOKUP(J569,'Master Data 14-9-2026'!C:C,'Master Data 14-9-2026'!L:L)</f>
        <v>1.49</v>
      </c>
      <c r="X569" s="23">
        <v>34220600</v>
      </c>
      <c r="Y569" s="13" t="s">
        <v>1599</v>
      </c>
      <c r="Z569" s="24" t="s">
        <v>15</v>
      </c>
      <c r="AB569" s="13"/>
      <c r="AC569" s="13"/>
      <c r="AD569" s="13"/>
      <c r="AE569" s="13" t="str">
        <f>_xlfn.XLOOKUP(L569,'[1]ID PROJECT'!E:E,'[1]ID PROJECT'!F:F)</f>
        <v>PRJ-KUT-KPU-TPED-2026-04-00075</v>
      </c>
      <c r="AF569" s="13"/>
      <c r="AG569" s="13"/>
      <c r="AH569" s="65"/>
      <c r="AI569" s="27"/>
    </row>
    <row r="570" spans="1:35" hidden="1">
      <c r="A570" s="13" t="s">
        <v>439</v>
      </c>
      <c r="B570" s="13" t="str">
        <f>_xlfn.XLOOKUP(J570,'Master Data 14-9-2026'!C:C,'Master Data 14-9-2026'!D:D)</f>
        <v>Farizqi Anisah Nudhar wx1503972</v>
      </c>
      <c r="C570" s="13"/>
      <c r="D570" s="13" t="str">
        <f>_xlfn.XLOOKUP(J570,'Master Data 14-9-2026'!C:C,'Master Data 14-9-2026'!E:E)</f>
        <v>TELKOMSEL</v>
      </c>
      <c r="E570" s="13"/>
      <c r="F570" s="13"/>
      <c r="G570" s="13" t="s">
        <v>25</v>
      </c>
      <c r="H570" s="13" t="str">
        <f>_xlfn.XLOOKUP(J570,'Master Data 14-9-2026'!C:C,'Master Data 14-9-2026'!H:H)</f>
        <v>2026-06-30 - 2026-07-29</v>
      </c>
      <c r="I570" s="13" t="str">
        <f t="shared" si="8"/>
        <v>June</v>
      </c>
      <c r="J570" s="13" t="s">
        <v>1852</v>
      </c>
      <c r="K570" s="13" t="s">
        <v>1852</v>
      </c>
      <c r="L570" s="13" t="s">
        <v>441</v>
      </c>
      <c r="M570" s="15">
        <v>200003133457020</v>
      </c>
      <c r="N570" s="13" t="s">
        <v>924</v>
      </c>
      <c r="O570" s="13">
        <v>1.09120260713002E+17</v>
      </c>
      <c r="P570" s="13" t="s">
        <v>1853</v>
      </c>
      <c r="Q570" s="18">
        <v>1</v>
      </c>
      <c r="R570" s="18">
        <v>1</v>
      </c>
      <c r="S570" s="13">
        <v>8828132636</v>
      </c>
      <c r="T570" s="13" t="s">
        <v>933</v>
      </c>
      <c r="U570" s="19">
        <v>36992000</v>
      </c>
      <c r="V570" s="18">
        <v>1</v>
      </c>
      <c r="W570" s="18">
        <f>_xlfn.XLOOKUP(J570,'Master Data 14-9-2026'!C:C,'Master Data 14-9-2026'!L:L)</f>
        <v>1.5</v>
      </c>
      <c r="X570" s="23">
        <v>36992000</v>
      </c>
      <c r="Y570" s="13" t="s">
        <v>1599</v>
      </c>
      <c r="Z570" s="24" t="str">
        <f>_xlfn.XLOOKUP(J570,'Master Data 14-9-2026'!C:C,'Master Data 14-9-2026'!I:I)</f>
        <v>Ended</v>
      </c>
      <c r="AB570" s="13"/>
      <c r="AC570" s="13"/>
      <c r="AD570" s="13"/>
      <c r="AE570" s="13" t="str">
        <f>_xlfn.XLOOKUP(L570,'[1]ID PROJECT'!E:E,'[1]ID PROJECT'!F:F)</f>
        <v xml:space="preserve">PRJ-KUT-KPU-TPED-2026-04-00071 </v>
      </c>
      <c r="AF570" s="13"/>
      <c r="AG570" s="13"/>
      <c r="AH570" s="65"/>
      <c r="AI570" s="27"/>
    </row>
    <row r="571" spans="1:35" hidden="1">
      <c r="A571" s="13" t="s">
        <v>698</v>
      </c>
      <c r="B571" s="13" t="str">
        <f>_xlfn.XLOOKUP(J571,'Master Data 14-9-2026'!C:C,'Master Data 14-9-2026'!D:D)</f>
        <v>Dedi Yoszar WX1529646</v>
      </c>
      <c r="C571" s="13"/>
      <c r="D571" s="13" t="str">
        <f>_xlfn.XLOOKUP(J571,'Master Data 14-9-2026'!C:C,'Master Data 14-9-2026'!E:E)</f>
        <v>IOH</v>
      </c>
      <c r="E571" s="13"/>
      <c r="F571" s="13"/>
      <c r="G571" s="13" t="s">
        <v>13</v>
      </c>
      <c r="H571" s="13" t="str">
        <f>_xlfn.XLOOKUP(J571,'Master Data 14-9-2026'!C:C,'Master Data 14-9-2026'!H:H)</f>
        <v>2026-06-23 - 2026-07-22</v>
      </c>
      <c r="I571" s="13" t="str">
        <f t="shared" si="8"/>
        <v>June</v>
      </c>
      <c r="J571" s="13" t="s">
        <v>1854</v>
      </c>
      <c r="K571" s="13" t="s">
        <v>1854</v>
      </c>
      <c r="L571" s="13" t="s">
        <v>441</v>
      </c>
      <c r="M571" s="15">
        <v>200003223241020</v>
      </c>
      <c r="N571" s="13" t="s">
        <v>924</v>
      </c>
      <c r="O571" s="13">
        <v>1.0912026072100099E+17</v>
      </c>
      <c r="P571" s="13" t="s">
        <v>1855</v>
      </c>
      <c r="Q571" s="18">
        <v>1</v>
      </c>
      <c r="R571" s="18">
        <v>1</v>
      </c>
      <c r="S571" s="13">
        <v>8828132634</v>
      </c>
      <c r="T571" s="13" t="s">
        <v>978</v>
      </c>
      <c r="U571" s="19">
        <v>32542400</v>
      </c>
      <c r="V571" s="18">
        <v>1</v>
      </c>
      <c r="W571" s="18">
        <f>_xlfn.XLOOKUP(J571,'Master Data 14-9-2026'!C:C,'Master Data 14-9-2026'!L:L)</f>
        <v>0.63</v>
      </c>
      <c r="X571" s="23">
        <v>32542400</v>
      </c>
      <c r="Y571" s="13" t="s">
        <v>1599</v>
      </c>
      <c r="Z571" s="24" t="str">
        <f>_xlfn.XLOOKUP(J571,'Master Data 14-9-2026'!C:C,'Master Data 14-9-2026'!I:I)</f>
        <v>Ended</v>
      </c>
      <c r="AA571" s="4" t="s">
        <v>1288</v>
      </c>
      <c r="AB571" s="13" t="s">
        <v>1289</v>
      </c>
      <c r="AC571" s="13"/>
      <c r="AD571" s="13"/>
      <c r="AE571" s="13" t="str">
        <f>_xlfn.XLOOKUP(L571,'[1]ID PROJECT'!E:E,'[1]ID PROJECT'!F:F)</f>
        <v xml:space="preserve">PRJ-KUT-KPU-TPED-2026-04-00071 </v>
      </c>
      <c r="AF571" s="13"/>
      <c r="AG571" s="13"/>
      <c r="AH571" s="65"/>
      <c r="AI571" s="27"/>
    </row>
    <row r="572" spans="1:35" hidden="1">
      <c r="A572" s="13" t="s">
        <v>698</v>
      </c>
      <c r="B572" s="13" t="str">
        <f>_xlfn.XLOOKUP(J572,'Master Data 14-9-2026'!C:C,'Master Data 14-9-2026'!D:D)</f>
        <v>Dedi Yoszar WX1529646</v>
      </c>
      <c r="C572" s="13"/>
      <c r="D572" s="13" t="str">
        <f>_xlfn.XLOOKUP(J572,'Master Data 14-9-2026'!C:C,'Master Data 14-9-2026'!E:E)</f>
        <v>IOH</v>
      </c>
      <c r="E572" s="13"/>
      <c r="F572" s="13"/>
      <c r="G572" s="13" t="s">
        <v>18</v>
      </c>
      <c r="H572" s="13" t="str">
        <f>_xlfn.XLOOKUP(J572,'Master Data 14-9-2026'!C:C,'Master Data 14-9-2026'!H:H)</f>
        <v>2026-07-23 - 2026-08-22</v>
      </c>
      <c r="I572" s="13" t="str">
        <f t="shared" si="8"/>
        <v>July</v>
      </c>
      <c r="J572" s="13" t="s">
        <v>1856</v>
      </c>
      <c r="K572" s="13" t="s">
        <v>1856</v>
      </c>
      <c r="L572" s="13" t="s">
        <v>441</v>
      </c>
      <c r="M572" s="15">
        <v>200003223242020</v>
      </c>
      <c r="N572" s="13" t="s">
        <v>924</v>
      </c>
      <c r="O572" s="13">
        <v>1.0912026072100099E+17</v>
      </c>
      <c r="P572" s="13" t="s">
        <v>1855</v>
      </c>
      <c r="Q572" s="18">
        <v>2</v>
      </c>
      <c r="R572" s="18">
        <v>1</v>
      </c>
      <c r="S572" s="13">
        <v>8828132634</v>
      </c>
      <c r="T572" s="13" t="s">
        <v>978</v>
      </c>
      <c r="U572" s="19">
        <v>32542400</v>
      </c>
      <c r="V572" s="18">
        <v>1</v>
      </c>
      <c r="W572" s="18">
        <f>_xlfn.XLOOKUP(J572,'Master Data 14-9-2026'!C:C,'Master Data 14-9-2026'!L:L)</f>
        <v>0.5</v>
      </c>
      <c r="X572" s="23">
        <v>32542400</v>
      </c>
      <c r="Y572" s="13" t="s">
        <v>1599</v>
      </c>
      <c r="Z572" s="24" t="s">
        <v>33</v>
      </c>
      <c r="AA572" s="4" t="s">
        <v>1288</v>
      </c>
      <c r="AB572" s="13" t="s">
        <v>1289</v>
      </c>
      <c r="AC572" s="13"/>
      <c r="AD572" s="13"/>
      <c r="AE572" s="13" t="str">
        <f>_xlfn.XLOOKUP(L572,'[1]ID PROJECT'!E:E,'[1]ID PROJECT'!F:F)</f>
        <v xml:space="preserve">PRJ-KUT-KPU-TPED-2026-04-00071 </v>
      </c>
      <c r="AF572" s="13"/>
      <c r="AG572" s="13"/>
      <c r="AH572" s="65"/>
      <c r="AI572" s="27"/>
    </row>
    <row r="573" spans="1:35" hidden="1">
      <c r="A573" s="13" t="s">
        <v>722</v>
      </c>
      <c r="B573" s="13" t="str">
        <f>_xlfn.XLOOKUP(J573,'Master Data 14-9-2026'!C:C,'Master Data 14-9-2026'!D:D)</f>
        <v>Desy Mevianti Suryaning Astuti wx1529050</v>
      </c>
      <c r="C573" s="13"/>
      <c r="D573" s="13" t="str">
        <f>_xlfn.XLOOKUP(J573,'Master Data 14-9-2026'!C:C,'Master Data 14-9-2026'!E:E)</f>
        <v>IOH</v>
      </c>
      <c r="E573" s="13"/>
      <c r="F573" s="13"/>
      <c r="G573" s="13" t="s">
        <v>13</v>
      </c>
      <c r="H573" s="13" t="str">
        <f>_xlfn.XLOOKUP(J573,'Master Data 14-9-2026'!C:C,'Master Data 14-9-2026'!H:H)</f>
        <v>2026-07-01 - 2026-07-31</v>
      </c>
      <c r="I573" s="13" t="str">
        <f t="shared" si="8"/>
        <v>July</v>
      </c>
      <c r="J573" s="13" t="s">
        <v>1857</v>
      </c>
      <c r="K573" s="13" t="s">
        <v>1857</v>
      </c>
      <c r="L573" s="13" t="s">
        <v>457</v>
      </c>
      <c r="M573" s="15">
        <v>200003223243020</v>
      </c>
      <c r="N573" s="13" t="s">
        <v>924</v>
      </c>
      <c r="O573" s="13">
        <v>1.0912026072100099E+17</v>
      </c>
      <c r="P573" s="13" t="s">
        <v>1855</v>
      </c>
      <c r="Q573" s="18">
        <v>3</v>
      </c>
      <c r="R573" s="18">
        <v>1</v>
      </c>
      <c r="S573" s="13">
        <v>8828132635</v>
      </c>
      <c r="T573" s="13" t="s">
        <v>926</v>
      </c>
      <c r="U573" s="19">
        <v>34220600</v>
      </c>
      <c r="V573" s="18">
        <v>1</v>
      </c>
      <c r="W573" s="18">
        <f>_xlfn.XLOOKUP(J573,'Master Data 14-9-2026'!C:C,'Master Data 14-9-2026'!L:L)</f>
        <v>1.5</v>
      </c>
      <c r="X573" s="23">
        <v>34220600</v>
      </c>
      <c r="Y573" s="13" t="s">
        <v>1599</v>
      </c>
      <c r="Z573" s="24" t="s">
        <v>15</v>
      </c>
      <c r="AA573" s="4" t="s">
        <v>1288</v>
      </c>
      <c r="AB573" s="13"/>
      <c r="AC573" s="13"/>
      <c r="AD573" s="13"/>
      <c r="AE573" s="13" t="str">
        <f>_xlfn.XLOOKUP(L573,'[1]ID PROJECT'!E:E,'[1]ID PROJECT'!F:F)</f>
        <v>PRJ-KUT-KPU-TPED-2026-04-00076</v>
      </c>
      <c r="AF573" s="13"/>
      <c r="AG573" s="13"/>
      <c r="AH573" s="65"/>
      <c r="AI573" s="27"/>
    </row>
    <row r="574" spans="1:35" hidden="1">
      <c r="A574" s="13" t="s">
        <v>722</v>
      </c>
      <c r="B574" s="13" t="str">
        <f>_xlfn.XLOOKUP(J574,'Master Data 14-9-2026'!C:C,'Master Data 14-9-2026'!D:D)</f>
        <v>Desy Mevianti Suryaning Astuti wx1529050</v>
      </c>
      <c r="C574" s="13"/>
      <c r="D574" s="13" t="str">
        <f>_xlfn.XLOOKUP(J574,'Master Data 14-9-2026'!C:C,'Master Data 14-9-2026'!E:E)</f>
        <v>IOH</v>
      </c>
      <c r="E574" s="13"/>
      <c r="F574" s="13"/>
      <c r="G574" s="13" t="s">
        <v>18</v>
      </c>
      <c r="H574" s="13" t="str">
        <f>_xlfn.XLOOKUP(J574,'Master Data 14-9-2026'!C:C,'Master Data 14-9-2026'!H:H)</f>
        <v>2026-08-01 - 2026-08-31</v>
      </c>
      <c r="I574" s="13" t="str">
        <f t="shared" si="8"/>
        <v>August</v>
      </c>
      <c r="J574" s="13" t="s">
        <v>1858</v>
      </c>
      <c r="K574" s="13" t="s">
        <v>1858</v>
      </c>
      <c r="L574" s="13" t="s">
        <v>457</v>
      </c>
      <c r="M574" s="15">
        <v>200003223244020</v>
      </c>
      <c r="N574" s="13" t="s">
        <v>924</v>
      </c>
      <c r="O574" s="13">
        <v>1.0912026072100099E+17</v>
      </c>
      <c r="P574" s="13" t="s">
        <v>1855</v>
      </c>
      <c r="Q574" s="18">
        <v>4</v>
      </c>
      <c r="R574" s="18">
        <v>1</v>
      </c>
      <c r="S574" s="13">
        <v>8828132635</v>
      </c>
      <c r="T574" s="13" t="s">
        <v>926</v>
      </c>
      <c r="U574" s="19">
        <v>34220600</v>
      </c>
      <c r="V574" s="18">
        <v>1</v>
      </c>
      <c r="W574" s="18">
        <f>_xlfn.XLOOKUP(J574,'Master Data 14-9-2026'!C:C,'Master Data 14-9-2026'!L:L)</f>
        <v>1.3</v>
      </c>
      <c r="X574" s="23">
        <v>34220600</v>
      </c>
      <c r="Y574" s="13" t="s">
        <v>1599</v>
      </c>
      <c r="Z574" s="24" t="s">
        <v>33</v>
      </c>
      <c r="AA574" s="4" t="s">
        <v>1288</v>
      </c>
      <c r="AB574" s="13"/>
      <c r="AC574" s="13"/>
      <c r="AD574" s="13"/>
      <c r="AE574" s="13" t="str">
        <f>_xlfn.XLOOKUP(L574,'[1]ID PROJECT'!E:E,'[1]ID PROJECT'!F:F)</f>
        <v>PRJ-KUT-KPU-TPED-2026-04-00076</v>
      </c>
      <c r="AF574" s="13"/>
      <c r="AG574" s="13"/>
      <c r="AH574" s="65"/>
      <c r="AI574" s="27"/>
    </row>
    <row r="575" spans="1:35" hidden="1">
      <c r="A575" s="13" t="s">
        <v>635</v>
      </c>
      <c r="B575" s="13" t="str">
        <f>_xlfn.XLOOKUP(J575,'Master Data 14-9-2026'!C:C,'Master Data 14-9-2026'!D:D)</f>
        <v>DOSMA A PADANG WX1530242</v>
      </c>
      <c r="C575" s="13"/>
      <c r="D575" s="13" t="str">
        <f>_xlfn.XLOOKUP(J575,'Master Data 14-9-2026'!C:C,'Master Data 14-9-2026'!E:E)</f>
        <v>IOH</v>
      </c>
      <c r="E575" s="13"/>
      <c r="F575" s="13"/>
      <c r="G575" s="13" t="s">
        <v>13</v>
      </c>
      <c r="H575" s="13" t="str">
        <f>_xlfn.XLOOKUP(J575,'Master Data 14-9-2026'!C:C,'Master Data 14-9-2026'!H:H)</f>
        <v>2026-06-25 - 2026-07-24</v>
      </c>
      <c r="I575" s="13" t="str">
        <f t="shared" si="8"/>
        <v>June</v>
      </c>
      <c r="J575" s="13" t="s">
        <v>1859</v>
      </c>
      <c r="K575" s="13" t="s">
        <v>1859</v>
      </c>
      <c r="L575" s="13" t="s">
        <v>441</v>
      </c>
      <c r="M575" s="15">
        <v>200003223247020</v>
      </c>
      <c r="N575" s="13" t="s">
        <v>924</v>
      </c>
      <c r="O575" s="13">
        <v>1.0912026072100099E+17</v>
      </c>
      <c r="P575" s="13" t="s">
        <v>1855</v>
      </c>
      <c r="Q575" s="18">
        <v>5</v>
      </c>
      <c r="R575" s="18">
        <v>1</v>
      </c>
      <c r="S575" s="13">
        <v>8828132634</v>
      </c>
      <c r="T575" s="13" t="s">
        <v>978</v>
      </c>
      <c r="U575" s="19">
        <v>32542400</v>
      </c>
      <c r="V575" s="18">
        <v>1</v>
      </c>
      <c r="W575" s="18">
        <f>_xlfn.XLOOKUP(J575,'Master Data 14-9-2026'!C:C,'Master Data 14-9-2026'!L:L)</f>
        <v>0.5</v>
      </c>
      <c r="X575" s="23">
        <v>32542400</v>
      </c>
      <c r="Y575" s="13" t="s">
        <v>1599</v>
      </c>
      <c r="Z575" s="24" t="str">
        <f>_xlfn.XLOOKUP(J575,'Master Data 14-9-2026'!C:C,'Master Data 14-9-2026'!I:I)</f>
        <v>Ended</v>
      </c>
      <c r="AA575" s="4" t="s">
        <v>1288</v>
      </c>
      <c r="AB575" s="13" t="s">
        <v>1289</v>
      </c>
      <c r="AC575" s="13"/>
      <c r="AD575" s="13"/>
      <c r="AE575" s="13" t="str">
        <f>_xlfn.XLOOKUP(L575,'[1]ID PROJECT'!E:E,'[1]ID PROJECT'!F:F)</f>
        <v xml:space="preserve">PRJ-KUT-KPU-TPED-2026-04-00071 </v>
      </c>
      <c r="AF575" s="13"/>
      <c r="AG575" s="13"/>
      <c r="AH575" s="65"/>
      <c r="AI575" s="27"/>
    </row>
    <row r="576" spans="1:35" hidden="1">
      <c r="A576" s="13" t="s">
        <v>635</v>
      </c>
      <c r="B576" s="13" t="str">
        <f>_xlfn.XLOOKUP(J576,'Master Data 14-9-2026'!C:C,'Master Data 14-9-2026'!D:D)</f>
        <v>DOSMA A PADANG WX1530242</v>
      </c>
      <c r="C576" s="13"/>
      <c r="D576" s="13" t="str">
        <f>_xlfn.XLOOKUP(J576,'Master Data 14-9-2026'!C:C,'Master Data 14-9-2026'!E:E)</f>
        <v>IOH</v>
      </c>
      <c r="E576" s="13"/>
      <c r="F576" s="13"/>
      <c r="G576" s="13" t="s">
        <v>18</v>
      </c>
      <c r="H576" s="13" t="str">
        <f>_xlfn.XLOOKUP(J576,'Master Data 14-9-2026'!C:C,'Master Data 14-9-2026'!H:H)</f>
        <v>2026-07-25 - 2026-08-24</v>
      </c>
      <c r="I576" s="13" t="str">
        <f t="shared" si="8"/>
        <v>July</v>
      </c>
      <c r="J576" s="13" t="s">
        <v>1860</v>
      </c>
      <c r="K576" s="13" t="s">
        <v>1860</v>
      </c>
      <c r="L576" s="13" t="s">
        <v>441</v>
      </c>
      <c r="M576" s="15">
        <v>200003223248020</v>
      </c>
      <c r="N576" s="13" t="s">
        <v>924</v>
      </c>
      <c r="O576" s="13">
        <v>1.0912026072100099E+17</v>
      </c>
      <c r="P576" s="13" t="s">
        <v>1855</v>
      </c>
      <c r="Q576" s="18">
        <v>6</v>
      </c>
      <c r="R576" s="18">
        <v>1</v>
      </c>
      <c r="S576" s="13">
        <v>8828132634</v>
      </c>
      <c r="T576" s="13" t="s">
        <v>978</v>
      </c>
      <c r="U576" s="19">
        <v>32542400</v>
      </c>
      <c r="V576" s="18">
        <v>1</v>
      </c>
      <c r="W576" s="18">
        <f>_xlfn.XLOOKUP(J576,'Master Data 14-9-2026'!C:C,'Master Data 14-9-2026'!L:L)</f>
        <v>0.5</v>
      </c>
      <c r="X576" s="23">
        <v>32542400</v>
      </c>
      <c r="Y576" s="13" t="s">
        <v>1599</v>
      </c>
      <c r="Z576" s="24" t="s">
        <v>33</v>
      </c>
      <c r="AA576" s="4" t="s">
        <v>1288</v>
      </c>
      <c r="AB576" s="13" t="s">
        <v>1289</v>
      </c>
      <c r="AC576" s="13"/>
      <c r="AD576" s="13"/>
      <c r="AE576" s="13" t="str">
        <f>_xlfn.XLOOKUP(L576,'[1]ID PROJECT'!E:E,'[1]ID PROJECT'!F:F)</f>
        <v xml:space="preserve">PRJ-KUT-KPU-TPED-2026-04-00071 </v>
      </c>
      <c r="AF576" s="13"/>
      <c r="AG576" s="13"/>
      <c r="AH576" s="65"/>
      <c r="AI576" s="27"/>
    </row>
    <row r="577" spans="1:35" hidden="1">
      <c r="A577" s="13" t="s">
        <v>860</v>
      </c>
      <c r="B577" s="13" t="str">
        <f>_xlfn.XLOOKUP(J577,'Master Data 14-9-2026'!C:C,'Master Data 14-9-2026'!D:D)</f>
        <v>Febrian Rizky wx1529666</v>
      </c>
      <c r="C577" s="13"/>
      <c r="D577" s="13" t="str">
        <f>_xlfn.XLOOKUP(J577,'Master Data 14-9-2026'!C:C,'Master Data 14-9-2026'!E:E)</f>
        <v>IOH</v>
      </c>
      <c r="E577" s="13"/>
      <c r="F577" s="13"/>
      <c r="G577" s="13" t="s">
        <v>18</v>
      </c>
      <c r="H577" s="13" t="str">
        <f>_xlfn.XLOOKUP(J577,'Master Data 14-9-2026'!C:C,'Master Data 14-9-2026'!H:H)</f>
        <v>2026-07-23 - 2026-08-22</v>
      </c>
      <c r="I577" s="13" t="str">
        <f t="shared" si="8"/>
        <v>July</v>
      </c>
      <c r="J577" s="13" t="s">
        <v>1861</v>
      </c>
      <c r="K577" s="13" t="s">
        <v>1861</v>
      </c>
      <c r="L577" s="13" t="s">
        <v>441</v>
      </c>
      <c r="M577" s="15">
        <v>200003223250020</v>
      </c>
      <c r="N577" s="13" t="s">
        <v>924</v>
      </c>
      <c r="O577" s="13">
        <v>1.0912026072100099E+17</v>
      </c>
      <c r="P577" s="13" t="s">
        <v>1855</v>
      </c>
      <c r="Q577" s="18">
        <v>7</v>
      </c>
      <c r="R577" s="18">
        <v>1</v>
      </c>
      <c r="S577" s="13">
        <v>8828132635</v>
      </c>
      <c r="T577" s="13" t="s">
        <v>926</v>
      </c>
      <c r="U577" s="19">
        <v>34220600</v>
      </c>
      <c r="V577" s="18">
        <v>1</v>
      </c>
      <c r="W577" s="18">
        <f>_xlfn.XLOOKUP(J577,'Master Data 14-9-2026'!C:C,'Master Data 14-9-2026'!L:L)</f>
        <v>0</v>
      </c>
      <c r="X577" s="23">
        <v>34220600</v>
      </c>
      <c r="Y577" s="13" t="s">
        <v>1599</v>
      </c>
      <c r="Z577" s="24" t="s">
        <v>33</v>
      </c>
      <c r="AA577" s="4" t="s">
        <v>1288</v>
      </c>
      <c r="AB577" s="40" t="s">
        <v>44</v>
      </c>
      <c r="AC577" s="13"/>
      <c r="AD577" s="13"/>
      <c r="AE577" s="13" t="str">
        <f>_xlfn.XLOOKUP(L577,'[1]ID PROJECT'!E:E,'[1]ID PROJECT'!F:F)</f>
        <v xml:space="preserve">PRJ-KUT-KPU-TPED-2026-04-00071 </v>
      </c>
      <c r="AF577" s="13"/>
      <c r="AG577" s="13"/>
      <c r="AH577" s="65"/>
      <c r="AI577" s="27"/>
    </row>
    <row r="578" spans="1:35" hidden="1">
      <c r="A578" s="13" t="s">
        <v>566</v>
      </c>
      <c r="B578" s="13" t="str">
        <f>_xlfn.XLOOKUP(J578,'Master Data 14-9-2026'!C:C,'Master Data 14-9-2026'!D:D)</f>
        <v>Donny Kesumo Widodo wx1524105</v>
      </c>
      <c r="C578" s="13"/>
      <c r="D578" s="13" t="str">
        <f>_xlfn.XLOOKUP(J578,'Master Data 14-9-2026'!C:C,'Master Data 14-9-2026'!E:E)</f>
        <v>IOH</v>
      </c>
      <c r="E578" s="13"/>
      <c r="F578" s="13"/>
      <c r="G578" s="13" t="s">
        <v>22</v>
      </c>
      <c r="H578" s="13" t="str">
        <f>_xlfn.XLOOKUP(J578,'Master Data 14-9-2026'!C:C,'Master Data 14-9-2026'!H:H)</f>
        <v>2026-08-03 - 2026-09-02</v>
      </c>
      <c r="I578" s="13" t="str">
        <f t="shared" si="8"/>
        <v>August</v>
      </c>
      <c r="J578" s="13" t="s">
        <v>1862</v>
      </c>
      <c r="K578" s="13" t="s">
        <v>1862</v>
      </c>
      <c r="L578" s="13" t="s">
        <v>457</v>
      </c>
      <c r="M578" s="15">
        <v>200003223208020</v>
      </c>
      <c r="N578" s="13" t="s">
        <v>924</v>
      </c>
      <c r="O578" s="13">
        <v>1.0912026072100099E+17</v>
      </c>
      <c r="P578" s="13" t="s">
        <v>1855</v>
      </c>
      <c r="Q578" s="18">
        <v>8</v>
      </c>
      <c r="R578" s="18">
        <v>1</v>
      </c>
      <c r="S578" s="13">
        <v>8828132634</v>
      </c>
      <c r="T578" s="13" t="s">
        <v>978</v>
      </c>
      <c r="U578" s="19">
        <v>32542400</v>
      </c>
      <c r="V578" s="18">
        <v>1</v>
      </c>
      <c r="W578" s="18">
        <f>_xlfn.XLOOKUP(J578,'Master Data 14-9-2026'!C:C,'Master Data 14-9-2026'!L:L)</f>
        <v>0.5</v>
      </c>
      <c r="X578" s="23">
        <v>32542400</v>
      </c>
      <c r="Y578" s="13" t="s">
        <v>1599</v>
      </c>
      <c r="Z578" s="24" t="s">
        <v>33</v>
      </c>
      <c r="AA578" s="4" t="s">
        <v>1288</v>
      </c>
      <c r="AB578" s="13" t="s">
        <v>1289</v>
      </c>
      <c r="AC578" s="13"/>
      <c r="AD578" s="13"/>
      <c r="AE578" s="13" t="str">
        <f>_xlfn.XLOOKUP(L578,'[1]ID PROJECT'!E:E,'[1]ID PROJECT'!F:F)</f>
        <v>PRJ-KUT-KPU-TPED-2026-04-00076</v>
      </c>
      <c r="AF578" s="13"/>
      <c r="AG578" s="13"/>
      <c r="AH578" s="65"/>
      <c r="AI578" s="27"/>
    </row>
    <row r="579" spans="1:35" hidden="1">
      <c r="A579" s="13" t="s">
        <v>777</v>
      </c>
      <c r="B579" s="13" t="str">
        <f>_xlfn.XLOOKUP(J579,'Master Data 14-9-2026'!C:C,'Master Data 14-9-2026'!D:D)</f>
        <v>Chaerul Oky Suryatin wx1503975</v>
      </c>
      <c r="C579" s="13"/>
      <c r="D579" s="13" t="str">
        <f>_xlfn.XLOOKUP(J579,'Master Data 14-9-2026'!C:C,'Master Data 14-9-2026'!E:E)</f>
        <v>IOH</v>
      </c>
      <c r="E579" s="13"/>
      <c r="F579" s="13"/>
      <c r="G579" s="13" t="s">
        <v>28</v>
      </c>
      <c r="H579" s="13" t="str">
        <f>_xlfn.XLOOKUP(J579,'Master Data 14-9-2026'!C:C,'Master Data 14-9-2026'!H:H)</f>
        <v>2026-07-23 - 2026-08-22</v>
      </c>
      <c r="I579" s="13" t="str">
        <f t="shared" ref="I579:I642" si="9">TEXT(DATEVALUE(LEFT(H579,10)),"mmmm")</f>
        <v>July</v>
      </c>
      <c r="J579" s="13" t="s">
        <v>1863</v>
      </c>
      <c r="K579" s="13" t="s">
        <v>1863</v>
      </c>
      <c r="L579" s="13" t="s">
        <v>475</v>
      </c>
      <c r="M579" s="15">
        <v>200003223206020</v>
      </c>
      <c r="N579" s="13" t="s">
        <v>924</v>
      </c>
      <c r="O579" s="13">
        <v>1.0912026072100099E+17</v>
      </c>
      <c r="P579" s="13" t="s">
        <v>1855</v>
      </c>
      <c r="Q579" s="18">
        <v>9</v>
      </c>
      <c r="R579" s="18">
        <v>1</v>
      </c>
      <c r="S579" s="13">
        <v>8828132635</v>
      </c>
      <c r="T579" s="13" t="s">
        <v>926</v>
      </c>
      <c r="U579" s="19">
        <v>34220600</v>
      </c>
      <c r="V579" s="18">
        <v>1</v>
      </c>
      <c r="W579" s="18">
        <f>_xlfn.XLOOKUP(J579,'Master Data 14-9-2026'!C:C,'Master Data 14-9-2026'!L:L)</f>
        <v>0</v>
      </c>
      <c r="X579" s="23">
        <v>34220600</v>
      </c>
      <c r="Y579" s="13" t="s">
        <v>1599</v>
      </c>
      <c r="Z579" s="24" t="s">
        <v>33</v>
      </c>
      <c r="AA579" s="4" t="s">
        <v>1288</v>
      </c>
      <c r="AB579" s="40" t="s">
        <v>44</v>
      </c>
      <c r="AC579" s="13"/>
      <c r="AD579" s="13"/>
      <c r="AE579" s="13" t="str">
        <f>_xlfn.XLOOKUP(L579,'[1]ID PROJECT'!E:E,'[1]ID PROJECT'!F:F)</f>
        <v>PRJ-KUT-KPU-TPED-2026-04-00074</v>
      </c>
      <c r="AF579" s="13"/>
      <c r="AG579" s="13"/>
      <c r="AH579" s="65"/>
      <c r="AI579" s="27"/>
    </row>
    <row r="580" spans="1:35" hidden="1">
      <c r="A580" s="13" t="s">
        <v>516</v>
      </c>
      <c r="B580" s="13" t="str">
        <f>_xlfn.XLOOKUP(J580,'Master Data 14-9-2026'!C:C,'Master Data 14-9-2026'!D:D)</f>
        <v>Gusti Wahyu Utomo wx1524845</v>
      </c>
      <c r="C580" s="13"/>
      <c r="D580" s="13" t="str">
        <f>_xlfn.XLOOKUP(J580,'Master Data 14-9-2026'!C:C,'Master Data 14-9-2026'!E:E)</f>
        <v>IOH</v>
      </c>
      <c r="E580" s="13"/>
      <c r="F580" s="13"/>
      <c r="G580" s="13" t="s">
        <v>18</v>
      </c>
      <c r="H580" s="13" t="str">
        <f>_xlfn.XLOOKUP(J580,'Master Data 14-9-2026'!C:C,'Master Data 14-9-2026'!H:H)</f>
        <v>2026-08-04 - 2026-09-03</v>
      </c>
      <c r="I580" s="13" t="str">
        <f t="shared" si="9"/>
        <v>August</v>
      </c>
      <c r="J580" s="13" t="s">
        <v>1864</v>
      </c>
      <c r="K580" s="13" t="s">
        <v>1864</v>
      </c>
      <c r="L580" s="13" t="s">
        <v>468</v>
      </c>
      <c r="M580" s="15">
        <v>200003223214020</v>
      </c>
      <c r="N580" s="13" t="s">
        <v>924</v>
      </c>
      <c r="O580" s="13">
        <v>1.0912026072100099E+17</v>
      </c>
      <c r="P580" s="13" t="s">
        <v>1855</v>
      </c>
      <c r="Q580" s="18">
        <v>10</v>
      </c>
      <c r="R580" s="18">
        <v>1</v>
      </c>
      <c r="S580" s="13">
        <v>8828132636</v>
      </c>
      <c r="T580" s="13" t="s">
        <v>933</v>
      </c>
      <c r="U580" s="19">
        <v>36992000</v>
      </c>
      <c r="V580" s="18">
        <v>1</v>
      </c>
      <c r="W580" s="18">
        <f>_xlfn.XLOOKUP(J580,'Master Data 14-9-2026'!C:C,'Master Data 14-9-2026'!L:L)</f>
        <v>1.5</v>
      </c>
      <c r="X580" s="23">
        <v>36992000</v>
      </c>
      <c r="Y580" s="13" t="s">
        <v>1599</v>
      </c>
      <c r="Z580" s="24" t="s">
        <v>15</v>
      </c>
      <c r="AA580" s="4" t="s">
        <v>1288</v>
      </c>
      <c r="AB580" s="13" t="s">
        <v>1600</v>
      </c>
      <c r="AC580" s="13"/>
      <c r="AD580" s="13"/>
      <c r="AE580" s="13" t="str">
        <f>_xlfn.XLOOKUP(L580,'[1]ID PROJECT'!E:E,'[1]ID PROJECT'!F:F)</f>
        <v>PRJ-KUT-KPU-TPED-2026-04-00075</v>
      </c>
      <c r="AF580" s="13"/>
      <c r="AG580" s="13"/>
      <c r="AH580" s="65"/>
      <c r="AI580" s="27"/>
    </row>
    <row r="581" spans="1:35" hidden="1">
      <c r="A581" s="13" t="s">
        <v>646</v>
      </c>
      <c r="B581" s="13" t="str">
        <f>_xlfn.XLOOKUP(J581,'Master Data 14-9-2026'!C:C,'Master Data 14-9-2026'!D:D)</f>
        <v>Ilham Fahmi WX1530247</v>
      </c>
      <c r="C581" s="13"/>
      <c r="D581" s="13" t="str">
        <f>_xlfn.XLOOKUP(J581,'Master Data 14-9-2026'!C:C,'Master Data 14-9-2026'!E:E)</f>
        <v>IOH</v>
      </c>
      <c r="E581" s="13"/>
      <c r="F581" s="13"/>
      <c r="G581" s="13" t="s">
        <v>13</v>
      </c>
      <c r="H581" s="13" t="str">
        <f>_xlfn.XLOOKUP(J581,'Master Data 14-9-2026'!C:C,'Master Data 14-9-2026'!H:H)</f>
        <v>2026-06-26 - 2026-07-25</v>
      </c>
      <c r="I581" s="13" t="str">
        <f t="shared" si="9"/>
        <v>June</v>
      </c>
      <c r="J581" s="13" t="s">
        <v>1865</v>
      </c>
      <c r="K581" s="13" t="s">
        <v>1865</v>
      </c>
      <c r="L581" s="13" t="s">
        <v>441</v>
      </c>
      <c r="M581" s="15">
        <v>200003223251020</v>
      </c>
      <c r="N581" s="13" t="s">
        <v>924</v>
      </c>
      <c r="O581" s="13">
        <v>1.0912026072100099E+17</v>
      </c>
      <c r="P581" s="13" t="s">
        <v>1855</v>
      </c>
      <c r="Q581" s="18">
        <v>11</v>
      </c>
      <c r="R581" s="18">
        <v>1</v>
      </c>
      <c r="S581" s="13">
        <v>8828132634</v>
      </c>
      <c r="T581" s="13" t="s">
        <v>978</v>
      </c>
      <c r="U581" s="19">
        <v>32542400</v>
      </c>
      <c r="V581" s="18">
        <v>1</v>
      </c>
      <c r="W581" s="18">
        <f>_xlfn.XLOOKUP(J581,'Master Data 14-9-2026'!C:C,'Master Data 14-9-2026'!L:L)</f>
        <v>0</v>
      </c>
      <c r="X581" s="23">
        <v>32542400</v>
      </c>
      <c r="Y581" s="13" t="s">
        <v>1599</v>
      </c>
      <c r="Z581" s="24" t="str">
        <f>_xlfn.XLOOKUP(J581,'Master Data 14-9-2026'!C:C,'Master Data 14-9-2026'!I:I)</f>
        <v>Ended</v>
      </c>
      <c r="AA581" s="4" t="s">
        <v>1288</v>
      </c>
      <c r="AB581" s="40" t="s">
        <v>44</v>
      </c>
      <c r="AC581" s="13"/>
      <c r="AD581" s="13"/>
      <c r="AE581" s="13" t="str">
        <f>_xlfn.XLOOKUP(L581,'[1]ID PROJECT'!E:E,'[1]ID PROJECT'!F:F)</f>
        <v xml:space="preserve">PRJ-KUT-KPU-TPED-2026-04-00071 </v>
      </c>
      <c r="AF581" s="13"/>
      <c r="AG581" s="13"/>
      <c r="AH581" s="65"/>
      <c r="AI581" s="27"/>
    </row>
    <row r="582" spans="1:35" hidden="1">
      <c r="A582" s="13" t="s">
        <v>666</v>
      </c>
      <c r="B582" s="13" t="str">
        <f>_xlfn.XLOOKUP(J582,'Master Data 14-9-2026'!C:C,'Master Data 14-9-2026'!D:D)</f>
        <v>Amar Aditia Wilujeng wx1520521</v>
      </c>
      <c r="C582" s="13"/>
      <c r="D582" s="13" t="str">
        <f>_xlfn.XLOOKUP(J582,'Master Data 14-9-2026'!C:C,'Master Data 14-9-2026'!E:E)</f>
        <v>IOH</v>
      </c>
      <c r="E582" s="13"/>
      <c r="F582" s="13"/>
      <c r="G582" s="13" t="s">
        <v>25</v>
      </c>
      <c r="H582" s="13" t="str">
        <f>_xlfn.XLOOKUP(J582,'Master Data 14-9-2026'!C:C,'Master Data 14-9-2026'!H:H)</f>
        <v>2026-08-15 - 2026-09-14</v>
      </c>
      <c r="I582" s="13" t="str">
        <f t="shared" si="9"/>
        <v>August</v>
      </c>
      <c r="J582" s="13" t="s">
        <v>1866</v>
      </c>
      <c r="K582" s="13" t="s">
        <v>1866</v>
      </c>
      <c r="L582" s="13" t="s">
        <v>441</v>
      </c>
      <c r="M582" s="15">
        <v>200003223202020</v>
      </c>
      <c r="N582" s="13" t="s">
        <v>924</v>
      </c>
      <c r="O582" s="13">
        <v>1.0912026072100099E+17</v>
      </c>
      <c r="P582" s="13" t="s">
        <v>1855</v>
      </c>
      <c r="Q582" s="18">
        <v>12</v>
      </c>
      <c r="R582" s="18">
        <v>1</v>
      </c>
      <c r="S582" s="13">
        <v>8828132634</v>
      </c>
      <c r="T582" s="13" t="s">
        <v>978</v>
      </c>
      <c r="U582" s="19">
        <v>32542400</v>
      </c>
      <c r="V582" s="18">
        <v>1</v>
      </c>
      <c r="W582" s="18">
        <f>_xlfn.XLOOKUP(J582,'Master Data 14-9-2026'!C:C,'Master Data 14-9-2026'!L:L)</f>
        <v>0</v>
      </c>
      <c r="X582" s="23">
        <v>32542400</v>
      </c>
      <c r="Y582" s="13" t="s">
        <v>1599</v>
      </c>
      <c r="Z582" s="24" t="s">
        <v>33</v>
      </c>
      <c r="AA582" s="4" t="s">
        <v>1288</v>
      </c>
      <c r="AB582" s="40" t="s">
        <v>44</v>
      </c>
      <c r="AC582" s="13"/>
      <c r="AD582" s="13"/>
      <c r="AE582" s="13" t="str">
        <f>_xlfn.XLOOKUP(L582,'[1]ID PROJECT'!E:E,'[1]ID PROJECT'!F:F)</f>
        <v xml:space="preserve">PRJ-KUT-KPU-TPED-2026-04-00071 </v>
      </c>
      <c r="AF582" s="13"/>
      <c r="AG582" s="13"/>
      <c r="AH582" s="65"/>
      <c r="AI582" s="27"/>
    </row>
    <row r="583" spans="1:35" hidden="1">
      <c r="A583" s="13" t="s">
        <v>427</v>
      </c>
      <c r="B583" s="13" t="str">
        <f>_xlfn.XLOOKUP(J583,'Master Data 14-9-2026'!C:C,'Master Data 14-9-2026'!D:D)</f>
        <v>Wahyuni wx1504701</v>
      </c>
      <c r="C583" s="13"/>
      <c r="D583" s="13" t="str">
        <f>_xlfn.XLOOKUP(J583,'Master Data 14-9-2026'!C:C,'Master Data 14-9-2026'!E:E)</f>
        <v>Platform Region</v>
      </c>
      <c r="E583" s="13"/>
      <c r="F583" s="13"/>
      <c r="G583" s="13" t="s">
        <v>28</v>
      </c>
      <c r="H583" s="13" t="str">
        <f>_xlfn.XLOOKUP(J583,'Master Data 14-9-2026'!C:C,'Master Data 14-9-2026'!H:H)</f>
        <v>2026-07-30 - 2026-08-29</v>
      </c>
      <c r="I583" s="13" t="str">
        <f t="shared" si="9"/>
        <v>July</v>
      </c>
      <c r="J583" s="13" t="s">
        <v>1867</v>
      </c>
      <c r="K583" s="13" t="s">
        <v>1867</v>
      </c>
      <c r="L583" s="13" t="s">
        <v>441</v>
      </c>
      <c r="M583" s="15">
        <v>200003223231020</v>
      </c>
      <c r="N583" s="13" t="s">
        <v>924</v>
      </c>
      <c r="O583" s="13">
        <v>1.0912026072100099E+17</v>
      </c>
      <c r="P583" s="13" t="s">
        <v>1855</v>
      </c>
      <c r="Q583" s="18">
        <v>13</v>
      </c>
      <c r="R583" s="18">
        <v>1</v>
      </c>
      <c r="S583" s="13">
        <v>8828132633</v>
      </c>
      <c r="T583" s="13" t="s">
        <v>951</v>
      </c>
      <c r="U583" s="19">
        <v>28881900</v>
      </c>
      <c r="V583" s="18">
        <v>1</v>
      </c>
      <c r="W583" s="18">
        <f>_xlfn.XLOOKUP(J583,'Master Data 14-9-2026'!C:C,'Master Data 14-9-2026'!L:L)</f>
        <v>0.5</v>
      </c>
      <c r="X583" s="23">
        <v>28881900</v>
      </c>
      <c r="Y583" s="13" t="s">
        <v>1599</v>
      </c>
      <c r="Z583" s="24" t="s">
        <v>984</v>
      </c>
      <c r="AA583" s="4" t="s">
        <v>1288</v>
      </c>
      <c r="AB583" s="13" t="s">
        <v>1289</v>
      </c>
      <c r="AC583" s="13"/>
      <c r="AD583" s="13"/>
      <c r="AE583" s="13" t="str">
        <f>_xlfn.XLOOKUP(L583,'[1]ID PROJECT'!E:E,'[1]ID PROJECT'!F:F)</f>
        <v xml:space="preserve">PRJ-KUT-KPU-TPED-2026-04-00071 </v>
      </c>
      <c r="AF583" s="13"/>
      <c r="AG583" s="13"/>
      <c r="AH583" s="65"/>
      <c r="AI583" s="27"/>
    </row>
    <row r="584" spans="1:35" hidden="1">
      <c r="A584" s="13" t="s">
        <v>833</v>
      </c>
      <c r="B584" s="13" t="str">
        <f>_xlfn.XLOOKUP(J584,'Master Data 14-9-2026'!C:C,'Master Data 14-9-2026'!D:D)</f>
        <v>Yusup wx1504641</v>
      </c>
      <c r="C584" s="13"/>
      <c r="D584" s="13" t="str">
        <f>_xlfn.XLOOKUP(J584,'Master Data 14-9-2026'!C:C,'Master Data 14-9-2026'!E:E)</f>
        <v>IOH</v>
      </c>
      <c r="E584" s="13"/>
      <c r="F584" s="13"/>
      <c r="G584" s="13" t="s">
        <v>28</v>
      </c>
      <c r="H584" s="13" t="str">
        <f>_xlfn.XLOOKUP(J584,'Master Data 14-9-2026'!C:C,'Master Data 14-9-2026'!H:H)</f>
        <v>2026-07-24 - 2026-08-23</v>
      </c>
      <c r="I584" s="13" t="str">
        <f t="shared" si="9"/>
        <v>July</v>
      </c>
      <c r="J584" s="13" t="s">
        <v>1868</v>
      </c>
      <c r="K584" s="13" t="s">
        <v>1868</v>
      </c>
      <c r="L584" s="13" t="s">
        <v>441</v>
      </c>
      <c r="M584" s="15">
        <v>200003223232020</v>
      </c>
      <c r="N584" s="13" t="s">
        <v>924</v>
      </c>
      <c r="O584" s="13">
        <v>1.0912026072100099E+17</v>
      </c>
      <c r="P584" s="13" t="s">
        <v>1855</v>
      </c>
      <c r="Q584" s="18">
        <v>14</v>
      </c>
      <c r="R584" s="18">
        <v>1</v>
      </c>
      <c r="S584" s="13">
        <v>8828132635</v>
      </c>
      <c r="T584" s="13" t="s">
        <v>926</v>
      </c>
      <c r="U584" s="19">
        <v>34220600</v>
      </c>
      <c r="V584" s="18">
        <v>1</v>
      </c>
      <c r="W584" s="18">
        <f>_xlfn.XLOOKUP(J584,'Master Data 14-9-2026'!C:C,'Master Data 14-9-2026'!L:L)</f>
        <v>0</v>
      </c>
      <c r="X584" s="23">
        <v>34220600</v>
      </c>
      <c r="Y584" s="13" t="s">
        <v>1599</v>
      </c>
      <c r="Z584" s="24" t="s">
        <v>33</v>
      </c>
      <c r="AA584" s="4" t="s">
        <v>1288</v>
      </c>
      <c r="AB584" s="40" t="s">
        <v>44</v>
      </c>
      <c r="AC584" s="13"/>
      <c r="AD584" s="13"/>
      <c r="AE584" s="13" t="str">
        <f>_xlfn.XLOOKUP(L584,'[1]ID PROJECT'!E:E,'[1]ID PROJECT'!F:F)</f>
        <v xml:space="preserve">PRJ-KUT-KPU-TPED-2026-04-00071 </v>
      </c>
      <c r="AF584" s="13"/>
      <c r="AG584" s="13"/>
      <c r="AH584" s="65"/>
      <c r="AI584" s="27"/>
    </row>
    <row r="585" spans="1:35" hidden="1">
      <c r="A585" s="13" t="s">
        <v>480</v>
      </c>
      <c r="B585" s="13" t="str">
        <f>_xlfn.XLOOKUP(J585,'Master Data 14-9-2026'!C:C,'Master Data 14-9-2026'!D:D)</f>
        <v>Moch Andi Afriansyah wx1503654</v>
      </c>
      <c r="C585" s="13"/>
      <c r="D585" s="13" t="str">
        <f>_xlfn.XLOOKUP(J585,'Master Data 14-9-2026'!C:C,'Master Data 14-9-2026'!E:E)</f>
        <v>IOH</v>
      </c>
      <c r="E585" s="13"/>
      <c r="F585" s="13"/>
      <c r="G585" s="13" t="s">
        <v>28</v>
      </c>
      <c r="H585" s="13" t="str">
        <f>_xlfn.XLOOKUP(J585,'Master Data 14-9-2026'!C:C,'Master Data 14-9-2026'!H:H)</f>
        <v>2026-08-01 - 2026-08-31</v>
      </c>
      <c r="I585" s="13" t="str">
        <f t="shared" si="9"/>
        <v>August</v>
      </c>
      <c r="J585" s="13" t="s">
        <v>1869</v>
      </c>
      <c r="K585" s="13" t="s">
        <v>1869</v>
      </c>
      <c r="L585" s="13" t="s">
        <v>457</v>
      </c>
      <c r="M585" s="15">
        <v>200003223220020</v>
      </c>
      <c r="N585" s="13" t="s">
        <v>924</v>
      </c>
      <c r="O585" s="13">
        <v>1.0912026072100099E+17</v>
      </c>
      <c r="P585" s="13" t="s">
        <v>1855</v>
      </c>
      <c r="Q585" s="18">
        <v>15</v>
      </c>
      <c r="R585" s="18">
        <v>1</v>
      </c>
      <c r="S585" s="13">
        <v>8828132636</v>
      </c>
      <c r="T585" s="13" t="s">
        <v>933</v>
      </c>
      <c r="U585" s="19">
        <v>36992000</v>
      </c>
      <c r="V585" s="18">
        <v>1</v>
      </c>
      <c r="W585" s="18">
        <f>_xlfn.XLOOKUP(J585,'Master Data 14-9-2026'!C:C,'Master Data 14-9-2026'!L:L)</f>
        <v>1.5</v>
      </c>
      <c r="X585" s="23">
        <v>36992000</v>
      </c>
      <c r="Y585" s="13" t="s">
        <v>1599</v>
      </c>
      <c r="Z585" s="24" t="s">
        <v>33</v>
      </c>
      <c r="AA585" s="4" t="s">
        <v>1288</v>
      </c>
      <c r="AB585" s="13" t="s">
        <v>1600</v>
      </c>
      <c r="AC585" s="13"/>
      <c r="AD585" s="13"/>
      <c r="AE585" s="13" t="str">
        <f>_xlfn.XLOOKUP(L585,'[1]ID PROJECT'!E:E,'[1]ID PROJECT'!F:F)</f>
        <v>PRJ-KUT-KPU-TPED-2026-04-00076</v>
      </c>
      <c r="AF585" s="13"/>
      <c r="AG585" s="13"/>
      <c r="AH585" s="65"/>
      <c r="AI585" s="27"/>
    </row>
    <row r="586" spans="1:35" hidden="1">
      <c r="A586" s="13" t="s">
        <v>650</v>
      </c>
      <c r="B586" s="13" t="str">
        <f>_xlfn.XLOOKUP(J586,'Master Data 14-9-2026'!C:C,'Master Data 14-9-2026'!D:D)</f>
        <v>Muhammad Hafid Aqil Siroj wx1520522</v>
      </c>
      <c r="C586" s="13"/>
      <c r="D586" s="13" t="str">
        <f>_xlfn.XLOOKUP(J586,'Master Data 14-9-2026'!C:C,'Master Data 14-9-2026'!E:E)</f>
        <v>IOH</v>
      </c>
      <c r="E586" s="13"/>
      <c r="F586" s="13"/>
      <c r="G586" s="13" t="s">
        <v>25</v>
      </c>
      <c r="H586" s="13" t="str">
        <f>_xlfn.XLOOKUP(J586,'Master Data 14-9-2026'!C:C,'Master Data 14-9-2026'!H:H)</f>
        <v>2026-08-15 - 2026-09-14</v>
      </c>
      <c r="I586" s="13" t="str">
        <f t="shared" si="9"/>
        <v>August</v>
      </c>
      <c r="J586" s="13" t="s">
        <v>1870</v>
      </c>
      <c r="K586" s="13" t="s">
        <v>1870</v>
      </c>
      <c r="L586" s="13" t="s">
        <v>441</v>
      </c>
      <c r="M586" s="15">
        <v>200003223222020</v>
      </c>
      <c r="N586" s="13" t="s">
        <v>924</v>
      </c>
      <c r="O586" s="13">
        <v>1.0912026072100099E+17</v>
      </c>
      <c r="P586" s="13" t="s">
        <v>1855</v>
      </c>
      <c r="Q586" s="18">
        <v>16</v>
      </c>
      <c r="R586" s="18">
        <v>1</v>
      </c>
      <c r="S586" s="13">
        <v>8828132634</v>
      </c>
      <c r="T586" s="13" t="s">
        <v>978</v>
      </c>
      <c r="U586" s="19">
        <v>32542400</v>
      </c>
      <c r="V586" s="18">
        <v>1</v>
      </c>
      <c r="W586" s="18">
        <f>_xlfn.XLOOKUP(J586,'Master Data 14-9-2026'!C:C,'Master Data 14-9-2026'!L:L)</f>
        <v>0</v>
      </c>
      <c r="X586" s="23">
        <v>32542400</v>
      </c>
      <c r="Y586" s="13" t="s">
        <v>1599</v>
      </c>
      <c r="Z586" s="24" t="s">
        <v>33</v>
      </c>
      <c r="AA586" s="4" t="s">
        <v>1288</v>
      </c>
      <c r="AB586" s="40" t="s">
        <v>44</v>
      </c>
      <c r="AC586" s="13"/>
      <c r="AD586" s="13"/>
      <c r="AE586" s="13" t="str">
        <f>_xlfn.XLOOKUP(L586,'[1]ID PROJECT'!E:E,'[1]ID PROJECT'!F:F)</f>
        <v xml:space="preserve">PRJ-KUT-KPU-TPED-2026-04-00071 </v>
      </c>
      <c r="AF586" s="13"/>
      <c r="AG586" s="13"/>
      <c r="AH586" s="65"/>
      <c r="AI586" s="27"/>
    </row>
    <row r="587" spans="1:35" hidden="1">
      <c r="A587" s="13" t="s">
        <v>351</v>
      </c>
      <c r="B587" s="13" t="str">
        <f>_xlfn.XLOOKUP(J587,'Master Data 14-9-2026'!C:C,'Master Data 14-9-2026'!D:D)</f>
        <v>Rahma Nihayatul Nur M WX1524121</v>
      </c>
      <c r="C587" s="13"/>
      <c r="D587" s="13" t="str">
        <f>_xlfn.XLOOKUP(J587,'Master Data 14-9-2026'!C:C,'Master Data 14-9-2026'!E:E)</f>
        <v>IOH</v>
      </c>
      <c r="E587" s="13"/>
      <c r="F587" s="13"/>
      <c r="G587" s="13" t="s">
        <v>22</v>
      </c>
      <c r="H587" s="13" t="str">
        <f>_xlfn.XLOOKUP(J587,'Master Data 14-9-2026'!C:C,'Master Data 14-9-2026'!H:H)</f>
        <v>2026-08-01 - 2026-08-31</v>
      </c>
      <c r="I587" s="13" t="str">
        <f t="shared" si="9"/>
        <v>August</v>
      </c>
      <c r="J587" s="13" t="s">
        <v>1871</v>
      </c>
      <c r="K587" s="13" t="s">
        <v>1871</v>
      </c>
      <c r="L587" s="13" t="s">
        <v>441</v>
      </c>
      <c r="M587" s="15">
        <v>200003223225020</v>
      </c>
      <c r="N587" s="13" t="s">
        <v>924</v>
      </c>
      <c r="O587" s="13">
        <v>1.0912026072100099E+17</v>
      </c>
      <c r="P587" s="13" t="s">
        <v>1855</v>
      </c>
      <c r="Q587" s="18">
        <v>17</v>
      </c>
      <c r="R587" s="18">
        <v>1</v>
      </c>
      <c r="S587" s="13">
        <v>8828132633</v>
      </c>
      <c r="T587" s="13" t="s">
        <v>951</v>
      </c>
      <c r="U587" s="19">
        <v>28881900</v>
      </c>
      <c r="V587" s="18">
        <v>1</v>
      </c>
      <c r="W587" s="18">
        <f>_xlfn.XLOOKUP(J587,'Master Data 14-9-2026'!C:C,'Master Data 14-9-2026'!L:L)</f>
        <v>0</v>
      </c>
      <c r="X587" s="23">
        <v>28881900</v>
      </c>
      <c r="Y587" s="13" t="s">
        <v>1599</v>
      </c>
      <c r="Z587" s="24" t="s">
        <v>984</v>
      </c>
      <c r="AB587" s="13"/>
      <c r="AC587" s="13"/>
      <c r="AD587" s="13"/>
      <c r="AE587" s="13" t="str">
        <f>_xlfn.XLOOKUP(L587,'[1]ID PROJECT'!E:E,'[1]ID PROJECT'!F:F)</f>
        <v xml:space="preserve">PRJ-KUT-KPU-TPED-2026-04-00071 </v>
      </c>
      <c r="AF587" s="13"/>
      <c r="AG587" s="13"/>
      <c r="AH587" s="65"/>
      <c r="AI587" s="27"/>
    </row>
    <row r="588" spans="1:35" hidden="1">
      <c r="A588" s="13" t="s">
        <v>574</v>
      </c>
      <c r="B588" s="13" t="str">
        <f>_xlfn.XLOOKUP(J588,'Master Data 14-9-2026'!C:C,'Master Data 14-9-2026'!D:D)</f>
        <v>Santoso Adi Kuncoro wx1524104</v>
      </c>
      <c r="C588" s="13"/>
      <c r="D588" s="13" t="str">
        <f>_xlfn.XLOOKUP(J588,'Master Data 14-9-2026'!C:C,'Master Data 14-9-2026'!E:E)</f>
        <v>IOH</v>
      </c>
      <c r="E588" s="13"/>
      <c r="F588" s="13"/>
      <c r="G588" s="13" t="s">
        <v>22</v>
      </c>
      <c r="H588" s="13" t="str">
        <f>_xlfn.XLOOKUP(J588,'Master Data 14-9-2026'!C:C,'Master Data 14-9-2026'!H:H)</f>
        <v>2026-08-15 - 2026-09-14</v>
      </c>
      <c r="I588" s="13" t="str">
        <f t="shared" si="9"/>
        <v>August</v>
      </c>
      <c r="J588" s="13" t="s">
        <v>1872</v>
      </c>
      <c r="K588" s="13" t="s">
        <v>1872</v>
      </c>
      <c r="L588" s="13" t="s">
        <v>468</v>
      </c>
      <c r="M588" s="15">
        <v>200003223226020</v>
      </c>
      <c r="N588" s="13" t="s">
        <v>924</v>
      </c>
      <c r="O588" s="13">
        <v>1.0912026072100099E+17</v>
      </c>
      <c r="P588" s="13" t="s">
        <v>1855</v>
      </c>
      <c r="Q588" s="18">
        <v>18</v>
      </c>
      <c r="R588" s="18">
        <v>1</v>
      </c>
      <c r="S588" s="13">
        <v>8828132634</v>
      </c>
      <c r="T588" s="13" t="s">
        <v>978</v>
      </c>
      <c r="U588" s="19">
        <v>32542400</v>
      </c>
      <c r="V588" s="18">
        <v>1</v>
      </c>
      <c r="W588" s="18">
        <f>_xlfn.XLOOKUP(J588,'Master Data 14-9-2026'!C:C,'Master Data 14-9-2026'!L:L)</f>
        <v>0.91</v>
      </c>
      <c r="X588" s="23">
        <v>32542400</v>
      </c>
      <c r="Y588" s="13" t="s">
        <v>1599</v>
      </c>
      <c r="Z588" s="24" t="s">
        <v>33</v>
      </c>
      <c r="AA588" s="4" t="s">
        <v>1288</v>
      </c>
      <c r="AB588" s="13" t="s">
        <v>1289</v>
      </c>
      <c r="AC588" s="13"/>
      <c r="AD588" s="13"/>
      <c r="AE588" s="13" t="str">
        <f>_xlfn.XLOOKUP(L588,'[1]ID PROJECT'!E:E,'[1]ID PROJECT'!F:F)</f>
        <v>PRJ-KUT-KPU-TPED-2026-04-00075</v>
      </c>
      <c r="AF588" s="13"/>
      <c r="AG588" s="13"/>
      <c r="AH588" s="65"/>
      <c r="AI588" s="27"/>
    </row>
    <row r="589" spans="1:35" hidden="1">
      <c r="A589" s="13" t="s">
        <v>65</v>
      </c>
      <c r="B589" s="13" t="str">
        <f>_xlfn.XLOOKUP(J589,'Master Data 14-9-2026'!C:C,'Master Data 14-9-2026'!D:D)</f>
        <v>Dwi Nofianti wx1524844</v>
      </c>
      <c r="C589" s="13"/>
      <c r="D589" s="13" t="str">
        <f>_xlfn.XLOOKUP(J589,'Master Data 14-9-2026'!C:C,'Master Data 14-9-2026'!E:E)</f>
        <v>IOH</v>
      </c>
      <c r="E589" s="13"/>
      <c r="F589" s="13"/>
      <c r="G589" s="13" t="s">
        <v>22</v>
      </c>
      <c r="H589" s="13" t="str">
        <f>_xlfn.XLOOKUP(J589,'Master Data 14-9-2026'!C:C,'Master Data 14-9-2026'!H:H)</f>
        <v>2026-08-03 - 2026-09-02</v>
      </c>
      <c r="I589" s="13" t="str">
        <f t="shared" si="9"/>
        <v>August</v>
      </c>
      <c r="J589" s="13" t="s">
        <v>1873</v>
      </c>
      <c r="K589" s="13" t="s">
        <v>1873</v>
      </c>
      <c r="L589" s="13" t="s">
        <v>441</v>
      </c>
      <c r="M589" s="15">
        <v>200003223209020</v>
      </c>
      <c r="N589" s="13" t="s">
        <v>924</v>
      </c>
      <c r="O589" s="13">
        <v>1.0912026072100099E+17</v>
      </c>
      <c r="P589" s="13" t="s">
        <v>1855</v>
      </c>
      <c r="Q589" s="18">
        <v>19</v>
      </c>
      <c r="R589" s="18">
        <v>1</v>
      </c>
      <c r="S589" s="13">
        <v>8828132633</v>
      </c>
      <c r="T589" s="13" t="s">
        <v>951</v>
      </c>
      <c r="U589" s="19">
        <v>28881900</v>
      </c>
      <c r="V589" s="18">
        <v>1</v>
      </c>
      <c r="W589" s="18">
        <f>_xlfn.XLOOKUP(J589,'Master Data 14-9-2026'!C:C,'Master Data 14-9-2026'!L:L)</f>
        <v>1.5</v>
      </c>
      <c r="X589" s="23">
        <v>28881900</v>
      </c>
      <c r="Y589" s="13" t="s">
        <v>1599</v>
      </c>
      <c r="Z589" s="24" t="s">
        <v>984</v>
      </c>
      <c r="AA589" s="4" t="s">
        <v>1288</v>
      </c>
      <c r="AB589" s="13"/>
      <c r="AC589" s="13"/>
      <c r="AD589" s="13"/>
      <c r="AE589" s="13" t="str">
        <f>_xlfn.XLOOKUP(L589,'[1]ID PROJECT'!E:E,'[1]ID PROJECT'!F:F)</f>
        <v xml:space="preserve">PRJ-KUT-KPU-TPED-2026-04-00071 </v>
      </c>
      <c r="AF589" s="13"/>
      <c r="AG589" s="13"/>
      <c r="AH589" s="65"/>
      <c r="AI589" s="27"/>
    </row>
    <row r="590" spans="1:35" hidden="1">
      <c r="A590" s="13" t="s">
        <v>400</v>
      </c>
      <c r="B590" s="13" t="str">
        <f>_xlfn.XLOOKUP(J590,'Master Data 14-9-2026'!C:C,'Master Data 14-9-2026'!D:D)</f>
        <v>Eka Maudyna Isdyanti wx1504640</v>
      </c>
      <c r="C590" s="13"/>
      <c r="D590" s="13" t="str">
        <f>_xlfn.XLOOKUP(J590,'Master Data 14-9-2026'!C:C,'Master Data 14-9-2026'!E:E)</f>
        <v>IOH</v>
      </c>
      <c r="E590" s="13"/>
      <c r="F590" s="13"/>
      <c r="G590" s="13" t="s">
        <v>28</v>
      </c>
      <c r="H590" s="13" t="str">
        <f>_xlfn.XLOOKUP(J590,'Master Data 14-9-2026'!C:C,'Master Data 14-9-2026'!H:H)</f>
        <v>2026-07-30 - 2026-08-29</v>
      </c>
      <c r="I590" s="13" t="str">
        <f t="shared" si="9"/>
        <v>July</v>
      </c>
      <c r="J590" s="13" t="s">
        <v>1874</v>
      </c>
      <c r="K590" s="13" t="s">
        <v>1874</v>
      </c>
      <c r="L590" s="13" t="s">
        <v>441</v>
      </c>
      <c r="M590" s="15">
        <v>200003223210020</v>
      </c>
      <c r="N590" s="13" t="s">
        <v>924</v>
      </c>
      <c r="O590" s="13">
        <v>1.0912026072100099E+17</v>
      </c>
      <c r="P590" s="13" t="s">
        <v>1855</v>
      </c>
      <c r="Q590" s="18">
        <v>20</v>
      </c>
      <c r="R590" s="18">
        <v>1</v>
      </c>
      <c r="S590" s="13">
        <v>8828132633</v>
      </c>
      <c r="T590" s="13" t="s">
        <v>951</v>
      </c>
      <c r="U590" s="19">
        <v>28881900</v>
      </c>
      <c r="V590" s="18">
        <v>1</v>
      </c>
      <c r="W590" s="18">
        <f>_xlfn.XLOOKUP(J590,'Master Data 14-9-2026'!C:C,'Master Data 14-9-2026'!L:L)</f>
        <v>0</v>
      </c>
      <c r="X590" s="23">
        <v>28881900</v>
      </c>
      <c r="Y590" s="13" t="s">
        <v>1599</v>
      </c>
      <c r="Z590" s="24" t="s">
        <v>984</v>
      </c>
      <c r="AA590" s="4" t="s">
        <v>1288</v>
      </c>
      <c r="AB590" s="40" t="s">
        <v>44</v>
      </c>
      <c r="AC590" s="13"/>
      <c r="AD590" s="13"/>
      <c r="AE590" s="13" t="str">
        <f>_xlfn.XLOOKUP(L590,'[1]ID PROJECT'!E:E,'[1]ID PROJECT'!F:F)</f>
        <v xml:space="preserve">PRJ-KUT-KPU-TPED-2026-04-00071 </v>
      </c>
      <c r="AF590" s="13"/>
      <c r="AG590" s="13"/>
      <c r="AH590" s="65"/>
      <c r="AI590" s="27"/>
    </row>
    <row r="591" spans="1:35" hidden="1">
      <c r="A591" s="13" t="s">
        <v>435</v>
      </c>
      <c r="B591" s="13" t="str">
        <f>_xlfn.XLOOKUP(J591,'Master Data 14-9-2026'!C:C,'Master Data 14-9-2026'!D:D)</f>
        <v>Fasya Fatimma Azzhra wx1504711</v>
      </c>
      <c r="C591" s="13"/>
      <c r="D591" s="13" t="str">
        <f>_xlfn.XLOOKUP(J591,'Master Data 14-9-2026'!C:C,'Master Data 14-9-2026'!E:E)</f>
        <v>IOH</v>
      </c>
      <c r="E591" s="13"/>
      <c r="F591" s="13"/>
      <c r="G591" s="13" t="s">
        <v>28</v>
      </c>
      <c r="H591" s="13" t="str">
        <f>_xlfn.XLOOKUP(J591,'Master Data 14-9-2026'!C:C,'Master Data 14-9-2026'!H:H)</f>
        <v>2026-07-31 - 2026-08-30</v>
      </c>
      <c r="I591" s="13" t="str">
        <f t="shared" si="9"/>
        <v>July</v>
      </c>
      <c r="J591" s="13" t="s">
        <v>1875</v>
      </c>
      <c r="K591" s="13" t="s">
        <v>1875</v>
      </c>
      <c r="L591" s="13" t="s">
        <v>441</v>
      </c>
      <c r="M591" s="15">
        <v>200003223212020</v>
      </c>
      <c r="N591" s="13" t="s">
        <v>924</v>
      </c>
      <c r="O591" s="13">
        <v>1.0912026072100099E+17</v>
      </c>
      <c r="P591" s="13" t="s">
        <v>1855</v>
      </c>
      <c r="Q591" s="18">
        <v>21</v>
      </c>
      <c r="R591" s="18">
        <v>1</v>
      </c>
      <c r="S591" s="13">
        <v>8828132633</v>
      </c>
      <c r="T591" s="13" t="s">
        <v>951</v>
      </c>
      <c r="U591" s="19">
        <v>28881900</v>
      </c>
      <c r="V591" s="18">
        <v>1</v>
      </c>
      <c r="W591" s="18">
        <f>_xlfn.XLOOKUP(J591,'Master Data 14-9-2026'!C:C,'Master Data 14-9-2026'!L:L)</f>
        <v>0.54</v>
      </c>
      <c r="X591" s="23">
        <v>28881900</v>
      </c>
      <c r="Y591" s="13" t="s">
        <v>1599</v>
      </c>
      <c r="Z591" s="24" t="s">
        <v>984</v>
      </c>
      <c r="AA591" s="4" t="s">
        <v>1288</v>
      </c>
      <c r="AB591" s="13"/>
      <c r="AC591" s="13"/>
      <c r="AD591" s="13"/>
      <c r="AE591" s="13" t="str">
        <f>_xlfn.XLOOKUP(L591,'[1]ID PROJECT'!E:E,'[1]ID PROJECT'!F:F)</f>
        <v xml:space="preserve">PRJ-KUT-KPU-TPED-2026-04-00071 </v>
      </c>
      <c r="AF591" s="13"/>
      <c r="AG591" s="13"/>
      <c r="AH591" s="65"/>
      <c r="AI591" s="27"/>
    </row>
    <row r="592" spans="1:35" hidden="1">
      <c r="A592" s="13" t="s">
        <v>232</v>
      </c>
      <c r="B592" s="13" t="str">
        <f>_xlfn.XLOOKUP(J592,'Master Data 14-9-2026'!C:C,'Master Data 14-9-2026'!D:D)</f>
        <v>Fitra Faradilla wx1504702</v>
      </c>
      <c r="C592" s="13"/>
      <c r="D592" s="13" t="str">
        <f>_xlfn.XLOOKUP(J592,'Master Data 14-9-2026'!C:C,'Master Data 14-9-2026'!E:E)</f>
        <v>IOH</v>
      </c>
      <c r="E592" s="13"/>
      <c r="F592" s="13"/>
      <c r="G592" s="13" t="s">
        <v>28</v>
      </c>
      <c r="H592" s="13" t="str">
        <f>_xlfn.XLOOKUP(J592,'Master Data 14-9-2026'!C:C,'Master Data 14-9-2026'!H:H)</f>
        <v>2026-07-30 - 2026-08-29</v>
      </c>
      <c r="I592" s="13" t="str">
        <f t="shared" si="9"/>
        <v>July</v>
      </c>
      <c r="J592" s="13" t="s">
        <v>1876</v>
      </c>
      <c r="K592" s="13" t="s">
        <v>1876</v>
      </c>
      <c r="L592" s="13" t="s">
        <v>441</v>
      </c>
      <c r="M592" s="15">
        <v>200003223213020</v>
      </c>
      <c r="N592" s="13" t="s">
        <v>924</v>
      </c>
      <c r="O592" s="13">
        <v>1.0912026072100099E+17</v>
      </c>
      <c r="P592" s="13" t="s">
        <v>1855</v>
      </c>
      <c r="Q592" s="18">
        <v>22</v>
      </c>
      <c r="R592" s="18">
        <v>1</v>
      </c>
      <c r="S592" s="13">
        <v>8828132633</v>
      </c>
      <c r="T592" s="13" t="s">
        <v>951</v>
      </c>
      <c r="U592" s="19">
        <v>28881900</v>
      </c>
      <c r="V592" s="18">
        <v>1</v>
      </c>
      <c r="W592" s="18">
        <f>_xlfn.XLOOKUP(J592,'Master Data 14-9-2026'!C:C,'Master Data 14-9-2026'!L:L)</f>
        <v>1.05</v>
      </c>
      <c r="X592" s="23">
        <v>28881900</v>
      </c>
      <c r="Y592" s="13" t="s">
        <v>1599</v>
      </c>
      <c r="Z592" s="24" t="s">
        <v>984</v>
      </c>
      <c r="AA592" s="4" t="s">
        <v>1288</v>
      </c>
      <c r="AB592" s="13" t="s">
        <v>1600</v>
      </c>
      <c r="AC592" s="13"/>
      <c r="AD592" s="13"/>
      <c r="AE592" s="13" t="str">
        <f>_xlfn.XLOOKUP(L592,'[1]ID PROJECT'!E:E,'[1]ID PROJECT'!F:F)</f>
        <v xml:space="preserve">PRJ-KUT-KPU-TPED-2026-04-00071 </v>
      </c>
      <c r="AF592" s="13"/>
      <c r="AG592" s="13"/>
      <c r="AH592" s="65"/>
      <c r="AI592" s="27"/>
    </row>
    <row r="593" spans="1:35" hidden="1">
      <c r="A593" s="13" t="s">
        <v>46</v>
      </c>
      <c r="B593" s="13" t="str">
        <f>_xlfn.XLOOKUP(J593,'Master Data 14-9-2026'!C:C,'Master Data 14-9-2026'!D:D)</f>
        <v>Hyang Iman Kinasih Gusti wx1503650</v>
      </c>
      <c r="C593" s="13"/>
      <c r="D593" s="13" t="str">
        <f>_xlfn.XLOOKUP(J593,'Master Data 14-9-2026'!C:C,'Master Data 14-9-2026'!E:E)</f>
        <v>IOH</v>
      </c>
      <c r="E593" s="13"/>
      <c r="F593" s="13"/>
      <c r="G593" s="13" t="s">
        <v>28</v>
      </c>
      <c r="H593" s="13" t="str">
        <f>_xlfn.XLOOKUP(J593,'Master Data 14-9-2026'!C:C,'Master Data 14-9-2026'!H:H)</f>
        <v>2026-07-23 - 2026-08-22</v>
      </c>
      <c r="I593" s="13" t="str">
        <f t="shared" si="9"/>
        <v>July</v>
      </c>
      <c r="J593" s="13" t="s">
        <v>1877</v>
      </c>
      <c r="K593" s="13" t="s">
        <v>1877</v>
      </c>
      <c r="L593" s="13" t="s">
        <v>441</v>
      </c>
      <c r="M593" s="15">
        <v>200003223215020</v>
      </c>
      <c r="N593" s="13" t="s">
        <v>924</v>
      </c>
      <c r="O593" s="13">
        <v>1.0912026072100099E+17</v>
      </c>
      <c r="P593" s="13" t="s">
        <v>1855</v>
      </c>
      <c r="Q593" s="18">
        <v>23</v>
      </c>
      <c r="R593" s="18">
        <v>1</v>
      </c>
      <c r="S593" s="13">
        <v>8828132633</v>
      </c>
      <c r="T593" s="13" t="s">
        <v>951</v>
      </c>
      <c r="U593" s="19">
        <v>28881900</v>
      </c>
      <c r="V593" s="18">
        <v>1</v>
      </c>
      <c r="W593" s="18">
        <f>_xlfn.XLOOKUP(J593,'Master Data 14-9-2026'!C:C,'Master Data 14-9-2026'!L:L)</f>
        <v>1.5</v>
      </c>
      <c r="X593" s="23">
        <v>28881900</v>
      </c>
      <c r="Y593" s="13" t="s">
        <v>1599</v>
      </c>
      <c r="Z593" s="24" t="s">
        <v>984</v>
      </c>
      <c r="AA593" s="4" t="s">
        <v>1288</v>
      </c>
      <c r="AB593" s="13"/>
      <c r="AC593" s="13"/>
      <c r="AD593" s="13"/>
      <c r="AE593" s="13" t="str">
        <f>_xlfn.XLOOKUP(L593,'[1]ID PROJECT'!E:E,'[1]ID PROJECT'!F:F)</f>
        <v xml:space="preserve">PRJ-KUT-KPU-TPED-2026-04-00071 </v>
      </c>
      <c r="AF593" s="13"/>
      <c r="AG593" s="13"/>
      <c r="AH593" s="65"/>
      <c r="AI593" s="27"/>
    </row>
    <row r="594" spans="1:35" hidden="1">
      <c r="A594" s="13" t="s">
        <v>550</v>
      </c>
      <c r="B594" s="13" t="str">
        <f>_xlfn.XLOOKUP(J594,'Master Data 14-9-2026'!C:C,'Master Data 14-9-2026'!D:D)</f>
        <v>SEBASTIAN SURYA DARMA wx1521791</v>
      </c>
      <c r="C594" s="13"/>
      <c r="D594" s="13" t="str">
        <f>_xlfn.XLOOKUP(J594,'Master Data 14-9-2026'!C:C,'Master Data 14-9-2026'!E:E)</f>
        <v>IOH</v>
      </c>
      <c r="E594" s="13"/>
      <c r="F594" s="13"/>
      <c r="G594" s="13" t="s">
        <v>22</v>
      </c>
      <c r="H594" s="13" t="str">
        <f>_xlfn.XLOOKUP(J594,'Master Data 14-9-2026'!C:C,'Master Data 14-9-2026'!H:H)</f>
        <v>2026-07-25 - 2026-08-24</v>
      </c>
      <c r="I594" s="13" t="str">
        <f t="shared" si="9"/>
        <v>July</v>
      </c>
      <c r="J594" s="13" t="s">
        <v>1878</v>
      </c>
      <c r="K594" s="13" t="s">
        <v>1878</v>
      </c>
      <c r="L594" s="13" t="s">
        <v>441</v>
      </c>
      <c r="M594" s="15">
        <v>200003223227020</v>
      </c>
      <c r="N594" s="13" t="s">
        <v>924</v>
      </c>
      <c r="O594" s="13">
        <v>1.0912026072100099E+17</v>
      </c>
      <c r="P594" s="13" t="s">
        <v>1855</v>
      </c>
      <c r="Q594" s="18">
        <v>24</v>
      </c>
      <c r="R594" s="18">
        <v>1</v>
      </c>
      <c r="S594" s="13">
        <v>8828132634</v>
      </c>
      <c r="T594" s="13" t="s">
        <v>978</v>
      </c>
      <c r="U594" s="19">
        <v>32542400</v>
      </c>
      <c r="V594" s="18">
        <v>0</v>
      </c>
      <c r="W594" s="18">
        <f>_xlfn.XLOOKUP(J594,'Master Data 14-9-2026'!C:C,'Master Data 14-9-2026'!L:L)</f>
        <v>0</v>
      </c>
      <c r="X594" s="23">
        <v>0</v>
      </c>
      <c r="Y594" s="13" t="s">
        <v>1599</v>
      </c>
      <c r="Z594" s="24" t="s">
        <v>33</v>
      </c>
      <c r="AB594" s="13" t="s">
        <v>1149</v>
      </c>
      <c r="AC594" s="13" t="s">
        <v>1018</v>
      </c>
      <c r="AD594" s="13"/>
      <c r="AE594" s="13" t="str">
        <f>_xlfn.XLOOKUP(L594,'[1]ID PROJECT'!E:E,'[1]ID PROJECT'!F:F)</f>
        <v xml:space="preserve">PRJ-KUT-KPU-TPED-2026-04-00071 </v>
      </c>
      <c r="AF594" s="13"/>
      <c r="AG594" s="13"/>
      <c r="AH594" s="65"/>
      <c r="AI594" s="27"/>
    </row>
    <row r="595" spans="1:35" hidden="1">
      <c r="A595" s="13" t="s">
        <v>658</v>
      </c>
      <c r="B595" s="13" t="str">
        <f>_xlfn.XLOOKUP(J595,'Master Data 14-9-2026'!C:C,'Master Data 14-9-2026'!D:D)</f>
        <v>Sergius Paulus Sinaga wx1520524</v>
      </c>
      <c r="C595" s="13"/>
      <c r="D595" s="13" t="str">
        <f>_xlfn.XLOOKUP(J595,'Master Data 14-9-2026'!C:C,'Master Data 14-9-2026'!E:E)</f>
        <v>IOH</v>
      </c>
      <c r="E595" s="13"/>
      <c r="F595" s="13"/>
      <c r="G595" s="13" t="s">
        <v>25</v>
      </c>
      <c r="H595" s="13" t="str">
        <f>_xlfn.XLOOKUP(J595,'Master Data 14-9-2026'!C:C,'Master Data 14-9-2026'!H:H)</f>
        <v>2026-08-15 - 2026-09-14</v>
      </c>
      <c r="I595" s="13" t="str">
        <f t="shared" si="9"/>
        <v>August</v>
      </c>
      <c r="J595" s="13" t="s">
        <v>1879</v>
      </c>
      <c r="K595" s="13" t="s">
        <v>1879</v>
      </c>
      <c r="L595" s="13" t="s">
        <v>441</v>
      </c>
      <c r="M595" s="15">
        <v>200003223228020</v>
      </c>
      <c r="N595" s="13" t="s">
        <v>924</v>
      </c>
      <c r="O595" s="13">
        <v>1.0912026072100099E+17</v>
      </c>
      <c r="P595" s="13" t="s">
        <v>1855</v>
      </c>
      <c r="Q595" s="18">
        <v>25</v>
      </c>
      <c r="R595" s="18">
        <v>1</v>
      </c>
      <c r="S595" s="13">
        <v>8828132634</v>
      </c>
      <c r="T595" s="13" t="s">
        <v>978</v>
      </c>
      <c r="U595" s="19">
        <v>32542400</v>
      </c>
      <c r="V595" s="18">
        <v>1</v>
      </c>
      <c r="W595" s="18">
        <f>_xlfn.XLOOKUP(J595,'Master Data 14-9-2026'!C:C,'Master Data 14-9-2026'!L:L)</f>
        <v>0.5</v>
      </c>
      <c r="X595" s="23">
        <v>32542400</v>
      </c>
      <c r="Y595" s="13" t="s">
        <v>1599</v>
      </c>
      <c r="Z595" s="24" t="s">
        <v>33</v>
      </c>
      <c r="AA595" s="4" t="s">
        <v>1288</v>
      </c>
      <c r="AB595" s="13" t="s">
        <v>1289</v>
      </c>
      <c r="AC595" s="13"/>
      <c r="AD595" s="13"/>
      <c r="AE595" s="13" t="str">
        <f>_xlfn.XLOOKUP(L595,'[1]ID PROJECT'!E:E,'[1]ID PROJECT'!F:F)</f>
        <v xml:space="preserve">PRJ-KUT-KPU-TPED-2026-04-00071 </v>
      </c>
      <c r="AF595" s="13"/>
      <c r="AG595" s="13"/>
      <c r="AH595" s="65"/>
      <c r="AI595" s="27"/>
    </row>
    <row r="596" spans="1:35" hidden="1">
      <c r="A596" s="13" t="s">
        <v>652</v>
      </c>
      <c r="B596" s="13" t="str">
        <f>_xlfn.XLOOKUP(J596,'Master Data 14-9-2026'!C:C,'Master Data 14-9-2026'!D:D)</f>
        <v>Muhammad Yusuf wx1503989</v>
      </c>
      <c r="C596" s="13"/>
      <c r="D596" s="13" t="str">
        <f>_xlfn.XLOOKUP(J596,'Master Data 14-9-2026'!C:C,'Master Data 14-9-2026'!E:E)</f>
        <v>IOH</v>
      </c>
      <c r="E596" s="13"/>
      <c r="F596" s="13"/>
      <c r="G596" s="13" t="s">
        <v>22</v>
      </c>
      <c r="H596" s="13" t="str">
        <f>_xlfn.XLOOKUP(J596,'Master Data 14-9-2026'!C:C,'Master Data 14-9-2026'!H:H)</f>
        <v>2026-05-30 - 2026-06-29</v>
      </c>
      <c r="I596" s="13" t="str">
        <f t="shared" si="9"/>
        <v>May</v>
      </c>
      <c r="J596" s="13" t="s">
        <v>1880</v>
      </c>
      <c r="K596" s="13" t="s">
        <v>1880</v>
      </c>
      <c r="L596" s="13" t="s">
        <v>461</v>
      </c>
      <c r="M596" s="15">
        <v>200003223234020</v>
      </c>
      <c r="N596" s="13" t="s">
        <v>924</v>
      </c>
      <c r="O596" s="13">
        <v>1.0912026072100099E+17</v>
      </c>
      <c r="P596" s="13" t="s">
        <v>1855</v>
      </c>
      <c r="Q596" s="18">
        <v>26</v>
      </c>
      <c r="R596" s="18">
        <v>1</v>
      </c>
      <c r="S596" s="13">
        <v>8828132634</v>
      </c>
      <c r="T596" s="13" t="s">
        <v>978</v>
      </c>
      <c r="U596" s="19">
        <v>32542400</v>
      </c>
      <c r="V596" s="18">
        <v>1</v>
      </c>
      <c r="W596" s="18">
        <f>_xlfn.XLOOKUP(J596,'Master Data 14-9-2026'!C:C,'Master Data 14-9-2026'!L:L)</f>
        <v>0</v>
      </c>
      <c r="X596" s="23">
        <v>32542400</v>
      </c>
      <c r="Y596" s="13" t="s">
        <v>1599</v>
      </c>
      <c r="Z596" s="24" t="s">
        <v>15</v>
      </c>
      <c r="AA596" s="4" t="s">
        <v>1288</v>
      </c>
      <c r="AB596" s="40" t="s">
        <v>44</v>
      </c>
      <c r="AC596" s="13"/>
      <c r="AD596" s="13"/>
      <c r="AE596" s="13" t="str">
        <f>_xlfn.XLOOKUP(L596,'[1]ID PROJECT'!E:E,'[1]ID PROJECT'!F:F)</f>
        <v>PRJ-KUT-KPU-TPED-2026-04-00078</v>
      </c>
      <c r="AF596" s="13"/>
      <c r="AG596" s="13"/>
      <c r="AH596" s="65"/>
      <c r="AI596" s="27"/>
    </row>
    <row r="597" spans="1:35" hidden="1">
      <c r="A597" s="13" t="s">
        <v>652</v>
      </c>
      <c r="B597" s="13" t="str">
        <f>_xlfn.XLOOKUP(J597,'Master Data 14-9-2026'!C:C,'Master Data 14-9-2026'!D:D)</f>
        <v>Muhammad Yusuf wx1503989</v>
      </c>
      <c r="C597" s="13"/>
      <c r="D597" s="13" t="str">
        <f>_xlfn.XLOOKUP(J597,'Master Data 14-9-2026'!C:C,'Master Data 14-9-2026'!E:E)</f>
        <v>IOH</v>
      </c>
      <c r="E597" s="13"/>
      <c r="F597" s="13"/>
      <c r="G597" s="13" t="s">
        <v>25</v>
      </c>
      <c r="H597" s="13" t="str">
        <f>_xlfn.XLOOKUP(J597,'Master Data 14-9-2026'!C:C,'Master Data 14-9-2026'!H:H)</f>
        <v>2026-06-30 - 2026-07-29</v>
      </c>
      <c r="I597" s="13" t="str">
        <f t="shared" si="9"/>
        <v>June</v>
      </c>
      <c r="J597" s="13" t="s">
        <v>1881</v>
      </c>
      <c r="K597" s="13" t="s">
        <v>1881</v>
      </c>
      <c r="L597" s="13" t="s">
        <v>461</v>
      </c>
      <c r="M597" s="15">
        <v>200003223235020</v>
      </c>
      <c r="N597" s="13" t="s">
        <v>924</v>
      </c>
      <c r="O597" s="13">
        <v>1.0912026072100099E+17</v>
      </c>
      <c r="P597" s="13" t="s">
        <v>1855</v>
      </c>
      <c r="Q597" s="18">
        <v>27</v>
      </c>
      <c r="R597" s="18">
        <v>1</v>
      </c>
      <c r="S597" s="13">
        <v>8828132634</v>
      </c>
      <c r="T597" s="13" t="s">
        <v>978</v>
      </c>
      <c r="U597" s="19">
        <v>32542400</v>
      </c>
      <c r="V597" s="18">
        <v>1</v>
      </c>
      <c r="W597" s="18">
        <f>_xlfn.XLOOKUP(J597,'Master Data 14-9-2026'!C:C,'Master Data 14-9-2026'!L:L)</f>
        <v>0</v>
      </c>
      <c r="X597" s="23">
        <v>32542400</v>
      </c>
      <c r="Y597" s="13" t="s">
        <v>1599</v>
      </c>
      <c r="Z597" s="24" t="str">
        <f>_xlfn.XLOOKUP(J597,'Master Data 14-9-2026'!C:C,'Master Data 14-9-2026'!I:I)</f>
        <v>Ended</v>
      </c>
      <c r="AA597" s="4" t="s">
        <v>1288</v>
      </c>
      <c r="AB597" s="40" t="s">
        <v>44</v>
      </c>
      <c r="AC597" s="13"/>
      <c r="AD597" s="13"/>
      <c r="AE597" s="13" t="str">
        <f>_xlfn.XLOOKUP(L597,'[1]ID PROJECT'!E:E,'[1]ID PROJECT'!F:F)</f>
        <v>PRJ-KUT-KPU-TPED-2026-04-00078</v>
      </c>
      <c r="AF597" s="13"/>
      <c r="AG597" s="13"/>
      <c r="AH597" s="65"/>
      <c r="AI597" s="27"/>
    </row>
    <row r="598" spans="1:35" hidden="1">
      <c r="A598" s="13" t="s">
        <v>1387</v>
      </c>
      <c r="B598" s="13" t="e">
        <f>_xlfn.XLOOKUP(J598,'Master Data 14-9-2026'!C:C,'Master Data 14-9-2026'!D:D)</f>
        <v>#N/A</v>
      </c>
      <c r="C598" s="13"/>
      <c r="D598" s="13" t="e">
        <f>_xlfn.XLOOKUP(J598,'Master Data 14-9-2026'!C:C,'Master Data 14-9-2026'!E:E)</f>
        <v>#N/A</v>
      </c>
      <c r="E598" s="13"/>
      <c r="F598" s="13"/>
      <c r="G598" s="13" t="s">
        <v>22</v>
      </c>
      <c r="H598" s="13" t="e">
        <f>_xlfn.XLOOKUP(J598,'Master Data 14-9-2026'!C:C,'Master Data 14-9-2026'!H:H)</f>
        <v>#N/A</v>
      </c>
      <c r="I598" s="13" t="e">
        <f t="shared" si="9"/>
        <v>#N/A</v>
      </c>
      <c r="J598" s="13" t="s">
        <v>1882</v>
      </c>
      <c r="K598" s="13" t="s">
        <v>1882</v>
      </c>
      <c r="L598" s="13"/>
      <c r="M598" s="15">
        <v>200003223204020</v>
      </c>
      <c r="N598" s="13" t="s">
        <v>924</v>
      </c>
      <c r="O598" s="13">
        <v>1.0912026072100099E+17</v>
      </c>
      <c r="P598" s="13" t="s">
        <v>1855</v>
      </c>
      <c r="Q598" s="18">
        <v>28</v>
      </c>
      <c r="R598" s="18">
        <v>1</v>
      </c>
      <c r="S598" s="13">
        <v>8828132635</v>
      </c>
      <c r="T598" s="13" t="s">
        <v>926</v>
      </c>
      <c r="U598" s="19">
        <v>34220600</v>
      </c>
      <c r="V598" s="18">
        <v>0</v>
      </c>
      <c r="W598" s="18" t="e">
        <f>_xlfn.XLOOKUP(J598,'Master Data 14-9-2026'!C:C,'Master Data 14-9-2026'!L:L)</f>
        <v>#N/A</v>
      </c>
      <c r="X598" s="23">
        <v>0</v>
      </c>
      <c r="Y598" s="13" t="s">
        <v>1599</v>
      </c>
      <c r="Z598" s="24" t="s">
        <v>984</v>
      </c>
      <c r="AA598" s="4" t="s">
        <v>1288</v>
      </c>
      <c r="AB598" s="13"/>
      <c r="AC598" s="13"/>
      <c r="AD598" s="13"/>
      <c r="AE598" s="13" t="e">
        <f>_xlfn.XLOOKUP(L598,'[1]ID PROJECT'!E:E,'[1]ID PROJECT'!F:F)</f>
        <v>#N/A</v>
      </c>
      <c r="AF598" s="13"/>
      <c r="AG598" s="13"/>
      <c r="AH598" s="65"/>
      <c r="AI598" s="27"/>
    </row>
    <row r="599" spans="1:35" hidden="1">
      <c r="A599" s="13" t="s">
        <v>860</v>
      </c>
      <c r="B599" s="13" t="str">
        <f>_xlfn.XLOOKUP(J599,'Master Data 14-9-2026'!C:C,'Master Data 14-9-2026'!D:D)</f>
        <v>Febrian Rizky wx1529666</v>
      </c>
      <c r="C599" s="13"/>
      <c r="D599" s="13" t="str">
        <f>_xlfn.XLOOKUP(J599,'Master Data 14-9-2026'!C:C,'Master Data 14-9-2026'!E:E)</f>
        <v>IOH</v>
      </c>
      <c r="E599" s="13"/>
      <c r="F599" s="13"/>
      <c r="G599" s="13" t="s">
        <v>13</v>
      </c>
      <c r="H599" s="13" t="str">
        <f>_xlfn.XLOOKUP(J599,'Master Data 14-9-2026'!C:C,'Master Data 14-9-2026'!H:H)</f>
        <v>2026-06-23 - 2026-07-22</v>
      </c>
      <c r="I599" s="13" t="str">
        <f t="shared" si="9"/>
        <v>June</v>
      </c>
      <c r="J599" s="13" t="s">
        <v>1883</v>
      </c>
      <c r="K599" s="13" t="s">
        <v>1883</v>
      </c>
      <c r="L599" s="13" t="s">
        <v>441</v>
      </c>
      <c r="M599" s="15">
        <v>200003223249020</v>
      </c>
      <c r="N599" s="13" t="s">
        <v>924</v>
      </c>
      <c r="O599" s="13">
        <v>1.0912026072100099E+17</v>
      </c>
      <c r="P599" s="13" t="s">
        <v>1855</v>
      </c>
      <c r="Q599" s="18">
        <v>29</v>
      </c>
      <c r="R599" s="18">
        <v>1</v>
      </c>
      <c r="S599" s="13">
        <v>8828132635</v>
      </c>
      <c r="T599" s="13" t="s">
        <v>926</v>
      </c>
      <c r="U599" s="19">
        <v>34220600</v>
      </c>
      <c r="V599" s="18">
        <v>1</v>
      </c>
      <c r="W599" s="18">
        <f>_xlfn.XLOOKUP(J599,'Master Data 14-9-2026'!C:C,'Master Data 14-9-2026'!L:L)</f>
        <v>0</v>
      </c>
      <c r="X599" s="23">
        <v>34220600</v>
      </c>
      <c r="Y599" s="13" t="s">
        <v>1599</v>
      </c>
      <c r="Z599" s="24" t="str">
        <f>_xlfn.XLOOKUP(J599,'Master Data 14-9-2026'!C:C,'Master Data 14-9-2026'!I:I)</f>
        <v>Ended</v>
      </c>
      <c r="AA599" s="4" t="s">
        <v>1288</v>
      </c>
      <c r="AB599" s="40" t="s">
        <v>44</v>
      </c>
      <c r="AC599" s="13"/>
      <c r="AD599" s="13"/>
      <c r="AE599" s="13" t="str">
        <f>_xlfn.XLOOKUP(L599,'[1]ID PROJECT'!E:E,'[1]ID PROJECT'!F:F)</f>
        <v xml:space="preserve">PRJ-KUT-KPU-TPED-2026-04-00071 </v>
      </c>
      <c r="AF599" s="13"/>
      <c r="AG599" s="13"/>
      <c r="AH599" s="65"/>
      <c r="AI599" s="27"/>
    </row>
    <row r="600" spans="1:35" hidden="1">
      <c r="A600" s="13" t="s">
        <v>646</v>
      </c>
      <c r="B600" s="13" t="str">
        <f>_xlfn.XLOOKUP(J600,'Master Data 14-9-2026'!C:C,'Master Data 14-9-2026'!D:D)</f>
        <v>Ilham Fahmi WX1530247</v>
      </c>
      <c r="C600" s="13"/>
      <c r="D600" s="13" t="str">
        <f>_xlfn.XLOOKUP(J600,'Master Data 14-9-2026'!C:C,'Master Data 14-9-2026'!E:E)</f>
        <v>IOH</v>
      </c>
      <c r="E600" s="13"/>
      <c r="F600" s="13"/>
      <c r="G600" s="13" t="s">
        <v>18</v>
      </c>
      <c r="H600" s="13" t="str">
        <f>_xlfn.XLOOKUP(J600,'Master Data 14-9-2026'!C:C,'Master Data 14-9-2026'!H:H)</f>
        <v>2026-07-26 - 2026-08-25</v>
      </c>
      <c r="I600" s="13" t="str">
        <f t="shared" si="9"/>
        <v>July</v>
      </c>
      <c r="J600" s="13" t="s">
        <v>1884</v>
      </c>
      <c r="K600" s="13" t="s">
        <v>1884</v>
      </c>
      <c r="L600" s="13" t="s">
        <v>441</v>
      </c>
      <c r="M600" s="15">
        <v>200003223252020</v>
      </c>
      <c r="N600" s="13" t="s">
        <v>924</v>
      </c>
      <c r="O600" s="13">
        <v>1.0912026072100099E+17</v>
      </c>
      <c r="P600" s="13" t="s">
        <v>1855</v>
      </c>
      <c r="Q600" s="18">
        <v>30</v>
      </c>
      <c r="R600" s="18">
        <v>1</v>
      </c>
      <c r="S600" s="13">
        <v>8828132634</v>
      </c>
      <c r="T600" s="13" t="s">
        <v>978</v>
      </c>
      <c r="U600" s="19">
        <v>32542400</v>
      </c>
      <c r="V600" s="18">
        <v>1</v>
      </c>
      <c r="W600" s="18">
        <f>_xlfn.XLOOKUP(J600,'Master Data 14-9-2026'!C:C,'Master Data 14-9-2026'!L:L)</f>
        <v>0</v>
      </c>
      <c r="X600" s="23">
        <v>32542400</v>
      </c>
      <c r="Y600" s="13" t="s">
        <v>1599</v>
      </c>
      <c r="Z600" s="24" t="s">
        <v>33</v>
      </c>
      <c r="AA600" s="4" t="s">
        <v>1288</v>
      </c>
      <c r="AB600" s="40" t="s">
        <v>44</v>
      </c>
      <c r="AC600" s="13"/>
      <c r="AD600" s="13"/>
      <c r="AE600" s="13" t="str">
        <f>_xlfn.XLOOKUP(L600,'[1]ID PROJECT'!E:E,'[1]ID PROJECT'!F:F)</f>
        <v xml:space="preserve">PRJ-KUT-KPU-TPED-2026-04-00071 </v>
      </c>
      <c r="AF600" s="13"/>
      <c r="AG600" s="13"/>
      <c r="AH600" s="65"/>
      <c r="AI600" s="27"/>
    </row>
    <row r="601" spans="1:35" hidden="1">
      <c r="A601" s="13" t="s">
        <v>843</v>
      </c>
      <c r="B601" s="13" t="str">
        <f>_xlfn.XLOOKUP(J601,'Master Data 14-9-2026'!C:C,'Master Data 14-9-2026'!D:D)</f>
        <v>Krishna Fauzan Al Anshori WX1531577</v>
      </c>
      <c r="C601" s="13"/>
      <c r="D601" s="13" t="str">
        <f>_xlfn.XLOOKUP(J601,'Master Data 14-9-2026'!C:C,'Master Data 14-9-2026'!E:E)</f>
        <v>IOH</v>
      </c>
      <c r="E601" s="13"/>
      <c r="F601" s="13"/>
      <c r="G601" s="13" t="s">
        <v>13</v>
      </c>
      <c r="H601" s="13" t="str">
        <f>_xlfn.XLOOKUP(J601,'Master Data 14-9-2026'!C:C,'Master Data 14-9-2026'!H:H)</f>
        <v>2026-07-06 - 2026-08-05</v>
      </c>
      <c r="I601" s="13" t="str">
        <f t="shared" si="9"/>
        <v>July</v>
      </c>
      <c r="J601" s="13" t="s">
        <v>1885</v>
      </c>
      <c r="K601" s="13" t="s">
        <v>1885</v>
      </c>
      <c r="L601" s="13" t="s">
        <v>475</v>
      </c>
      <c r="M601" s="15">
        <v>200003223255020</v>
      </c>
      <c r="N601" s="13" t="s">
        <v>924</v>
      </c>
      <c r="O601" s="13">
        <v>1.0912026072100099E+17</v>
      </c>
      <c r="P601" s="13" t="s">
        <v>1855</v>
      </c>
      <c r="Q601" s="18">
        <v>31</v>
      </c>
      <c r="R601" s="18">
        <v>1</v>
      </c>
      <c r="S601" s="13">
        <v>8828132635</v>
      </c>
      <c r="T601" s="13" t="s">
        <v>926</v>
      </c>
      <c r="U601" s="19">
        <v>34220600</v>
      </c>
      <c r="V601" s="18">
        <v>1</v>
      </c>
      <c r="W601" s="18">
        <f>_xlfn.XLOOKUP(J601,'Master Data 14-9-2026'!C:C,'Master Data 14-9-2026'!L:L)</f>
        <v>0</v>
      </c>
      <c r="X601" s="23">
        <v>34220600</v>
      </c>
      <c r="Y601" s="13" t="s">
        <v>1599</v>
      </c>
      <c r="Z601" s="24" t="s">
        <v>15</v>
      </c>
      <c r="AA601" s="4" t="s">
        <v>1288</v>
      </c>
      <c r="AB601" s="40" t="s">
        <v>44</v>
      </c>
      <c r="AC601" s="13"/>
      <c r="AD601" s="13"/>
      <c r="AE601" s="13" t="str">
        <f>_xlfn.XLOOKUP(L601,'[1]ID PROJECT'!E:E,'[1]ID PROJECT'!F:F)</f>
        <v>PRJ-KUT-KPU-TPED-2026-04-00074</v>
      </c>
      <c r="AF601" s="13"/>
      <c r="AG601" s="13"/>
      <c r="AH601" s="65"/>
      <c r="AI601" s="27"/>
    </row>
    <row r="602" spans="1:35" hidden="1">
      <c r="A602" s="13" t="s">
        <v>652</v>
      </c>
      <c r="B602" s="13" t="str">
        <f>_xlfn.XLOOKUP(J602,'Master Data 14-9-2026'!C:C,'Master Data 14-9-2026'!D:D)</f>
        <v>Muhammad Yusuf wx1503989</v>
      </c>
      <c r="C602" s="13"/>
      <c r="D602" s="13" t="str">
        <f>_xlfn.XLOOKUP(J602,'Master Data 14-9-2026'!C:C,'Master Data 14-9-2026'!E:E)</f>
        <v>IOH</v>
      </c>
      <c r="E602" s="13"/>
      <c r="F602" s="13"/>
      <c r="G602" s="13" t="s">
        <v>28</v>
      </c>
      <c r="H602" s="13" t="str">
        <f>_xlfn.XLOOKUP(J602,'Master Data 14-9-2026'!C:C,'Master Data 14-9-2026'!H:H)</f>
        <v>2026-07-30 - 2026-08-29</v>
      </c>
      <c r="I602" s="13" t="str">
        <f t="shared" si="9"/>
        <v>July</v>
      </c>
      <c r="J602" s="13" t="s">
        <v>1886</v>
      </c>
      <c r="K602" s="13" t="s">
        <v>1886</v>
      </c>
      <c r="L602" s="13" t="s">
        <v>461</v>
      </c>
      <c r="M602" s="15">
        <v>200003223236020</v>
      </c>
      <c r="N602" s="13" t="s">
        <v>924</v>
      </c>
      <c r="O602" s="13">
        <v>1.0912026072100099E+17</v>
      </c>
      <c r="P602" s="13" t="s">
        <v>1855</v>
      </c>
      <c r="Q602" s="18">
        <v>32</v>
      </c>
      <c r="R602" s="18">
        <v>1</v>
      </c>
      <c r="S602" s="13">
        <v>8828132634</v>
      </c>
      <c r="T602" s="13" t="s">
        <v>978</v>
      </c>
      <c r="U602" s="19">
        <v>32542400</v>
      </c>
      <c r="V602" s="18">
        <v>1</v>
      </c>
      <c r="W602" s="18">
        <f>_xlfn.XLOOKUP(J602,'Master Data 14-9-2026'!C:C,'Master Data 14-9-2026'!L:L)</f>
        <v>0</v>
      </c>
      <c r="X602" s="23">
        <v>32542400</v>
      </c>
      <c r="Y602" s="13" t="s">
        <v>1599</v>
      </c>
      <c r="Z602" s="24" t="s">
        <v>33</v>
      </c>
      <c r="AA602" s="4" t="s">
        <v>1288</v>
      </c>
      <c r="AB602" s="40" t="s">
        <v>44</v>
      </c>
      <c r="AC602" s="13"/>
      <c r="AD602" s="13"/>
      <c r="AE602" s="13" t="str">
        <f>_xlfn.XLOOKUP(L602,'[1]ID PROJECT'!E:E,'[1]ID PROJECT'!F:F)</f>
        <v>PRJ-KUT-KPU-TPED-2026-04-00078</v>
      </c>
      <c r="AF602" s="13"/>
      <c r="AG602" s="13"/>
      <c r="AH602" s="65"/>
      <c r="AI602" s="27"/>
    </row>
    <row r="603" spans="1:35" hidden="1">
      <c r="A603" s="13" t="s">
        <v>674</v>
      </c>
      <c r="B603" s="13" t="str">
        <f>_xlfn.XLOOKUP(J603,'Master Data 14-9-2026'!C:C,'Master Data 14-9-2026'!D:D)</f>
        <v>Andi Wijaya WX1529428</v>
      </c>
      <c r="C603" s="13"/>
      <c r="D603" s="13" t="str">
        <f>_xlfn.XLOOKUP(J603,'Master Data 14-9-2026'!C:C,'Master Data 14-9-2026'!E:E)</f>
        <v>IOH</v>
      </c>
      <c r="E603" s="13"/>
      <c r="F603" s="13"/>
      <c r="G603" s="13" t="s">
        <v>13</v>
      </c>
      <c r="H603" s="13" t="str">
        <f>_xlfn.XLOOKUP(J603,'Master Data 14-9-2026'!C:C,'Master Data 14-9-2026'!H:H)</f>
        <v>2026-06-24 - 2026-07-23</v>
      </c>
      <c r="I603" s="13" t="str">
        <f t="shared" si="9"/>
        <v>June</v>
      </c>
      <c r="J603" s="13" t="s">
        <v>1887</v>
      </c>
      <c r="K603" s="13" t="s">
        <v>1887</v>
      </c>
      <c r="L603" s="13" t="s">
        <v>441</v>
      </c>
      <c r="M603" s="15">
        <v>200003223237020</v>
      </c>
      <c r="N603" s="13" t="s">
        <v>924</v>
      </c>
      <c r="O603" s="13">
        <v>1.0912026072100099E+17</v>
      </c>
      <c r="P603" s="13" t="s">
        <v>1855</v>
      </c>
      <c r="Q603" s="18">
        <v>33</v>
      </c>
      <c r="R603" s="18">
        <v>1</v>
      </c>
      <c r="S603" s="13">
        <v>8828132634</v>
      </c>
      <c r="T603" s="13" t="s">
        <v>978</v>
      </c>
      <c r="U603" s="19">
        <v>32542400</v>
      </c>
      <c r="V603" s="18">
        <v>1</v>
      </c>
      <c r="W603" s="18">
        <f>_xlfn.XLOOKUP(J603,'Master Data 14-9-2026'!C:C,'Master Data 14-9-2026'!L:L)</f>
        <v>0.5</v>
      </c>
      <c r="X603" s="23">
        <v>32542400</v>
      </c>
      <c r="Y603" s="13" t="s">
        <v>1599</v>
      </c>
      <c r="Z603" s="24" t="str">
        <f>_xlfn.XLOOKUP(J603,'Master Data 14-9-2026'!C:C,'Master Data 14-9-2026'!I:I)</f>
        <v>Ended</v>
      </c>
      <c r="AA603" s="4" t="s">
        <v>1288</v>
      </c>
      <c r="AB603" s="13" t="s">
        <v>1289</v>
      </c>
      <c r="AC603" s="13"/>
      <c r="AD603" s="13"/>
      <c r="AE603" s="13" t="str">
        <f>_xlfn.XLOOKUP(L603,'[1]ID PROJECT'!E:E,'[1]ID PROJECT'!F:F)</f>
        <v xml:space="preserve">PRJ-KUT-KPU-TPED-2026-04-00071 </v>
      </c>
      <c r="AF603" s="13"/>
      <c r="AG603" s="13"/>
      <c r="AH603" s="65"/>
      <c r="AI603" s="27"/>
    </row>
    <row r="604" spans="1:35" hidden="1">
      <c r="A604" s="13" t="s">
        <v>674</v>
      </c>
      <c r="B604" s="13" t="str">
        <f>_xlfn.XLOOKUP(J604,'Master Data 14-9-2026'!C:C,'Master Data 14-9-2026'!D:D)</f>
        <v>Andi Wijaya WX1529428</v>
      </c>
      <c r="C604" s="13"/>
      <c r="D604" s="13" t="str">
        <f>_xlfn.XLOOKUP(J604,'Master Data 14-9-2026'!C:C,'Master Data 14-9-2026'!E:E)</f>
        <v>IOH</v>
      </c>
      <c r="E604" s="13"/>
      <c r="F604" s="13"/>
      <c r="G604" s="13" t="s">
        <v>18</v>
      </c>
      <c r="H604" s="13" t="str">
        <f>_xlfn.XLOOKUP(J604,'Master Data 14-9-2026'!C:C,'Master Data 14-9-2026'!H:H)</f>
        <v>2026-07-24 - 2026-08-23</v>
      </c>
      <c r="I604" s="13" t="str">
        <f t="shared" si="9"/>
        <v>July</v>
      </c>
      <c r="J604" s="13" t="s">
        <v>1888</v>
      </c>
      <c r="K604" s="13" t="s">
        <v>1888</v>
      </c>
      <c r="L604" s="13" t="s">
        <v>441</v>
      </c>
      <c r="M604" s="15">
        <v>200003223238020</v>
      </c>
      <c r="N604" s="13" t="s">
        <v>924</v>
      </c>
      <c r="O604" s="13">
        <v>1.0912026072100099E+17</v>
      </c>
      <c r="P604" s="13" t="s">
        <v>1855</v>
      </c>
      <c r="Q604" s="18">
        <v>34</v>
      </c>
      <c r="R604" s="18">
        <v>1</v>
      </c>
      <c r="S604" s="13">
        <v>8828132634</v>
      </c>
      <c r="T604" s="13" t="s">
        <v>978</v>
      </c>
      <c r="U604" s="19">
        <v>32542400</v>
      </c>
      <c r="V604" s="18">
        <v>1</v>
      </c>
      <c r="W604" s="18">
        <f>_xlfn.XLOOKUP(J604,'Master Data 14-9-2026'!C:C,'Master Data 14-9-2026'!L:L)</f>
        <v>0.5</v>
      </c>
      <c r="X604" s="23">
        <v>32542400</v>
      </c>
      <c r="Y604" s="13" t="s">
        <v>1599</v>
      </c>
      <c r="Z604" s="24" t="s">
        <v>33</v>
      </c>
      <c r="AA604" s="4" t="s">
        <v>1288</v>
      </c>
      <c r="AB604" s="13" t="s">
        <v>1289</v>
      </c>
      <c r="AC604" s="13"/>
      <c r="AD604" s="13"/>
      <c r="AE604" s="13" t="str">
        <f>_xlfn.XLOOKUP(L604,'[1]ID PROJECT'!E:E,'[1]ID PROJECT'!F:F)</f>
        <v xml:space="preserve">PRJ-KUT-KPU-TPED-2026-04-00071 </v>
      </c>
      <c r="AF604" s="13"/>
      <c r="AG604" s="13"/>
      <c r="AH604" s="65"/>
      <c r="AI604" s="27"/>
    </row>
    <row r="605" spans="1:35" hidden="1">
      <c r="A605" s="13" t="s">
        <v>546</v>
      </c>
      <c r="B605" s="13" t="str">
        <f>_xlfn.XLOOKUP(J605,'Master Data 14-9-2026'!C:C,'Master Data 14-9-2026'!D:D)</f>
        <v>Andrean Nur Apriana WX1529429</v>
      </c>
      <c r="C605" s="13"/>
      <c r="D605" s="13" t="str">
        <f>_xlfn.XLOOKUP(J605,'Master Data 14-9-2026'!C:C,'Master Data 14-9-2026'!E:E)</f>
        <v>IOH</v>
      </c>
      <c r="E605" s="13"/>
      <c r="F605" s="13"/>
      <c r="G605" s="13" t="s">
        <v>13</v>
      </c>
      <c r="H605" s="13" t="str">
        <f>_xlfn.XLOOKUP(J605,'Master Data 14-9-2026'!C:C,'Master Data 14-9-2026'!H:H)</f>
        <v>2026-06-23 - 2026-07-22</v>
      </c>
      <c r="I605" s="13" t="str">
        <f t="shared" si="9"/>
        <v>June</v>
      </c>
      <c r="J605" s="13" t="s">
        <v>1889</v>
      </c>
      <c r="K605" s="13" t="s">
        <v>1889</v>
      </c>
      <c r="L605" s="13" t="s">
        <v>441</v>
      </c>
      <c r="M605" s="15">
        <v>200003223239020</v>
      </c>
      <c r="N605" s="13" t="s">
        <v>924</v>
      </c>
      <c r="O605" s="13">
        <v>1.0912026072100099E+17</v>
      </c>
      <c r="P605" s="13" t="s">
        <v>1855</v>
      </c>
      <c r="Q605" s="18">
        <v>35</v>
      </c>
      <c r="R605" s="18">
        <v>1</v>
      </c>
      <c r="S605" s="13">
        <v>8828132634</v>
      </c>
      <c r="T605" s="13" t="s">
        <v>978</v>
      </c>
      <c r="U605" s="19">
        <v>32542400</v>
      </c>
      <c r="V605" s="18">
        <v>1</v>
      </c>
      <c r="W605" s="18">
        <f>_xlfn.XLOOKUP(J605,'Master Data 14-9-2026'!C:C,'Master Data 14-9-2026'!L:L)</f>
        <v>0</v>
      </c>
      <c r="X605" s="23">
        <v>32542400</v>
      </c>
      <c r="Y605" s="13" t="s">
        <v>1599</v>
      </c>
      <c r="Z605" s="24" t="str">
        <f>_xlfn.XLOOKUP(J605,'Master Data 14-9-2026'!C:C,'Master Data 14-9-2026'!I:I)</f>
        <v>Ended</v>
      </c>
      <c r="AA605" s="4" t="s">
        <v>1288</v>
      </c>
      <c r="AB605" s="40" t="s">
        <v>44</v>
      </c>
      <c r="AC605" s="13"/>
      <c r="AD605" s="13"/>
      <c r="AE605" s="13" t="str">
        <f>_xlfn.XLOOKUP(L605,'[1]ID PROJECT'!E:E,'[1]ID PROJECT'!F:F)</f>
        <v xml:space="preserve">PRJ-KUT-KPU-TPED-2026-04-00071 </v>
      </c>
      <c r="AF605" s="13"/>
      <c r="AG605" s="13"/>
      <c r="AH605" s="65"/>
      <c r="AI605" s="27"/>
    </row>
    <row r="606" spans="1:35" hidden="1">
      <c r="A606" s="13" t="s">
        <v>546</v>
      </c>
      <c r="B606" s="13" t="str">
        <f>_xlfn.XLOOKUP(J606,'Master Data 14-9-2026'!C:C,'Master Data 14-9-2026'!D:D)</f>
        <v>Andrean Nur Apriana WX1529429</v>
      </c>
      <c r="C606" s="13"/>
      <c r="D606" s="13" t="str">
        <f>_xlfn.XLOOKUP(J606,'Master Data 14-9-2026'!C:C,'Master Data 14-9-2026'!E:E)</f>
        <v>IOH</v>
      </c>
      <c r="E606" s="13"/>
      <c r="F606" s="13"/>
      <c r="G606" s="13" t="s">
        <v>18</v>
      </c>
      <c r="H606" s="13" t="str">
        <f>_xlfn.XLOOKUP(J606,'Master Data 14-9-2026'!C:C,'Master Data 14-9-2026'!H:H)</f>
        <v>2026-07-23 - 2026-08-22</v>
      </c>
      <c r="I606" s="13" t="str">
        <f t="shared" si="9"/>
        <v>July</v>
      </c>
      <c r="J606" s="13" t="s">
        <v>1890</v>
      </c>
      <c r="K606" s="13" t="s">
        <v>1890</v>
      </c>
      <c r="L606" s="13" t="s">
        <v>441</v>
      </c>
      <c r="M606" s="15">
        <v>200003223240020</v>
      </c>
      <c r="N606" s="13" t="s">
        <v>924</v>
      </c>
      <c r="O606" s="13">
        <v>1.0912026072100099E+17</v>
      </c>
      <c r="P606" s="13" t="s">
        <v>1855</v>
      </c>
      <c r="Q606" s="18">
        <v>36</v>
      </c>
      <c r="R606" s="18">
        <v>1</v>
      </c>
      <c r="S606" s="13">
        <v>8828132634</v>
      </c>
      <c r="T606" s="13" t="s">
        <v>978</v>
      </c>
      <c r="U606" s="19">
        <v>32542400</v>
      </c>
      <c r="V606" s="18">
        <v>1</v>
      </c>
      <c r="W606" s="18">
        <f>_xlfn.XLOOKUP(J606,'Master Data 14-9-2026'!C:C,'Master Data 14-9-2026'!L:L)</f>
        <v>0.5</v>
      </c>
      <c r="X606" s="23">
        <v>32542400</v>
      </c>
      <c r="Y606" s="13" t="s">
        <v>1599</v>
      </c>
      <c r="Z606" s="24" t="s">
        <v>33</v>
      </c>
      <c r="AA606" s="4" t="s">
        <v>1288</v>
      </c>
      <c r="AB606" s="13" t="s">
        <v>1289</v>
      </c>
      <c r="AC606" s="13"/>
      <c r="AD606" s="13"/>
      <c r="AE606" s="13" t="str">
        <f>_xlfn.XLOOKUP(L606,'[1]ID PROJECT'!E:E,'[1]ID PROJECT'!F:F)</f>
        <v xml:space="preserve">PRJ-KUT-KPU-TPED-2026-04-00071 </v>
      </c>
      <c r="AF606" s="13"/>
      <c r="AG606" s="13"/>
      <c r="AH606" s="65"/>
      <c r="AI606" s="27"/>
    </row>
    <row r="607" spans="1:35" hidden="1">
      <c r="A607" s="13" t="s">
        <v>318</v>
      </c>
      <c r="B607" s="13" t="str">
        <f>_xlfn.XLOOKUP(J607,'Master Data 14-9-2026'!C:C,'Master Data 14-9-2026'!D:D)</f>
        <v>DIAJENG WAHYUNINGTIAS WX1530971</v>
      </c>
      <c r="C607" s="13"/>
      <c r="D607" s="13" t="str">
        <f>_xlfn.XLOOKUP(J607,'Master Data 14-9-2026'!C:C,'Master Data 14-9-2026'!E:E)</f>
        <v>IOH</v>
      </c>
      <c r="E607" s="13"/>
      <c r="F607" s="13"/>
      <c r="G607" s="13" t="s">
        <v>13</v>
      </c>
      <c r="H607" s="13" t="str">
        <f>_xlfn.XLOOKUP(J607,'Master Data 14-9-2026'!C:C,'Master Data 14-9-2026'!H:H)</f>
        <v>2026-06-30 - 2026-07-29</v>
      </c>
      <c r="I607" s="13" t="str">
        <f t="shared" si="9"/>
        <v>June</v>
      </c>
      <c r="J607" s="13" t="s">
        <v>1891</v>
      </c>
      <c r="K607" s="13" t="s">
        <v>1891</v>
      </c>
      <c r="L607" s="13" t="s">
        <v>441</v>
      </c>
      <c r="M607" s="15">
        <v>200003223245020</v>
      </c>
      <c r="N607" s="13" t="s">
        <v>924</v>
      </c>
      <c r="O607" s="13">
        <v>1.0912026072100099E+17</v>
      </c>
      <c r="P607" s="13" t="s">
        <v>1855</v>
      </c>
      <c r="Q607" s="18">
        <v>37</v>
      </c>
      <c r="R607" s="18">
        <v>1</v>
      </c>
      <c r="S607" s="13">
        <v>8828132633</v>
      </c>
      <c r="T607" s="13" t="s">
        <v>951</v>
      </c>
      <c r="U607" s="19">
        <v>28881900</v>
      </c>
      <c r="V607" s="18">
        <v>1</v>
      </c>
      <c r="W607" s="18">
        <f>_xlfn.XLOOKUP(J607,'Master Data 14-9-2026'!C:C,'Master Data 14-9-2026'!L:L)</f>
        <v>0</v>
      </c>
      <c r="X607" s="23">
        <v>28881900</v>
      </c>
      <c r="Y607" s="13" t="s">
        <v>1599</v>
      </c>
      <c r="Z607" s="24" t="str">
        <f>_xlfn.XLOOKUP(J607,'Master Data 14-9-2026'!C:C,'Master Data 14-9-2026'!I:I)</f>
        <v>Ended</v>
      </c>
      <c r="AA607" s="4" t="s">
        <v>1288</v>
      </c>
      <c r="AB607" s="40" t="s">
        <v>44</v>
      </c>
      <c r="AC607" s="13"/>
      <c r="AD607" s="13"/>
      <c r="AE607" s="13" t="str">
        <f>_xlfn.XLOOKUP(L607,'[1]ID PROJECT'!E:E,'[1]ID PROJECT'!F:F)</f>
        <v xml:space="preserve">PRJ-KUT-KPU-TPED-2026-04-00071 </v>
      </c>
      <c r="AF607" s="13"/>
      <c r="AG607" s="13"/>
      <c r="AH607" s="65"/>
      <c r="AI607" s="27"/>
    </row>
    <row r="608" spans="1:35" hidden="1">
      <c r="A608" s="13" t="s">
        <v>318</v>
      </c>
      <c r="B608" s="13" t="str">
        <f>_xlfn.XLOOKUP(J608,'Master Data 14-9-2026'!C:C,'Master Data 14-9-2026'!D:D)</f>
        <v>DIAJENG WAHYUNINGTIAS WX1530971</v>
      </c>
      <c r="C608" s="13"/>
      <c r="D608" s="13" t="str">
        <f>_xlfn.XLOOKUP(J608,'Master Data 14-9-2026'!C:C,'Master Data 14-9-2026'!E:E)</f>
        <v>IOH</v>
      </c>
      <c r="E608" s="13"/>
      <c r="F608" s="13"/>
      <c r="G608" s="13" t="s">
        <v>18</v>
      </c>
      <c r="H608" s="13" t="str">
        <f>_xlfn.XLOOKUP(J608,'Master Data 14-9-2026'!C:C,'Master Data 14-9-2026'!H:H)</f>
        <v>2026-07-30 - 2026-08-29</v>
      </c>
      <c r="I608" s="13" t="str">
        <f t="shared" si="9"/>
        <v>July</v>
      </c>
      <c r="J608" s="13" t="s">
        <v>1892</v>
      </c>
      <c r="K608" s="13" t="s">
        <v>1892</v>
      </c>
      <c r="L608" s="13" t="s">
        <v>441</v>
      </c>
      <c r="M608" s="15">
        <v>200003223246020</v>
      </c>
      <c r="N608" s="13" t="s">
        <v>924</v>
      </c>
      <c r="O608" s="13">
        <v>1.0912026072100099E+17</v>
      </c>
      <c r="P608" s="13" t="s">
        <v>1855</v>
      </c>
      <c r="Q608" s="18">
        <v>38</v>
      </c>
      <c r="R608" s="18">
        <v>1</v>
      </c>
      <c r="S608" s="13">
        <v>8828132633</v>
      </c>
      <c r="T608" s="13" t="s">
        <v>951</v>
      </c>
      <c r="U608" s="19">
        <v>28881900</v>
      </c>
      <c r="V608" s="18">
        <v>1</v>
      </c>
      <c r="W608" s="18">
        <f>_xlfn.XLOOKUP(J608,'Master Data 14-9-2026'!C:C,'Master Data 14-9-2026'!L:L)</f>
        <v>0</v>
      </c>
      <c r="X608" s="23">
        <v>28881900</v>
      </c>
      <c r="Y608" s="13" t="s">
        <v>1599</v>
      </c>
      <c r="Z608" s="24" t="s">
        <v>984</v>
      </c>
      <c r="AA608" s="4" t="s">
        <v>1288</v>
      </c>
      <c r="AB608" s="40" t="s">
        <v>44</v>
      </c>
      <c r="AC608" s="13"/>
      <c r="AD608" s="13"/>
      <c r="AE608" s="13" t="str">
        <f>_xlfn.XLOOKUP(L608,'[1]ID PROJECT'!E:E,'[1]ID PROJECT'!F:F)</f>
        <v xml:space="preserve">PRJ-KUT-KPU-TPED-2026-04-00071 </v>
      </c>
      <c r="AF608" s="13"/>
      <c r="AG608" s="13"/>
      <c r="AH608" s="65"/>
      <c r="AI608" s="27"/>
    </row>
    <row r="609" spans="1:35" hidden="1">
      <c r="A609" s="13" t="s">
        <v>843</v>
      </c>
      <c r="B609" s="13" t="str">
        <f>_xlfn.XLOOKUP(J609,'Master Data 14-9-2026'!C:C,'Master Data 14-9-2026'!D:D)</f>
        <v>Krishna Fauzan Al Anshori WX1531577</v>
      </c>
      <c r="C609" s="13"/>
      <c r="D609" s="13" t="str">
        <f>_xlfn.XLOOKUP(J609,'Master Data 14-9-2026'!C:C,'Master Data 14-9-2026'!E:E)</f>
        <v>IOH</v>
      </c>
      <c r="E609" s="13"/>
      <c r="F609" s="13"/>
      <c r="G609" s="13" t="s">
        <v>18</v>
      </c>
      <c r="H609" s="13" t="str">
        <f>_xlfn.XLOOKUP(J609,'Master Data 14-9-2026'!C:C,'Master Data 14-9-2026'!H:H)</f>
        <v>2026-08-06 - 2026-09-05</v>
      </c>
      <c r="I609" s="13" t="str">
        <f t="shared" si="9"/>
        <v>August</v>
      </c>
      <c r="J609" s="13" t="s">
        <v>1893</v>
      </c>
      <c r="K609" s="13" t="s">
        <v>1893</v>
      </c>
      <c r="L609" s="13" t="s">
        <v>475</v>
      </c>
      <c r="M609" s="15">
        <v>200003223256020</v>
      </c>
      <c r="N609" s="13" t="s">
        <v>924</v>
      </c>
      <c r="O609" s="13">
        <v>1.0912026072100099E+17</v>
      </c>
      <c r="P609" s="13" t="s">
        <v>1855</v>
      </c>
      <c r="Q609" s="18">
        <v>39</v>
      </c>
      <c r="R609" s="18">
        <v>1</v>
      </c>
      <c r="S609" s="13">
        <v>8828132635</v>
      </c>
      <c r="T609" s="13" t="s">
        <v>926</v>
      </c>
      <c r="U609" s="19">
        <v>34220600</v>
      </c>
      <c r="V609" s="18">
        <v>1</v>
      </c>
      <c r="W609" s="18">
        <f>_xlfn.XLOOKUP(J609,'Master Data 14-9-2026'!C:C,'Master Data 14-9-2026'!L:L)</f>
        <v>0</v>
      </c>
      <c r="X609" s="23">
        <v>34220600</v>
      </c>
      <c r="Y609" s="13" t="s">
        <v>1599</v>
      </c>
      <c r="Z609" s="24" t="s">
        <v>33</v>
      </c>
      <c r="AA609" s="4" t="s">
        <v>1288</v>
      </c>
      <c r="AB609" s="40" t="s">
        <v>44</v>
      </c>
      <c r="AC609" s="13"/>
      <c r="AD609" s="13"/>
      <c r="AE609" s="13" t="str">
        <f>_xlfn.XLOOKUP(L609,'[1]ID PROJECT'!E:E,'[1]ID PROJECT'!F:F)</f>
        <v>PRJ-KUT-KPU-TPED-2026-04-00074</v>
      </c>
      <c r="AF609" s="13"/>
      <c r="AG609" s="13"/>
      <c r="AH609" s="65"/>
      <c r="AI609" s="27"/>
    </row>
    <row r="610" spans="1:35" hidden="1">
      <c r="A610" s="13" t="s">
        <v>831</v>
      </c>
      <c r="B610" s="13" t="str">
        <f>_xlfn.XLOOKUP(J610,'Master Data 14-9-2026'!C:C,'Master Data 14-9-2026'!D:D)</f>
        <v>Miftahus Salam wx1527456</v>
      </c>
      <c r="C610" s="13"/>
      <c r="D610" s="13" t="str">
        <f>_xlfn.XLOOKUP(J610,'Master Data 14-9-2026'!C:C,'Master Data 14-9-2026'!E:E)</f>
        <v>IOH</v>
      </c>
      <c r="E610" s="13"/>
      <c r="F610" s="13"/>
      <c r="G610" s="13" t="s">
        <v>13</v>
      </c>
      <c r="H610" s="13" t="str">
        <f>_xlfn.XLOOKUP(J610,'Master Data 14-9-2026'!C:C,'Master Data 14-9-2026'!H:H)</f>
        <v>2026-06-12 - 2026-07-11</v>
      </c>
      <c r="I610" s="13" t="str">
        <f t="shared" si="9"/>
        <v>June</v>
      </c>
      <c r="J610" s="13" t="s">
        <v>1894</v>
      </c>
      <c r="K610" s="13" t="s">
        <v>1894</v>
      </c>
      <c r="L610" s="13" t="s">
        <v>441</v>
      </c>
      <c r="M610" s="15">
        <v>200003223257020</v>
      </c>
      <c r="N610" s="13" t="s">
        <v>924</v>
      </c>
      <c r="O610" s="13">
        <v>1.0912026072100099E+17</v>
      </c>
      <c r="P610" s="13" t="s">
        <v>1855</v>
      </c>
      <c r="Q610" s="18">
        <v>40</v>
      </c>
      <c r="R610" s="18">
        <v>1</v>
      </c>
      <c r="S610" s="13">
        <v>8828132635</v>
      </c>
      <c r="T610" s="13" t="s">
        <v>926</v>
      </c>
      <c r="U610" s="19">
        <v>34220600</v>
      </c>
      <c r="V610" s="18">
        <v>1</v>
      </c>
      <c r="W610" s="18">
        <f>_xlfn.XLOOKUP(J610,'Master Data 14-9-2026'!C:C,'Master Data 14-9-2026'!L:L)</f>
        <v>0</v>
      </c>
      <c r="X610" s="23">
        <v>34220600</v>
      </c>
      <c r="Y610" s="13" t="s">
        <v>1599</v>
      </c>
      <c r="Z610" s="24" t="str">
        <f>_xlfn.XLOOKUP(J610,'Master Data 14-9-2026'!C:C,'Master Data 14-9-2026'!I:I)</f>
        <v>Ended</v>
      </c>
      <c r="AA610" s="4" t="s">
        <v>1288</v>
      </c>
      <c r="AB610" s="40" t="s">
        <v>44</v>
      </c>
      <c r="AC610" s="13"/>
      <c r="AD610" s="13"/>
      <c r="AE610" s="13" t="str">
        <f>_xlfn.XLOOKUP(L610,'[1]ID PROJECT'!E:E,'[1]ID PROJECT'!F:F)</f>
        <v xml:space="preserve">PRJ-KUT-KPU-TPED-2026-04-00071 </v>
      </c>
      <c r="AF610" s="13"/>
      <c r="AG610" s="13"/>
      <c r="AH610" s="65"/>
      <c r="AI610" s="27"/>
    </row>
    <row r="611" spans="1:35" hidden="1">
      <c r="A611" s="13" t="s">
        <v>831</v>
      </c>
      <c r="B611" s="13" t="str">
        <f>_xlfn.XLOOKUP(J611,'Master Data 14-9-2026'!C:C,'Master Data 14-9-2026'!D:D)</f>
        <v>Miftahus Salam wx1527456</v>
      </c>
      <c r="C611" s="13"/>
      <c r="D611" s="13" t="str">
        <f>_xlfn.XLOOKUP(J611,'Master Data 14-9-2026'!C:C,'Master Data 14-9-2026'!E:E)</f>
        <v>IOH</v>
      </c>
      <c r="E611" s="13"/>
      <c r="F611" s="13"/>
      <c r="G611" s="13" t="s">
        <v>18</v>
      </c>
      <c r="H611" s="13" t="str">
        <f>_xlfn.XLOOKUP(J611,'Master Data 14-9-2026'!C:C,'Master Data 14-9-2026'!H:H)</f>
        <v>2026-07-12 - 2026-08-11</v>
      </c>
      <c r="I611" s="13" t="str">
        <f t="shared" si="9"/>
        <v>July</v>
      </c>
      <c r="J611" s="13" t="s">
        <v>1895</v>
      </c>
      <c r="K611" s="13" t="s">
        <v>1895</v>
      </c>
      <c r="L611" s="13" t="s">
        <v>441</v>
      </c>
      <c r="M611" s="15">
        <v>200003223258020</v>
      </c>
      <c r="N611" s="13" t="s">
        <v>924</v>
      </c>
      <c r="O611" s="13">
        <v>1.0912026072100099E+17</v>
      </c>
      <c r="P611" s="13" t="s">
        <v>1855</v>
      </c>
      <c r="Q611" s="18">
        <v>41</v>
      </c>
      <c r="R611" s="18">
        <v>1</v>
      </c>
      <c r="S611" s="13">
        <v>8828132635</v>
      </c>
      <c r="T611" s="13" t="s">
        <v>926</v>
      </c>
      <c r="U611" s="19">
        <v>34220600</v>
      </c>
      <c r="V611" s="18">
        <v>1</v>
      </c>
      <c r="W611" s="18">
        <f>_xlfn.XLOOKUP(J611,'Master Data 14-9-2026'!C:C,'Master Data 14-9-2026'!L:L)</f>
        <v>0</v>
      </c>
      <c r="X611" s="23">
        <v>34220600</v>
      </c>
      <c r="Y611" s="13" t="s">
        <v>1599</v>
      </c>
      <c r="Z611" s="24" t="s">
        <v>15</v>
      </c>
      <c r="AA611" s="4" t="s">
        <v>1288</v>
      </c>
      <c r="AB611" s="40" t="s">
        <v>44</v>
      </c>
      <c r="AC611" s="13"/>
      <c r="AD611" s="13"/>
      <c r="AE611" s="13" t="str">
        <f>_xlfn.XLOOKUP(L611,'[1]ID PROJECT'!E:E,'[1]ID PROJECT'!F:F)</f>
        <v xml:space="preserve">PRJ-KUT-KPU-TPED-2026-04-00071 </v>
      </c>
      <c r="AF611" s="13"/>
      <c r="AG611" s="13"/>
      <c r="AH611" s="65"/>
      <c r="AI611" s="27"/>
    </row>
    <row r="612" spans="1:35" hidden="1">
      <c r="A612" s="13" t="s">
        <v>641</v>
      </c>
      <c r="B612" s="13" t="str">
        <f>_xlfn.XLOOKUP(J612,'Master Data 14-9-2026'!C:C,'Master Data 14-9-2026'!D:D)</f>
        <v>Boy Frahansah Berutu wx1520523</v>
      </c>
      <c r="C612" s="13"/>
      <c r="D612" s="13" t="str">
        <f>_xlfn.XLOOKUP(J612,'Master Data 14-9-2026'!C:C,'Master Data 14-9-2026'!E:E)</f>
        <v>IOH</v>
      </c>
      <c r="E612" s="13"/>
      <c r="F612" s="13"/>
      <c r="G612" s="13" t="s">
        <v>25</v>
      </c>
      <c r="H612" s="13" t="str">
        <f>_xlfn.XLOOKUP(J612,'Master Data 14-9-2026'!C:C,'Master Data 14-9-2026'!H:H)</f>
        <v>2026-08-15 - 2026-09-14</v>
      </c>
      <c r="I612" s="13" t="str">
        <f t="shared" si="9"/>
        <v>August</v>
      </c>
      <c r="J612" s="13" t="s">
        <v>1896</v>
      </c>
      <c r="K612" s="13" t="s">
        <v>1896</v>
      </c>
      <c r="L612" s="13" t="s">
        <v>441</v>
      </c>
      <c r="M612" s="15">
        <v>200003223205020</v>
      </c>
      <c r="N612" s="13" t="s">
        <v>924</v>
      </c>
      <c r="O612" s="13">
        <v>1.0912026072100099E+17</v>
      </c>
      <c r="P612" s="13" t="s">
        <v>1855</v>
      </c>
      <c r="Q612" s="18">
        <v>42</v>
      </c>
      <c r="R612" s="18">
        <v>1</v>
      </c>
      <c r="S612" s="13">
        <v>8828132634</v>
      </c>
      <c r="T612" s="13" t="s">
        <v>978</v>
      </c>
      <c r="U612" s="19">
        <v>32542400</v>
      </c>
      <c r="V612" s="18">
        <v>1</v>
      </c>
      <c r="W612" s="18">
        <f>_xlfn.XLOOKUP(J612,'Master Data 14-9-2026'!C:C,'Master Data 14-9-2026'!L:L)</f>
        <v>0</v>
      </c>
      <c r="X612" s="23">
        <v>32542400</v>
      </c>
      <c r="Y612" s="13" t="s">
        <v>1599</v>
      </c>
      <c r="Z612" s="24" t="s">
        <v>33</v>
      </c>
      <c r="AA612" s="4" t="s">
        <v>1288</v>
      </c>
      <c r="AB612" s="40" t="s">
        <v>44</v>
      </c>
      <c r="AC612" s="13"/>
      <c r="AD612" s="13"/>
      <c r="AE612" s="13" t="str">
        <f>_xlfn.XLOOKUP(L612,'[1]ID PROJECT'!E:E,'[1]ID PROJECT'!F:F)</f>
        <v xml:space="preserve">PRJ-KUT-KPU-TPED-2026-04-00071 </v>
      </c>
      <c r="AF612" s="13"/>
      <c r="AG612" s="13"/>
      <c r="AH612" s="65"/>
      <c r="AI612" s="27"/>
    </row>
    <row r="613" spans="1:35" hidden="1">
      <c r="A613" s="13" t="s">
        <v>412</v>
      </c>
      <c r="B613" s="13" t="str">
        <f>_xlfn.XLOOKUP(J613,'Master Data 14-9-2026'!C:C,'Master Data 14-9-2026'!D:D)</f>
        <v>Prefiks Wahyu Febrina wx1504715</v>
      </c>
      <c r="C613" s="13"/>
      <c r="D613" s="13" t="str">
        <f>_xlfn.XLOOKUP(J613,'Master Data 14-9-2026'!C:C,'Master Data 14-9-2026'!E:E)</f>
        <v>IOH</v>
      </c>
      <c r="E613" s="13"/>
      <c r="F613" s="13"/>
      <c r="G613" s="13" t="s">
        <v>31</v>
      </c>
      <c r="H613" s="13" t="str">
        <f>_xlfn.XLOOKUP(J613,'Master Data 14-9-2026'!C:C,'Master Data 14-9-2026'!H:H)</f>
        <v>2026-08-31 - 2026-09-29</v>
      </c>
      <c r="I613" s="13" t="str">
        <f t="shared" si="9"/>
        <v>August</v>
      </c>
      <c r="J613" s="13" t="s">
        <v>1897</v>
      </c>
      <c r="K613" s="13" t="s">
        <v>1898</v>
      </c>
      <c r="L613" s="13"/>
      <c r="M613" s="15">
        <v>200003220069020</v>
      </c>
      <c r="N613" s="13" t="s">
        <v>924</v>
      </c>
      <c r="O613" s="13">
        <v>1.09120260721002E+17</v>
      </c>
      <c r="P613" s="13" t="s">
        <v>1899</v>
      </c>
      <c r="Q613" s="18">
        <v>1</v>
      </c>
      <c r="R613" s="18">
        <v>1</v>
      </c>
      <c r="S613" s="13">
        <v>8828132633</v>
      </c>
      <c r="T613" s="13" t="s">
        <v>951</v>
      </c>
      <c r="U613" s="19">
        <v>28881900</v>
      </c>
      <c r="V613" s="18">
        <v>1</v>
      </c>
      <c r="W613" s="18">
        <f>_xlfn.XLOOKUP(J613,'Master Data 14-9-2026'!C:C,'Master Data 14-9-2026'!L:L)</f>
        <v>0.5</v>
      </c>
      <c r="X613" s="23">
        <v>28881900</v>
      </c>
      <c r="Y613" s="13" t="s">
        <v>1599</v>
      </c>
      <c r="Z613" s="24" t="s">
        <v>984</v>
      </c>
      <c r="AA613" s="4" t="s">
        <v>1288</v>
      </c>
      <c r="AB613" s="13"/>
      <c r="AC613" s="13"/>
      <c r="AD613" s="13"/>
      <c r="AE613" s="13" t="e">
        <f>_xlfn.XLOOKUP(L613,'[1]ID PROJECT'!E:E,'[1]ID PROJECT'!F:F)</f>
        <v>#N/A</v>
      </c>
      <c r="AF613" s="13"/>
      <c r="AG613" s="13"/>
      <c r="AH613" s="65"/>
      <c r="AI613" s="27"/>
    </row>
    <row r="614" spans="1:35" hidden="1">
      <c r="A614" s="13" t="s">
        <v>412</v>
      </c>
      <c r="B614" s="13" t="str">
        <f>_xlfn.XLOOKUP(J614,'Master Data 14-9-2026'!C:C,'Master Data 14-9-2026'!D:D)</f>
        <v>Prefiks Wahyu Febrina wx1504715</v>
      </c>
      <c r="C614" s="13"/>
      <c r="D614" s="13" t="str">
        <f>_xlfn.XLOOKUP(J614,'Master Data 14-9-2026'!C:C,'Master Data 14-9-2026'!E:E)</f>
        <v>IOH</v>
      </c>
      <c r="E614" s="13"/>
      <c r="F614" s="13"/>
      <c r="G614" s="13" t="s">
        <v>28</v>
      </c>
      <c r="H614" s="13" t="str">
        <f>_xlfn.XLOOKUP(J614,'Master Data 14-9-2026'!C:C,'Master Data 14-9-2026'!H:H)</f>
        <v>2026-07-31 - 2026-08-30</v>
      </c>
      <c r="I614" s="13" t="str">
        <f t="shared" si="9"/>
        <v>July</v>
      </c>
      <c r="J614" s="13" t="s">
        <v>1900</v>
      </c>
      <c r="K614" s="13" t="s">
        <v>1898</v>
      </c>
      <c r="L614" s="13" t="s">
        <v>441</v>
      </c>
      <c r="M614" s="15">
        <v>200003220068020</v>
      </c>
      <c r="N614" s="13" t="s">
        <v>924</v>
      </c>
      <c r="O614" s="13">
        <v>1.09120260721002E+17</v>
      </c>
      <c r="P614" s="13" t="s">
        <v>1899</v>
      </c>
      <c r="Q614" s="18">
        <v>2</v>
      </c>
      <c r="R614" s="18">
        <v>1</v>
      </c>
      <c r="S614" s="13">
        <v>8828132633</v>
      </c>
      <c r="T614" s="13" t="s">
        <v>951</v>
      </c>
      <c r="U614" s="19">
        <v>28881900</v>
      </c>
      <c r="V614" s="18">
        <v>1</v>
      </c>
      <c r="W614" s="18">
        <f>_xlfn.XLOOKUP(J614,'Master Data 14-9-2026'!C:C,'Master Data 14-9-2026'!L:L)</f>
        <v>1.34</v>
      </c>
      <c r="X614" s="23">
        <v>28881900</v>
      </c>
      <c r="Y614" s="13" t="s">
        <v>1599</v>
      </c>
      <c r="Z614" s="24" t="s">
        <v>984</v>
      </c>
      <c r="AA614" s="4" t="s">
        <v>1288</v>
      </c>
      <c r="AB614" s="13" t="s">
        <v>1289</v>
      </c>
      <c r="AC614" s="13"/>
      <c r="AD614" s="13"/>
      <c r="AE614" s="13" t="str">
        <f>_xlfn.XLOOKUP(L614,'[1]ID PROJECT'!E:E,'[1]ID PROJECT'!F:F)</f>
        <v xml:space="preserve">PRJ-KUT-KPU-TPED-2026-04-00071 </v>
      </c>
      <c r="AF614" s="13"/>
      <c r="AG614" s="13"/>
      <c r="AH614" s="65"/>
      <c r="AI614" s="27"/>
    </row>
    <row r="615" spans="1:35">
      <c r="A615" s="13" t="s">
        <v>752</v>
      </c>
      <c r="B615" s="13" t="str">
        <f>_xlfn.XLOOKUP(J615,'Master Data 14-9-2026'!C:C,'Master Data 14-9-2026'!D:D)</f>
        <v>Akhmad Syaroni wx1504638</v>
      </c>
      <c r="C615" s="13"/>
      <c r="D615" s="13" t="str">
        <f>_xlfn.XLOOKUP(J615,'Master Data 14-9-2026'!C:C,'Master Data 14-9-2026'!E:E)</f>
        <v>IOH</v>
      </c>
      <c r="E615" s="13" t="s">
        <v>1901</v>
      </c>
      <c r="F615" s="13"/>
      <c r="G615" s="13" t="s">
        <v>28</v>
      </c>
      <c r="H615" s="13" t="str">
        <f>_xlfn.XLOOKUP(J615,'Master Data 14-9-2026'!C:C,'Master Data 14-9-2026'!H:H)</f>
        <v>2026-07-30 - 2026-08-29</v>
      </c>
      <c r="I615" s="13" t="str">
        <f t="shared" si="9"/>
        <v>July</v>
      </c>
      <c r="J615" s="13" t="s">
        <v>1902</v>
      </c>
      <c r="K615" s="13" t="s">
        <v>1898</v>
      </c>
      <c r="L615" s="13" t="s">
        <v>441</v>
      </c>
      <c r="M615" s="15">
        <v>200003220083020</v>
      </c>
      <c r="N615" s="13" t="s">
        <v>924</v>
      </c>
      <c r="O615" s="13">
        <v>1.09120260721002E+17</v>
      </c>
      <c r="P615" s="13" t="s">
        <v>1899</v>
      </c>
      <c r="Q615" s="18">
        <v>3</v>
      </c>
      <c r="R615" s="18">
        <v>1</v>
      </c>
      <c r="S615" s="13">
        <v>8828132635</v>
      </c>
      <c r="T615" s="13" t="s">
        <v>926</v>
      </c>
      <c r="U615" s="19">
        <v>34220600</v>
      </c>
      <c r="V615" s="18">
        <v>1</v>
      </c>
      <c r="W615" s="18">
        <f>_xlfn.XLOOKUP(J615,'Master Data 14-9-2026'!C:C,'Master Data 14-9-2026'!L:L)</f>
        <v>0.89</v>
      </c>
      <c r="X615" s="23">
        <v>34220600</v>
      </c>
      <c r="Y615" s="13" t="s">
        <v>1599</v>
      </c>
      <c r="Z615" s="24" t="s">
        <v>15</v>
      </c>
      <c r="AA615" s="4" t="s">
        <v>934</v>
      </c>
      <c r="AB615" s="13"/>
      <c r="AC615" s="13"/>
      <c r="AD615" s="13" t="s">
        <v>935</v>
      </c>
      <c r="AE615" s="13" t="str">
        <f>_xlfn.XLOOKUP(L615,'[1]ID PROJECT'!E:E,'[1]ID PROJECT'!F:F)</f>
        <v xml:space="preserve">PRJ-KUT-KPU-TPED-2026-04-00071 </v>
      </c>
      <c r="AF615" s="4" t="s">
        <v>1903</v>
      </c>
      <c r="AG615" s="40" t="s">
        <v>3396</v>
      </c>
      <c r="AH615" s="65">
        <v>46267</v>
      </c>
      <c r="AI615" s="27" t="s">
        <v>967</v>
      </c>
    </row>
    <row r="616" spans="1:35" hidden="1">
      <c r="A616" s="13" t="s">
        <v>746</v>
      </c>
      <c r="B616" s="13" t="str">
        <f>_xlfn.XLOOKUP(J616,'Master Data 14-9-2026'!C:C,'Master Data 14-9-2026'!D:D)</f>
        <v>Bahagia Aprilia wx1507363</v>
      </c>
      <c r="C616" s="13"/>
      <c r="D616" s="13" t="str">
        <f>_xlfn.XLOOKUP(J616,'Master Data 14-9-2026'!C:C,'Master Data 14-9-2026'!E:E)</f>
        <v>IOH</v>
      </c>
      <c r="E616" s="13"/>
      <c r="F616" s="13"/>
      <c r="G616" s="13" t="s">
        <v>28</v>
      </c>
      <c r="H616" s="13" t="str">
        <f>_xlfn.XLOOKUP(J616,'Master Data 14-9-2026'!C:C,'Master Data 14-9-2026'!H:H)</f>
        <v>2026-08-01 - 2026-08-31</v>
      </c>
      <c r="I616" s="13" t="str">
        <f t="shared" si="9"/>
        <v>August</v>
      </c>
      <c r="J616" s="13" t="s">
        <v>1904</v>
      </c>
      <c r="K616" s="13" t="s">
        <v>1898</v>
      </c>
      <c r="L616" s="13" t="s">
        <v>441</v>
      </c>
      <c r="M616" s="15">
        <v>200003220088020</v>
      </c>
      <c r="N616" s="13" t="s">
        <v>924</v>
      </c>
      <c r="O616" s="13">
        <v>1.09120260721002E+17</v>
      </c>
      <c r="P616" s="13" t="s">
        <v>1899</v>
      </c>
      <c r="Q616" s="18">
        <v>4</v>
      </c>
      <c r="R616" s="18">
        <v>1</v>
      </c>
      <c r="S616" s="13">
        <v>8828132635</v>
      </c>
      <c r="T616" s="13" t="s">
        <v>926</v>
      </c>
      <c r="U616" s="19">
        <v>34220600</v>
      </c>
      <c r="V616" s="18">
        <v>1</v>
      </c>
      <c r="W616" s="18">
        <f>_xlfn.XLOOKUP(J616,'Master Data 14-9-2026'!C:C,'Master Data 14-9-2026'!L:L)</f>
        <v>0.5</v>
      </c>
      <c r="X616" s="23">
        <v>34220600</v>
      </c>
      <c r="Y616" s="13" t="s">
        <v>1599</v>
      </c>
      <c r="Z616" s="24" t="s">
        <v>33</v>
      </c>
      <c r="AA616" s="4" t="s">
        <v>1288</v>
      </c>
      <c r="AB616" s="13"/>
      <c r="AC616" s="13"/>
      <c r="AD616" s="13"/>
      <c r="AE616" s="13" t="str">
        <f>_xlfn.XLOOKUP(L616,'[1]ID PROJECT'!E:E,'[1]ID PROJECT'!F:F)</f>
        <v xml:space="preserve">PRJ-KUT-KPU-TPED-2026-04-00071 </v>
      </c>
      <c r="AF616" s="13"/>
      <c r="AG616" s="13"/>
      <c r="AH616" s="65"/>
      <c r="AI616" s="27"/>
    </row>
    <row r="617" spans="1:35" hidden="1">
      <c r="A617" s="13" t="s">
        <v>746</v>
      </c>
      <c r="B617" s="13" t="str">
        <f>_xlfn.XLOOKUP(J617,'Master Data 14-9-2026'!C:C,'Master Data 14-9-2026'!D:D)</f>
        <v>Bahagia Aprilia wx1507363</v>
      </c>
      <c r="C617" s="13"/>
      <c r="D617" s="13" t="str">
        <f>_xlfn.XLOOKUP(J617,'Master Data 14-9-2026'!C:C,'Master Data 14-9-2026'!E:E)</f>
        <v>IOH</v>
      </c>
      <c r="E617" s="13"/>
      <c r="F617" s="13"/>
      <c r="G617" s="13" t="s">
        <v>31</v>
      </c>
      <c r="H617" s="13" t="str">
        <f>_xlfn.XLOOKUP(J617,'Master Data 14-9-2026'!C:C,'Master Data 14-9-2026'!H:H)</f>
        <v>2026-09-01 - 2026-09-30</v>
      </c>
      <c r="I617" s="13" t="str">
        <f t="shared" si="9"/>
        <v>September</v>
      </c>
      <c r="J617" s="13" t="s">
        <v>1905</v>
      </c>
      <c r="K617" s="13" t="s">
        <v>1898</v>
      </c>
      <c r="L617" s="13" t="s">
        <v>441</v>
      </c>
      <c r="M617" s="15">
        <v>200003220089020</v>
      </c>
      <c r="N617" s="13" t="s">
        <v>924</v>
      </c>
      <c r="O617" s="13">
        <v>1.09120260721002E+17</v>
      </c>
      <c r="P617" s="13" t="s">
        <v>1899</v>
      </c>
      <c r="Q617" s="18">
        <v>5</v>
      </c>
      <c r="R617" s="18">
        <v>1</v>
      </c>
      <c r="S617" s="13">
        <v>8828132635</v>
      </c>
      <c r="T617" s="13" t="s">
        <v>926</v>
      </c>
      <c r="U617" s="19">
        <v>34220600</v>
      </c>
      <c r="V617" s="18">
        <v>1</v>
      </c>
      <c r="W617" s="18">
        <f>_xlfn.XLOOKUP(J617,'Master Data 14-9-2026'!C:C,'Master Data 14-9-2026'!L:L)</f>
        <v>0</v>
      </c>
      <c r="X617" s="23">
        <v>34220600</v>
      </c>
      <c r="Y617" s="13" t="s">
        <v>1599</v>
      </c>
      <c r="Z617" s="24" t="s">
        <v>984</v>
      </c>
      <c r="AA617" s="4" t="s">
        <v>1288</v>
      </c>
      <c r="AB617" s="40" t="s">
        <v>44</v>
      </c>
      <c r="AC617" s="13"/>
      <c r="AD617" s="13"/>
      <c r="AE617" s="13" t="str">
        <f>_xlfn.XLOOKUP(L617,'[1]ID PROJECT'!E:E,'[1]ID PROJECT'!F:F)</f>
        <v xml:space="preserve">PRJ-KUT-KPU-TPED-2026-04-00071 </v>
      </c>
      <c r="AF617" s="13"/>
      <c r="AG617" s="13"/>
      <c r="AH617" s="65"/>
      <c r="AI617" s="27"/>
    </row>
    <row r="618" spans="1:35" hidden="1">
      <c r="A618" s="13" t="s">
        <v>412</v>
      </c>
      <c r="B618" s="13" t="str">
        <f>_xlfn.XLOOKUP(J618,'Master Data 14-9-2026'!C:C,'Master Data 14-9-2026'!D:D)</f>
        <v>Prefiks Wahyu Febrina wx1504715</v>
      </c>
      <c r="C618" s="13"/>
      <c r="D618" s="13" t="str">
        <f>_xlfn.XLOOKUP(J618,'Master Data 14-9-2026'!C:C,'Master Data 14-9-2026'!E:E)</f>
        <v>IOH</v>
      </c>
      <c r="E618" s="13" t="s">
        <v>1906</v>
      </c>
      <c r="F618" s="13"/>
      <c r="G618" s="13" t="s">
        <v>18</v>
      </c>
      <c r="H618" s="13" t="str">
        <f>_xlfn.XLOOKUP(J618,'Master Data 14-9-2026'!C:C,'Master Data 14-9-2026'!H:H)</f>
        <v>2026-04-30 - 2026-05-30</v>
      </c>
      <c r="I618" s="13" t="str">
        <f t="shared" si="9"/>
        <v>April</v>
      </c>
      <c r="J618" s="13" t="s">
        <v>1907</v>
      </c>
      <c r="K618" s="13" t="s">
        <v>1898</v>
      </c>
      <c r="L618" s="13" t="s">
        <v>441</v>
      </c>
      <c r="M618" s="15">
        <v>200003220065020</v>
      </c>
      <c r="N618" s="13" t="s">
        <v>924</v>
      </c>
      <c r="O618" s="13">
        <v>1.09120260721002E+17</v>
      </c>
      <c r="P618" s="13" t="s">
        <v>1899</v>
      </c>
      <c r="Q618" s="18">
        <v>6</v>
      </c>
      <c r="R618" s="18">
        <v>1</v>
      </c>
      <c r="S618" s="13">
        <v>8828132633</v>
      </c>
      <c r="T618" s="13" t="s">
        <v>951</v>
      </c>
      <c r="U618" s="19">
        <v>28881900</v>
      </c>
      <c r="V618" s="18">
        <v>1</v>
      </c>
      <c r="W618" s="18">
        <f>_xlfn.XLOOKUP(J618,'Master Data 14-9-2026'!C:C,'Master Data 14-9-2026'!L:L)</f>
        <v>0.5</v>
      </c>
      <c r="X618" s="23">
        <v>28881900</v>
      </c>
      <c r="Y618" s="13" t="s">
        <v>1599</v>
      </c>
      <c r="Z618" s="24" t="s">
        <v>15</v>
      </c>
      <c r="AA618" s="4" t="s">
        <v>934</v>
      </c>
      <c r="AB618" s="13"/>
      <c r="AC618" s="13"/>
      <c r="AD618" s="13" t="s">
        <v>935</v>
      </c>
      <c r="AE618" s="13" t="str">
        <f>_xlfn.XLOOKUP(L618,'[1]ID PROJECT'!E:E,'[1]ID PROJECT'!F:F)</f>
        <v xml:space="preserve">PRJ-KUT-KPU-TPED-2026-04-00071 </v>
      </c>
      <c r="AF618" s="34" t="s">
        <v>1908</v>
      </c>
      <c r="AG618" s="13" t="s">
        <v>1909</v>
      </c>
      <c r="AH618" s="65">
        <v>46255</v>
      </c>
      <c r="AI618" s="27" t="s">
        <v>1175</v>
      </c>
    </row>
    <row r="619" spans="1:35" hidden="1">
      <c r="A619" s="13" t="s">
        <v>854</v>
      </c>
      <c r="B619" s="13" t="str">
        <f>_xlfn.XLOOKUP(J619,'Master Data 14-9-2026'!C:C,'Master Data 14-9-2026'!D:D)</f>
        <v>Rahmana Gautama wx1504639</v>
      </c>
      <c r="C619" s="13"/>
      <c r="D619" s="13" t="str">
        <f>_xlfn.XLOOKUP(J619,'Master Data 14-9-2026'!C:C,'Master Data 14-9-2026'!E:E)</f>
        <v>IOH</v>
      </c>
      <c r="E619" s="13"/>
      <c r="F619" s="13"/>
      <c r="G619" s="13" t="s">
        <v>22</v>
      </c>
      <c r="H619" s="13" t="str">
        <f>_xlfn.XLOOKUP(J619,'Master Data 14-9-2026'!C:C,'Master Data 14-9-2026'!H:H)</f>
        <v>2026-05-27 - 2026-06-26</v>
      </c>
      <c r="I619" s="13" t="str">
        <f t="shared" si="9"/>
        <v>May</v>
      </c>
      <c r="J619" s="13" t="s">
        <v>1910</v>
      </c>
      <c r="K619" s="13" t="s">
        <v>1898</v>
      </c>
      <c r="L619" s="13" t="s">
        <v>441</v>
      </c>
      <c r="M619" s="15">
        <v>200003220076020</v>
      </c>
      <c r="N619" s="13" t="s">
        <v>924</v>
      </c>
      <c r="O619" s="13">
        <v>1.09120260721002E+17</v>
      </c>
      <c r="P619" s="13" t="s">
        <v>1899</v>
      </c>
      <c r="Q619" s="18">
        <v>7</v>
      </c>
      <c r="R619" s="18">
        <v>1</v>
      </c>
      <c r="S619" s="13">
        <v>8828132635</v>
      </c>
      <c r="T619" s="13" t="s">
        <v>926</v>
      </c>
      <c r="U619" s="19">
        <v>34220600</v>
      </c>
      <c r="V619" s="18">
        <v>1</v>
      </c>
      <c r="W619" s="18">
        <f>_xlfn.XLOOKUP(J619,'Master Data 14-9-2026'!C:C,'Master Data 14-9-2026'!L:L)</f>
        <v>1</v>
      </c>
      <c r="X619" s="23">
        <v>34220600</v>
      </c>
      <c r="Y619" s="13" t="s">
        <v>1599</v>
      </c>
      <c r="Z619" s="24" t="str">
        <f>_xlfn.XLOOKUP(J619,'Master Data 14-9-2026'!C:C,'Master Data 14-9-2026'!I:I)</f>
        <v>Ended</v>
      </c>
      <c r="AA619" s="39" t="s">
        <v>4130</v>
      </c>
      <c r="AB619" s="40" t="s">
        <v>1502</v>
      </c>
      <c r="AC619" s="13"/>
      <c r="AD619" s="13"/>
      <c r="AE619" s="13" t="str">
        <f>_xlfn.XLOOKUP(L619,'[1]ID PROJECT'!E:E,'[1]ID PROJECT'!F:F)</f>
        <v xml:space="preserve">PRJ-KUT-KPU-TPED-2026-04-00071 </v>
      </c>
      <c r="AF619" s="13"/>
      <c r="AG619" s="13"/>
      <c r="AH619" s="65"/>
      <c r="AI619" s="27"/>
    </row>
    <row r="620" spans="1:35" hidden="1">
      <c r="A620" s="13" t="s">
        <v>854</v>
      </c>
      <c r="B620" s="13" t="str">
        <f>_xlfn.XLOOKUP(J620,'Master Data 14-9-2026'!C:C,'Master Data 14-9-2026'!D:D)</f>
        <v>Rahmana Gautama wx1504639</v>
      </c>
      <c r="C620" s="13"/>
      <c r="D620" s="13" t="str">
        <f>_xlfn.XLOOKUP(J620,'Master Data 14-9-2026'!C:C,'Master Data 14-9-2026'!E:E)</f>
        <v>IOH</v>
      </c>
      <c r="E620" s="13"/>
      <c r="F620" s="13"/>
      <c r="G620" s="13" t="s">
        <v>25</v>
      </c>
      <c r="H620" s="13" t="str">
        <f>_xlfn.XLOOKUP(J620,'Master Data 14-9-2026'!C:C,'Master Data 14-9-2026'!H:H)</f>
        <v>2026-06-27 - 2026-07-26</v>
      </c>
      <c r="I620" s="13" t="str">
        <f t="shared" si="9"/>
        <v>June</v>
      </c>
      <c r="J620" s="13" t="s">
        <v>1911</v>
      </c>
      <c r="K620" s="13" t="s">
        <v>1898</v>
      </c>
      <c r="L620" s="13" t="s">
        <v>441</v>
      </c>
      <c r="M620" s="15">
        <v>200003220077020</v>
      </c>
      <c r="N620" s="13" t="s">
        <v>924</v>
      </c>
      <c r="O620" s="13">
        <v>1.09120260721002E+17</v>
      </c>
      <c r="P620" s="13" t="s">
        <v>1899</v>
      </c>
      <c r="Q620" s="18">
        <v>8</v>
      </c>
      <c r="R620" s="18">
        <v>1</v>
      </c>
      <c r="S620" s="13">
        <v>8828132635</v>
      </c>
      <c r="T620" s="13" t="s">
        <v>926</v>
      </c>
      <c r="U620" s="19">
        <v>34220600</v>
      </c>
      <c r="V620" s="18">
        <v>1</v>
      </c>
      <c r="W620" s="18">
        <f>_xlfn.XLOOKUP(J620,'Master Data 14-9-2026'!C:C,'Master Data 14-9-2026'!L:L)</f>
        <v>1</v>
      </c>
      <c r="X620" s="23">
        <v>34220600</v>
      </c>
      <c r="Y620" s="13" t="s">
        <v>1599</v>
      </c>
      <c r="Z620" s="24" t="str">
        <f>_xlfn.XLOOKUP(J620,'Master Data 14-9-2026'!C:C,'Master Data 14-9-2026'!I:I)</f>
        <v>Ended</v>
      </c>
      <c r="AA620" s="39" t="s">
        <v>4130</v>
      </c>
      <c r="AB620" s="40" t="s">
        <v>1502</v>
      </c>
      <c r="AC620" s="13"/>
      <c r="AD620" s="13"/>
      <c r="AE620" s="13" t="str">
        <f>_xlfn.XLOOKUP(L620,'[1]ID PROJECT'!E:E,'[1]ID PROJECT'!F:F)</f>
        <v xml:space="preserve">PRJ-KUT-KPU-TPED-2026-04-00071 </v>
      </c>
      <c r="AF620" s="13"/>
      <c r="AG620" s="13"/>
      <c r="AH620" s="65"/>
      <c r="AI620" s="27"/>
    </row>
    <row r="621" spans="1:35">
      <c r="A621" s="13" t="s">
        <v>854</v>
      </c>
      <c r="B621" s="13" t="str">
        <f>_xlfn.XLOOKUP(J621,'Master Data 14-9-2026'!C:C,'Master Data 14-9-2026'!D:D)</f>
        <v>Rahmana Gautama wx1504639</v>
      </c>
      <c r="C621" s="13"/>
      <c r="D621" s="13" t="str">
        <f>_xlfn.XLOOKUP(J621,'Master Data 14-9-2026'!C:C,'Master Data 14-9-2026'!E:E)</f>
        <v>IOH</v>
      </c>
      <c r="E621" s="13" t="s">
        <v>1901</v>
      </c>
      <c r="F621" s="13"/>
      <c r="G621" s="13" t="s">
        <v>28</v>
      </c>
      <c r="H621" s="13" t="str">
        <f>_xlfn.XLOOKUP(J621,'Master Data 14-9-2026'!C:C,'Master Data 14-9-2026'!H:H)</f>
        <v>2026-07-27 - 2026-08-26</v>
      </c>
      <c r="I621" s="13" t="str">
        <f t="shared" si="9"/>
        <v>July</v>
      </c>
      <c r="J621" s="13" t="s">
        <v>1912</v>
      </c>
      <c r="K621" s="13" t="s">
        <v>1898</v>
      </c>
      <c r="L621" s="13" t="s">
        <v>441</v>
      </c>
      <c r="M621" s="15">
        <v>200003220078020</v>
      </c>
      <c r="N621" s="13" t="s">
        <v>924</v>
      </c>
      <c r="O621" s="13">
        <v>1.09120260721002E+17</v>
      </c>
      <c r="P621" s="13" t="s">
        <v>1899</v>
      </c>
      <c r="Q621" s="18">
        <v>9</v>
      </c>
      <c r="R621" s="18">
        <v>1</v>
      </c>
      <c r="S621" s="13">
        <v>8828132635</v>
      </c>
      <c r="T621" s="13" t="s">
        <v>926</v>
      </c>
      <c r="U621" s="19">
        <v>34220600</v>
      </c>
      <c r="V621" s="18">
        <v>1</v>
      </c>
      <c r="W621" s="18">
        <f>_xlfn.XLOOKUP(J621,'Master Data 14-9-2026'!C:C,'Master Data 14-9-2026'!L:L)</f>
        <v>1</v>
      </c>
      <c r="X621" s="23">
        <v>34220600</v>
      </c>
      <c r="Y621" s="13" t="s">
        <v>1599</v>
      </c>
      <c r="Z621" s="24" t="str">
        <f>_xlfn.XLOOKUP(J621,'Master Data 14-9-2026'!C:C,'Master Data 14-9-2026'!I:I)</f>
        <v>Ended</v>
      </c>
      <c r="AA621" s="4" t="s">
        <v>934</v>
      </c>
      <c r="AB621" s="13"/>
      <c r="AC621" s="13"/>
      <c r="AD621" s="40" t="s">
        <v>935</v>
      </c>
      <c r="AE621" s="13" t="str">
        <f>_xlfn.XLOOKUP(L621,'[1]ID PROJECT'!E:E,'[1]ID PROJECT'!F:F)</f>
        <v xml:space="preserve">PRJ-KUT-KPU-TPED-2026-04-00071 </v>
      </c>
      <c r="AF621" s="39" t="s">
        <v>3371</v>
      </c>
      <c r="AG621" s="40" t="s">
        <v>3401</v>
      </c>
      <c r="AH621" s="65">
        <v>46269</v>
      </c>
      <c r="AI621" s="41" t="s">
        <v>967</v>
      </c>
    </row>
    <row r="622" spans="1:35" hidden="1">
      <c r="A622" s="13" t="s">
        <v>854</v>
      </c>
      <c r="B622" s="13" t="str">
        <f>_xlfn.XLOOKUP(J622,'Master Data 14-9-2026'!C:C,'Master Data 14-9-2026'!D:D)</f>
        <v>Rahmana Gautama wx1504639</v>
      </c>
      <c r="C622" s="13"/>
      <c r="D622" s="13" t="str">
        <f>_xlfn.XLOOKUP(J622,'Master Data 14-9-2026'!C:C,'Master Data 14-9-2026'!E:E)</f>
        <v>IOH</v>
      </c>
      <c r="E622" s="13"/>
      <c r="F622" s="13"/>
      <c r="G622" s="13" t="s">
        <v>31</v>
      </c>
      <c r="H622" s="13" t="str">
        <f>_xlfn.XLOOKUP(J622,'Master Data 14-9-2026'!C:C,'Master Data 14-9-2026'!H:H)</f>
        <v>2026-08-27 - 2026-09-26</v>
      </c>
      <c r="I622" s="13" t="str">
        <f t="shared" si="9"/>
        <v>August</v>
      </c>
      <c r="J622" s="13" t="s">
        <v>1913</v>
      </c>
      <c r="K622" s="13" t="s">
        <v>1898</v>
      </c>
      <c r="L622" s="13" t="s">
        <v>441</v>
      </c>
      <c r="M622" s="15">
        <v>200003220079020</v>
      </c>
      <c r="N622" s="13" t="s">
        <v>924</v>
      </c>
      <c r="O622" s="13">
        <v>1.09120260721002E+17</v>
      </c>
      <c r="P622" s="13" t="s">
        <v>1899</v>
      </c>
      <c r="Q622" s="18">
        <v>10</v>
      </c>
      <c r="R622" s="18">
        <v>1</v>
      </c>
      <c r="S622" s="13">
        <v>8828132635</v>
      </c>
      <c r="T622" s="13" t="s">
        <v>926</v>
      </c>
      <c r="U622" s="19">
        <v>34220600</v>
      </c>
      <c r="V622" s="18">
        <v>1</v>
      </c>
      <c r="W622" s="18">
        <f>_xlfn.XLOOKUP(J622,'Master Data 14-9-2026'!C:C,'Master Data 14-9-2026'!L:L)</f>
        <v>0</v>
      </c>
      <c r="X622" s="23">
        <v>34220600</v>
      </c>
      <c r="Y622" s="13" t="s">
        <v>1599</v>
      </c>
      <c r="Z622" s="24" t="s">
        <v>225</v>
      </c>
      <c r="AA622" s="4" t="s">
        <v>1288</v>
      </c>
      <c r="AB622" s="40" t="s">
        <v>44</v>
      </c>
      <c r="AC622" s="13"/>
      <c r="AD622" s="13"/>
      <c r="AE622" s="13" t="str">
        <f>_xlfn.XLOOKUP(L622,'[1]ID PROJECT'!E:E,'[1]ID PROJECT'!F:F)</f>
        <v xml:space="preserve">PRJ-KUT-KPU-TPED-2026-04-00071 </v>
      </c>
      <c r="AF622" s="13"/>
      <c r="AG622" s="13"/>
      <c r="AH622" s="65"/>
      <c r="AI622" s="27"/>
    </row>
    <row r="623" spans="1:35">
      <c r="A623" s="13" t="s">
        <v>752</v>
      </c>
      <c r="B623" s="13" t="str">
        <f>_xlfn.XLOOKUP(J623,'Master Data 14-9-2026'!C:C,'Master Data 14-9-2026'!D:D)</f>
        <v>Akhmad Syaroni wx1504638</v>
      </c>
      <c r="C623" s="13"/>
      <c r="D623" s="13" t="str">
        <f>_xlfn.XLOOKUP(J623,'Master Data 14-9-2026'!C:C,'Master Data 14-9-2026'!E:E)</f>
        <v>IOH</v>
      </c>
      <c r="E623" s="13" t="s">
        <v>1901</v>
      </c>
      <c r="F623" s="13"/>
      <c r="G623" s="13" t="s">
        <v>18</v>
      </c>
      <c r="H623" s="13" t="str">
        <f>_xlfn.XLOOKUP(J623,'Master Data 14-9-2026'!C:C,'Master Data 14-9-2026'!H:H)</f>
        <v>2026-04-30 - 2026-05-29</v>
      </c>
      <c r="I623" s="13" t="str">
        <f t="shared" si="9"/>
        <v>April</v>
      </c>
      <c r="J623" s="13" t="s">
        <v>1914</v>
      </c>
      <c r="K623" s="13" t="s">
        <v>1898</v>
      </c>
      <c r="L623" s="13" t="s">
        <v>441</v>
      </c>
      <c r="M623" s="15">
        <v>200003220080020</v>
      </c>
      <c r="N623" s="13" t="s">
        <v>924</v>
      </c>
      <c r="O623" s="13">
        <v>1.09120260721002E+17</v>
      </c>
      <c r="P623" s="13" t="s">
        <v>1899</v>
      </c>
      <c r="Q623" s="18">
        <v>11</v>
      </c>
      <c r="R623" s="18">
        <v>1</v>
      </c>
      <c r="S623" s="13">
        <v>8828132635</v>
      </c>
      <c r="T623" s="13" t="s">
        <v>926</v>
      </c>
      <c r="U623" s="19">
        <v>34220600</v>
      </c>
      <c r="V623" s="18">
        <v>1</v>
      </c>
      <c r="W623" s="18">
        <f>_xlfn.XLOOKUP(J623,'Master Data 14-9-2026'!C:C,'Master Data 14-9-2026'!L:L)</f>
        <v>1</v>
      </c>
      <c r="X623" s="23">
        <v>34220600</v>
      </c>
      <c r="Y623" s="13" t="s">
        <v>1599</v>
      </c>
      <c r="Z623" s="24" t="str">
        <f>_xlfn.XLOOKUP(J623,'Master Data 14-9-2026'!C:C,'Master Data 14-9-2026'!I:I)</f>
        <v>Ended</v>
      </c>
      <c r="AA623" s="4" t="s">
        <v>934</v>
      </c>
      <c r="AB623" s="13"/>
      <c r="AC623" s="13"/>
      <c r="AD623" s="13" t="s">
        <v>935</v>
      </c>
      <c r="AE623" s="13" t="str">
        <f>_xlfn.XLOOKUP(L623,'[1]ID PROJECT'!E:E,'[1]ID PROJECT'!F:F)</f>
        <v xml:space="preserve">PRJ-KUT-KPU-TPED-2026-04-00071 </v>
      </c>
      <c r="AF623" s="4" t="s">
        <v>1903</v>
      </c>
      <c r="AG623" s="40" t="s">
        <v>3396</v>
      </c>
      <c r="AH623" s="65">
        <v>46267</v>
      </c>
      <c r="AI623" s="27" t="s">
        <v>967</v>
      </c>
    </row>
    <row r="624" spans="1:35" hidden="1">
      <c r="A624" s="13" t="s">
        <v>412</v>
      </c>
      <c r="B624" s="13" t="str">
        <f>_xlfn.XLOOKUP(J624,'Master Data 14-9-2026'!C:C,'Master Data 14-9-2026'!D:D)</f>
        <v>Prefiks Wahyu Febrina wx1504715</v>
      </c>
      <c r="C624" s="13"/>
      <c r="D624" s="13" t="str">
        <f>_xlfn.XLOOKUP(J624,'Master Data 14-9-2026'!C:C,'Master Data 14-9-2026'!E:E)</f>
        <v>IOH</v>
      </c>
      <c r="E624" s="13" t="s">
        <v>1906</v>
      </c>
      <c r="F624" s="13"/>
      <c r="G624" s="13" t="s">
        <v>22</v>
      </c>
      <c r="H624" s="13" t="str">
        <f>_xlfn.XLOOKUP(J624,'Master Data 14-9-2026'!C:C,'Master Data 14-9-2026'!H:H)</f>
        <v>2026-05-31 - 2026-06-29</v>
      </c>
      <c r="I624" s="13" t="str">
        <f t="shared" si="9"/>
        <v>May</v>
      </c>
      <c r="J624" s="13" t="s">
        <v>1915</v>
      </c>
      <c r="K624" s="13" t="s">
        <v>1898</v>
      </c>
      <c r="L624" s="13" t="s">
        <v>441</v>
      </c>
      <c r="M624" s="15">
        <v>200003220066020</v>
      </c>
      <c r="N624" s="13" t="s">
        <v>924</v>
      </c>
      <c r="O624" s="13">
        <v>1.09120260721002E+17</v>
      </c>
      <c r="P624" s="13" t="s">
        <v>1899</v>
      </c>
      <c r="Q624" s="18">
        <v>12</v>
      </c>
      <c r="R624" s="18">
        <v>1</v>
      </c>
      <c r="S624" s="13">
        <v>8828132633</v>
      </c>
      <c r="T624" s="13" t="s">
        <v>951</v>
      </c>
      <c r="U624" s="19">
        <v>28881900</v>
      </c>
      <c r="V624" s="18">
        <v>1</v>
      </c>
      <c r="W624" s="18">
        <f>_xlfn.XLOOKUP(J624,'Master Data 14-9-2026'!C:C,'Master Data 14-9-2026'!L:L)</f>
        <v>0.5</v>
      </c>
      <c r="X624" s="23">
        <v>28881900</v>
      </c>
      <c r="Y624" s="13" t="s">
        <v>1599</v>
      </c>
      <c r="Z624" s="24" t="s">
        <v>15</v>
      </c>
      <c r="AA624" s="4" t="s">
        <v>934</v>
      </c>
      <c r="AB624" s="13"/>
      <c r="AC624" s="13"/>
      <c r="AD624" s="13" t="s">
        <v>935</v>
      </c>
      <c r="AE624" s="13" t="str">
        <f>_xlfn.XLOOKUP(L624,'[1]ID PROJECT'!E:E,'[1]ID PROJECT'!F:F)</f>
        <v xml:space="preserve">PRJ-KUT-KPU-TPED-2026-04-00071 </v>
      </c>
      <c r="AF624" s="34" t="s">
        <v>1908</v>
      </c>
      <c r="AG624" s="13" t="s">
        <v>1909</v>
      </c>
      <c r="AH624" s="65">
        <v>46255</v>
      </c>
      <c r="AI624" s="27" t="s">
        <v>1175</v>
      </c>
    </row>
    <row r="625" spans="1:35" hidden="1">
      <c r="A625" s="13" t="s">
        <v>412</v>
      </c>
      <c r="B625" s="13" t="str">
        <f>_xlfn.XLOOKUP(J625,'Master Data 14-9-2026'!C:C,'Master Data 14-9-2026'!D:D)</f>
        <v>Prefiks Wahyu Febrina wx1504715</v>
      </c>
      <c r="C625" s="13"/>
      <c r="D625" s="13" t="str">
        <f>_xlfn.XLOOKUP(J625,'Master Data 14-9-2026'!C:C,'Master Data 14-9-2026'!E:E)</f>
        <v>IOH</v>
      </c>
      <c r="E625" s="13"/>
      <c r="F625" s="13"/>
      <c r="G625" s="13" t="s">
        <v>25</v>
      </c>
      <c r="H625" s="13" t="str">
        <f>_xlfn.XLOOKUP(J625,'Master Data 14-9-2026'!C:C,'Master Data 14-9-2026'!H:H)</f>
        <v>2026-06-30 - 2026-07-30</v>
      </c>
      <c r="I625" s="13" t="str">
        <f t="shared" si="9"/>
        <v>June</v>
      </c>
      <c r="J625" s="13" t="s">
        <v>1916</v>
      </c>
      <c r="K625" s="13" t="s">
        <v>1898</v>
      </c>
      <c r="L625" s="13" t="s">
        <v>441</v>
      </c>
      <c r="M625" s="15">
        <v>200003220067020</v>
      </c>
      <c r="N625" s="13" t="s">
        <v>924</v>
      </c>
      <c r="O625" s="13">
        <v>1.09120260721002E+17</v>
      </c>
      <c r="P625" s="13" t="s">
        <v>1899</v>
      </c>
      <c r="Q625" s="18">
        <v>13</v>
      </c>
      <c r="R625" s="18">
        <v>1</v>
      </c>
      <c r="S625" s="13">
        <v>8828132633</v>
      </c>
      <c r="T625" s="13" t="s">
        <v>951</v>
      </c>
      <c r="U625" s="19">
        <v>28881900</v>
      </c>
      <c r="V625" s="18">
        <v>1</v>
      </c>
      <c r="W625" s="18">
        <f>_xlfn.XLOOKUP(J625,'Master Data 14-9-2026'!C:C,'Master Data 14-9-2026'!L:L)</f>
        <v>1.19</v>
      </c>
      <c r="X625" s="23">
        <v>28881900</v>
      </c>
      <c r="Y625" s="13" t="s">
        <v>1599</v>
      </c>
      <c r="Z625" s="24" t="str">
        <f>_xlfn.XLOOKUP(J625,'Master Data 14-9-2026'!C:C,'Master Data 14-9-2026'!I:I)</f>
        <v>Ended</v>
      </c>
      <c r="AA625" s="4" t="s">
        <v>1288</v>
      </c>
      <c r="AB625" s="13" t="s">
        <v>1600</v>
      </c>
      <c r="AC625" s="13"/>
      <c r="AD625" s="13"/>
      <c r="AE625" s="13" t="str">
        <f>_xlfn.XLOOKUP(L625,'[1]ID PROJECT'!E:E,'[1]ID PROJECT'!F:F)</f>
        <v xml:space="preserve">PRJ-KUT-KPU-TPED-2026-04-00071 </v>
      </c>
      <c r="AF625" s="13"/>
      <c r="AG625" s="13"/>
      <c r="AH625" s="65"/>
      <c r="AI625" s="27"/>
    </row>
    <row r="626" spans="1:35" hidden="1">
      <c r="A626" s="13" t="s">
        <v>405</v>
      </c>
      <c r="B626" s="13" t="str">
        <f>_xlfn.XLOOKUP(J626,'Master Data 14-9-2026'!C:C,'Master Data 14-9-2026'!D:D)</f>
        <v>Lidya Leoni Mutiara wx1504643</v>
      </c>
      <c r="C626" s="13"/>
      <c r="D626" s="13" t="str">
        <f>_xlfn.XLOOKUP(J626,'Master Data 14-9-2026'!C:C,'Master Data 14-9-2026'!E:E)</f>
        <v>IOH</v>
      </c>
      <c r="E626" s="13"/>
      <c r="F626" s="13"/>
      <c r="G626" s="13" t="s">
        <v>18</v>
      </c>
      <c r="H626" s="13" t="str">
        <f>_xlfn.XLOOKUP(J626,'Master Data 14-9-2026'!C:C,'Master Data 14-9-2026'!H:H)</f>
        <v>2026-04-30 - 2026-05-30</v>
      </c>
      <c r="I626" s="13" t="str">
        <f t="shared" si="9"/>
        <v>April</v>
      </c>
      <c r="J626" s="13" t="s">
        <v>1917</v>
      </c>
      <c r="K626" s="13" t="s">
        <v>1898</v>
      </c>
      <c r="L626" s="13" t="s">
        <v>441</v>
      </c>
      <c r="M626" s="15">
        <v>200003220070020</v>
      </c>
      <c r="N626" s="13" t="s">
        <v>924</v>
      </c>
      <c r="O626" s="13">
        <v>1.09120260721002E+17</v>
      </c>
      <c r="P626" s="13" t="s">
        <v>1899</v>
      </c>
      <c r="Q626" s="18">
        <v>14</v>
      </c>
      <c r="R626" s="18">
        <v>1</v>
      </c>
      <c r="S626" s="13">
        <v>8828132633</v>
      </c>
      <c r="T626" s="13" t="s">
        <v>951</v>
      </c>
      <c r="U626" s="19">
        <v>28881900</v>
      </c>
      <c r="V626" s="18">
        <v>1</v>
      </c>
      <c r="W626" s="18">
        <f>_xlfn.XLOOKUP(J626,'Master Data 14-9-2026'!C:C,'Master Data 14-9-2026'!L:L)</f>
        <v>0.96</v>
      </c>
      <c r="X626" s="23">
        <v>28881900</v>
      </c>
      <c r="Y626" s="13" t="s">
        <v>1599</v>
      </c>
      <c r="Z626" s="48" t="s">
        <v>15</v>
      </c>
      <c r="AA626" s="39" t="s">
        <v>4130</v>
      </c>
      <c r="AB626" s="40" t="s">
        <v>1502</v>
      </c>
      <c r="AC626" s="13"/>
      <c r="AD626" s="13"/>
      <c r="AE626" s="13" t="str">
        <f>_xlfn.XLOOKUP(L626,'[1]ID PROJECT'!E:E,'[1]ID PROJECT'!F:F)</f>
        <v xml:space="preserve">PRJ-KUT-KPU-TPED-2026-04-00071 </v>
      </c>
      <c r="AF626" s="13"/>
      <c r="AG626" s="13"/>
      <c r="AH626" s="65"/>
      <c r="AI626" s="27"/>
    </row>
    <row r="627" spans="1:35" hidden="1">
      <c r="A627" s="13" t="s">
        <v>405</v>
      </c>
      <c r="B627" s="13" t="str">
        <f>_xlfn.XLOOKUP(J627,'Master Data 14-9-2026'!C:C,'Master Data 14-9-2026'!D:D)</f>
        <v>Lidya Leoni Mutiara wx1504643</v>
      </c>
      <c r="C627" s="13"/>
      <c r="D627" s="13" t="str">
        <f>_xlfn.XLOOKUP(J627,'Master Data 14-9-2026'!C:C,'Master Data 14-9-2026'!E:E)</f>
        <v>IOH</v>
      </c>
      <c r="E627" s="13"/>
      <c r="F627" s="13"/>
      <c r="G627" s="13" t="s">
        <v>22</v>
      </c>
      <c r="H627" s="13" t="str">
        <f>_xlfn.XLOOKUP(J627,'Master Data 14-9-2026'!C:C,'Master Data 14-9-2026'!H:H)</f>
        <v>2026-05-31 - 2026-06-29</v>
      </c>
      <c r="I627" s="13" t="str">
        <f t="shared" si="9"/>
        <v>May</v>
      </c>
      <c r="J627" s="13" t="s">
        <v>1918</v>
      </c>
      <c r="K627" s="13" t="s">
        <v>1898</v>
      </c>
      <c r="L627" s="13" t="s">
        <v>441</v>
      </c>
      <c r="M627" s="15">
        <v>200003220071020</v>
      </c>
      <c r="N627" s="13" t="s">
        <v>924</v>
      </c>
      <c r="O627" s="13">
        <v>1.09120260721002E+17</v>
      </c>
      <c r="P627" s="13" t="s">
        <v>1899</v>
      </c>
      <c r="Q627" s="18">
        <v>15</v>
      </c>
      <c r="R627" s="18">
        <v>1</v>
      </c>
      <c r="S627" s="13">
        <v>8828132633</v>
      </c>
      <c r="T627" s="13" t="s">
        <v>951</v>
      </c>
      <c r="U627" s="19">
        <v>28881900</v>
      </c>
      <c r="V627" s="18">
        <v>1</v>
      </c>
      <c r="W627" s="18">
        <f>_xlfn.XLOOKUP(J627,'Master Data 14-9-2026'!C:C,'Master Data 14-9-2026'!L:L)</f>
        <v>1.5</v>
      </c>
      <c r="X627" s="23">
        <v>28881900</v>
      </c>
      <c r="Y627" s="13" t="s">
        <v>1599</v>
      </c>
      <c r="Z627" s="24" t="s">
        <v>984</v>
      </c>
      <c r="AA627" s="4" t="s">
        <v>1288</v>
      </c>
      <c r="AB627" s="13" t="s">
        <v>1600</v>
      </c>
      <c r="AC627" s="13"/>
      <c r="AD627" s="13"/>
      <c r="AE627" s="13" t="str">
        <f>_xlfn.XLOOKUP(L627,'[1]ID PROJECT'!E:E,'[1]ID PROJECT'!F:F)</f>
        <v xml:space="preserve">PRJ-KUT-KPU-TPED-2026-04-00071 </v>
      </c>
      <c r="AF627" s="13"/>
      <c r="AG627" s="13"/>
      <c r="AH627" s="65"/>
      <c r="AI627" s="27"/>
    </row>
    <row r="628" spans="1:35" hidden="1">
      <c r="A628" s="13" t="s">
        <v>405</v>
      </c>
      <c r="B628" s="13" t="str">
        <f>_xlfn.XLOOKUP(J628,'Master Data 14-9-2026'!C:C,'Master Data 14-9-2026'!D:D)</f>
        <v>Lidya Leoni Mutiara wx1504643</v>
      </c>
      <c r="C628" s="13"/>
      <c r="D628" s="13" t="str">
        <f>_xlfn.XLOOKUP(J628,'Master Data 14-9-2026'!C:C,'Master Data 14-9-2026'!E:E)</f>
        <v>IOH</v>
      </c>
      <c r="E628" s="13"/>
      <c r="F628" s="13"/>
      <c r="G628" s="13" t="s">
        <v>25</v>
      </c>
      <c r="H628" s="13" t="str">
        <f>_xlfn.XLOOKUP(J628,'Master Data 14-9-2026'!C:C,'Master Data 14-9-2026'!H:H)</f>
        <v>2026-06-30 - 2026-07-30</v>
      </c>
      <c r="I628" s="13" t="str">
        <f t="shared" si="9"/>
        <v>June</v>
      </c>
      <c r="J628" s="13" t="s">
        <v>1919</v>
      </c>
      <c r="K628" s="13" t="s">
        <v>1898</v>
      </c>
      <c r="L628" s="13" t="s">
        <v>441</v>
      </c>
      <c r="M628" s="15">
        <v>200003220072020</v>
      </c>
      <c r="N628" s="13" t="s">
        <v>924</v>
      </c>
      <c r="O628" s="13">
        <v>1.09120260721002E+17</v>
      </c>
      <c r="P628" s="13" t="s">
        <v>1899</v>
      </c>
      <c r="Q628" s="18">
        <v>16</v>
      </c>
      <c r="R628" s="18">
        <v>1</v>
      </c>
      <c r="S628" s="13">
        <v>8828132633</v>
      </c>
      <c r="T628" s="13" t="s">
        <v>951</v>
      </c>
      <c r="U628" s="19">
        <v>28881900</v>
      </c>
      <c r="V628" s="18">
        <v>1</v>
      </c>
      <c r="W628" s="18">
        <f>_xlfn.XLOOKUP(J628,'Master Data 14-9-2026'!C:C,'Master Data 14-9-2026'!L:L)</f>
        <v>1.5</v>
      </c>
      <c r="X628" s="23">
        <v>28881900</v>
      </c>
      <c r="Y628" s="13" t="s">
        <v>1599</v>
      </c>
      <c r="Z628" s="24" t="str">
        <f>_xlfn.XLOOKUP(J628,'Master Data 14-9-2026'!C:C,'Master Data 14-9-2026'!I:I)</f>
        <v>Ended</v>
      </c>
      <c r="AB628" s="13" t="s">
        <v>1920</v>
      </c>
      <c r="AC628" s="13"/>
      <c r="AD628" s="13"/>
      <c r="AE628" s="13" t="str">
        <f>_xlfn.XLOOKUP(L628,'[1]ID PROJECT'!E:E,'[1]ID PROJECT'!F:F)</f>
        <v xml:space="preserve">PRJ-KUT-KPU-TPED-2026-04-00071 </v>
      </c>
      <c r="AF628" s="13"/>
      <c r="AG628" s="13"/>
      <c r="AH628" s="65"/>
      <c r="AI628" s="27"/>
    </row>
    <row r="629" spans="1:35" hidden="1">
      <c r="A629" s="13" t="s">
        <v>405</v>
      </c>
      <c r="B629" s="13" t="str">
        <f>_xlfn.XLOOKUP(J629,'Master Data 14-9-2026'!C:C,'Master Data 14-9-2026'!D:D)</f>
        <v>Lidya Leoni Mutiara wx1504643</v>
      </c>
      <c r="C629" s="13"/>
      <c r="D629" s="13" t="str">
        <f>_xlfn.XLOOKUP(J629,'Master Data 14-9-2026'!C:C,'Master Data 14-9-2026'!E:E)</f>
        <v>IOH</v>
      </c>
      <c r="E629" s="40" t="s">
        <v>4129</v>
      </c>
      <c r="F629" s="13"/>
      <c r="G629" s="13" t="s">
        <v>28</v>
      </c>
      <c r="H629" s="13" t="str">
        <f>_xlfn.XLOOKUP(J629,'Master Data 14-9-2026'!C:C,'Master Data 14-9-2026'!H:H)</f>
        <v>2026-07-31 - 2026-08-30</v>
      </c>
      <c r="I629" s="13" t="str">
        <f t="shared" si="9"/>
        <v>July</v>
      </c>
      <c r="J629" s="13" t="s">
        <v>1921</v>
      </c>
      <c r="K629" s="13" t="s">
        <v>1898</v>
      </c>
      <c r="L629" s="40" t="s">
        <v>441</v>
      </c>
      <c r="M629" s="15">
        <v>200003220073020</v>
      </c>
      <c r="N629" s="13" t="s">
        <v>924</v>
      </c>
      <c r="O629" s="13">
        <v>1.09120260721002E+17</v>
      </c>
      <c r="P629" s="13" t="s">
        <v>1899</v>
      </c>
      <c r="Q629" s="18">
        <v>17</v>
      </c>
      <c r="R629" s="18">
        <v>1</v>
      </c>
      <c r="S629" s="13">
        <v>8828132633</v>
      </c>
      <c r="T629" s="13" t="s">
        <v>951</v>
      </c>
      <c r="U629" s="19">
        <v>28881900</v>
      </c>
      <c r="V629" s="18">
        <v>1</v>
      </c>
      <c r="W629" s="18">
        <f>_xlfn.XLOOKUP(J629,'Master Data 14-9-2026'!C:C,'Master Data 14-9-2026'!L:L)</f>
        <v>1</v>
      </c>
      <c r="X629" s="23">
        <v>28881900</v>
      </c>
      <c r="Y629" s="13" t="s">
        <v>1599</v>
      </c>
      <c r="Z629" s="24" t="str">
        <f>_xlfn.XLOOKUP(J629,'Master Data 14-9-2026'!C:C,'Master Data 14-9-2026'!I:I)</f>
        <v>Ended</v>
      </c>
      <c r="AA629" s="39" t="s">
        <v>4130</v>
      </c>
      <c r="AB629" s="40" t="s">
        <v>4156</v>
      </c>
      <c r="AC629" s="13"/>
      <c r="AD629" s="13"/>
      <c r="AE629" s="13" t="str">
        <f>_xlfn.XLOOKUP(L629,'[1]ID PROJECT'!E:E,'[1]ID PROJECT'!F:F)</f>
        <v xml:space="preserve">PRJ-KUT-KPU-TPED-2026-04-00071 </v>
      </c>
      <c r="AF629" s="13"/>
      <c r="AG629" s="13"/>
      <c r="AH629" s="65"/>
      <c r="AI629" s="27"/>
    </row>
    <row r="630" spans="1:35" hidden="1">
      <c r="A630" s="13" t="s">
        <v>405</v>
      </c>
      <c r="B630" s="13" t="str">
        <f>_xlfn.XLOOKUP(J630,'Master Data 14-9-2026'!C:C,'Master Data 14-9-2026'!D:D)</f>
        <v>Lidya Leoni Mutiara wx1504643</v>
      </c>
      <c r="C630" s="13"/>
      <c r="D630" s="13" t="str">
        <f>_xlfn.XLOOKUP(J630,'Master Data 14-9-2026'!C:C,'Master Data 14-9-2026'!E:E)</f>
        <v>IOH</v>
      </c>
      <c r="E630" s="13"/>
      <c r="F630" s="13"/>
      <c r="G630" s="13" t="s">
        <v>31</v>
      </c>
      <c r="H630" s="13" t="str">
        <f>_xlfn.XLOOKUP(J630,'Master Data 14-9-2026'!C:C,'Master Data 14-9-2026'!H:H)</f>
        <v>2026-08-31 - 2026-09-29</v>
      </c>
      <c r="I630" s="13" t="str">
        <f t="shared" si="9"/>
        <v>August</v>
      </c>
      <c r="J630" s="13" t="s">
        <v>1922</v>
      </c>
      <c r="K630" s="13" t="s">
        <v>1898</v>
      </c>
      <c r="L630" s="13"/>
      <c r="M630" s="15">
        <v>200003220074020</v>
      </c>
      <c r="N630" s="13" t="s">
        <v>924</v>
      </c>
      <c r="O630" s="13">
        <v>1.09120260721002E+17</v>
      </c>
      <c r="P630" s="13" t="s">
        <v>1899</v>
      </c>
      <c r="Q630" s="18">
        <v>18</v>
      </c>
      <c r="R630" s="18">
        <v>1</v>
      </c>
      <c r="S630" s="13">
        <v>8828132633</v>
      </c>
      <c r="T630" s="13" t="s">
        <v>951</v>
      </c>
      <c r="U630" s="19">
        <v>28881900</v>
      </c>
      <c r="V630" s="18">
        <v>1</v>
      </c>
      <c r="W630" s="18">
        <f>_xlfn.XLOOKUP(J630,'Master Data 14-9-2026'!C:C,'Master Data 14-9-2026'!L:L)</f>
        <v>0.5</v>
      </c>
      <c r="X630" s="23">
        <v>28881900</v>
      </c>
      <c r="Y630" s="13" t="s">
        <v>1599</v>
      </c>
      <c r="Z630" s="24" t="s">
        <v>984</v>
      </c>
      <c r="AA630" s="4" t="s">
        <v>1288</v>
      </c>
      <c r="AB630" s="13"/>
      <c r="AC630" s="13"/>
      <c r="AD630" s="13"/>
      <c r="AE630" s="13" t="e">
        <f>_xlfn.XLOOKUP(L630,'[1]ID PROJECT'!E:E,'[1]ID PROJECT'!F:F)</f>
        <v>#N/A</v>
      </c>
      <c r="AF630" s="13"/>
      <c r="AG630" s="13"/>
      <c r="AH630" s="65"/>
      <c r="AI630" s="27"/>
    </row>
    <row r="631" spans="1:35">
      <c r="A631" s="13" t="s">
        <v>854</v>
      </c>
      <c r="B631" s="13" t="str">
        <f>_xlfn.XLOOKUP(J631,'Master Data 14-9-2026'!C:C,'Master Data 14-9-2026'!D:D)</f>
        <v>Rahmana Gautama wx1504639</v>
      </c>
      <c r="C631" s="13"/>
      <c r="D631" s="13" t="str">
        <f>_xlfn.XLOOKUP(J631,'Master Data 14-9-2026'!C:C,'Master Data 14-9-2026'!E:E)</f>
        <v>IOH</v>
      </c>
      <c r="E631" s="13" t="s">
        <v>1901</v>
      </c>
      <c r="F631" s="13"/>
      <c r="G631" s="13" t="s">
        <v>18</v>
      </c>
      <c r="H631" s="13" t="str">
        <f>_xlfn.XLOOKUP(J631,'Master Data 14-9-2026'!C:C,'Master Data 14-9-2026'!H:H)</f>
        <v>2026-04-27 - 2026-05-26</v>
      </c>
      <c r="I631" s="13" t="str">
        <f t="shared" si="9"/>
        <v>April</v>
      </c>
      <c r="J631" s="13" t="s">
        <v>1923</v>
      </c>
      <c r="K631" s="13" t="s">
        <v>1898</v>
      </c>
      <c r="L631" s="13" t="s">
        <v>441</v>
      </c>
      <c r="M631" s="15">
        <v>200003220075020</v>
      </c>
      <c r="N631" s="13" t="s">
        <v>924</v>
      </c>
      <c r="O631" s="13">
        <v>1.09120260721002E+17</v>
      </c>
      <c r="P631" s="13" t="s">
        <v>1899</v>
      </c>
      <c r="Q631" s="18">
        <v>19</v>
      </c>
      <c r="R631" s="18">
        <v>1</v>
      </c>
      <c r="S631" s="13">
        <v>8828132635</v>
      </c>
      <c r="T631" s="13" t="s">
        <v>926</v>
      </c>
      <c r="U631" s="19">
        <v>34220600</v>
      </c>
      <c r="V631" s="18">
        <v>1</v>
      </c>
      <c r="W631" s="18">
        <f>_xlfn.XLOOKUP(J631,'Master Data 14-9-2026'!C:C,'Master Data 14-9-2026'!L:L)</f>
        <v>1</v>
      </c>
      <c r="X631" s="23">
        <v>34220600</v>
      </c>
      <c r="Y631" s="13" t="s">
        <v>1599</v>
      </c>
      <c r="Z631" s="24" t="str">
        <f>_xlfn.XLOOKUP(J631,'Master Data 14-9-2026'!C:C,'Master Data 14-9-2026'!I:I)</f>
        <v>Ended</v>
      </c>
      <c r="AA631" s="4" t="s">
        <v>934</v>
      </c>
      <c r="AB631" s="13"/>
      <c r="AC631" s="13"/>
      <c r="AD631" s="13" t="s">
        <v>935</v>
      </c>
      <c r="AE631" s="13" t="str">
        <f>_xlfn.XLOOKUP(L631,'[1]ID PROJECT'!E:E,'[1]ID PROJECT'!F:F)</f>
        <v xml:space="preserve">PRJ-KUT-KPU-TPED-2026-04-00071 </v>
      </c>
      <c r="AF631" s="4" t="s">
        <v>1903</v>
      </c>
      <c r="AG631" s="40" t="s">
        <v>3396</v>
      </c>
      <c r="AH631" s="65">
        <v>46267</v>
      </c>
      <c r="AI631" s="27" t="s">
        <v>967</v>
      </c>
    </row>
    <row r="632" spans="1:35">
      <c r="A632" s="13" t="s">
        <v>752</v>
      </c>
      <c r="B632" s="13" t="str">
        <f>_xlfn.XLOOKUP(J632,'Master Data 14-9-2026'!C:C,'Master Data 14-9-2026'!D:D)</f>
        <v>Akhmad Syaroni wx1504638</v>
      </c>
      <c r="C632" s="13"/>
      <c r="D632" s="13" t="str">
        <f>_xlfn.XLOOKUP(J632,'Master Data 14-9-2026'!C:C,'Master Data 14-9-2026'!E:E)</f>
        <v>IOH</v>
      </c>
      <c r="E632" s="13" t="s">
        <v>1901</v>
      </c>
      <c r="F632" s="13"/>
      <c r="G632" s="13" t="s">
        <v>22</v>
      </c>
      <c r="H632" s="13" t="str">
        <f>_xlfn.XLOOKUP(J632,'Master Data 14-9-2026'!C:C,'Master Data 14-9-2026'!H:H)</f>
        <v>2026-05-30 - 2026-06-29</v>
      </c>
      <c r="I632" s="13" t="str">
        <f t="shared" si="9"/>
        <v>May</v>
      </c>
      <c r="J632" s="13" t="s">
        <v>1924</v>
      </c>
      <c r="K632" s="13" t="s">
        <v>1898</v>
      </c>
      <c r="L632" s="13" t="s">
        <v>441</v>
      </c>
      <c r="M632" s="15">
        <v>200003220081020</v>
      </c>
      <c r="N632" s="13" t="s">
        <v>924</v>
      </c>
      <c r="O632" s="13">
        <v>1.09120260721002E+17</v>
      </c>
      <c r="P632" s="13" t="s">
        <v>1899</v>
      </c>
      <c r="Q632" s="18">
        <v>20</v>
      </c>
      <c r="R632" s="18">
        <v>1</v>
      </c>
      <c r="S632" s="13">
        <v>8828132635</v>
      </c>
      <c r="T632" s="13" t="s">
        <v>926</v>
      </c>
      <c r="U632" s="19">
        <v>34220600</v>
      </c>
      <c r="V632" s="18">
        <v>1</v>
      </c>
      <c r="W632" s="18">
        <f>_xlfn.XLOOKUP(J632,'Master Data 14-9-2026'!C:C,'Master Data 14-9-2026'!L:L)</f>
        <v>0.66</v>
      </c>
      <c r="X632" s="23">
        <v>34220600</v>
      </c>
      <c r="Y632" s="13" t="s">
        <v>1599</v>
      </c>
      <c r="Z632" s="24" t="s">
        <v>15</v>
      </c>
      <c r="AA632" s="4" t="s">
        <v>934</v>
      </c>
      <c r="AB632" s="13"/>
      <c r="AC632" s="13"/>
      <c r="AD632" s="13" t="s">
        <v>935</v>
      </c>
      <c r="AE632" s="13" t="str">
        <f>_xlfn.XLOOKUP(L632,'[1]ID PROJECT'!E:E,'[1]ID PROJECT'!F:F)</f>
        <v xml:space="preserve">PRJ-KUT-KPU-TPED-2026-04-00071 </v>
      </c>
      <c r="AF632" s="4" t="s">
        <v>1903</v>
      </c>
      <c r="AG632" s="40" t="s">
        <v>3396</v>
      </c>
      <c r="AH632" s="65">
        <v>46267</v>
      </c>
      <c r="AI632" s="27" t="s">
        <v>967</v>
      </c>
    </row>
    <row r="633" spans="1:35" hidden="1">
      <c r="A633" s="13" t="s">
        <v>752</v>
      </c>
      <c r="B633" s="13" t="str">
        <f>_xlfn.XLOOKUP(J633,'Master Data 14-9-2026'!C:C,'Master Data 14-9-2026'!D:D)</f>
        <v>Akhmad Syaroni wx1504638</v>
      </c>
      <c r="C633" s="13"/>
      <c r="D633" s="13" t="str">
        <f>_xlfn.XLOOKUP(J633,'Master Data 14-9-2026'!C:C,'Master Data 14-9-2026'!E:E)</f>
        <v>IOH</v>
      </c>
      <c r="E633" s="13"/>
      <c r="F633" s="13"/>
      <c r="G633" s="13" t="s">
        <v>25</v>
      </c>
      <c r="H633" s="13" t="str">
        <f>_xlfn.XLOOKUP(J633,'Master Data 14-9-2026'!C:C,'Master Data 14-9-2026'!H:H)</f>
        <v>2026-06-30 - 2026-07-29</v>
      </c>
      <c r="I633" s="13" t="str">
        <f t="shared" si="9"/>
        <v>June</v>
      </c>
      <c r="J633" s="13" t="s">
        <v>1925</v>
      </c>
      <c r="K633" s="13" t="s">
        <v>1898</v>
      </c>
      <c r="L633" s="13" t="s">
        <v>441</v>
      </c>
      <c r="M633" s="15">
        <v>200003220082020</v>
      </c>
      <c r="N633" s="13" t="s">
        <v>924</v>
      </c>
      <c r="O633" s="13">
        <v>1.09120260721002E+17</v>
      </c>
      <c r="P633" s="13" t="s">
        <v>1899</v>
      </c>
      <c r="Q633" s="18">
        <v>21</v>
      </c>
      <c r="R633" s="18">
        <v>1</v>
      </c>
      <c r="S633" s="13">
        <v>8828132635</v>
      </c>
      <c r="T633" s="13" t="s">
        <v>926</v>
      </c>
      <c r="U633" s="19">
        <v>34220600</v>
      </c>
      <c r="V633" s="18">
        <v>1</v>
      </c>
      <c r="W633" s="18">
        <f>_xlfn.XLOOKUP(J633,'Master Data 14-9-2026'!C:C,'Master Data 14-9-2026'!L:L)</f>
        <v>0.53</v>
      </c>
      <c r="X633" s="23">
        <v>34220600</v>
      </c>
      <c r="Y633" s="13" t="s">
        <v>1599</v>
      </c>
      <c r="Z633" s="24" t="str">
        <f>_xlfn.XLOOKUP(J633,'Master Data 14-9-2026'!C:C,'Master Data 14-9-2026'!I:I)</f>
        <v>Ended</v>
      </c>
      <c r="AA633" s="4" t="s">
        <v>1288</v>
      </c>
      <c r="AB633" s="13"/>
      <c r="AC633" s="13"/>
      <c r="AD633" s="13"/>
      <c r="AE633" s="13" t="str">
        <f>_xlfn.XLOOKUP(L633,'[1]ID PROJECT'!E:E,'[1]ID PROJECT'!F:F)</f>
        <v xml:space="preserve">PRJ-KUT-KPU-TPED-2026-04-00071 </v>
      </c>
      <c r="AF633" s="13"/>
      <c r="AG633" s="13"/>
      <c r="AH633" s="65"/>
      <c r="AI633" s="27"/>
    </row>
    <row r="634" spans="1:35" hidden="1">
      <c r="A634" s="13" t="s">
        <v>752</v>
      </c>
      <c r="B634" s="13" t="str">
        <f>_xlfn.XLOOKUP(J634,'Master Data 14-9-2026'!C:C,'Master Data 14-9-2026'!D:D)</f>
        <v>Akhmad Syaroni wx1504638</v>
      </c>
      <c r="C634" s="13"/>
      <c r="D634" s="13" t="str">
        <f>_xlfn.XLOOKUP(J634,'Master Data 14-9-2026'!C:C,'Master Data 14-9-2026'!E:E)</f>
        <v>IOH</v>
      </c>
      <c r="E634" s="13"/>
      <c r="F634" s="13"/>
      <c r="G634" s="13" t="s">
        <v>31</v>
      </c>
      <c r="H634" s="13" t="str">
        <f>_xlfn.XLOOKUP(J634,'Master Data 14-9-2026'!C:C,'Master Data 14-9-2026'!H:H)</f>
        <v>2026-08-30 - 2026-09-29</v>
      </c>
      <c r="I634" s="13" t="str">
        <f t="shared" si="9"/>
        <v>August</v>
      </c>
      <c r="J634" s="13" t="s">
        <v>1926</v>
      </c>
      <c r="K634" s="13" t="s">
        <v>1898</v>
      </c>
      <c r="L634" s="13" t="s">
        <v>441</v>
      </c>
      <c r="M634" s="15">
        <v>200003220084020</v>
      </c>
      <c r="N634" s="13" t="s">
        <v>924</v>
      </c>
      <c r="O634" s="13">
        <v>1.09120260721002E+17</v>
      </c>
      <c r="P634" s="13" t="s">
        <v>1899</v>
      </c>
      <c r="Q634" s="18">
        <v>22</v>
      </c>
      <c r="R634" s="18">
        <v>1</v>
      </c>
      <c r="S634" s="13">
        <v>8828132635</v>
      </c>
      <c r="T634" s="13" t="s">
        <v>926</v>
      </c>
      <c r="U634" s="19">
        <v>34220600</v>
      </c>
      <c r="V634" s="18">
        <v>1</v>
      </c>
      <c r="W634" s="18">
        <f>_xlfn.XLOOKUP(J634,'Master Data 14-9-2026'!C:C,'Master Data 14-9-2026'!L:L)</f>
        <v>0</v>
      </c>
      <c r="X634" s="23">
        <v>34220600</v>
      </c>
      <c r="Y634" s="13" t="s">
        <v>1599</v>
      </c>
      <c r="Z634" s="24" t="s">
        <v>984</v>
      </c>
      <c r="AA634" s="4" t="s">
        <v>1288</v>
      </c>
      <c r="AB634" s="40" t="s">
        <v>44</v>
      </c>
      <c r="AC634" s="13"/>
      <c r="AD634" s="13"/>
      <c r="AE634" s="13" t="str">
        <f>_xlfn.XLOOKUP(L634,'[1]ID PROJECT'!E:E,'[1]ID PROJECT'!F:F)</f>
        <v xml:space="preserve">PRJ-KUT-KPU-TPED-2026-04-00071 </v>
      </c>
      <c r="AF634" s="13"/>
      <c r="AG634" s="13"/>
      <c r="AH634" s="65"/>
      <c r="AI634" s="27"/>
    </row>
    <row r="635" spans="1:35">
      <c r="A635" s="13" t="s">
        <v>746</v>
      </c>
      <c r="B635" s="13" t="str">
        <f>_xlfn.XLOOKUP(J635,'Master Data 14-9-2026'!C:C,'Master Data 14-9-2026'!D:D)</f>
        <v>Bahagia Aprilia wx1507363</v>
      </c>
      <c r="C635" s="13"/>
      <c r="D635" s="13" t="str">
        <f>_xlfn.XLOOKUP(J635,'Master Data 14-9-2026'!C:C,'Master Data 14-9-2026'!E:E)</f>
        <v>IOH</v>
      </c>
      <c r="E635" s="13" t="s">
        <v>1901</v>
      </c>
      <c r="F635" s="13"/>
      <c r="G635" s="13" t="s">
        <v>18</v>
      </c>
      <c r="H635" s="13" t="str">
        <f>_xlfn.XLOOKUP(J635,'Master Data 14-9-2026'!C:C,'Master Data 14-9-2026'!H:H)</f>
        <v>2026-05-01 - 2026-05-31</v>
      </c>
      <c r="I635" s="13" t="str">
        <f t="shared" si="9"/>
        <v>May</v>
      </c>
      <c r="J635" s="13" t="s">
        <v>1927</v>
      </c>
      <c r="K635" s="13" t="s">
        <v>1898</v>
      </c>
      <c r="L635" s="13" t="s">
        <v>441</v>
      </c>
      <c r="M635" s="15">
        <v>200003220085020</v>
      </c>
      <c r="N635" s="13" t="s">
        <v>924</v>
      </c>
      <c r="O635" s="13">
        <v>1.09120260721002E+17</v>
      </c>
      <c r="P635" s="13" t="s">
        <v>1899</v>
      </c>
      <c r="Q635" s="18">
        <v>23</v>
      </c>
      <c r="R635" s="18">
        <v>1</v>
      </c>
      <c r="S635" s="13">
        <v>8828132635</v>
      </c>
      <c r="T635" s="13" t="s">
        <v>926</v>
      </c>
      <c r="U635" s="19">
        <v>34220600</v>
      </c>
      <c r="V635" s="18">
        <v>1</v>
      </c>
      <c r="W635" s="18">
        <f>_xlfn.XLOOKUP(J635,'Master Data 14-9-2026'!C:C,'Master Data 14-9-2026'!L:L)</f>
        <v>0.52</v>
      </c>
      <c r="X635" s="23">
        <v>34220600</v>
      </c>
      <c r="Y635" s="13" t="s">
        <v>1599</v>
      </c>
      <c r="Z635" s="24" t="s">
        <v>15</v>
      </c>
      <c r="AA635" s="4" t="s">
        <v>934</v>
      </c>
      <c r="AB635" s="13"/>
      <c r="AC635" s="13"/>
      <c r="AD635" s="40" t="s">
        <v>935</v>
      </c>
      <c r="AE635" s="13" t="str">
        <f>_xlfn.XLOOKUP(L635,'[1]ID PROJECT'!E:E,'[1]ID PROJECT'!F:F)</f>
        <v xml:space="preserve">PRJ-KUT-KPU-TPED-2026-04-00071 </v>
      </c>
      <c r="AF635" s="39" t="s">
        <v>3371</v>
      </c>
      <c r="AG635" s="40" t="s">
        <v>3401</v>
      </c>
      <c r="AH635" s="65">
        <v>46269</v>
      </c>
      <c r="AI635" s="41" t="s">
        <v>967</v>
      </c>
    </row>
    <row r="636" spans="1:35" hidden="1">
      <c r="A636" s="13" t="s">
        <v>746</v>
      </c>
      <c r="B636" s="13" t="str">
        <f>_xlfn.XLOOKUP(J636,'Master Data 14-9-2026'!C:C,'Master Data 14-9-2026'!D:D)</f>
        <v>Bahagia Aprilia wx1507363</v>
      </c>
      <c r="C636" s="13"/>
      <c r="D636" s="13" t="str">
        <f>_xlfn.XLOOKUP(J636,'Master Data 14-9-2026'!C:C,'Master Data 14-9-2026'!E:E)</f>
        <v>IOH</v>
      </c>
      <c r="E636" s="13"/>
      <c r="F636" s="13"/>
      <c r="G636" s="13" t="s">
        <v>22</v>
      </c>
      <c r="H636" s="13" t="str">
        <f>_xlfn.XLOOKUP(J636,'Master Data 14-9-2026'!C:C,'Master Data 14-9-2026'!H:H)</f>
        <v>2026-06-01 - 2026-06-30</v>
      </c>
      <c r="I636" s="13" t="str">
        <f t="shared" si="9"/>
        <v>June</v>
      </c>
      <c r="J636" s="13" t="s">
        <v>1928</v>
      </c>
      <c r="K636" s="13" t="s">
        <v>1898</v>
      </c>
      <c r="L636" s="13" t="s">
        <v>441</v>
      </c>
      <c r="M636" s="15">
        <v>200003220086020</v>
      </c>
      <c r="N636" s="13" t="s">
        <v>924</v>
      </c>
      <c r="O636" s="13">
        <v>1.09120260721002E+17</v>
      </c>
      <c r="P636" s="13" t="s">
        <v>1899</v>
      </c>
      <c r="Q636" s="18">
        <v>24</v>
      </c>
      <c r="R636" s="18">
        <v>1</v>
      </c>
      <c r="S636" s="13">
        <v>8828132635</v>
      </c>
      <c r="T636" s="13" t="s">
        <v>926</v>
      </c>
      <c r="U636" s="19">
        <v>34220600</v>
      </c>
      <c r="V636" s="18">
        <v>1</v>
      </c>
      <c r="W636" s="18">
        <f>_xlfn.XLOOKUP(J636,'Master Data 14-9-2026'!C:C,'Master Data 14-9-2026'!L:L)</f>
        <v>0.74</v>
      </c>
      <c r="X636" s="23">
        <v>34220600</v>
      </c>
      <c r="Y636" s="13" t="s">
        <v>1599</v>
      </c>
      <c r="Z636" s="24" t="str">
        <f>_xlfn.XLOOKUP(J636,'Master Data 14-9-2026'!C:C,'Master Data 14-9-2026'!I:I)</f>
        <v>Ended</v>
      </c>
      <c r="AA636" s="4" t="s">
        <v>1288</v>
      </c>
      <c r="AB636" s="13"/>
      <c r="AC636" s="13"/>
      <c r="AD636" s="13"/>
      <c r="AE636" s="13" t="str">
        <f>_xlfn.XLOOKUP(L636,'[1]ID PROJECT'!E:E,'[1]ID PROJECT'!F:F)</f>
        <v xml:space="preserve">PRJ-KUT-KPU-TPED-2026-04-00071 </v>
      </c>
      <c r="AF636" s="13"/>
      <c r="AG636" s="13"/>
      <c r="AH636" s="65"/>
      <c r="AI636" s="27"/>
    </row>
    <row r="637" spans="1:35" hidden="1">
      <c r="A637" s="13" t="s">
        <v>746</v>
      </c>
      <c r="B637" s="13" t="str">
        <f>_xlfn.XLOOKUP(J637,'Master Data 14-9-2026'!C:C,'Master Data 14-9-2026'!D:D)</f>
        <v>Bahagia Aprilia wx1507363</v>
      </c>
      <c r="C637" s="13"/>
      <c r="D637" s="13" t="str">
        <f>_xlfn.XLOOKUP(J637,'Master Data 14-9-2026'!C:C,'Master Data 14-9-2026'!E:E)</f>
        <v>IOH</v>
      </c>
      <c r="E637" s="13"/>
      <c r="F637" s="13"/>
      <c r="G637" s="13" t="s">
        <v>25</v>
      </c>
      <c r="H637" s="13" t="str">
        <f>_xlfn.XLOOKUP(J637,'Master Data 14-9-2026'!C:C,'Master Data 14-9-2026'!H:H)</f>
        <v>2026-07-01 - 2026-07-31</v>
      </c>
      <c r="I637" s="13" t="str">
        <f t="shared" si="9"/>
        <v>July</v>
      </c>
      <c r="J637" s="13" t="s">
        <v>1929</v>
      </c>
      <c r="K637" s="13" t="s">
        <v>1898</v>
      </c>
      <c r="L637" s="13" t="s">
        <v>441</v>
      </c>
      <c r="M637" s="15">
        <v>200003220087020</v>
      </c>
      <c r="N637" s="13" t="s">
        <v>924</v>
      </c>
      <c r="O637" s="13">
        <v>1.09120260721002E+17</v>
      </c>
      <c r="P637" s="13" t="s">
        <v>1899</v>
      </c>
      <c r="Q637" s="18">
        <v>25</v>
      </c>
      <c r="R637" s="18">
        <v>1</v>
      </c>
      <c r="S637" s="13">
        <v>8828132635</v>
      </c>
      <c r="T637" s="13" t="s">
        <v>926</v>
      </c>
      <c r="U637" s="19">
        <v>34220600</v>
      </c>
      <c r="V637" s="18">
        <v>1</v>
      </c>
      <c r="W637" s="18">
        <f>_xlfn.XLOOKUP(J637,'Master Data 14-9-2026'!C:C,'Master Data 14-9-2026'!L:L)</f>
        <v>0.5</v>
      </c>
      <c r="X637" s="23">
        <v>34220600</v>
      </c>
      <c r="Y637" s="13" t="s">
        <v>1599</v>
      </c>
      <c r="Z637" s="24" t="s">
        <v>15</v>
      </c>
      <c r="AA637" s="4" t="s">
        <v>1288</v>
      </c>
      <c r="AB637" s="13"/>
      <c r="AC637" s="13"/>
      <c r="AD637" s="13"/>
      <c r="AE637" s="13" t="str">
        <f>_xlfn.XLOOKUP(L637,'[1]ID PROJECT'!E:E,'[1]ID PROJECT'!F:F)</f>
        <v xml:space="preserve">PRJ-KUT-KPU-TPED-2026-04-00071 </v>
      </c>
      <c r="AF637" s="13"/>
      <c r="AG637" s="13"/>
      <c r="AH637" s="65"/>
      <c r="AI637" s="27"/>
    </row>
    <row r="638" spans="1:35">
      <c r="A638" s="13" t="s">
        <v>211</v>
      </c>
      <c r="B638" s="13" t="str">
        <f>_xlfn.XLOOKUP(J638,'Master Data 14-9-2026'!C:C,'Master Data 14-9-2026'!D:D)</f>
        <v>Lidya Juwita Apriliani wx1504642</v>
      </c>
      <c r="C638" s="13"/>
      <c r="D638" s="13" t="str">
        <f>_xlfn.XLOOKUP(J638,'Master Data 14-9-2026'!C:C,'Master Data 14-9-2026'!E:E)</f>
        <v>IOH</v>
      </c>
      <c r="E638" s="13"/>
      <c r="F638" s="13"/>
      <c r="G638" s="13" t="s">
        <v>28</v>
      </c>
      <c r="H638" s="13" t="str">
        <f>_xlfn.XLOOKUP(J638,'Master Data 14-9-2026'!C:C,'Master Data 14-9-2026'!H:H)</f>
        <v>2026-07-31 - 2026-08-30</v>
      </c>
      <c r="I638" s="13" t="str">
        <f t="shared" si="9"/>
        <v>July</v>
      </c>
      <c r="J638" s="13" t="s">
        <v>1930</v>
      </c>
      <c r="K638" s="16" t="s">
        <v>1930</v>
      </c>
      <c r="L638" s="13" t="s">
        <v>441</v>
      </c>
      <c r="M638" s="15">
        <v>200003223219020</v>
      </c>
      <c r="N638" s="13" t="s">
        <v>924</v>
      </c>
      <c r="O638" s="13">
        <v>1.0912026072200301E+17</v>
      </c>
      <c r="P638" s="13" t="s">
        <v>1931</v>
      </c>
      <c r="Q638" s="18">
        <v>1</v>
      </c>
      <c r="R638" s="18">
        <v>1</v>
      </c>
      <c r="S638" s="13">
        <v>8828132633</v>
      </c>
      <c r="T638" s="13" t="s">
        <v>951</v>
      </c>
      <c r="U638" s="19">
        <v>28881900</v>
      </c>
      <c r="V638" s="18">
        <v>1</v>
      </c>
      <c r="W638" s="18">
        <f>_xlfn.XLOOKUP(J638,'Master Data 14-9-2026'!C:C,'Master Data 14-9-2026'!L:L)</f>
        <v>1</v>
      </c>
      <c r="X638" s="23">
        <v>28881900</v>
      </c>
      <c r="Y638" s="13" t="s">
        <v>1932</v>
      </c>
      <c r="Z638" s="24" t="str">
        <f>_xlfn.XLOOKUP(J638,'Master Data 14-9-2026'!C:C,'Master Data 14-9-2026'!I:I)</f>
        <v>Ended</v>
      </c>
      <c r="AA638" s="39" t="s">
        <v>934</v>
      </c>
      <c r="AB638" s="13"/>
      <c r="AC638" s="13"/>
      <c r="AD638" s="40" t="s">
        <v>935</v>
      </c>
      <c r="AE638" s="13" t="str">
        <f>_xlfn.XLOOKUP(L638,'[1]ID PROJECT'!E:E,'[1]ID PROJECT'!F:F)</f>
        <v xml:space="preserve">PRJ-KUT-KPU-TPED-2026-04-00071 </v>
      </c>
      <c r="AF638" s="39" t="s">
        <v>4121</v>
      </c>
      <c r="AG638" s="13" t="s">
        <v>4126</v>
      </c>
      <c r="AH638" s="65">
        <v>46275</v>
      </c>
      <c r="AI638" s="41" t="s">
        <v>967</v>
      </c>
    </row>
    <row r="639" spans="1:35" hidden="1">
      <c r="A639" s="13" t="s">
        <v>812</v>
      </c>
      <c r="B639" s="13" t="str">
        <f>_xlfn.XLOOKUP(J639,'Master Data 14-9-2026'!C:C,'Master Data 14-9-2026'!D:D)</f>
        <v>Muh Noer Fajar wx1526961</v>
      </c>
      <c r="C639" s="13"/>
      <c r="D639" s="13" t="str">
        <f>_xlfn.XLOOKUP(J639,'Master Data 14-9-2026'!C:C,'Master Data 14-9-2026'!E:E)</f>
        <v>IOH</v>
      </c>
      <c r="E639" s="13"/>
      <c r="F639" s="13"/>
      <c r="G639" s="13" t="s">
        <v>22</v>
      </c>
      <c r="H639" s="13" t="str">
        <f>_xlfn.XLOOKUP(J639,'Master Data 14-9-2026'!C:C,'Master Data 14-9-2026'!H:H)</f>
        <v>2026-08-10 - 2026-09-09</v>
      </c>
      <c r="I639" s="13" t="str">
        <f t="shared" si="9"/>
        <v>August</v>
      </c>
      <c r="J639" s="13" t="s">
        <v>1933</v>
      </c>
      <c r="K639" s="13" t="s">
        <v>1933</v>
      </c>
      <c r="L639" s="13" t="s">
        <v>441</v>
      </c>
      <c r="M639" s="15">
        <v>200003223221020</v>
      </c>
      <c r="N639" s="13" t="s">
        <v>924</v>
      </c>
      <c r="O639" s="13">
        <v>1.0912026072200301E+17</v>
      </c>
      <c r="P639" s="13" t="s">
        <v>1931</v>
      </c>
      <c r="Q639" s="18">
        <v>2</v>
      </c>
      <c r="R639" s="18">
        <v>1</v>
      </c>
      <c r="S639" s="13">
        <v>8828132635</v>
      </c>
      <c r="T639" s="13" t="s">
        <v>926</v>
      </c>
      <c r="U639" s="19">
        <v>34220600</v>
      </c>
      <c r="V639" s="18">
        <v>1</v>
      </c>
      <c r="W639" s="18">
        <f>_xlfn.XLOOKUP(J639,'Master Data 14-9-2026'!C:C,'Master Data 14-9-2026'!L:L)</f>
        <v>0</v>
      </c>
      <c r="X639" s="23">
        <v>34220600</v>
      </c>
      <c r="Y639" s="13" t="s">
        <v>1932</v>
      </c>
      <c r="Z639" s="24" t="s">
        <v>33</v>
      </c>
      <c r="AA639" s="4" t="s">
        <v>1288</v>
      </c>
      <c r="AB639" s="40" t="s">
        <v>44</v>
      </c>
      <c r="AC639" s="13"/>
      <c r="AD639" s="13"/>
      <c r="AE639" s="13" t="str">
        <f>_xlfn.XLOOKUP(L639,'[1]ID PROJECT'!E:E,'[1]ID PROJECT'!F:F)</f>
        <v xml:space="preserve">PRJ-KUT-KPU-TPED-2026-04-00071 </v>
      </c>
      <c r="AF639" s="13"/>
      <c r="AG639" s="13"/>
      <c r="AH639" s="65"/>
      <c r="AI639" s="27"/>
    </row>
    <row r="640" spans="1:35" hidden="1">
      <c r="A640" s="13" t="s">
        <v>750</v>
      </c>
      <c r="B640" s="13" t="str">
        <f>_xlfn.XLOOKUP(J640,'Master Data 14-9-2026'!C:C,'Master Data 14-9-2026'!D:D)</f>
        <v>Muhammad Suprijanto wx1503655</v>
      </c>
      <c r="C640" s="13"/>
      <c r="D640" s="13" t="str">
        <f>_xlfn.XLOOKUP(J640,'Master Data 14-9-2026'!C:C,'Master Data 14-9-2026'!E:E)</f>
        <v>IOH</v>
      </c>
      <c r="E640" s="13"/>
      <c r="F640" s="13"/>
      <c r="G640" s="13" t="s">
        <v>28</v>
      </c>
      <c r="H640" s="13" t="str">
        <f>_xlfn.XLOOKUP(J640,'Master Data 14-9-2026'!C:C,'Master Data 14-9-2026'!H:H)</f>
        <v>2026-08-01 - 2026-08-31</v>
      </c>
      <c r="I640" s="13" t="str">
        <f t="shared" si="9"/>
        <v>August</v>
      </c>
      <c r="J640" s="13" t="s">
        <v>1934</v>
      </c>
      <c r="K640" s="13" t="s">
        <v>1934</v>
      </c>
      <c r="L640" s="13" t="s">
        <v>468</v>
      </c>
      <c r="M640" s="15">
        <v>200003223223020</v>
      </c>
      <c r="N640" s="13" t="s">
        <v>924</v>
      </c>
      <c r="O640" s="13">
        <v>1.0912026072200301E+17</v>
      </c>
      <c r="P640" s="13" t="s">
        <v>1931</v>
      </c>
      <c r="Q640" s="18">
        <v>3</v>
      </c>
      <c r="R640" s="18">
        <v>1</v>
      </c>
      <c r="S640" s="13">
        <v>8828132635</v>
      </c>
      <c r="T640" s="13" t="s">
        <v>926</v>
      </c>
      <c r="U640" s="19">
        <v>34220600</v>
      </c>
      <c r="V640" s="18">
        <v>1</v>
      </c>
      <c r="W640" s="18">
        <f>_xlfn.XLOOKUP(J640,'Master Data 14-9-2026'!C:C,'Master Data 14-9-2026'!L:L)</f>
        <v>1.5</v>
      </c>
      <c r="X640" s="23">
        <v>34220600</v>
      </c>
      <c r="Y640" s="13" t="s">
        <v>1932</v>
      </c>
      <c r="Z640" s="24" t="s">
        <v>33</v>
      </c>
      <c r="AA640" s="4" t="s">
        <v>1288</v>
      </c>
      <c r="AB640" s="13" t="s">
        <v>1600</v>
      </c>
      <c r="AC640" s="13"/>
      <c r="AD640" s="13"/>
      <c r="AE640" s="13" t="str">
        <f>_xlfn.XLOOKUP(L640,'[1]ID PROJECT'!E:E,'[1]ID PROJECT'!F:F)</f>
        <v>PRJ-KUT-KPU-TPED-2026-04-00075</v>
      </c>
      <c r="AF640" s="13"/>
      <c r="AG640" s="13"/>
      <c r="AH640" s="65"/>
      <c r="AI640" s="27"/>
    </row>
    <row r="641" spans="1:35" hidden="1">
      <c r="A641" s="13" t="s">
        <v>639</v>
      </c>
      <c r="B641" s="13" t="str">
        <f>_xlfn.XLOOKUP(J641,'Master Data 14-9-2026'!C:C,'Master Data 14-9-2026'!D:D)</f>
        <v>Rezka Rifka Rezkia WX1530246</v>
      </c>
      <c r="C641" s="13"/>
      <c r="D641" s="13" t="str">
        <f>_xlfn.XLOOKUP(J641,'Master Data 14-9-2026'!C:C,'Master Data 14-9-2026'!E:E)</f>
        <v>IOH</v>
      </c>
      <c r="E641" s="13"/>
      <c r="F641" s="13"/>
      <c r="G641" s="13" t="s">
        <v>18</v>
      </c>
      <c r="H641" s="13" t="str">
        <f>_xlfn.XLOOKUP(J641,'Master Data 14-9-2026'!C:C,'Master Data 14-9-2026'!H:H)</f>
        <v>2026-07-26 - 2026-08-25</v>
      </c>
      <c r="I641" s="13" t="str">
        <f t="shared" si="9"/>
        <v>July</v>
      </c>
      <c r="J641" s="13" t="s">
        <v>1935</v>
      </c>
      <c r="K641" s="13" t="s">
        <v>1935</v>
      </c>
      <c r="L641" s="13" t="s">
        <v>441</v>
      </c>
      <c r="M641" s="15">
        <v>200003223270020</v>
      </c>
      <c r="N641" s="13" t="s">
        <v>924</v>
      </c>
      <c r="O641" s="13">
        <v>1.0912026072200301E+17</v>
      </c>
      <c r="P641" s="13" t="s">
        <v>1931</v>
      </c>
      <c r="Q641" s="18">
        <v>4</v>
      </c>
      <c r="R641" s="18">
        <v>1</v>
      </c>
      <c r="S641" s="13">
        <v>8828132634</v>
      </c>
      <c r="T641" s="13" t="s">
        <v>978</v>
      </c>
      <c r="U641" s="19">
        <v>32542400</v>
      </c>
      <c r="V641" s="18">
        <v>1</v>
      </c>
      <c r="W641" s="18">
        <f>_xlfn.XLOOKUP(J641,'Master Data 14-9-2026'!C:C,'Master Data 14-9-2026'!L:L)</f>
        <v>0.5</v>
      </c>
      <c r="X641" s="23">
        <v>32542400</v>
      </c>
      <c r="Y641" s="13" t="s">
        <v>1932</v>
      </c>
      <c r="Z641" s="24" t="s">
        <v>33</v>
      </c>
      <c r="AA641" s="4" t="s">
        <v>1288</v>
      </c>
      <c r="AB641" s="13" t="s">
        <v>1289</v>
      </c>
      <c r="AC641" s="13"/>
      <c r="AD641" s="13"/>
      <c r="AE641" s="13" t="str">
        <f>_xlfn.XLOOKUP(L641,'[1]ID PROJECT'!E:E,'[1]ID PROJECT'!F:F)</f>
        <v xml:space="preserve">PRJ-KUT-KPU-TPED-2026-04-00071 </v>
      </c>
      <c r="AF641" s="13"/>
      <c r="AG641" s="13"/>
      <c r="AH641" s="65"/>
      <c r="AI641" s="27"/>
    </row>
    <row r="642" spans="1:35" hidden="1">
      <c r="A642" s="13" t="s">
        <v>572</v>
      </c>
      <c r="B642" s="13" t="str">
        <f>_xlfn.XLOOKUP(J642,'Master Data 14-9-2026'!C:C,'Master Data 14-9-2026'!D:D)</f>
        <v>SUHERDI HERI HERTANTO WX1529425</v>
      </c>
      <c r="C642" s="13"/>
      <c r="D642" s="13" t="str">
        <f>_xlfn.XLOOKUP(J642,'Master Data 14-9-2026'!C:C,'Master Data 14-9-2026'!E:E)</f>
        <v>IOH</v>
      </c>
      <c r="E642" s="13"/>
      <c r="F642" s="13"/>
      <c r="G642" s="13" t="s">
        <v>13</v>
      </c>
      <c r="H642" s="13" t="str">
        <f>_xlfn.XLOOKUP(J642,'Master Data 14-9-2026'!C:C,'Master Data 14-9-2026'!H:H)</f>
        <v>2026-06-23 - 2026-07-22</v>
      </c>
      <c r="I642" s="13" t="str">
        <f t="shared" si="9"/>
        <v>June</v>
      </c>
      <c r="J642" s="13" t="s">
        <v>1936</v>
      </c>
      <c r="K642" s="13" t="s">
        <v>1936</v>
      </c>
      <c r="L642" s="13" t="s">
        <v>441</v>
      </c>
      <c r="M642" s="15">
        <v>200003223271020</v>
      </c>
      <c r="N642" s="13" t="s">
        <v>924</v>
      </c>
      <c r="O642" s="13">
        <v>1.0912026072200301E+17</v>
      </c>
      <c r="P642" s="13" t="s">
        <v>1931</v>
      </c>
      <c r="Q642" s="18">
        <v>5</v>
      </c>
      <c r="R642" s="18">
        <v>1</v>
      </c>
      <c r="S642" s="13">
        <v>8828132634</v>
      </c>
      <c r="T642" s="13" t="s">
        <v>978</v>
      </c>
      <c r="U642" s="19">
        <v>32542400</v>
      </c>
      <c r="V642" s="18">
        <v>1</v>
      </c>
      <c r="W642" s="18">
        <f>_xlfn.XLOOKUP(J642,'Master Data 14-9-2026'!C:C,'Master Data 14-9-2026'!L:L)</f>
        <v>0</v>
      </c>
      <c r="X642" s="23">
        <v>32542400</v>
      </c>
      <c r="Y642" s="13" t="s">
        <v>1932</v>
      </c>
      <c r="Z642" s="24" t="str">
        <f>_xlfn.XLOOKUP(J642,'Master Data 14-9-2026'!C:C,'Master Data 14-9-2026'!I:I)</f>
        <v>Ended</v>
      </c>
      <c r="AA642" s="4" t="s">
        <v>1288</v>
      </c>
      <c r="AB642" s="40" t="s">
        <v>44</v>
      </c>
      <c r="AC642" s="13"/>
      <c r="AD642" s="13"/>
      <c r="AE642" s="13" t="str">
        <f>_xlfn.XLOOKUP(L642,'[1]ID PROJECT'!E:E,'[1]ID PROJECT'!F:F)</f>
        <v xml:space="preserve">PRJ-KUT-KPU-TPED-2026-04-00071 </v>
      </c>
      <c r="AF642" s="13"/>
      <c r="AG642" s="13"/>
      <c r="AH642" s="65"/>
      <c r="AI642" s="27"/>
    </row>
    <row r="643" spans="1:35" hidden="1">
      <c r="A643" s="13" t="s">
        <v>572</v>
      </c>
      <c r="B643" s="13" t="str">
        <f>_xlfn.XLOOKUP(J643,'Master Data 14-9-2026'!C:C,'Master Data 14-9-2026'!D:D)</f>
        <v>SUHERDI HERI HERTANTO WX1529425</v>
      </c>
      <c r="C643" s="13"/>
      <c r="D643" s="13" t="str">
        <f>_xlfn.XLOOKUP(J643,'Master Data 14-9-2026'!C:C,'Master Data 14-9-2026'!E:E)</f>
        <v>IOH</v>
      </c>
      <c r="E643" s="13"/>
      <c r="F643" s="13"/>
      <c r="G643" s="13" t="s">
        <v>18</v>
      </c>
      <c r="H643" s="13" t="str">
        <f>_xlfn.XLOOKUP(J643,'Master Data 14-9-2026'!C:C,'Master Data 14-9-2026'!H:H)</f>
        <v>2026-07-23 - 2026-08-22</v>
      </c>
      <c r="I643" s="13" t="str">
        <f t="shared" ref="I643:I706" si="10">TEXT(DATEVALUE(LEFT(H643,10)),"mmmm")</f>
        <v>July</v>
      </c>
      <c r="J643" s="13" t="s">
        <v>1937</v>
      </c>
      <c r="K643" s="13" t="s">
        <v>1937</v>
      </c>
      <c r="L643" s="13" t="s">
        <v>441</v>
      </c>
      <c r="M643" s="15">
        <v>200003223272020</v>
      </c>
      <c r="N643" s="13" t="s">
        <v>924</v>
      </c>
      <c r="O643" s="13">
        <v>1.0912026072200301E+17</v>
      </c>
      <c r="P643" s="13" t="s">
        <v>1931</v>
      </c>
      <c r="Q643" s="18">
        <v>6</v>
      </c>
      <c r="R643" s="18">
        <v>1</v>
      </c>
      <c r="S643" s="13">
        <v>8828132634</v>
      </c>
      <c r="T643" s="13" t="s">
        <v>978</v>
      </c>
      <c r="U643" s="19">
        <v>32542400</v>
      </c>
      <c r="V643" s="18">
        <v>1</v>
      </c>
      <c r="W643" s="18">
        <f>_xlfn.XLOOKUP(J643,'Master Data 14-9-2026'!C:C,'Master Data 14-9-2026'!L:L)</f>
        <v>0</v>
      </c>
      <c r="X643" s="23">
        <v>32542400</v>
      </c>
      <c r="Y643" s="13" t="s">
        <v>1932</v>
      </c>
      <c r="Z643" s="24" t="s">
        <v>33</v>
      </c>
      <c r="AA643" s="4" t="s">
        <v>1288</v>
      </c>
      <c r="AB643" s="40" t="s">
        <v>44</v>
      </c>
      <c r="AC643" s="13"/>
      <c r="AD643" s="13"/>
      <c r="AE643" s="13" t="str">
        <f>_xlfn.XLOOKUP(L643,'[1]ID PROJECT'!E:E,'[1]ID PROJECT'!F:F)</f>
        <v xml:space="preserve">PRJ-KUT-KPU-TPED-2026-04-00071 </v>
      </c>
      <c r="AF643" s="13"/>
      <c r="AG643" s="13"/>
      <c r="AH643" s="65"/>
      <c r="AI643" s="27"/>
    </row>
    <row r="644" spans="1:35" hidden="1">
      <c r="A644" s="13" t="s">
        <v>837</v>
      </c>
      <c r="B644" s="13" t="str">
        <f>_xlfn.XLOOKUP(J644,'Master Data 14-9-2026'!C:C,'Master Data 14-9-2026'!D:D)</f>
        <v>Dian Rahmanda wx1522831</v>
      </c>
      <c r="C644" s="13"/>
      <c r="D644" s="13" t="str">
        <f>_xlfn.XLOOKUP(J644,'Master Data 14-9-2026'!C:C,'Master Data 14-9-2026'!E:E)</f>
        <v>IOH</v>
      </c>
      <c r="E644" s="13"/>
      <c r="F644" s="13"/>
      <c r="G644" s="13" t="s">
        <v>22</v>
      </c>
      <c r="H644" s="13" t="str">
        <f>_xlfn.XLOOKUP(J644,'Master Data 14-9-2026'!C:C,'Master Data 14-9-2026'!H:H)</f>
        <v>2026-08-02 - 2026-09-01</v>
      </c>
      <c r="I644" s="13" t="str">
        <f t="shared" si="10"/>
        <v>August</v>
      </c>
      <c r="J644" s="13" t="s">
        <v>1938</v>
      </c>
      <c r="K644" s="13" t="s">
        <v>1938</v>
      </c>
      <c r="L644" s="13" t="s">
        <v>441</v>
      </c>
      <c r="M644" s="15">
        <v>200003223207020</v>
      </c>
      <c r="N644" s="13" t="s">
        <v>924</v>
      </c>
      <c r="O644" s="13">
        <v>1.0912026072200301E+17</v>
      </c>
      <c r="P644" s="13" t="s">
        <v>1931</v>
      </c>
      <c r="Q644" s="18">
        <v>7</v>
      </c>
      <c r="R644" s="18">
        <v>1</v>
      </c>
      <c r="S644" s="13">
        <v>8828132635</v>
      </c>
      <c r="T644" s="13" t="s">
        <v>926</v>
      </c>
      <c r="U644" s="19">
        <v>34220600</v>
      </c>
      <c r="V644" s="18">
        <v>1</v>
      </c>
      <c r="W644" s="18">
        <f>_xlfn.XLOOKUP(J644,'Master Data 14-9-2026'!C:C,'Master Data 14-9-2026'!L:L)</f>
        <v>0</v>
      </c>
      <c r="X644" s="23">
        <v>34220600</v>
      </c>
      <c r="Y644" s="13" t="s">
        <v>1932</v>
      </c>
      <c r="Z644" s="24" t="s">
        <v>33</v>
      </c>
      <c r="AA644" s="4" t="s">
        <v>1288</v>
      </c>
      <c r="AB644" s="40" t="s">
        <v>44</v>
      </c>
      <c r="AC644" s="13"/>
      <c r="AD644" s="13"/>
      <c r="AE644" s="13" t="str">
        <f>_xlfn.XLOOKUP(L644,'[1]ID PROJECT'!E:E,'[1]ID PROJECT'!F:F)</f>
        <v xml:space="preserve">PRJ-KUT-KPU-TPED-2026-04-00071 </v>
      </c>
      <c r="AF644" s="13"/>
      <c r="AG644" s="13"/>
      <c r="AH644" s="65"/>
      <c r="AI644" s="27"/>
    </row>
    <row r="645" spans="1:35" hidden="1">
      <c r="A645" s="13" t="s">
        <v>884</v>
      </c>
      <c r="B645" s="13" t="str">
        <f>_xlfn.XLOOKUP(J645,'Master Data 14-9-2026'!C:C,'Master Data 14-9-2026'!D:D)</f>
        <v>Kurnia Rahmawati wx1507140</v>
      </c>
      <c r="C645" s="13"/>
      <c r="D645" s="13" t="str">
        <f>_xlfn.XLOOKUP(J645,'Master Data 14-9-2026'!C:C,'Master Data 14-9-2026'!E:E)</f>
        <v>IOH</v>
      </c>
      <c r="E645" s="13"/>
      <c r="F645" s="13"/>
      <c r="G645" s="13" t="s">
        <v>28</v>
      </c>
      <c r="H645" s="13" t="str">
        <f>_xlfn.XLOOKUP(J645,'Master Data 14-9-2026'!C:C,'Master Data 14-9-2026'!H:H)</f>
        <v>2026-08-01 - 2026-08-31</v>
      </c>
      <c r="I645" s="13" t="str">
        <f t="shared" si="10"/>
        <v>August</v>
      </c>
      <c r="J645" s="13" t="s">
        <v>1939</v>
      </c>
      <c r="K645" s="13" t="s">
        <v>1939</v>
      </c>
      <c r="L645" s="13" t="s">
        <v>500</v>
      </c>
      <c r="M645" s="15">
        <v>200003223218020</v>
      </c>
      <c r="N645" s="13" t="s">
        <v>924</v>
      </c>
      <c r="O645" s="13">
        <v>1.0912026072200301E+17</v>
      </c>
      <c r="P645" s="13" t="s">
        <v>1931</v>
      </c>
      <c r="Q645" s="18">
        <v>8</v>
      </c>
      <c r="R645" s="18">
        <v>1</v>
      </c>
      <c r="S645" s="13">
        <v>8828132635</v>
      </c>
      <c r="T645" s="13" t="s">
        <v>926</v>
      </c>
      <c r="U645" s="19">
        <v>34220600</v>
      </c>
      <c r="V645" s="18">
        <v>1</v>
      </c>
      <c r="W645" s="18">
        <f>_xlfn.XLOOKUP(J645,'Master Data 14-9-2026'!C:C,'Master Data 14-9-2026'!L:L)</f>
        <v>1.5</v>
      </c>
      <c r="X645" s="23">
        <v>34220600</v>
      </c>
      <c r="Y645" s="13" t="s">
        <v>1932</v>
      </c>
      <c r="Z645" s="24" t="s">
        <v>33</v>
      </c>
      <c r="AA645" s="4" t="s">
        <v>1288</v>
      </c>
      <c r="AB645" s="13" t="s">
        <v>1600</v>
      </c>
      <c r="AC645" s="13"/>
      <c r="AD645" s="13"/>
      <c r="AE645" s="13" t="str">
        <f>_xlfn.XLOOKUP(L645,'[1]ID PROJECT'!E:E,'[1]ID PROJECT'!F:F)</f>
        <v>PRJ-KUT-KPU-TPED-2026-04-00080</v>
      </c>
      <c r="AF645" s="13"/>
      <c r="AG645" s="13"/>
      <c r="AH645" s="65"/>
      <c r="AI645" s="27"/>
    </row>
    <row r="646" spans="1:35" hidden="1">
      <c r="A646" s="13" t="s">
        <v>198</v>
      </c>
      <c r="B646" s="13" t="str">
        <f>_xlfn.XLOOKUP(J646,'Master Data 14-9-2026'!C:C,'Master Data 14-9-2026'!D:D)</f>
        <v>Adisty Citra wx1504664</v>
      </c>
      <c r="C646" s="13"/>
      <c r="D646" s="13" t="str">
        <f>_xlfn.XLOOKUP(J646,'Master Data 14-9-2026'!C:C,'Master Data 14-9-2026'!E:E)</f>
        <v>IOH</v>
      </c>
      <c r="E646" s="13"/>
      <c r="F646" s="13"/>
      <c r="G646" s="13" t="s">
        <v>28</v>
      </c>
      <c r="H646" s="13" t="str">
        <f>_xlfn.XLOOKUP(J646,'Master Data 14-9-2026'!C:C,'Master Data 14-9-2026'!H:H)</f>
        <v>2026-07-31 - 2026-08-30</v>
      </c>
      <c r="I646" s="13" t="str">
        <f t="shared" si="10"/>
        <v>July</v>
      </c>
      <c r="J646" s="13" t="s">
        <v>1940</v>
      </c>
      <c r="K646" s="13" t="s">
        <v>1940</v>
      </c>
      <c r="L646" s="13" t="s">
        <v>441</v>
      </c>
      <c r="M646" s="15">
        <v>200003223201020</v>
      </c>
      <c r="N646" s="13" t="s">
        <v>924</v>
      </c>
      <c r="O646" s="13">
        <v>1.0912026072200301E+17</v>
      </c>
      <c r="P646" s="13" t="s">
        <v>1931</v>
      </c>
      <c r="Q646" s="18">
        <v>9</v>
      </c>
      <c r="R646" s="18">
        <v>1</v>
      </c>
      <c r="S646" s="13">
        <v>8828132633</v>
      </c>
      <c r="T646" s="13" t="s">
        <v>951</v>
      </c>
      <c r="U646" s="19">
        <v>28881900</v>
      </c>
      <c r="V646" s="18">
        <v>1</v>
      </c>
      <c r="W646" s="18">
        <f>_xlfn.XLOOKUP(J646,'Master Data 14-9-2026'!C:C,'Master Data 14-9-2026'!L:L)</f>
        <v>1.5</v>
      </c>
      <c r="X646" s="23">
        <v>28881900</v>
      </c>
      <c r="Y646" s="13" t="s">
        <v>1932</v>
      </c>
      <c r="Z646" s="24" t="s">
        <v>984</v>
      </c>
      <c r="AA646" s="4" t="s">
        <v>1288</v>
      </c>
      <c r="AB646" s="13" t="s">
        <v>1600</v>
      </c>
      <c r="AC646" s="13"/>
      <c r="AD646" s="13"/>
      <c r="AE646" s="13" t="str">
        <f>_xlfn.XLOOKUP(L646,'[1]ID PROJECT'!E:E,'[1]ID PROJECT'!F:F)</f>
        <v xml:space="preserve">PRJ-KUT-KPU-TPED-2026-04-00071 </v>
      </c>
      <c r="AF646" s="13"/>
      <c r="AG646" s="13"/>
      <c r="AH646" s="65"/>
      <c r="AI646" s="27"/>
    </row>
    <row r="647" spans="1:35" hidden="1">
      <c r="A647" s="13" t="s">
        <v>1470</v>
      </c>
      <c r="B647" s="13" t="e">
        <f>_xlfn.XLOOKUP(J647,'Master Data 14-9-2026'!C:C,'Master Data 14-9-2026'!D:D)</f>
        <v>#N/A</v>
      </c>
      <c r="C647" s="13"/>
      <c r="D647" s="13" t="e">
        <f>_xlfn.XLOOKUP(J647,'Master Data 14-9-2026'!C:C,'Master Data 14-9-2026'!E:E)</f>
        <v>#N/A</v>
      </c>
      <c r="E647" s="13"/>
      <c r="F647" s="13"/>
      <c r="G647" s="13" t="s">
        <v>22</v>
      </c>
      <c r="H647" s="13" t="e">
        <f>_xlfn.XLOOKUP(J647,'Master Data 14-9-2026'!C:C,'Master Data 14-9-2026'!H:H)</f>
        <v>#N/A</v>
      </c>
      <c r="I647" s="13" t="e">
        <f t="shared" si="10"/>
        <v>#N/A</v>
      </c>
      <c r="J647" s="13" t="s">
        <v>1941</v>
      </c>
      <c r="K647" s="13" t="s">
        <v>1941</v>
      </c>
      <c r="L647" s="13"/>
      <c r="M647" s="15">
        <v>200003223224020</v>
      </c>
      <c r="N647" s="13" t="s">
        <v>924</v>
      </c>
      <c r="O647" s="13">
        <v>1.0912026072200301E+17</v>
      </c>
      <c r="P647" s="13" t="s">
        <v>1931</v>
      </c>
      <c r="Q647" s="18">
        <v>10</v>
      </c>
      <c r="R647" s="18">
        <v>1</v>
      </c>
      <c r="S647" s="13">
        <v>8828132634</v>
      </c>
      <c r="T647" s="13" t="s">
        <v>978</v>
      </c>
      <c r="U647" s="19">
        <v>32542400</v>
      </c>
      <c r="V647" s="18">
        <v>0</v>
      </c>
      <c r="W647" s="18" t="e">
        <f>_xlfn.XLOOKUP(J647,'Master Data 14-9-2026'!C:C,'Master Data 14-9-2026'!L:L)</f>
        <v>#N/A</v>
      </c>
      <c r="X647" s="23">
        <v>0</v>
      </c>
      <c r="Y647" s="13" t="s">
        <v>1932</v>
      </c>
      <c r="Z647" s="24" t="s">
        <v>984</v>
      </c>
      <c r="AA647" s="4" t="s">
        <v>1288</v>
      </c>
      <c r="AB647" s="13"/>
      <c r="AC647" s="13"/>
      <c r="AD647" s="13"/>
      <c r="AE647" s="13" t="e">
        <f>_xlfn.XLOOKUP(L647,'[1]ID PROJECT'!E:E,'[1]ID PROJECT'!F:F)</f>
        <v>#N/A</v>
      </c>
      <c r="AF647" s="13"/>
      <c r="AG647" s="13"/>
      <c r="AH647" s="65"/>
      <c r="AI647" s="27"/>
    </row>
    <row r="648" spans="1:35" hidden="1">
      <c r="A648" s="13" t="s">
        <v>827</v>
      </c>
      <c r="B648" s="13" t="str">
        <f>_xlfn.XLOOKUP(J648,'Master Data 14-9-2026'!C:C,'Master Data 14-9-2026'!D:D)</f>
        <v>Abdul Dedi Halik wx1522830</v>
      </c>
      <c r="C648" s="13"/>
      <c r="D648" s="13" t="str">
        <f>_xlfn.XLOOKUP(J648,'Master Data 14-9-2026'!C:C,'Master Data 14-9-2026'!E:E)</f>
        <v>IOH</v>
      </c>
      <c r="E648" s="13"/>
      <c r="F648" s="13"/>
      <c r="G648" s="13" t="s">
        <v>22</v>
      </c>
      <c r="H648" s="13" t="str">
        <f>_xlfn.XLOOKUP(J648,'Master Data 14-9-2026'!C:C,'Master Data 14-9-2026'!H:H)</f>
        <v>2026-07-25 - 2026-08-24</v>
      </c>
      <c r="I648" s="13" t="str">
        <f t="shared" si="10"/>
        <v>July</v>
      </c>
      <c r="J648" s="13" t="s">
        <v>1942</v>
      </c>
      <c r="K648" s="13" t="s">
        <v>1942</v>
      </c>
      <c r="L648" s="13" t="s">
        <v>441</v>
      </c>
      <c r="M648" s="15">
        <v>200003223200020</v>
      </c>
      <c r="N648" s="13" t="s">
        <v>924</v>
      </c>
      <c r="O648" s="13">
        <v>1.0912026072200301E+17</v>
      </c>
      <c r="P648" s="13" t="s">
        <v>1931</v>
      </c>
      <c r="Q648" s="18">
        <v>11</v>
      </c>
      <c r="R648" s="18">
        <v>1</v>
      </c>
      <c r="S648" s="13">
        <v>8828132635</v>
      </c>
      <c r="T648" s="13" t="s">
        <v>926</v>
      </c>
      <c r="U648" s="19">
        <v>34220600</v>
      </c>
      <c r="V648" s="18">
        <v>1</v>
      </c>
      <c r="W648" s="18">
        <f>_xlfn.XLOOKUP(J648,'Master Data 14-9-2026'!C:C,'Master Data 14-9-2026'!L:L)</f>
        <v>0</v>
      </c>
      <c r="X648" s="23">
        <v>34220600</v>
      </c>
      <c r="Y648" s="13" t="s">
        <v>1932</v>
      </c>
      <c r="Z648" s="24" t="s">
        <v>33</v>
      </c>
      <c r="AA648" s="4" t="s">
        <v>1288</v>
      </c>
      <c r="AB648" s="40" t="s">
        <v>44</v>
      </c>
      <c r="AC648" s="13"/>
      <c r="AD648" s="13"/>
      <c r="AE648" s="13" t="str">
        <f>_xlfn.XLOOKUP(L648,'[1]ID PROJECT'!E:E,'[1]ID PROJECT'!F:F)</f>
        <v xml:space="preserve">PRJ-KUT-KPU-TPED-2026-04-00071 </v>
      </c>
      <c r="AF648" s="13"/>
      <c r="AG648" s="13"/>
      <c r="AH648" s="65"/>
      <c r="AI648" s="27"/>
    </row>
    <row r="649" spans="1:35" hidden="1">
      <c r="A649" s="13" t="s">
        <v>878</v>
      </c>
      <c r="B649" s="13" t="str">
        <f>_xlfn.XLOOKUP(J649,'Master Data 14-9-2026'!C:C,'Master Data 14-9-2026'!D:D)</f>
        <v>Farid Aulia Erdianda wx1507365</v>
      </c>
      <c r="C649" s="13"/>
      <c r="D649" s="13" t="str">
        <f>_xlfn.XLOOKUP(J649,'Master Data 14-9-2026'!C:C,'Master Data 14-9-2026'!E:E)</f>
        <v>IOH</v>
      </c>
      <c r="E649" s="13"/>
      <c r="F649" s="13"/>
      <c r="G649" s="13" t="s">
        <v>28</v>
      </c>
      <c r="H649" s="13" t="str">
        <f>_xlfn.XLOOKUP(J649,'Master Data 14-9-2026'!C:C,'Master Data 14-9-2026'!H:H)</f>
        <v>2026-08-01 - 2026-08-31</v>
      </c>
      <c r="I649" s="13" t="str">
        <f t="shared" si="10"/>
        <v>August</v>
      </c>
      <c r="J649" s="13" t="s">
        <v>1943</v>
      </c>
      <c r="K649" s="13" t="s">
        <v>1943</v>
      </c>
      <c r="L649" s="13" t="s">
        <v>441</v>
      </c>
      <c r="M649" s="15">
        <v>200003223211020</v>
      </c>
      <c r="N649" s="13" t="s">
        <v>924</v>
      </c>
      <c r="O649" s="13">
        <v>1.0912026072200301E+17</v>
      </c>
      <c r="P649" s="13" t="s">
        <v>1931</v>
      </c>
      <c r="Q649" s="18">
        <v>12</v>
      </c>
      <c r="R649" s="18">
        <v>1</v>
      </c>
      <c r="S649" s="13">
        <v>8828132635</v>
      </c>
      <c r="T649" s="13" t="s">
        <v>926</v>
      </c>
      <c r="U649" s="19">
        <v>34220600</v>
      </c>
      <c r="V649" s="18">
        <v>1</v>
      </c>
      <c r="W649" s="18">
        <f>_xlfn.XLOOKUP(J649,'Master Data 14-9-2026'!C:C,'Master Data 14-9-2026'!L:L)</f>
        <v>0</v>
      </c>
      <c r="X649" s="23">
        <v>34220600</v>
      </c>
      <c r="Y649" s="13" t="s">
        <v>1932</v>
      </c>
      <c r="Z649" s="24" t="s">
        <v>33</v>
      </c>
      <c r="AA649" s="4" t="s">
        <v>1288</v>
      </c>
      <c r="AB649" s="40" t="s">
        <v>44</v>
      </c>
      <c r="AC649" s="13"/>
      <c r="AD649" s="13"/>
      <c r="AE649" s="13" t="str">
        <f>_xlfn.XLOOKUP(L649,'[1]ID PROJECT'!E:E,'[1]ID PROJECT'!F:F)</f>
        <v xml:space="preserve">PRJ-KUT-KPU-TPED-2026-04-00071 </v>
      </c>
      <c r="AF649" s="13"/>
      <c r="AG649" s="13"/>
      <c r="AH649" s="65"/>
      <c r="AI649" s="27"/>
    </row>
    <row r="650" spans="1:35" hidden="1">
      <c r="A650" s="13" t="s">
        <v>471</v>
      </c>
      <c r="B650" s="13" t="str">
        <f>_xlfn.XLOOKUP(J650,'Master Data 14-9-2026'!C:C,'Master Data 14-9-2026'!D:D)</f>
        <v>Ivan Arfianto wx1503653</v>
      </c>
      <c r="C650" s="13"/>
      <c r="D650" s="13" t="str">
        <f>_xlfn.XLOOKUP(J650,'Master Data 14-9-2026'!C:C,'Master Data 14-9-2026'!E:E)</f>
        <v>IOH</v>
      </c>
      <c r="E650" s="13"/>
      <c r="F650" s="13"/>
      <c r="G650" s="13" t="s">
        <v>28</v>
      </c>
      <c r="H650" s="13" t="str">
        <f>_xlfn.XLOOKUP(J650,'Master Data 14-9-2026'!C:C,'Master Data 14-9-2026'!H:H)</f>
        <v>2026-08-01 - 2026-08-31</v>
      </c>
      <c r="I650" s="13" t="str">
        <f t="shared" si="10"/>
        <v>August</v>
      </c>
      <c r="J650" s="13" t="s">
        <v>1944</v>
      </c>
      <c r="K650" s="13" t="s">
        <v>1944</v>
      </c>
      <c r="L650" s="13" t="s">
        <v>468</v>
      </c>
      <c r="M650" s="15">
        <v>200003223216020</v>
      </c>
      <c r="N650" s="13" t="s">
        <v>924</v>
      </c>
      <c r="O650" s="13">
        <v>1.0912026072200301E+17</v>
      </c>
      <c r="P650" s="13" t="s">
        <v>1931</v>
      </c>
      <c r="Q650" s="18">
        <v>13</v>
      </c>
      <c r="R650" s="18">
        <v>1</v>
      </c>
      <c r="S650" s="13">
        <v>8828132636</v>
      </c>
      <c r="T650" s="13" t="s">
        <v>933</v>
      </c>
      <c r="U650" s="19">
        <v>36992000</v>
      </c>
      <c r="V650" s="18">
        <v>1</v>
      </c>
      <c r="W650" s="18">
        <f>_xlfn.XLOOKUP(J650,'Master Data 14-9-2026'!C:C,'Master Data 14-9-2026'!L:L)</f>
        <v>1.5</v>
      </c>
      <c r="X650" s="23">
        <v>36992000</v>
      </c>
      <c r="Y650" s="13" t="s">
        <v>1932</v>
      </c>
      <c r="Z650" s="24" t="s">
        <v>33</v>
      </c>
      <c r="AA650" s="4" t="s">
        <v>1288</v>
      </c>
      <c r="AB650" s="13" t="s">
        <v>1600</v>
      </c>
      <c r="AC650" s="13"/>
      <c r="AD650" s="13"/>
      <c r="AE650" s="13" t="str">
        <f>_xlfn.XLOOKUP(L650,'[1]ID PROJECT'!E:E,'[1]ID PROJECT'!F:F)</f>
        <v>PRJ-KUT-KPU-TPED-2026-04-00075</v>
      </c>
      <c r="AF650" s="13"/>
      <c r="AG650" s="13"/>
      <c r="AH650" s="65"/>
      <c r="AI650" s="27"/>
    </row>
    <row r="651" spans="1:35" hidden="1">
      <c r="A651" s="13" t="s">
        <v>738</v>
      </c>
      <c r="B651" s="13" t="str">
        <f>_xlfn.XLOOKUP(J651,'Master Data 14-9-2026'!C:C,'Master Data 14-9-2026'!D:D)</f>
        <v>Kharis Nugraha wx1506943</v>
      </c>
      <c r="C651" s="13"/>
      <c r="D651" s="13" t="str">
        <f>_xlfn.XLOOKUP(J651,'Master Data 14-9-2026'!C:C,'Master Data 14-9-2026'!E:E)</f>
        <v>IOH</v>
      </c>
      <c r="E651" s="13"/>
      <c r="F651" s="13"/>
      <c r="G651" s="13" t="s">
        <v>28</v>
      </c>
      <c r="H651" s="13" t="str">
        <f>_xlfn.XLOOKUP(J651,'Master Data 14-9-2026'!C:C,'Master Data 14-9-2026'!H:H)</f>
        <v>2026-08-01 - 2026-08-31</v>
      </c>
      <c r="I651" s="13" t="str">
        <f t="shared" si="10"/>
        <v>August</v>
      </c>
      <c r="J651" s="13" t="s">
        <v>1945</v>
      </c>
      <c r="K651" s="13" t="s">
        <v>1945</v>
      </c>
      <c r="L651" s="13" t="s">
        <v>441</v>
      </c>
      <c r="M651" s="15">
        <v>200003223217020</v>
      </c>
      <c r="N651" s="13" t="s">
        <v>924</v>
      </c>
      <c r="O651" s="13">
        <v>1.0912026072200301E+17</v>
      </c>
      <c r="P651" s="13" t="s">
        <v>1931</v>
      </c>
      <c r="Q651" s="18">
        <v>14</v>
      </c>
      <c r="R651" s="18">
        <v>1</v>
      </c>
      <c r="S651" s="13">
        <v>8828132635</v>
      </c>
      <c r="T651" s="13" t="s">
        <v>926</v>
      </c>
      <c r="U651" s="19">
        <v>34220600</v>
      </c>
      <c r="V651" s="18">
        <v>1</v>
      </c>
      <c r="W651" s="18">
        <f>_xlfn.XLOOKUP(J651,'Master Data 14-9-2026'!C:C,'Master Data 14-9-2026'!L:L)</f>
        <v>0.5</v>
      </c>
      <c r="X651" s="23">
        <v>34220600</v>
      </c>
      <c r="Y651" s="13" t="s">
        <v>1932</v>
      </c>
      <c r="Z651" s="24" t="s">
        <v>33</v>
      </c>
      <c r="AA651" s="4" t="s">
        <v>1288</v>
      </c>
      <c r="AB651" s="13" t="s">
        <v>1289</v>
      </c>
      <c r="AC651" s="13"/>
      <c r="AD651" s="13"/>
      <c r="AE651" s="13" t="str">
        <f>_xlfn.XLOOKUP(L651,'[1]ID PROJECT'!E:E,'[1]ID PROJECT'!F:F)</f>
        <v xml:space="preserve">PRJ-KUT-KPU-TPED-2026-04-00071 </v>
      </c>
      <c r="AF651" s="13"/>
      <c r="AG651" s="13"/>
      <c r="AH651" s="65"/>
      <c r="AI651" s="27"/>
    </row>
    <row r="652" spans="1:35">
      <c r="A652" s="13" t="s">
        <v>275</v>
      </c>
      <c r="B652" s="13" t="str">
        <f>_xlfn.XLOOKUP(J652,'Master Data 14-9-2026'!C:C,'Master Data 14-9-2026'!D:D)</f>
        <v>Silvana Anindya wx1504712</v>
      </c>
      <c r="C652" s="13"/>
      <c r="D652" s="13" t="str">
        <f>_xlfn.XLOOKUP(J652,'Master Data 14-9-2026'!C:C,'Master Data 14-9-2026'!E:E)</f>
        <v>IOH</v>
      </c>
      <c r="E652" s="13"/>
      <c r="F652" s="13"/>
      <c r="G652" s="13" t="s">
        <v>28</v>
      </c>
      <c r="H652" s="13" t="str">
        <f>_xlfn.XLOOKUP(J652,'Master Data 14-9-2026'!C:C,'Master Data 14-9-2026'!H:H)</f>
        <v>2026-07-31 - 2026-08-30</v>
      </c>
      <c r="I652" s="13" t="str">
        <f t="shared" si="10"/>
        <v>July</v>
      </c>
      <c r="J652" s="13" t="s">
        <v>1946</v>
      </c>
      <c r="K652" s="13" t="s">
        <v>1946</v>
      </c>
      <c r="L652" s="13" t="s">
        <v>441</v>
      </c>
      <c r="M652" s="15">
        <v>200003223229020</v>
      </c>
      <c r="N652" s="13" t="s">
        <v>924</v>
      </c>
      <c r="O652" s="13">
        <v>1.0912026072200301E+17</v>
      </c>
      <c r="P652" s="13" t="s">
        <v>1931</v>
      </c>
      <c r="Q652" s="18">
        <v>15</v>
      </c>
      <c r="R652" s="18">
        <v>1</v>
      </c>
      <c r="S652" s="13">
        <v>8828132633</v>
      </c>
      <c r="T652" s="13" t="s">
        <v>951</v>
      </c>
      <c r="U652" s="19">
        <v>28881900</v>
      </c>
      <c r="V652" s="18">
        <v>1</v>
      </c>
      <c r="W652" s="18">
        <f>_xlfn.XLOOKUP(J652,'Master Data 14-9-2026'!C:C,'Master Data 14-9-2026'!L:L)</f>
        <v>1</v>
      </c>
      <c r="X652" s="23">
        <v>28881900</v>
      </c>
      <c r="Y652" s="13" t="s">
        <v>1932</v>
      </c>
      <c r="Z652" s="24" t="str">
        <f>_xlfn.XLOOKUP(J652,'Master Data 14-9-2026'!C:C,'Master Data 14-9-2026'!I:I)</f>
        <v>Ended</v>
      </c>
      <c r="AA652" s="4" t="s">
        <v>934</v>
      </c>
      <c r="AB652" s="13"/>
      <c r="AC652" s="13"/>
      <c r="AD652" s="40" t="s">
        <v>935</v>
      </c>
      <c r="AE652" s="13" t="str">
        <f>_xlfn.XLOOKUP(L652,'[1]ID PROJECT'!E:E,'[1]ID PROJECT'!F:F)</f>
        <v xml:space="preserve">PRJ-KUT-KPU-TPED-2026-04-00071 </v>
      </c>
      <c r="AF652" s="39" t="s">
        <v>3372</v>
      </c>
      <c r="AG652" s="40" t="s">
        <v>3399</v>
      </c>
      <c r="AH652" s="65">
        <v>46269</v>
      </c>
      <c r="AI652" s="41" t="s">
        <v>967</v>
      </c>
    </row>
    <row r="653" spans="1:35" hidden="1">
      <c r="A653" s="13" t="s">
        <v>581</v>
      </c>
      <c r="B653" s="13" t="str">
        <f>_xlfn.XLOOKUP(J653,'Master Data 14-9-2026'!C:C,'Master Data 14-9-2026'!D:D)</f>
        <v>Tangguh Prihantoro wx1524147</v>
      </c>
      <c r="C653" s="13"/>
      <c r="D653" s="13" t="str">
        <f>_xlfn.XLOOKUP(J653,'Master Data 14-9-2026'!C:C,'Master Data 14-9-2026'!E:E)</f>
        <v>IOH</v>
      </c>
      <c r="E653" s="13"/>
      <c r="F653" s="13"/>
      <c r="G653" s="13" t="s">
        <v>22</v>
      </c>
      <c r="H653" s="13" t="str">
        <f>_xlfn.XLOOKUP(J653,'Master Data 14-9-2026'!C:C,'Master Data 14-9-2026'!H:H)</f>
        <v>2026-08-04 - 2026-09-03</v>
      </c>
      <c r="I653" s="13" t="str">
        <f t="shared" si="10"/>
        <v>August</v>
      </c>
      <c r="J653" s="13" t="s">
        <v>1947</v>
      </c>
      <c r="K653" s="13" t="s">
        <v>1947</v>
      </c>
      <c r="L653" s="13" t="s">
        <v>457</v>
      </c>
      <c r="M653" s="15">
        <v>200003223230020</v>
      </c>
      <c r="N653" s="13" t="s">
        <v>924</v>
      </c>
      <c r="O653" s="13">
        <v>1.0912026072200301E+17</v>
      </c>
      <c r="P653" s="13" t="s">
        <v>1931</v>
      </c>
      <c r="Q653" s="18">
        <v>16</v>
      </c>
      <c r="R653" s="18">
        <v>1</v>
      </c>
      <c r="S653" s="13">
        <v>8828132634</v>
      </c>
      <c r="T653" s="13" t="s">
        <v>978</v>
      </c>
      <c r="U653" s="19">
        <v>32542400</v>
      </c>
      <c r="V653" s="18">
        <v>1</v>
      </c>
      <c r="W653" s="18">
        <f>_xlfn.XLOOKUP(J653,'Master Data 14-9-2026'!C:C,'Master Data 14-9-2026'!L:L)</f>
        <v>0</v>
      </c>
      <c r="X653" s="23">
        <v>32542400</v>
      </c>
      <c r="Y653" s="13" t="s">
        <v>1932</v>
      </c>
      <c r="Z653" s="24" t="s">
        <v>33</v>
      </c>
      <c r="AA653" s="4" t="s">
        <v>1288</v>
      </c>
      <c r="AB653" s="40" t="s">
        <v>44</v>
      </c>
      <c r="AC653" s="13"/>
      <c r="AD653" s="13"/>
      <c r="AE653" s="13" t="str">
        <f>_xlfn.XLOOKUP(L653,'[1]ID PROJECT'!E:E,'[1]ID PROJECT'!F:F)</f>
        <v>PRJ-KUT-KPU-TPED-2026-04-00076</v>
      </c>
      <c r="AF653" s="13"/>
      <c r="AG653" s="13"/>
      <c r="AH653" s="65"/>
      <c r="AI653" s="27"/>
    </row>
    <row r="654" spans="1:35">
      <c r="A654" s="13" t="s">
        <v>153</v>
      </c>
      <c r="B654" s="13" t="str">
        <f>_xlfn.XLOOKUP(J654,'Master Data 14-9-2026'!C:C,'Master Data 14-9-2026'!D:D)</f>
        <v>Zamilah Maulidiana wx1503509</v>
      </c>
      <c r="C654" s="13"/>
      <c r="D654" s="13" t="str">
        <f>_xlfn.XLOOKUP(J654,'Master Data 14-9-2026'!C:C,'Master Data 14-9-2026'!E:E)</f>
        <v>Platform Region</v>
      </c>
      <c r="E654" s="13"/>
      <c r="F654" s="13"/>
      <c r="G654" s="13" t="s">
        <v>28</v>
      </c>
      <c r="H654" s="13" t="str">
        <f>_xlfn.XLOOKUP(J654,'Master Data 14-9-2026'!C:C,'Master Data 14-9-2026'!H:H)</f>
        <v>2026-08-01 - 2026-08-31</v>
      </c>
      <c r="I654" s="13" t="str">
        <f t="shared" si="10"/>
        <v>August</v>
      </c>
      <c r="J654" s="13" t="s">
        <v>1948</v>
      </c>
      <c r="K654" s="16" t="s">
        <v>1948</v>
      </c>
      <c r="L654" s="13" t="s">
        <v>441</v>
      </c>
      <c r="M654" s="15">
        <v>200003223233020</v>
      </c>
      <c r="N654" s="13" t="s">
        <v>924</v>
      </c>
      <c r="O654" s="13">
        <v>1.0912026072200301E+17</v>
      </c>
      <c r="P654" s="13" t="s">
        <v>1931</v>
      </c>
      <c r="Q654" s="18">
        <v>17</v>
      </c>
      <c r="R654" s="18">
        <v>1</v>
      </c>
      <c r="S654" s="13">
        <v>8828132633</v>
      </c>
      <c r="T654" s="13" t="s">
        <v>951</v>
      </c>
      <c r="U654" s="19">
        <v>28881900</v>
      </c>
      <c r="V654" s="18">
        <v>1</v>
      </c>
      <c r="W654" s="18">
        <f>_xlfn.XLOOKUP(J654,'Master Data 14-9-2026'!C:C,'Master Data 14-9-2026'!L:L)</f>
        <v>1</v>
      </c>
      <c r="X654" s="23">
        <v>28881900</v>
      </c>
      <c r="Y654" s="13" t="s">
        <v>1932</v>
      </c>
      <c r="Z654" s="24" t="str">
        <f>_xlfn.XLOOKUP(J654,'Master Data 14-9-2026'!C:C,'Master Data 14-9-2026'!I:I)</f>
        <v>Ended</v>
      </c>
      <c r="AA654" s="39" t="s">
        <v>934</v>
      </c>
      <c r="AB654" s="13"/>
      <c r="AC654" s="13"/>
      <c r="AD654" s="40" t="s">
        <v>935</v>
      </c>
      <c r="AE654" s="13" t="str">
        <f>_xlfn.XLOOKUP(L654,'[1]ID PROJECT'!E:E,'[1]ID PROJECT'!F:F)</f>
        <v xml:space="preserve">PRJ-KUT-KPU-TPED-2026-04-00071 </v>
      </c>
      <c r="AF654" s="39" t="s">
        <v>4121</v>
      </c>
      <c r="AG654" s="13" t="s">
        <v>4126</v>
      </c>
      <c r="AH654" s="65">
        <v>46275</v>
      </c>
      <c r="AI654" s="41" t="s">
        <v>967</v>
      </c>
    </row>
    <row r="655" spans="1:35" hidden="1">
      <c r="A655" s="13" t="s">
        <v>384</v>
      </c>
      <c r="B655" s="13" t="str">
        <f>_xlfn.XLOOKUP(J655,'Master Data 14-9-2026'!C:C,'Master Data 14-9-2026'!D:D)</f>
        <v>Andi Tenri Bali wx1507141</v>
      </c>
      <c r="C655" s="13"/>
      <c r="D655" s="13" t="str">
        <f>_xlfn.XLOOKUP(J655,'Master Data 14-9-2026'!C:C,'Master Data 14-9-2026'!E:E)</f>
        <v>IOH</v>
      </c>
      <c r="E655" s="13"/>
      <c r="F655" s="13"/>
      <c r="G655" s="13" t="s">
        <v>28</v>
      </c>
      <c r="H655" s="13" t="str">
        <f>_xlfn.XLOOKUP(J655,'Master Data 14-9-2026'!C:C,'Master Data 14-9-2026'!H:H)</f>
        <v>2026-08-01 - 2026-08-31</v>
      </c>
      <c r="I655" s="13" t="str">
        <f t="shared" si="10"/>
        <v>August</v>
      </c>
      <c r="J655" s="13" t="s">
        <v>1949</v>
      </c>
      <c r="K655" s="13" t="s">
        <v>1949</v>
      </c>
      <c r="L655" s="13" t="s">
        <v>441</v>
      </c>
      <c r="M655" s="15">
        <v>200003223203020</v>
      </c>
      <c r="N655" s="13" t="s">
        <v>924</v>
      </c>
      <c r="O655" s="13">
        <v>1.0912026072200301E+17</v>
      </c>
      <c r="P655" s="13" t="s">
        <v>1931</v>
      </c>
      <c r="Q655" s="18">
        <v>18</v>
      </c>
      <c r="R655" s="18">
        <v>1</v>
      </c>
      <c r="S655" s="13">
        <v>8828132633</v>
      </c>
      <c r="T655" s="13" t="s">
        <v>951</v>
      </c>
      <c r="U655" s="19">
        <v>28881900</v>
      </c>
      <c r="V655" s="18">
        <v>1</v>
      </c>
      <c r="W655" s="18">
        <f>_xlfn.XLOOKUP(J655,'Master Data 14-9-2026'!C:C,'Master Data 14-9-2026'!L:L)</f>
        <v>1.5</v>
      </c>
      <c r="X655" s="23">
        <v>28881900</v>
      </c>
      <c r="Y655" s="13" t="s">
        <v>1932</v>
      </c>
      <c r="Z655" s="24" t="s">
        <v>984</v>
      </c>
      <c r="AA655" s="4" t="s">
        <v>1288</v>
      </c>
      <c r="AB655" s="13"/>
      <c r="AC655" s="13"/>
      <c r="AD655" s="13"/>
      <c r="AE655" s="13" t="str">
        <f>_xlfn.XLOOKUP(L655,'[1]ID PROJECT'!E:E,'[1]ID PROJECT'!F:F)</f>
        <v xml:space="preserve">PRJ-KUT-KPU-TPED-2026-04-00071 </v>
      </c>
      <c r="AF655" s="13"/>
      <c r="AG655" s="13"/>
      <c r="AH655" s="65"/>
      <c r="AI655" s="27"/>
    </row>
    <row r="656" spans="1:35" hidden="1">
      <c r="A656" s="13" t="s">
        <v>627</v>
      </c>
      <c r="B656" s="13" t="str">
        <f>_xlfn.XLOOKUP(J656,'Master Data 14-9-2026'!C:C,'Master Data 14-9-2026'!D:D)</f>
        <v>Irawan WX1530063</v>
      </c>
      <c r="C656" s="13"/>
      <c r="D656" s="13" t="str">
        <f>_xlfn.XLOOKUP(J656,'Master Data 14-9-2026'!C:C,'Master Data 14-9-2026'!E:E)</f>
        <v>IOH</v>
      </c>
      <c r="E656" s="13"/>
      <c r="F656" s="13"/>
      <c r="G656" s="13" t="s">
        <v>13</v>
      </c>
      <c r="H656" s="13" t="str">
        <f>_xlfn.XLOOKUP(J656,'Master Data 14-9-2026'!C:C,'Master Data 14-9-2026'!H:H)</f>
        <v>2026-06-26 - 2026-07-25</v>
      </c>
      <c r="I656" s="13" t="str">
        <f t="shared" si="10"/>
        <v>June</v>
      </c>
      <c r="J656" s="13" t="s">
        <v>1950</v>
      </c>
      <c r="K656" s="13" t="s">
        <v>1950</v>
      </c>
      <c r="L656" s="13" t="s">
        <v>441</v>
      </c>
      <c r="M656" s="15">
        <v>200003223253020</v>
      </c>
      <c r="N656" s="13" t="s">
        <v>924</v>
      </c>
      <c r="O656" s="13">
        <v>1.0912026072200301E+17</v>
      </c>
      <c r="P656" s="13" t="s">
        <v>1931</v>
      </c>
      <c r="Q656" s="18">
        <v>19</v>
      </c>
      <c r="R656" s="18">
        <v>1</v>
      </c>
      <c r="S656" s="13">
        <v>8828132634</v>
      </c>
      <c r="T656" s="13" t="s">
        <v>978</v>
      </c>
      <c r="U656" s="19">
        <v>32542400</v>
      </c>
      <c r="V656" s="18">
        <v>1</v>
      </c>
      <c r="W656" s="18">
        <f>_xlfn.XLOOKUP(J656,'Master Data 14-9-2026'!C:C,'Master Data 14-9-2026'!L:L)</f>
        <v>0.5</v>
      </c>
      <c r="X656" s="23">
        <v>32542400</v>
      </c>
      <c r="Y656" s="13" t="s">
        <v>1932</v>
      </c>
      <c r="Z656" s="24" t="str">
        <f>_xlfn.XLOOKUP(J656,'Master Data 14-9-2026'!C:C,'Master Data 14-9-2026'!I:I)</f>
        <v>Ended</v>
      </c>
      <c r="AA656" s="4" t="s">
        <v>1288</v>
      </c>
      <c r="AB656" s="13" t="s">
        <v>1289</v>
      </c>
      <c r="AC656" s="13"/>
      <c r="AD656" s="13"/>
      <c r="AE656" s="13" t="str">
        <f>_xlfn.XLOOKUP(L656,'[1]ID PROJECT'!E:E,'[1]ID PROJECT'!F:F)</f>
        <v xml:space="preserve">PRJ-KUT-KPU-TPED-2026-04-00071 </v>
      </c>
      <c r="AF656" s="13"/>
      <c r="AG656" s="13"/>
      <c r="AH656" s="65"/>
      <c r="AI656" s="27"/>
    </row>
    <row r="657" spans="1:35" hidden="1">
      <c r="A657" s="13" t="s">
        <v>627</v>
      </c>
      <c r="B657" s="13" t="str">
        <f>_xlfn.XLOOKUP(J657,'Master Data 14-9-2026'!C:C,'Master Data 14-9-2026'!D:D)</f>
        <v>Irawan WX1530063</v>
      </c>
      <c r="C657" s="13"/>
      <c r="D657" s="13" t="str">
        <f>_xlfn.XLOOKUP(J657,'Master Data 14-9-2026'!C:C,'Master Data 14-9-2026'!E:E)</f>
        <v>IOH</v>
      </c>
      <c r="E657" s="13"/>
      <c r="F657" s="13"/>
      <c r="G657" s="13" t="s">
        <v>18</v>
      </c>
      <c r="H657" s="13" t="str">
        <f>_xlfn.XLOOKUP(J657,'Master Data 14-9-2026'!C:C,'Master Data 14-9-2026'!H:H)</f>
        <v>2026-07-26 - 2026-08-25</v>
      </c>
      <c r="I657" s="13" t="str">
        <f t="shared" si="10"/>
        <v>July</v>
      </c>
      <c r="J657" s="13" t="s">
        <v>1951</v>
      </c>
      <c r="K657" s="13" t="s">
        <v>1951</v>
      </c>
      <c r="L657" s="13" t="s">
        <v>441</v>
      </c>
      <c r="M657" s="15">
        <v>200003223254020</v>
      </c>
      <c r="N657" s="13" t="s">
        <v>924</v>
      </c>
      <c r="O657" s="13">
        <v>1.0912026072200301E+17</v>
      </c>
      <c r="P657" s="13" t="s">
        <v>1931</v>
      </c>
      <c r="Q657" s="18">
        <v>20</v>
      </c>
      <c r="R657" s="18">
        <v>1</v>
      </c>
      <c r="S657" s="13">
        <v>8828132634</v>
      </c>
      <c r="T657" s="13" t="s">
        <v>978</v>
      </c>
      <c r="U657" s="19">
        <v>32542400</v>
      </c>
      <c r="V657" s="18">
        <v>1</v>
      </c>
      <c r="W657" s="18">
        <f>_xlfn.XLOOKUP(J657,'Master Data 14-9-2026'!C:C,'Master Data 14-9-2026'!L:L)</f>
        <v>0.5</v>
      </c>
      <c r="X657" s="23">
        <v>32542400</v>
      </c>
      <c r="Y657" s="13" t="s">
        <v>1932</v>
      </c>
      <c r="Z657" s="24" t="s">
        <v>33</v>
      </c>
      <c r="AA657" s="4" t="s">
        <v>1288</v>
      </c>
      <c r="AB657" s="13" t="s">
        <v>1289</v>
      </c>
      <c r="AC657" s="13"/>
      <c r="AD657" s="13"/>
      <c r="AE657" s="13" t="str">
        <f>_xlfn.XLOOKUP(L657,'[1]ID PROJECT'!E:E,'[1]ID PROJECT'!F:F)</f>
        <v xml:space="preserve">PRJ-KUT-KPU-TPED-2026-04-00071 </v>
      </c>
      <c r="AF657" s="13"/>
      <c r="AG657" s="13"/>
      <c r="AH657" s="65"/>
      <c r="AI657" s="27"/>
    </row>
    <row r="658" spans="1:35" hidden="1">
      <c r="A658" s="13" t="s">
        <v>662</v>
      </c>
      <c r="B658" s="13" t="str">
        <f>_xlfn.XLOOKUP(J658,'Master Data 14-9-2026'!C:C,'Master Data 14-9-2026'!D:D)</f>
        <v>MUHAMAD GILANG WX1530062</v>
      </c>
      <c r="C658" s="13"/>
      <c r="D658" s="13" t="str">
        <f>_xlfn.XLOOKUP(J658,'Master Data 14-9-2026'!C:C,'Master Data 14-9-2026'!E:E)</f>
        <v>IOH</v>
      </c>
      <c r="E658" s="13"/>
      <c r="F658" s="13"/>
      <c r="G658" s="13" t="s">
        <v>13</v>
      </c>
      <c r="H658" s="13" t="str">
        <f>_xlfn.XLOOKUP(J658,'Master Data 14-9-2026'!C:C,'Master Data 14-9-2026'!H:H)</f>
        <v>2026-06-24 - 2026-07-23</v>
      </c>
      <c r="I658" s="13" t="str">
        <f t="shared" si="10"/>
        <v>June</v>
      </c>
      <c r="J658" s="13" t="s">
        <v>1952</v>
      </c>
      <c r="K658" s="13" t="s">
        <v>1952</v>
      </c>
      <c r="L658" s="13" t="s">
        <v>441</v>
      </c>
      <c r="M658" s="15">
        <v>200003223259020</v>
      </c>
      <c r="N658" s="13" t="s">
        <v>924</v>
      </c>
      <c r="O658" s="13">
        <v>1.0912026072200301E+17</v>
      </c>
      <c r="P658" s="13" t="s">
        <v>1931</v>
      </c>
      <c r="Q658" s="18">
        <v>21</v>
      </c>
      <c r="R658" s="18">
        <v>1</v>
      </c>
      <c r="S658" s="13">
        <v>8828132634</v>
      </c>
      <c r="T658" s="13" t="s">
        <v>978</v>
      </c>
      <c r="U658" s="19">
        <v>32542400</v>
      </c>
      <c r="V658" s="18">
        <v>1</v>
      </c>
      <c r="W658" s="18">
        <f>_xlfn.XLOOKUP(J658,'Master Data 14-9-2026'!C:C,'Master Data 14-9-2026'!L:L)</f>
        <v>0.5</v>
      </c>
      <c r="X658" s="23">
        <v>32542400</v>
      </c>
      <c r="Y658" s="13" t="s">
        <v>1932</v>
      </c>
      <c r="Z658" s="24" t="str">
        <f>_xlfn.XLOOKUP(J658,'Master Data 14-9-2026'!C:C,'Master Data 14-9-2026'!I:I)</f>
        <v>Ended</v>
      </c>
      <c r="AA658" s="4" t="s">
        <v>1288</v>
      </c>
      <c r="AB658" s="13" t="s">
        <v>1289</v>
      </c>
      <c r="AC658" s="13"/>
      <c r="AD658" s="13"/>
      <c r="AE658" s="13" t="str">
        <f>_xlfn.XLOOKUP(L658,'[1]ID PROJECT'!E:E,'[1]ID PROJECT'!F:F)</f>
        <v xml:space="preserve">PRJ-KUT-KPU-TPED-2026-04-00071 </v>
      </c>
      <c r="AF658" s="13"/>
      <c r="AG658" s="13"/>
      <c r="AH658" s="65"/>
      <c r="AI658" s="27"/>
    </row>
    <row r="659" spans="1:35" hidden="1">
      <c r="A659" s="13" t="s">
        <v>662</v>
      </c>
      <c r="B659" s="13" t="str">
        <f>_xlfn.XLOOKUP(J659,'Master Data 14-9-2026'!C:C,'Master Data 14-9-2026'!D:D)</f>
        <v>MUHAMAD GILANG WX1530062</v>
      </c>
      <c r="C659" s="13"/>
      <c r="D659" s="13" t="str">
        <f>_xlfn.XLOOKUP(J659,'Master Data 14-9-2026'!C:C,'Master Data 14-9-2026'!E:E)</f>
        <v>IOH</v>
      </c>
      <c r="E659" s="13"/>
      <c r="F659" s="13"/>
      <c r="G659" s="13" t="s">
        <v>18</v>
      </c>
      <c r="H659" s="13" t="str">
        <f>_xlfn.XLOOKUP(J659,'Master Data 14-9-2026'!C:C,'Master Data 14-9-2026'!H:H)</f>
        <v>2026-07-24 - 2026-08-23</v>
      </c>
      <c r="I659" s="13" t="str">
        <f t="shared" si="10"/>
        <v>July</v>
      </c>
      <c r="J659" s="13" t="s">
        <v>1953</v>
      </c>
      <c r="K659" s="13" t="s">
        <v>1953</v>
      </c>
      <c r="L659" s="13" t="s">
        <v>441</v>
      </c>
      <c r="M659" s="15">
        <v>200003223260020</v>
      </c>
      <c r="N659" s="13" t="s">
        <v>924</v>
      </c>
      <c r="O659" s="13">
        <v>1.0912026072200301E+17</v>
      </c>
      <c r="P659" s="13" t="s">
        <v>1931</v>
      </c>
      <c r="Q659" s="18">
        <v>22</v>
      </c>
      <c r="R659" s="18">
        <v>1</v>
      </c>
      <c r="S659" s="13">
        <v>8828132634</v>
      </c>
      <c r="T659" s="13" t="s">
        <v>978</v>
      </c>
      <c r="U659" s="19">
        <v>32542400</v>
      </c>
      <c r="V659" s="18">
        <v>1</v>
      </c>
      <c r="W659" s="18">
        <f>_xlfn.XLOOKUP(J659,'Master Data 14-9-2026'!C:C,'Master Data 14-9-2026'!L:L)</f>
        <v>0.5</v>
      </c>
      <c r="X659" s="23">
        <v>32542400</v>
      </c>
      <c r="Y659" s="13" t="s">
        <v>1932</v>
      </c>
      <c r="Z659" s="24" t="s">
        <v>33</v>
      </c>
      <c r="AA659" s="4" t="s">
        <v>1288</v>
      </c>
      <c r="AB659" s="13" t="s">
        <v>1289</v>
      </c>
      <c r="AC659" s="13"/>
      <c r="AD659" s="13"/>
      <c r="AE659" s="13" t="str">
        <f>_xlfn.XLOOKUP(L659,'[1]ID PROJECT'!E:E,'[1]ID PROJECT'!F:F)</f>
        <v xml:space="preserve">PRJ-KUT-KPU-TPED-2026-04-00071 </v>
      </c>
      <c r="AF659" s="13"/>
      <c r="AG659" s="13"/>
      <c r="AH659" s="65"/>
      <c r="AI659" s="27"/>
    </row>
    <row r="660" spans="1:35" hidden="1">
      <c r="A660" s="13" t="s">
        <v>562</v>
      </c>
      <c r="B660" s="13" t="str">
        <f>_xlfn.XLOOKUP(J660,'Master Data 14-9-2026'!C:C,'Master Data 14-9-2026'!D:D)</f>
        <v>Muhammad Hamidullah Akbar WX1529435</v>
      </c>
      <c r="C660" s="13"/>
      <c r="D660" s="13" t="str">
        <f>_xlfn.XLOOKUP(J660,'Master Data 14-9-2026'!C:C,'Master Data 14-9-2026'!E:E)</f>
        <v>IOH</v>
      </c>
      <c r="E660" s="13"/>
      <c r="F660" s="13"/>
      <c r="G660" s="13" t="s">
        <v>13</v>
      </c>
      <c r="H660" s="13" t="str">
        <f>_xlfn.XLOOKUP(J660,'Master Data 14-9-2026'!C:C,'Master Data 14-9-2026'!H:H)</f>
        <v>2026-06-23 - 2026-07-22</v>
      </c>
      <c r="I660" s="13" t="str">
        <f t="shared" si="10"/>
        <v>June</v>
      </c>
      <c r="J660" s="13" t="s">
        <v>1954</v>
      </c>
      <c r="K660" s="13" t="s">
        <v>1954</v>
      </c>
      <c r="L660" s="13" t="s">
        <v>441</v>
      </c>
      <c r="M660" s="15">
        <v>200003223261020</v>
      </c>
      <c r="N660" s="13" t="s">
        <v>924</v>
      </c>
      <c r="O660" s="13">
        <v>1.0912026072200301E+17</v>
      </c>
      <c r="P660" s="13" t="s">
        <v>1931</v>
      </c>
      <c r="Q660" s="18">
        <v>23</v>
      </c>
      <c r="R660" s="18">
        <v>1</v>
      </c>
      <c r="S660" s="13">
        <v>8828132634</v>
      </c>
      <c r="T660" s="13" t="s">
        <v>978</v>
      </c>
      <c r="U660" s="19">
        <v>32542400</v>
      </c>
      <c r="V660" s="18">
        <v>1</v>
      </c>
      <c r="W660" s="18">
        <f>_xlfn.XLOOKUP(J660,'Master Data 14-9-2026'!C:C,'Master Data 14-9-2026'!L:L)</f>
        <v>0.5</v>
      </c>
      <c r="X660" s="23">
        <v>32542400</v>
      </c>
      <c r="Y660" s="13" t="s">
        <v>1932</v>
      </c>
      <c r="Z660" s="24" t="str">
        <f>_xlfn.XLOOKUP(J660,'Master Data 14-9-2026'!C:C,'Master Data 14-9-2026'!I:I)</f>
        <v>Ended</v>
      </c>
      <c r="AA660" s="4" t="s">
        <v>1288</v>
      </c>
      <c r="AB660" s="13" t="s">
        <v>1289</v>
      </c>
      <c r="AC660" s="13"/>
      <c r="AD660" s="13"/>
      <c r="AE660" s="13" t="str">
        <f>_xlfn.XLOOKUP(L660,'[1]ID PROJECT'!E:E,'[1]ID PROJECT'!F:F)</f>
        <v xml:space="preserve">PRJ-KUT-KPU-TPED-2026-04-00071 </v>
      </c>
      <c r="AF660" s="13"/>
      <c r="AG660" s="13"/>
      <c r="AH660" s="65"/>
      <c r="AI660" s="27"/>
    </row>
    <row r="661" spans="1:35" hidden="1">
      <c r="A661" s="13" t="s">
        <v>562</v>
      </c>
      <c r="B661" s="13" t="str">
        <f>_xlfn.XLOOKUP(J661,'Master Data 14-9-2026'!C:C,'Master Data 14-9-2026'!D:D)</f>
        <v>Muhammad Hamidullah Akbar WX1529435</v>
      </c>
      <c r="C661" s="13"/>
      <c r="D661" s="13" t="str">
        <f>_xlfn.XLOOKUP(J661,'Master Data 14-9-2026'!C:C,'Master Data 14-9-2026'!E:E)</f>
        <v>IOH</v>
      </c>
      <c r="E661" s="13"/>
      <c r="F661" s="13"/>
      <c r="G661" s="13" t="s">
        <v>18</v>
      </c>
      <c r="H661" s="13" t="str">
        <f>_xlfn.XLOOKUP(J661,'Master Data 14-9-2026'!C:C,'Master Data 14-9-2026'!H:H)</f>
        <v>2026-07-23 - 2026-08-22</v>
      </c>
      <c r="I661" s="13" t="str">
        <f t="shared" si="10"/>
        <v>July</v>
      </c>
      <c r="J661" s="13" t="s">
        <v>1955</v>
      </c>
      <c r="K661" s="13" t="s">
        <v>1955</v>
      </c>
      <c r="L661" s="13" t="s">
        <v>441</v>
      </c>
      <c r="M661" s="15">
        <v>200003223262020</v>
      </c>
      <c r="N661" s="13" t="s">
        <v>924</v>
      </c>
      <c r="O661" s="13">
        <v>1.0912026072200301E+17</v>
      </c>
      <c r="P661" s="13" t="s">
        <v>1931</v>
      </c>
      <c r="Q661" s="18">
        <v>24</v>
      </c>
      <c r="R661" s="18">
        <v>1</v>
      </c>
      <c r="S661" s="13">
        <v>8828132634</v>
      </c>
      <c r="T661" s="13" t="s">
        <v>978</v>
      </c>
      <c r="U661" s="19">
        <v>32542400</v>
      </c>
      <c r="V661" s="18">
        <v>1</v>
      </c>
      <c r="W661" s="18">
        <f>_xlfn.XLOOKUP(J661,'Master Data 14-9-2026'!C:C,'Master Data 14-9-2026'!L:L)</f>
        <v>0.5</v>
      </c>
      <c r="X661" s="23">
        <v>32542400</v>
      </c>
      <c r="Y661" s="13" t="s">
        <v>1932</v>
      </c>
      <c r="Z661" s="24" t="s">
        <v>33</v>
      </c>
      <c r="AA661" s="4" t="s">
        <v>1288</v>
      </c>
      <c r="AB661" s="13" t="s">
        <v>1289</v>
      </c>
      <c r="AC661" s="13"/>
      <c r="AD661" s="13"/>
      <c r="AE661" s="13" t="str">
        <f>_xlfn.XLOOKUP(L661,'[1]ID PROJECT'!E:E,'[1]ID PROJECT'!F:F)</f>
        <v xml:space="preserve">PRJ-KUT-KPU-TPED-2026-04-00071 </v>
      </c>
      <c r="AF661" s="13"/>
      <c r="AG661" s="13"/>
      <c r="AH661" s="65"/>
      <c r="AI661" s="27"/>
    </row>
    <row r="662" spans="1:35" hidden="1">
      <c r="A662" s="13" t="s">
        <v>570</v>
      </c>
      <c r="B662" s="13" t="str">
        <f>_xlfn.XLOOKUP(J662,'Master Data 14-9-2026'!C:C,'Master Data 14-9-2026'!D:D)</f>
        <v>MUHAMMAD KHAIRUL AKBAR WX1529433</v>
      </c>
      <c r="C662" s="13"/>
      <c r="D662" s="13" t="str">
        <f>_xlfn.XLOOKUP(J662,'Master Data 14-9-2026'!C:C,'Master Data 14-9-2026'!E:E)</f>
        <v>IOH</v>
      </c>
      <c r="E662" s="13"/>
      <c r="F662" s="13"/>
      <c r="G662" s="13" t="s">
        <v>13</v>
      </c>
      <c r="H662" s="13" t="str">
        <f>_xlfn.XLOOKUP(J662,'Master Data 14-9-2026'!C:C,'Master Data 14-9-2026'!H:H)</f>
        <v>2026-06-23 - 2026-07-22</v>
      </c>
      <c r="I662" s="13" t="str">
        <f t="shared" si="10"/>
        <v>June</v>
      </c>
      <c r="J662" s="13" t="s">
        <v>1956</v>
      </c>
      <c r="K662" s="13" t="s">
        <v>1956</v>
      </c>
      <c r="L662" s="13" t="s">
        <v>441</v>
      </c>
      <c r="M662" s="15">
        <v>200003223263020</v>
      </c>
      <c r="N662" s="13" t="s">
        <v>924</v>
      </c>
      <c r="O662" s="13">
        <v>1.0912026072200301E+17</v>
      </c>
      <c r="P662" s="13" t="s">
        <v>1931</v>
      </c>
      <c r="Q662" s="18">
        <v>25</v>
      </c>
      <c r="R662" s="18">
        <v>1</v>
      </c>
      <c r="S662" s="13">
        <v>8828132634</v>
      </c>
      <c r="T662" s="13" t="s">
        <v>978</v>
      </c>
      <c r="U662" s="19">
        <v>32542400</v>
      </c>
      <c r="V662" s="18">
        <v>1</v>
      </c>
      <c r="W662" s="18">
        <f>_xlfn.XLOOKUP(J662,'Master Data 14-9-2026'!C:C,'Master Data 14-9-2026'!L:L)</f>
        <v>0.75</v>
      </c>
      <c r="X662" s="23">
        <v>32542400</v>
      </c>
      <c r="Y662" s="13" t="s">
        <v>1932</v>
      </c>
      <c r="Z662" s="24" t="str">
        <f>_xlfn.XLOOKUP(J662,'Master Data 14-9-2026'!C:C,'Master Data 14-9-2026'!I:I)</f>
        <v>Ended</v>
      </c>
      <c r="AA662" s="4" t="s">
        <v>1288</v>
      </c>
      <c r="AB662" s="13" t="s">
        <v>1289</v>
      </c>
      <c r="AC662" s="13"/>
      <c r="AD662" s="13"/>
      <c r="AE662" s="13" t="str">
        <f>_xlfn.XLOOKUP(L662,'[1]ID PROJECT'!E:E,'[1]ID PROJECT'!F:F)</f>
        <v xml:space="preserve">PRJ-KUT-KPU-TPED-2026-04-00071 </v>
      </c>
      <c r="AF662" s="13"/>
      <c r="AG662" s="13"/>
      <c r="AH662" s="65"/>
      <c r="AI662" s="27"/>
    </row>
    <row r="663" spans="1:35" hidden="1">
      <c r="A663" s="13" t="s">
        <v>570</v>
      </c>
      <c r="B663" s="13" t="str">
        <f>_xlfn.XLOOKUP(J663,'Master Data 14-9-2026'!C:C,'Master Data 14-9-2026'!D:D)</f>
        <v>MUHAMMAD KHAIRUL AKBAR WX1529433</v>
      </c>
      <c r="C663" s="13"/>
      <c r="D663" s="13" t="str">
        <f>_xlfn.XLOOKUP(J663,'Master Data 14-9-2026'!C:C,'Master Data 14-9-2026'!E:E)</f>
        <v>IOH</v>
      </c>
      <c r="E663" s="13"/>
      <c r="F663" s="13"/>
      <c r="G663" s="13" t="s">
        <v>18</v>
      </c>
      <c r="H663" s="13" t="str">
        <f>_xlfn.XLOOKUP(J663,'Master Data 14-9-2026'!C:C,'Master Data 14-9-2026'!H:H)</f>
        <v>2026-07-23 - 2026-08-22</v>
      </c>
      <c r="I663" s="13" t="str">
        <f t="shared" si="10"/>
        <v>July</v>
      </c>
      <c r="J663" s="13" t="s">
        <v>1957</v>
      </c>
      <c r="K663" s="13" t="s">
        <v>1957</v>
      </c>
      <c r="L663" s="13" t="s">
        <v>441</v>
      </c>
      <c r="M663" s="15">
        <v>200003223264020</v>
      </c>
      <c r="N663" s="13" t="s">
        <v>924</v>
      </c>
      <c r="O663" s="13">
        <v>1.0912026072200301E+17</v>
      </c>
      <c r="P663" s="13" t="s">
        <v>1931</v>
      </c>
      <c r="Q663" s="18">
        <v>26</v>
      </c>
      <c r="R663" s="18">
        <v>1</v>
      </c>
      <c r="S663" s="13">
        <v>8828132634</v>
      </c>
      <c r="T663" s="13" t="s">
        <v>978</v>
      </c>
      <c r="U663" s="19">
        <v>32542400</v>
      </c>
      <c r="V663" s="18">
        <v>1</v>
      </c>
      <c r="W663" s="18">
        <f>_xlfn.XLOOKUP(J663,'Master Data 14-9-2026'!C:C,'Master Data 14-9-2026'!L:L)</f>
        <v>0.5</v>
      </c>
      <c r="X663" s="23">
        <v>32542400</v>
      </c>
      <c r="Y663" s="13" t="s">
        <v>1932</v>
      </c>
      <c r="Z663" s="24" t="s">
        <v>33</v>
      </c>
      <c r="AA663" s="4" t="s">
        <v>1288</v>
      </c>
      <c r="AB663" s="13" t="s">
        <v>1289</v>
      </c>
      <c r="AC663" s="13"/>
      <c r="AD663" s="13"/>
      <c r="AE663" s="13" t="str">
        <f>_xlfn.XLOOKUP(L663,'[1]ID PROJECT'!E:E,'[1]ID PROJECT'!F:F)</f>
        <v xml:space="preserve">PRJ-KUT-KPU-TPED-2026-04-00071 </v>
      </c>
      <c r="AF663" s="13"/>
      <c r="AG663" s="13"/>
      <c r="AH663" s="65"/>
      <c r="AI663" s="27"/>
    </row>
    <row r="664" spans="1:35" hidden="1">
      <c r="A664" s="13" t="s">
        <v>554</v>
      </c>
      <c r="B664" s="13" t="str">
        <f>_xlfn.XLOOKUP(J664,'Master Data 14-9-2026'!C:C,'Master Data 14-9-2026'!D:D)</f>
        <v>Mulut Supriyadi WX1529436</v>
      </c>
      <c r="C664" s="13"/>
      <c r="D664" s="13" t="str">
        <f>_xlfn.XLOOKUP(J664,'Master Data 14-9-2026'!C:C,'Master Data 14-9-2026'!E:E)</f>
        <v>IOH</v>
      </c>
      <c r="E664" s="13"/>
      <c r="F664" s="13"/>
      <c r="G664" s="13" t="s">
        <v>13</v>
      </c>
      <c r="H664" s="13" t="str">
        <f>_xlfn.XLOOKUP(J664,'Master Data 14-9-2026'!C:C,'Master Data 14-9-2026'!H:H)</f>
        <v>2026-06-23 - 2026-07-22</v>
      </c>
      <c r="I664" s="13" t="str">
        <f t="shared" si="10"/>
        <v>June</v>
      </c>
      <c r="J664" s="13" t="s">
        <v>1958</v>
      </c>
      <c r="K664" s="13" t="s">
        <v>1958</v>
      </c>
      <c r="L664" s="13" t="s">
        <v>441</v>
      </c>
      <c r="M664" s="15">
        <v>200003223265020</v>
      </c>
      <c r="N664" s="13" t="s">
        <v>924</v>
      </c>
      <c r="O664" s="13">
        <v>1.0912026072200301E+17</v>
      </c>
      <c r="P664" s="13" t="s">
        <v>1931</v>
      </c>
      <c r="Q664" s="18">
        <v>27</v>
      </c>
      <c r="R664" s="18">
        <v>1</v>
      </c>
      <c r="S664" s="13">
        <v>8828132634</v>
      </c>
      <c r="T664" s="13" t="s">
        <v>978</v>
      </c>
      <c r="U664" s="19">
        <v>32542400</v>
      </c>
      <c r="V664" s="18">
        <v>1</v>
      </c>
      <c r="W664" s="18">
        <f>_xlfn.XLOOKUP(J664,'Master Data 14-9-2026'!C:C,'Master Data 14-9-2026'!L:L)</f>
        <v>0.5</v>
      </c>
      <c r="X664" s="23">
        <v>32542400</v>
      </c>
      <c r="Y664" s="13" t="s">
        <v>1932</v>
      </c>
      <c r="Z664" s="24" t="str">
        <f>_xlfn.XLOOKUP(J664,'Master Data 14-9-2026'!C:C,'Master Data 14-9-2026'!I:I)</f>
        <v>Ended</v>
      </c>
      <c r="AA664" s="4" t="s">
        <v>1288</v>
      </c>
      <c r="AB664" s="13" t="s">
        <v>1289</v>
      </c>
      <c r="AC664" s="13"/>
      <c r="AD664" s="13"/>
      <c r="AE664" s="13" t="str">
        <f>_xlfn.XLOOKUP(L664,'[1]ID PROJECT'!E:E,'[1]ID PROJECT'!F:F)</f>
        <v xml:space="preserve">PRJ-KUT-KPU-TPED-2026-04-00071 </v>
      </c>
      <c r="AF664" s="13"/>
      <c r="AG664" s="13"/>
      <c r="AH664" s="65"/>
      <c r="AI664" s="27"/>
    </row>
    <row r="665" spans="1:35" hidden="1">
      <c r="A665" s="13" t="s">
        <v>554</v>
      </c>
      <c r="B665" s="13" t="str">
        <f>_xlfn.XLOOKUP(J665,'Master Data 14-9-2026'!C:C,'Master Data 14-9-2026'!D:D)</f>
        <v>Mulut Supriyadi WX1529436</v>
      </c>
      <c r="C665" s="13"/>
      <c r="D665" s="13" t="str">
        <f>_xlfn.XLOOKUP(J665,'Master Data 14-9-2026'!C:C,'Master Data 14-9-2026'!E:E)</f>
        <v>IOH</v>
      </c>
      <c r="E665" s="13"/>
      <c r="F665" s="13"/>
      <c r="G665" s="13" t="s">
        <v>18</v>
      </c>
      <c r="H665" s="13" t="str">
        <f>_xlfn.XLOOKUP(J665,'Master Data 14-9-2026'!C:C,'Master Data 14-9-2026'!H:H)</f>
        <v>2026-07-23 - 2026-08-22</v>
      </c>
      <c r="I665" s="13" t="str">
        <f t="shared" si="10"/>
        <v>July</v>
      </c>
      <c r="J665" s="13" t="s">
        <v>1959</v>
      </c>
      <c r="K665" s="13" t="s">
        <v>1959</v>
      </c>
      <c r="L665" s="13" t="s">
        <v>441</v>
      </c>
      <c r="M665" s="15">
        <v>200003223266020</v>
      </c>
      <c r="N665" s="13" t="s">
        <v>924</v>
      </c>
      <c r="O665" s="13">
        <v>1.0912026072200301E+17</v>
      </c>
      <c r="P665" s="13" t="s">
        <v>1931</v>
      </c>
      <c r="Q665" s="18">
        <v>28</v>
      </c>
      <c r="R665" s="18">
        <v>1</v>
      </c>
      <c r="S665" s="13">
        <v>8828132634</v>
      </c>
      <c r="T665" s="13" t="s">
        <v>978</v>
      </c>
      <c r="U665" s="19">
        <v>32542400</v>
      </c>
      <c r="V665" s="18">
        <v>1</v>
      </c>
      <c r="W665" s="18">
        <f>_xlfn.XLOOKUP(J665,'Master Data 14-9-2026'!C:C,'Master Data 14-9-2026'!L:L)</f>
        <v>0</v>
      </c>
      <c r="X665" s="23">
        <v>32542400</v>
      </c>
      <c r="Y665" s="13" t="s">
        <v>1932</v>
      </c>
      <c r="Z665" s="24" t="s">
        <v>33</v>
      </c>
      <c r="AA665" s="4" t="s">
        <v>1288</v>
      </c>
      <c r="AB665" s="40" t="s">
        <v>44</v>
      </c>
      <c r="AC665" s="13"/>
      <c r="AD665" s="13"/>
      <c r="AE665" s="13" t="str">
        <f>_xlfn.XLOOKUP(L665,'[1]ID PROJECT'!E:E,'[1]ID PROJECT'!F:F)</f>
        <v xml:space="preserve">PRJ-KUT-KPU-TPED-2026-04-00071 </v>
      </c>
      <c r="AF665" s="13"/>
      <c r="AG665" s="13"/>
      <c r="AH665" s="65"/>
      <c r="AI665" s="27"/>
    </row>
    <row r="666" spans="1:35" hidden="1">
      <c r="A666" s="13" t="s">
        <v>868</v>
      </c>
      <c r="B666" s="13" t="str">
        <f>_xlfn.XLOOKUP(J666,'Master Data 14-9-2026'!C:C,'Master Data 14-9-2026'!D:D)</f>
        <v>Oki Triagung wx1529665</v>
      </c>
      <c r="C666" s="13"/>
      <c r="D666" s="13" t="str">
        <f>_xlfn.XLOOKUP(J666,'Master Data 14-9-2026'!C:C,'Master Data 14-9-2026'!E:E)</f>
        <v>IOH</v>
      </c>
      <c r="E666" s="13"/>
      <c r="F666" s="13"/>
      <c r="G666" s="13" t="s">
        <v>13</v>
      </c>
      <c r="H666" s="13" t="str">
        <f>_xlfn.XLOOKUP(J666,'Master Data 14-9-2026'!C:C,'Master Data 14-9-2026'!H:H)</f>
        <v>2026-06-23 - 2026-07-22</v>
      </c>
      <c r="I666" s="13" t="str">
        <f t="shared" si="10"/>
        <v>June</v>
      </c>
      <c r="J666" s="13" t="s">
        <v>1960</v>
      </c>
      <c r="K666" s="13" t="s">
        <v>1960</v>
      </c>
      <c r="L666" s="13" t="s">
        <v>441</v>
      </c>
      <c r="M666" s="15">
        <v>200003223267020</v>
      </c>
      <c r="N666" s="13" t="s">
        <v>924</v>
      </c>
      <c r="O666" s="13">
        <v>1.0912026072200301E+17</v>
      </c>
      <c r="P666" s="13" t="s">
        <v>1931</v>
      </c>
      <c r="Q666" s="18">
        <v>29</v>
      </c>
      <c r="R666" s="18">
        <v>1</v>
      </c>
      <c r="S666" s="13">
        <v>8828132635</v>
      </c>
      <c r="T666" s="13" t="s">
        <v>926</v>
      </c>
      <c r="U666" s="19">
        <v>34220600</v>
      </c>
      <c r="V666" s="18">
        <v>1</v>
      </c>
      <c r="W666" s="18">
        <f>_xlfn.XLOOKUP(J666,'Master Data 14-9-2026'!C:C,'Master Data 14-9-2026'!L:L)</f>
        <v>0</v>
      </c>
      <c r="X666" s="23">
        <v>34220600</v>
      </c>
      <c r="Y666" s="13" t="s">
        <v>1932</v>
      </c>
      <c r="Z666" s="24" t="str">
        <f>_xlfn.XLOOKUP(J666,'Master Data 14-9-2026'!C:C,'Master Data 14-9-2026'!I:I)</f>
        <v>Ended</v>
      </c>
      <c r="AA666" s="4" t="s">
        <v>1288</v>
      </c>
      <c r="AB666" s="40" t="s">
        <v>44</v>
      </c>
      <c r="AC666" s="13"/>
      <c r="AD666" s="13"/>
      <c r="AE666" s="13" t="str">
        <f>_xlfn.XLOOKUP(L666,'[1]ID PROJECT'!E:E,'[1]ID PROJECT'!F:F)</f>
        <v xml:space="preserve">PRJ-KUT-KPU-TPED-2026-04-00071 </v>
      </c>
      <c r="AF666" s="13"/>
      <c r="AG666" s="13"/>
      <c r="AH666" s="65"/>
      <c r="AI666" s="27"/>
    </row>
    <row r="667" spans="1:35" hidden="1">
      <c r="A667" s="13" t="s">
        <v>868</v>
      </c>
      <c r="B667" s="13" t="str">
        <f>_xlfn.XLOOKUP(J667,'Master Data 14-9-2026'!C:C,'Master Data 14-9-2026'!D:D)</f>
        <v>Oki Triagung wx1529665</v>
      </c>
      <c r="C667" s="13"/>
      <c r="D667" s="13" t="str">
        <f>_xlfn.XLOOKUP(J667,'Master Data 14-9-2026'!C:C,'Master Data 14-9-2026'!E:E)</f>
        <v>IOH</v>
      </c>
      <c r="E667" s="13"/>
      <c r="F667" s="13"/>
      <c r="G667" s="13" t="s">
        <v>18</v>
      </c>
      <c r="H667" s="13" t="str">
        <f>_xlfn.XLOOKUP(J667,'Master Data 14-9-2026'!C:C,'Master Data 14-9-2026'!H:H)</f>
        <v>2026-07-23 - 2026-08-22</v>
      </c>
      <c r="I667" s="13" t="str">
        <f t="shared" si="10"/>
        <v>July</v>
      </c>
      <c r="J667" s="13" t="s">
        <v>1961</v>
      </c>
      <c r="K667" s="13" t="s">
        <v>1961</v>
      </c>
      <c r="L667" s="13" t="s">
        <v>441</v>
      </c>
      <c r="M667" s="15">
        <v>200003223268020</v>
      </c>
      <c r="N667" s="13" t="s">
        <v>924</v>
      </c>
      <c r="O667" s="13">
        <v>1.0912026072200301E+17</v>
      </c>
      <c r="P667" s="13" t="s">
        <v>1931</v>
      </c>
      <c r="Q667" s="18">
        <v>30</v>
      </c>
      <c r="R667" s="18">
        <v>1</v>
      </c>
      <c r="S667" s="13">
        <v>8828132635</v>
      </c>
      <c r="T667" s="13" t="s">
        <v>926</v>
      </c>
      <c r="U667" s="19">
        <v>34220600</v>
      </c>
      <c r="V667" s="18">
        <v>1</v>
      </c>
      <c r="W667" s="18">
        <f>_xlfn.XLOOKUP(J667,'Master Data 14-9-2026'!C:C,'Master Data 14-9-2026'!L:L)</f>
        <v>0</v>
      </c>
      <c r="X667" s="23">
        <v>34220600</v>
      </c>
      <c r="Y667" s="13" t="s">
        <v>1932</v>
      </c>
      <c r="Z667" s="24" t="s">
        <v>33</v>
      </c>
      <c r="AA667" s="4" t="s">
        <v>1288</v>
      </c>
      <c r="AB667" s="13" t="s">
        <v>1149</v>
      </c>
      <c r="AC667" s="13"/>
      <c r="AD667" s="13"/>
      <c r="AE667" s="13" t="str">
        <f>_xlfn.XLOOKUP(L667,'[1]ID PROJECT'!E:E,'[1]ID PROJECT'!F:F)</f>
        <v xml:space="preserve">PRJ-KUT-KPU-TPED-2026-04-00071 </v>
      </c>
      <c r="AF667" s="13"/>
      <c r="AG667" s="13"/>
      <c r="AH667" s="65"/>
      <c r="AI667" s="27"/>
    </row>
    <row r="668" spans="1:35" hidden="1">
      <c r="A668" s="13" t="s">
        <v>639</v>
      </c>
      <c r="B668" s="13" t="str">
        <f>_xlfn.XLOOKUP(J668,'Master Data 14-9-2026'!C:C,'Master Data 14-9-2026'!D:D)</f>
        <v>Rezka Rifka Rezkia WX1530246</v>
      </c>
      <c r="C668" s="13"/>
      <c r="D668" s="13" t="str">
        <f>_xlfn.XLOOKUP(J668,'Master Data 14-9-2026'!C:C,'Master Data 14-9-2026'!E:E)</f>
        <v>IOH</v>
      </c>
      <c r="E668" s="13"/>
      <c r="F668" s="13"/>
      <c r="G668" s="13" t="s">
        <v>13</v>
      </c>
      <c r="H668" s="13" t="str">
        <f>_xlfn.XLOOKUP(J668,'Master Data 14-9-2026'!C:C,'Master Data 14-9-2026'!H:H)</f>
        <v>2026-06-26 - 2026-07-25</v>
      </c>
      <c r="I668" s="13" t="str">
        <f t="shared" si="10"/>
        <v>June</v>
      </c>
      <c r="J668" s="13" t="s">
        <v>1962</v>
      </c>
      <c r="K668" s="13" t="s">
        <v>1962</v>
      </c>
      <c r="L668" s="13" t="s">
        <v>441</v>
      </c>
      <c r="M668" s="15">
        <v>200003223269020</v>
      </c>
      <c r="N668" s="13" t="s">
        <v>924</v>
      </c>
      <c r="O668" s="13">
        <v>1.0912026072200301E+17</v>
      </c>
      <c r="P668" s="13" t="s">
        <v>1931</v>
      </c>
      <c r="Q668" s="18">
        <v>31</v>
      </c>
      <c r="R668" s="18">
        <v>1</v>
      </c>
      <c r="S668" s="13">
        <v>8828132634</v>
      </c>
      <c r="T668" s="13" t="s">
        <v>978</v>
      </c>
      <c r="U668" s="19">
        <v>32542400</v>
      </c>
      <c r="V668" s="18">
        <v>1</v>
      </c>
      <c r="W668" s="18">
        <f>_xlfn.XLOOKUP(J668,'Master Data 14-9-2026'!C:C,'Master Data 14-9-2026'!L:L)</f>
        <v>0.5</v>
      </c>
      <c r="X668" s="23">
        <v>32542400</v>
      </c>
      <c r="Y668" s="13" t="s">
        <v>1932</v>
      </c>
      <c r="Z668" s="24" t="str">
        <f>_xlfn.XLOOKUP(J668,'Master Data 14-9-2026'!C:C,'Master Data 14-9-2026'!I:I)</f>
        <v>Ended</v>
      </c>
      <c r="AA668" s="4" t="s">
        <v>1288</v>
      </c>
      <c r="AB668" s="13" t="s">
        <v>1289</v>
      </c>
      <c r="AC668" s="13"/>
      <c r="AD668" s="13"/>
      <c r="AE668" s="13" t="str">
        <f>_xlfn.XLOOKUP(L668,'[1]ID PROJECT'!E:E,'[1]ID PROJECT'!F:F)</f>
        <v xml:space="preserve">PRJ-KUT-KPU-TPED-2026-04-00071 </v>
      </c>
      <c r="AF668" s="13"/>
      <c r="AG668" s="13"/>
      <c r="AH668" s="65"/>
      <c r="AI668" s="27"/>
    </row>
    <row r="669" spans="1:35" hidden="1">
      <c r="A669" s="13" t="s">
        <v>644</v>
      </c>
      <c r="B669" s="13" t="str">
        <f>_xlfn.XLOOKUP(J669,'Master Data 14-9-2026'!C:C,'Master Data 14-9-2026'!D:D)</f>
        <v>Dzakiy Dzakwan wx1532899</v>
      </c>
      <c r="C669" s="13"/>
      <c r="D669" s="13" t="str">
        <f>_xlfn.XLOOKUP(J669,'Master Data 14-9-2026'!C:C,'Master Data 14-9-2026'!E:E)</f>
        <v>TELKOMSEL</v>
      </c>
      <c r="E669" s="13"/>
      <c r="F669" s="13"/>
      <c r="G669" s="13" t="s">
        <v>13</v>
      </c>
      <c r="H669" s="13" t="str">
        <f>_xlfn.XLOOKUP(J669,'Master Data 14-9-2026'!C:C,'Master Data 14-9-2026'!H:H)</f>
        <v>2026-07-06 - 2026-08-05</v>
      </c>
      <c r="I669" s="13" t="str">
        <f t="shared" si="10"/>
        <v>July</v>
      </c>
      <c r="J669" s="13" t="s">
        <v>1963</v>
      </c>
      <c r="K669" s="13" t="s">
        <v>1963</v>
      </c>
      <c r="L669" s="13" t="s">
        <v>461</v>
      </c>
      <c r="M669" s="15">
        <v>200003225875020</v>
      </c>
      <c r="N669" s="13" t="s">
        <v>924</v>
      </c>
      <c r="O669" s="13">
        <v>1.09120260731004E+17</v>
      </c>
      <c r="P669" s="13" t="s">
        <v>1964</v>
      </c>
      <c r="Q669" s="18">
        <v>1</v>
      </c>
      <c r="R669" s="18">
        <v>1</v>
      </c>
      <c r="S669" s="13">
        <v>8828132634</v>
      </c>
      <c r="T669" s="13" t="s">
        <v>978</v>
      </c>
      <c r="U669" s="19">
        <v>32542400</v>
      </c>
      <c r="V669" s="18">
        <v>0</v>
      </c>
      <c r="W669" s="18">
        <f>_xlfn.XLOOKUP(J669,'Master Data 14-9-2026'!C:C,'Master Data 14-9-2026'!L:L)</f>
        <v>0.5</v>
      </c>
      <c r="X669" s="23">
        <v>0</v>
      </c>
      <c r="Y669" s="13"/>
      <c r="Z669" s="24" t="s">
        <v>15</v>
      </c>
      <c r="AA669" s="4" t="s">
        <v>1288</v>
      </c>
      <c r="AB669" s="13" t="s">
        <v>1289</v>
      </c>
      <c r="AC669" s="13"/>
      <c r="AD669" s="13"/>
      <c r="AE669" s="13" t="str">
        <f>_xlfn.XLOOKUP(L669,'[1]ID PROJECT'!E:E,'[1]ID PROJECT'!F:F)</f>
        <v>PRJ-KUT-KPU-TPED-2026-04-00078</v>
      </c>
      <c r="AF669" s="13"/>
      <c r="AG669" s="13"/>
      <c r="AH669" s="65"/>
      <c r="AI669" s="27"/>
    </row>
    <row r="670" spans="1:35" hidden="1">
      <c r="A670" s="13" t="s">
        <v>644</v>
      </c>
      <c r="B670" s="13" t="str">
        <f>_xlfn.XLOOKUP(J670,'Master Data 14-9-2026'!C:C,'Master Data 14-9-2026'!D:D)</f>
        <v>Dzakiy Dzakwan wx1532899</v>
      </c>
      <c r="C670" s="13"/>
      <c r="D670" s="13" t="str">
        <f>_xlfn.XLOOKUP(J670,'Master Data 14-9-2026'!C:C,'Master Data 14-9-2026'!E:E)</f>
        <v>TELKOMSEL</v>
      </c>
      <c r="E670" s="13"/>
      <c r="F670" s="13"/>
      <c r="G670" s="13" t="s">
        <v>18</v>
      </c>
      <c r="H670" s="13" t="str">
        <f>_xlfn.XLOOKUP(J670,'Master Data 14-9-2026'!C:C,'Master Data 14-9-2026'!H:H)</f>
        <v>2026-08-06 - 2026-09-05</v>
      </c>
      <c r="I670" s="13" t="str">
        <f t="shared" si="10"/>
        <v>August</v>
      </c>
      <c r="J670" s="13" t="s">
        <v>1965</v>
      </c>
      <c r="K670" s="13" t="s">
        <v>1965</v>
      </c>
      <c r="L670" s="13" t="s">
        <v>461</v>
      </c>
      <c r="M670" s="15">
        <v>200003225876020</v>
      </c>
      <c r="N670" s="13" t="s">
        <v>924</v>
      </c>
      <c r="O670" s="13">
        <v>1.0912026073100301E+17</v>
      </c>
      <c r="P670" s="13" t="s">
        <v>1966</v>
      </c>
      <c r="Q670" s="18">
        <v>1</v>
      </c>
      <c r="R670" s="18">
        <v>1</v>
      </c>
      <c r="S670" s="13">
        <v>8828132634</v>
      </c>
      <c r="T670" s="13" t="s">
        <v>978</v>
      </c>
      <c r="U670" s="19">
        <v>32542400</v>
      </c>
      <c r="V670" s="18">
        <v>0</v>
      </c>
      <c r="W670" s="18">
        <f>_xlfn.XLOOKUP(J670,'Master Data 14-9-2026'!C:C,'Master Data 14-9-2026'!L:L)</f>
        <v>0.5</v>
      </c>
      <c r="X670" s="23">
        <v>0</v>
      </c>
      <c r="Y670" s="13"/>
      <c r="Z670" s="24" t="s">
        <v>33</v>
      </c>
      <c r="AB670" s="13"/>
      <c r="AC670" s="13"/>
      <c r="AD670" s="13"/>
      <c r="AE670" s="13" t="str">
        <f>_xlfn.XLOOKUP(L670,'[1]ID PROJECT'!E:E,'[1]ID PROJECT'!F:F)</f>
        <v>PRJ-KUT-KPU-TPED-2026-04-00078</v>
      </c>
      <c r="AF670" s="13"/>
      <c r="AG670" s="13"/>
      <c r="AH670" s="65"/>
      <c r="AI670" s="27"/>
    </row>
    <row r="671" spans="1:35" hidden="1">
      <c r="A671" s="13" t="s">
        <v>788</v>
      </c>
      <c r="B671" s="13" t="str">
        <f>_xlfn.XLOOKUP(J671,'Master Data 14-9-2026'!C:C,'Master Data 14-9-2026'!D:D)</f>
        <v>Andrew Ardella Abdullah wx1503970</v>
      </c>
      <c r="C671" s="13"/>
      <c r="D671" s="13" t="str">
        <f>_xlfn.XLOOKUP(J671,'Master Data 14-9-2026'!C:C,'Master Data 14-9-2026'!E:E)</f>
        <v>TELKOMSEL</v>
      </c>
      <c r="E671" s="13"/>
      <c r="F671" s="13"/>
      <c r="G671" s="13" t="s">
        <v>31</v>
      </c>
      <c r="H671" s="13" t="str">
        <f>_xlfn.XLOOKUP(J671,'Master Data 14-9-2026'!C:C,'Master Data 14-9-2026'!H:H)</f>
        <v>2026-08-26 - 2026-09-25</v>
      </c>
      <c r="I671" s="13" t="str">
        <f t="shared" si="10"/>
        <v>August</v>
      </c>
      <c r="J671" s="13" t="s">
        <v>1967</v>
      </c>
      <c r="K671" s="13" t="s">
        <v>1967</v>
      </c>
      <c r="L671" s="13" t="s">
        <v>441</v>
      </c>
      <c r="M671" s="15">
        <v>200003186637020</v>
      </c>
      <c r="N671" s="13" t="s">
        <v>924</v>
      </c>
      <c r="O671" s="13">
        <v>1.0912026073100301E+17</v>
      </c>
      <c r="P671" s="13" t="s">
        <v>1968</v>
      </c>
      <c r="Q671" s="18">
        <v>1</v>
      </c>
      <c r="R671" s="18">
        <v>1</v>
      </c>
      <c r="S671" s="13">
        <v>8828132635</v>
      </c>
      <c r="T671" s="13" t="s">
        <v>926</v>
      </c>
      <c r="U671" s="19">
        <v>34220600</v>
      </c>
      <c r="V671" s="18">
        <v>0</v>
      </c>
      <c r="W671" s="18">
        <f>_xlfn.XLOOKUP(J671,'Master Data 14-9-2026'!C:C,'Master Data 14-9-2026'!L:L)</f>
        <v>0</v>
      </c>
      <c r="X671" s="23">
        <v>0</v>
      </c>
      <c r="Y671" s="13"/>
      <c r="Z671" s="24" t="s">
        <v>225</v>
      </c>
      <c r="AB671" s="13"/>
      <c r="AC671" s="13"/>
      <c r="AD671" s="13"/>
      <c r="AE671" s="13" t="str">
        <f>_xlfn.XLOOKUP(L671,'[1]ID PROJECT'!E:E,'[1]ID PROJECT'!F:F)</f>
        <v xml:space="preserve">PRJ-KUT-KPU-TPED-2026-04-00071 </v>
      </c>
      <c r="AF671" s="13"/>
      <c r="AG671" s="13"/>
      <c r="AH671" s="65"/>
      <c r="AI671" s="27"/>
    </row>
    <row r="672" spans="1:35" hidden="1">
      <c r="A672" s="13" t="s">
        <v>489</v>
      </c>
      <c r="B672" s="13" t="str">
        <f>_xlfn.XLOOKUP(J672,'Master Data 14-9-2026'!C:C,'Master Data 14-9-2026'!D:D)</f>
        <v>Alvin Ramadhan wx1507288</v>
      </c>
      <c r="C672" s="13"/>
      <c r="D672" s="13" t="str">
        <f>_xlfn.XLOOKUP(J672,'Master Data 14-9-2026'!C:C,'Master Data 14-9-2026'!E:E)</f>
        <v>TELKOMSEL</v>
      </c>
      <c r="E672" s="13"/>
      <c r="F672" s="13"/>
      <c r="G672" s="13" t="s">
        <v>28</v>
      </c>
      <c r="H672" s="13" t="str">
        <f>_xlfn.XLOOKUP(J672,'Master Data 14-9-2026'!C:C,'Master Data 14-9-2026'!H:H)</f>
        <v>2026-08-01 - 2026-08-31</v>
      </c>
      <c r="I672" s="13" t="str">
        <f t="shared" si="10"/>
        <v>August</v>
      </c>
      <c r="J672" s="13" t="s">
        <v>1969</v>
      </c>
      <c r="K672" s="13" t="s">
        <v>1969</v>
      </c>
      <c r="L672" s="13" t="s">
        <v>475</v>
      </c>
      <c r="M672" s="15">
        <v>200003133478020</v>
      </c>
      <c r="N672" s="13" t="s">
        <v>924</v>
      </c>
      <c r="O672" s="13">
        <v>1.0912026073100301E+17</v>
      </c>
      <c r="P672" s="13" t="s">
        <v>1970</v>
      </c>
      <c r="Q672" s="18">
        <v>1</v>
      </c>
      <c r="R672" s="18">
        <v>1</v>
      </c>
      <c r="S672" s="13">
        <v>8828132636</v>
      </c>
      <c r="T672" s="13" t="s">
        <v>933</v>
      </c>
      <c r="U672" s="19">
        <v>36992000</v>
      </c>
      <c r="V672" s="18">
        <v>1</v>
      </c>
      <c r="W672" s="18">
        <f>_xlfn.XLOOKUP(J672,'Master Data 14-9-2026'!C:C,'Master Data 14-9-2026'!L:L)</f>
        <v>1.5</v>
      </c>
      <c r="X672" s="23">
        <v>28881900</v>
      </c>
      <c r="Y672" s="13"/>
      <c r="Z672" s="24" t="s">
        <v>33</v>
      </c>
      <c r="AB672" s="13"/>
      <c r="AC672" s="13"/>
      <c r="AD672" s="13"/>
      <c r="AE672" s="13" t="str">
        <f>_xlfn.XLOOKUP(L672,'[1]ID PROJECT'!E:E,'[1]ID PROJECT'!F:F)</f>
        <v>PRJ-KUT-KPU-TPED-2026-04-00074</v>
      </c>
      <c r="AF672" s="13"/>
      <c r="AG672" s="13"/>
      <c r="AH672" s="65"/>
      <c r="AI672" s="27"/>
    </row>
    <row r="673" spans="1:35" hidden="1">
      <c r="A673" s="13" t="s">
        <v>466</v>
      </c>
      <c r="B673" s="13" t="str">
        <f>_xlfn.XLOOKUP(J673,'Master Data 14-9-2026'!C:C,'Master Data 14-9-2026'!D:D)</f>
        <v>Makarias Lindon Sihombing wx1503643</v>
      </c>
      <c r="C673" s="13"/>
      <c r="D673" s="13" t="str">
        <f>_xlfn.XLOOKUP(J673,'Master Data 14-9-2026'!C:C,'Master Data 14-9-2026'!E:E)</f>
        <v>TELKOMSEL</v>
      </c>
      <c r="E673" s="13"/>
      <c r="F673" s="13"/>
      <c r="G673" s="13" t="s">
        <v>28</v>
      </c>
      <c r="H673" s="13" t="str">
        <f>_xlfn.XLOOKUP(J673,'Master Data 14-9-2026'!C:C,'Master Data 14-9-2026'!H:H)</f>
        <v>2026-08-01 - 2026-08-31</v>
      </c>
      <c r="I673" s="13" t="str">
        <f t="shared" si="10"/>
        <v>August</v>
      </c>
      <c r="J673" s="13" t="s">
        <v>1971</v>
      </c>
      <c r="K673" s="13" t="s">
        <v>1971</v>
      </c>
      <c r="L673" s="13" t="s">
        <v>468</v>
      </c>
      <c r="M673" s="15">
        <v>200003133479020</v>
      </c>
      <c r="N673" s="13" t="s">
        <v>924</v>
      </c>
      <c r="O673" s="13">
        <v>1.0912026073100301E+17</v>
      </c>
      <c r="P673" s="13" t="s">
        <v>1972</v>
      </c>
      <c r="Q673" s="18">
        <v>1</v>
      </c>
      <c r="R673" s="18">
        <v>1</v>
      </c>
      <c r="S673" s="13">
        <v>8828132636</v>
      </c>
      <c r="T673" s="13" t="s">
        <v>933</v>
      </c>
      <c r="U673" s="19">
        <v>36992000</v>
      </c>
      <c r="V673" s="18">
        <v>0</v>
      </c>
      <c r="W673" s="18">
        <f>_xlfn.XLOOKUP(J673,'Master Data 14-9-2026'!C:C,'Master Data 14-9-2026'!L:L)</f>
        <v>1.5</v>
      </c>
      <c r="X673" s="23">
        <v>0</v>
      </c>
      <c r="Y673" s="13"/>
      <c r="Z673" s="24" t="s">
        <v>33</v>
      </c>
      <c r="AB673" s="13"/>
      <c r="AC673" s="13"/>
      <c r="AD673" s="13"/>
      <c r="AE673" s="13" t="str">
        <f>_xlfn.XLOOKUP(L673,'[1]ID PROJECT'!E:E,'[1]ID PROJECT'!F:F)</f>
        <v>PRJ-KUT-KPU-TPED-2026-04-00075</v>
      </c>
      <c r="AF673" s="13"/>
      <c r="AG673" s="13"/>
      <c r="AH673" s="65"/>
      <c r="AI673" s="27"/>
    </row>
    <row r="674" spans="1:35" hidden="1">
      <c r="A674" s="13" t="s">
        <v>58</v>
      </c>
      <c r="B674" s="13" t="str">
        <f>_xlfn.XLOOKUP(J674,'Master Data 14-9-2026'!C:C,'Master Data 14-9-2026'!D:D)</f>
        <v>Sri Hardianti Purnamasari wx1503627</v>
      </c>
      <c r="C674" s="13"/>
      <c r="D674" s="13" t="str">
        <f>_xlfn.XLOOKUP(J674,'Master Data 14-9-2026'!C:C,'Master Data 14-9-2026'!E:E)</f>
        <v>TELKOMSEL</v>
      </c>
      <c r="E674" s="13"/>
      <c r="F674" s="13"/>
      <c r="G674" s="13" t="s">
        <v>31</v>
      </c>
      <c r="H674" s="13" t="str">
        <f>_xlfn.XLOOKUP(J674,'Master Data 14-9-2026'!C:C,'Master Data 14-9-2026'!H:H)</f>
        <v>2026-08-23 - 2026-09-22</v>
      </c>
      <c r="I674" s="13" t="str">
        <f t="shared" si="10"/>
        <v>August</v>
      </c>
      <c r="J674" s="13" t="s">
        <v>1973</v>
      </c>
      <c r="K674" s="13" t="s">
        <v>1973</v>
      </c>
      <c r="L674" s="13"/>
      <c r="M674" s="15">
        <v>200003133482020</v>
      </c>
      <c r="N674" s="13" t="s">
        <v>924</v>
      </c>
      <c r="O674" s="13">
        <v>1.0912026073100301E+17</v>
      </c>
      <c r="P674" s="13" t="s">
        <v>1974</v>
      </c>
      <c r="Q674" s="18">
        <v>1</v>
      </c>
      <c r="R674" s="18">
        <v>1</v>
      </c>
      <c r="S674" s="13">
        <v>8828132633</v>
      </c>
      <c r="T674" s="13" t="s">
        <v>951</v>
      </c>
      <c r="U674" s="19">
        <v>28881900</v>
      </c>
      <c r="V674" s="18">
        <v>0</v>
      </c>
      <c r="W674" s="18">
        <f>_xlfn.XLOOKUP(J674,'Master Data 14-9-2026'!C:C,'Master Data 14-9-2026'!L:L)</f>
        <v>0.53</v>
      </c>
      <c r="X674" s="23">
        <v>0</v>
      </c>
      <c r="Y674" s="13"/>
      <c r="Z674" s="24" t="s">
        <v>984</v>
      </c>
      <c r="AB674" s="13"/>
      <c r="AC674" s="13"/>
      <c r="AD674" s="13"/>
      <c r="AE674" s="13" t="e">
        <f>_xlfn.XLOOKUP(L674,'[1]ID PROJECT'!E:E,'[1]ID PROJECT'!F:F)</f>
        <v>#N/A</v>
      </c>
      <c r="AF674" s="13"/>
      <c r="AG674" s="13"/>
      <c r="AH674" s="65"/>
      <c r="AI674" s="27"/>
    </row>
    <row r="675" spans="1:35" hidden="1">
      <c r="A675" s="13" t="s">
        <v>9</v>
      </c>
      <c r="B675" s="13" t="str">
        <f>_xlfn.XLOOKUP(J675,'Master Data 14-9-2026'!C:C,'Master Data 14-9-2026'!D:D)</f>
        <v>Winarsih wx1503649</v>
      </c>
      <c r="C675" s="13"/>
      <c r="D675" s="13" t="str">
        <f>_xlfn.XLOOKUP(J675,'Master Data 14-9-2026'!C:C,'Master Data 14-9-2026'!E:E)</f>
        <v>TELKOMSEL</v>
      </c>
      <c r="E675" s="13"/>
      <c r="F675" s="13"/>
      <c r="G675" s="13" t="s">
        <v>28</v>
      </c>
      <c r="H675" s="13" t="str">
        <f>_xlfn.XLOOKUP(J675,'Master Data 14-9-2026'!C:C,'Master Data 14-9-2026'!H:H)</f>
        <v>2026-08-01 - 2026-08-31</v>
      </c>
      <c r="I675" s="13" t="str">
        <f t="shared" si="10"/>
        <v>August</v>
      </c>
      <c r="J675" s="13" t="s">
        <v>1975</v>
      </c>
      <c r="K675" s="13" t="s">
        <v>1975</v>
      </c>
      <c r="L675" s="13" t="s">
        <v>441</v>
      </c>
      <c r="M675" s="15">
        <v>200003133468020</v>
      </c>
      <c r="N675" s="13" t="s">
        <v>924</v>
      </c>
      <c r="O675" s="13">
        <v>1.09120260731004E+17</v>
      </c>
      <c r="P675" s="13" t="s">
        <v>1976</v>
      </c>
      <c r="Q675" s="18">
        <v>1</v>
      </c>
      <c r="R675" s="18">
        <v>1</v>
      </c>
      <c r="S675" s="13">
        <v>8828132633</v>
      </c>
      <c r="T675" s="13" t="s">
        <v>951</v>
      </c>
      <c r="U675" s="19">
        <v>28881900</v>
      </c>
      <c r="V675" s="18">
        <v>0</v>
      </c>
      <c r="W675" s="18">
        <f>_xlfn.XLOOKUP(J675,'Master Data 14-9-2026'!C:C,'Master Data 14-9-2026'!L:L)</f>
        <v>1.0900000000000001</v>
      </c>
      <c r="X675" s="23">
        <v>0</v>
      </c>
      <c r="Y675" s="13"/>
      <c r="Z675" s="24" t="s">
        <v>984</v>
      </c>
      <c r="AB675" s="13"/>
      <c r="AC675" s="13"/>
      <c r="AD675" s="13"/>
      <c r="AE675" s="13" t="str">
        <f>_xlfn.XLOOKUP(L675,'[1]ID PROJECT'!E:E,'[1]ID PROJECT'!F:F)</f>
        <v xml:space="preserve">PRJ-KUT-KPU-TPED-2026-04-00071 </v>
      </c>
      <c r="AF675" s="13"/>
      <c r="AG675" s="13"/>
      <c r="AH675" s="65"/>
      <c r="AI675" s="27"/>
    </row>
    <row r="676" spans="1:35" hidden="1">
      <c r="A676" s="13" t="s">
        <v>625</v>
      </c>
      <c r="B676" s="13" t="str">
        <f>_xlfn.XLOOKUP(J676,'Master Data 14-9-2026'!C:C,'Master Data 14-9-2026'!D:D)</f>
        <v>Iwan Syafaat WX1531019</v>
      </c>
      <c r="C676" s="13"/>
      <c r="D676" s="13" t="str">
        <f>_xlfn.XLOOKUP(J676,'Master Data 14-9-2026'!C:C,'Master Data 14-9-2026'!E:E)</f>
        <v>TELKOMSEL</v>
      </c>
      <c r="E676" s="13"/>
      <c r="F676" s="13"/>
      <c r="G676" s="13" t="s">
        <v>22</v>
      </c>
      <c r="H676" s="13" t="str">
        <f>_xlfn.XLOOKUP(J676,'Master Data 14-9-2026'!C:C,'Master Data 14-9-2026'!H:H)</f>
        <v>2026-08-29 - 2026-09-28</v>
      </c>
      <c r="I676" s="13" t="str">
        <f t="shared" si="10"/>
        <v>August</v>
      </c>
      <c r="J676" s="13" t="s">
        <v>1977</v>
      </c>
      <c r="K676" s="13" t="s">
        <v>1977</v>
      </c>
      <c r="L676" s="13" t="s">
        <v>441</v>
      </c>
      <c r="M676" s="15">
        <v>200003186629020</v>
      </c>
      <c r="N676" s="13" t="s">
        <v>924</v>
      </c>
      <c r="O676" s="13">
        <v>1.09120260731004E+17</v>
      </c>
      <c r="P676" s="13" t="s">
        <v>1978</v>
      </c>
      <c r="Q676" s="18">
        <v>1</v>
      </c>
      <c r="R676" s="18">
        <v>1</v>
      </c>
      <c r="S676" s="13">
        <v>8828132634</v>
      </c>
      <c r="T676" s="13" t="s">
        <v>978</v>
      </c>
      <c r="U676" s="19">
        <v>32542400</v>
      </c>
      <c r="V676" s="18">
        <v>0</v>
      </c>
      <c r="W676" s="18">
        <f>_xlfn.XLOOKUP(J676,'Master Data 14-9-2026'!C:C,'Master Data 14-9-2026'!L:L)</f>
        <v>0.5</v>
      </c>
      <c r="X676" s="23">
        <v>0</v>
      </c>
      <c r="Y676" s="13"/>
      <c r="Z676" s="24" t="s">
        <v>984</v>
      </c>
      <c r="AB676" s="13"/>
      <c r="AC676" s="13"/>
      <c r="AD676" s="13"/>
      <c r="AE676" s="13" t="str">
        <f>_xlfn.XLOOKUP(L676,'[1]ID PROJECT'!E:E,'[1]ID PROJECT'!F:F)</f>
        <v xml:space="preserve">PRJ-KUT-KPU-TPED-2026-04-00071 </v>
      </c>
      <c r="AF676" s="13"/>
      <c r="AG676" s="13"/>
      <c r="AH676" s="65"/>
      <c r="AI676" s="27"/>
    </row>
    <row r="677" spans="1:35" hidden="1">
      <c r="A677" s="13" t="s">
        <v>779</v>
      </c>
      <c r="B677" s="13" t="str">
        <f>_xlfn.XLOOKUP(J677,'Master Data 14-9-2026'!C:C,'Master Data 14-9-2026'!D:D)</f>
        <v>Kristina Tambunan wx1517408</v>
      </c>
      <c r="C677" s="13"/>
      <c r="D677" s="13" t="str">
        <f>_xlfn.XLOOKUP(J677,'Master Data 14-9-2026'!C:C,'Master Data 14-9-2026'!E:E)</f>
        <v>TELKOMSEL</v>
      </c>
      <c r="E677" s="13"/>
      <c r="F677" s="13"/>
      <c r="G677" s="13" t="s">
        <v>25</v>
      </c>
      <c r="H677" s="13" t="str">
        <f>_xlfn.XLOOKUP(J677,'Master Data 14-9-2026'!C:C,'Master Data 14-9-2026'!H:H)</f>
        <v>2026-08-05 - 2026-09-04</v>
      </c>
      <c r="I677" s="13" t="str">
        <f t="shared" si="10"/>
        <v>August</v>
      </c>
      <c r="J677" s="13" t="s">
        <v>1979</v>
      </c>
      <c r="K677" s="13" t="s">
        <v>1979</v>
      </c>
      <c r="L677" s="13" t="s">
        <v>441</v>
      </c>
      <c r="M677" s="15">
        <v>200003133454020</v>
      </c>
      <c r="N677" s="13" t="s">
        <v>924</v>
      </c>
      <c r="O677" s="13">
        <v>1.09120260731004E+17</v>
      </c>
      <c r="P677" s="13" t="s">
        <v>1980</v>
      </c>
      <c r="Q677" s="18">
        <v>1</v>
      </c>
      <c r="R677" s="18">
        <v>1</v>
      </c>
      <c r="S677" s="13">
        <v>8828132635</v>
      </c>
      <c r="T677" s="13" t="s">
        <v>926</v>
      </c>
      <c r="U677" s="19">
        <v>34220600</v>
      </c>
      <c r="V677" s="18">
        <v>0</v>
      </c>
      <c r="W677" s="18">
        <f>_xlfn.XLOOKUP(J677,'Master Data 14-9-2026'!C:C,'Master Data 14-9-2026'!L:L)</f>
        <v>1</v>
      </c>
      <c r="X677" s="23">
        <v>0</v>
      </c>
      <c r="Y677" s="13"/>
      <c r="Z677" s="24" t="str">
        <f>_xlfn.XLOOKUP(J677,'Master Data 14-9-2026'!C:C,'Master Data 14-9-2026'!I:I)</f>
        <v>Ended</v>
      </c>
      <c r="AB677" s="40" t="s">
        <v>1018</v>
      </c>
      <c r="AC677" s="13"/>
      <c r="AD677" s="13"/>
      <c r="AE677" s="13" t="str">
        <f>_xlfn.XLOOKUP(L677,'[1]ID PROJECT'!E:E,'[1]ID PROJECT'!F:F)</f>
        <v xml:space="preserve">PRJ-KUT-KPU-TPED-2026-04-00071 </v>
      </c>
      <c r="AF677" s="13"/>
      <c r="AG677" s="13"/>
      <c r="AH677" s="65"/>
      <c r="AI677" s="27"/>
    </row>
    <row r="678" spans="1:35" hidden="1">
      <c r="A678" s="13" t="s">
        <v>162</v>
      </c>
      <c r="B678" s="13" t="str">
        <f>_xlfn.XLOOKUP(J678,'Master Data 14-9-2026'!C:C,'Master Data 14-9-2026'!D:D)</f>
        <v>Mona Margaretha Tobing wx1507282</v>
      </c>
      <c r="C678" s="13"/>
      <c r="D678" s="13" t="str">
        <f>_xlfn.XLOOKUP(J678,'Master Data 14-9-2026'!C:C,'Master Data 14-9-2026'!E:E)</f>
        <v>TELKOMSEL</v>
      </c>
      <c r="E678" s="13"/>
      <c r="F678" s="13"/>
      <c r="G678" s="13" t="s">
        <v>28</v>
      </c>
      <c r="H678" s="13" t="str">
        <f>_xlfn.XLOOKUP(J678,'Master Data 14-9-2026'!C:C,'Master Data 14-9-2026'!H:H)</f>
        <v>2026-08-01 - 2026-08-31</v>
      </c>
      <c r="I678" s="13" t="str">
        <f t="shared" si="10"/>
        <v>August</v>
      </c>
      <c r="J678" s="13" t="s">
        <v>1981</v>
      </c>
      <c r="K678" s="13" t="s">
        <v>1981</v>
      </c>
      <c r="L678" s="13" t="s">
        <v>441</v>
      </c>
      <c r="M678" s="15">
        <v>200003133469020</v>
      </c>
      <c r="N678" s="13" t="s">
        <v>924</v>
      </c>
      <c r="O678" s="13">
        <v>1.09120260731004E+17</v>
      </c>
      <c r="P678" s="13" t="s">
        <v>1982</v>
      </c>
      <c r="Q678" s="18">
        <v>1</v>
      </c>
      <c r="R678" s="18">
        <v>1</v>
      </c>
      <c r="S678" s="13">
        <v>8828132633</v>
      </c>
      <c r="T678" s="13" t="s">
        <v>951</v>
      </c>
      <c r="U678" s="19">
        <v>28881900</v>
      </c>
      <c r="V678" s="18">
        <v>0</v>
      </c>
      <c r="W678" s="18">
        <f>_xlfn.XLOOKUP(J678,'Master Data 14-9-2026'!C:C,'Master Data 14-9-2026'!L:L)</f>
        <v>1.5</v>
      </c>
      <c r="X678" s="23">
        <v>0</v>
      </c>
      <c r="Y678" s="13"/>
      <c r="Z678" s="24" t="s">
        <v>984</v>
      </c>
      <c r="AB678" s="13"/>
      <c r="AC678" s="13"/>
      <c r="AD678" s="13"/>
      <c r="AE678" s="13" t="str">
        <f>_xlfn.XLOOKUP(L678,'[1]ID PROJECT'!E:E,'[1]ID PROJECT'!F:F)</f>
        <v xml:space="preserve">PRJ-KUT-KPU-TPED-2026-04-00071 </v>
      </c>
      <c r="AF678" s="13"/>
      <c r="AG678" s="13"/>
      <c r="AH678" s="65"/>
      <c r="AI678" s="27"/>
    </row>
    <row r="679" spans="1:35" hidden="1">
      <c r="A679" s="13" t="s">
        <v>240</v>
      </c>
      <c r="B679" s="13" t="str">
        <f>_xlfn.XLOOKUP(J679,'Master Data 14-9-2026'!C:C,'Master Data 14-9-2026'!D:D)</f>
        <v>Gigih Dharma Sulistya wx1503511</v>
      </c>
      <c r="C679" s="13"/>
      <c r="D679" s="13" t="str">
        <f>_xlfn.XLOOKUP(J679,'Master Data 14-9-2026'!C:C,'Master Data 14-9-2026'!E:E)</f>
        <v>TELKOMSEL</v>
      </c>
      <c r="E679" s="13"/>
      <c r="F679" s="13"/>
      <c r="G679" s="13" t="s">
        <v>31</v>
      </c>
      <c r="H679" s="13" t="str">
        <f>_xlfn.XLOOKUP(J679,'Master Data 14-9-2026'!C:C,'Master Data 14-9-2026'!H:H)</f>
        <v>2026-08-23 - 2026-09-22</v>
      </c>
      <c r="I679" s="13" t="str">
        <f t="shared" si="10"/>
        <v>August</v>
      </c>
      <c r="J679" s="13" t="s">
        <v>1983</v>
      </c>
      <c r="K679" s="13" t="s">
        <v>1983</v>
      </c>
      <c r="L679" s="13"/>
      <c r="M679" s="15">
        <v>200003133483020</v>
      </c>
      <c r="N679" s="13" t="s">
        <v>924</v>
      </c>
      <c r="O679" s="13">
        <v>1.09120260731004E+17</v>
      </c>
      <c r="P679" s="13" t="s">
        <v>1984</v>
      </c>
      <c r="Q679" s="18">
        <v>1</v>
      </c>
      <c r="R679" s="18">
        <v>1</v>
      </c>
      <c r="S679" s="13">
        <v>8828132633</v>
      </c>
      <c r="T679" s="13" t="s">
        <v>951</v>
      </c>
      <c r="U679" s="19">
        <v>28881900</v>
      </c>
      <c r="V679" s="18">
        <v>0</v>
      </c>
      <c r="W679" s="18">
        <f>_xlfn.XLOOKUP(J679,'Master Data 14-9-2026'!C:C,'Master Data 14-9-2026'!L:L)</f>
        <v>1.5</v>
      </c>
      <c r="X679" s="23">
        <v>0</v>
      </c>
      <c r="Y679" s="13"/>
      <c r="Z679" s="24" t="s">
        <v>984</v>
      </c>
      <c r="AB679" s="13"/>
      <c r="AC679" s="13"/>
      <c r="AD679" s="13"/>
      <c r="AE679" s="13" t="e">
        <f>_xlfn.XLOOKUP(L679,'[1]ID PROJECT'!E:E,'[1]ID PROJECT'!F:F)</f>
        <v>#N/A</v>
      </c>
      <c r="AF679" s="13"/>
      <c r="AG679" s="13"/>
      <c r="AH679" s="65"/>
      <c r="AI679" s="27"/>
    </row>
    <row r="680" spans="1:35" hidden="1">
      <c r="A680" s="13" t="s">
        <v>756</v>
      </c>
      <c r="B680" s="13" t="str">
        <f>_xlfn.XLOOKUP(J680,'Master Data 14-9-2026'!C:C,'Master Data 14-9-2026'!D:D)</f>
        <v>Triana Sukeci wx1503625</v>
      </c>
      <c r="C680" s="13"/>
      <c r="D680" s="13" t="str">
        <f>_xlfn.XLOOKUP(J680,'Master Data 14-9-2026'!C:C,'Master Data 14-9-2026'!E:E)</f>
        <v>TELKOMSEL</v>
      </c>
      <c r="E680" s="13"/>
      <c r="F680" s="13"/>
      <c r="G680" s="13" t="s">
        <v>31</v>
      </c>
      <c r="H680" s="13" t="str">
        <f>_xlfn.XLOOKUP(J680,'Master Data 14-9-2026'!C:C,'Master Data 14-9-2026'!H:H)</f>
        <v>2026-08-27 - 2026-09-26</v>
      </c>
      <c r="I680" s="13" t="str">
        <f t="shared" si="10"/>
        <v>August</v>
      </c>
      <c r="J680" s="13" t="s">
        <v>1985</v>
      </c>
      <c r="K680" s="13" t="s">
        <v>1985</v>
      </c>
      <c r="L680" s="13" t="s">
        <v>461</v>
      </c>
      <c r="M680" s="15">
        <v>200003133489020</v>
      </c>
      <c r="N680" s="13" t="s">
        <v>924</v>
      </c>
      <c r="O680" s="13">
        <v>1.09120260731004E+17</v>
      </c>
      <c r="P680" s="13" t="s">
        <v>1986</v>
      </c>
      <c r="Q680" s="18">
        <v>1</v>
      </c>
      <c r="R680" s="18">
        <v>1</v>
      </c>
      <c r="S680" s="13">
        <v>8828132635</v>
      </c>
      <c r="T680" s="13" t="s">
        <v>926</v>
      </c>
      <c r="U680" s="19">
        <v>34220600</v>
      </c>
      <c r="V680" s="18">
        <v>0</v>
      </c>
      <c r="W680" s="18">
        <f>_xlfn.XLOOKUP(J680,'Master Data 14-9-2026'!C:C,'Master Data 14-9-2026'!L:L)</f>
        <v>0</v>
      </c>
      <c r="X680" s="23">
        <v>0</v>
      </c>
      <c r="Y680" s="13"/>
      <c r="Z680" s="24" t="s">
        <v>225</v>
      </c>
      <c r="AB680" s="13"/>
      <c r="AC680" s="13"/>
      <c r="AD680" s="13"/>
      <c r="AE680" s="13" t="str">
        <f>_xlfn.XLOOKUP(L680,'[1]ID PROJECT'!E:E,'[1]ID PROJECT'!F:F)</f>
        <v>PRJ-KUT-KPU-TPED-2026-04-00078</v>
      </c>
      <c r="AF680" s="13"/>
      <c r="AG680" s="13"/>
      <c r="AH680" s="65"/>
      <c r="AI680" s="27"/>
    </row>
    <row r="681" spans="1:35" hidden="1">
      <c r="A681" s="13" t="s">
        <v>81</v>
      </c>
      <c r="B681" s="13" t="str">
        <f>_xlfn.XLOOKUP(J681,'Master Data 14-9-2026'!C:C,'Master Data 14-9-2026'!D:D)</f>
        <v>Putri Mawaring Wening wx1524101</v>
      </c>
      <c r="C681" s="13"/>
      <c r="D681" s="13" t="str">
        <f>_xlfn.XLOOKUP(J681,'Master Data 14-9-2026'!C:C,'Master Data 14-9-2026'!E:E)</f>
        <v>TELKOMSEL</v>
      </c>
      <c r="E681" s="13"/>
      <c r="F681" s="13"/>
      <c r="G681" s="13" t="s">
        <v>22</v>
      </c>
      <c r="H681" s="13" t="str">
        <f>_xlfn.XLOOKUP(J681,'Master Data 14-9-2026'!C:C,'Master Data 14-9-2026'!H:H)</f>
        <v>2026-08-02 - 2026-09-01</v>
      </c>
      <c r="I681" s="13" t="str">
        <f t="shared" si="10"/>
        <v>August</v>
      </c>
      <c r="J681" s="13" t="s">
        <v>1987</v>
      </c>
      <c r="K681" s="13" t="s">
        <v>1987</v>
      </c>
      <c r="L681" s="13" t="s">
        <v>441</v>
      </c>
      <c r="M681" s="15">
        <v>200003186617020</v>
      </c>
      <c r="N681" s="13" t="s">
        <v>924</v>
      </c>
      <c r="O681" s="13">
        <v>1.0912026073100301E+17</v>
      </c>
      <c r="P681" s="13" t="s">
        <v>1988</v>
      </c>
      <c r="Q681" s="18">
        <v>1</v>
      </c>
      <c r="R681" s="18">
        <v>1</v>
      </c>
      <c r="S681" s="13">
        <v>8828132633</v>
      </c>
      <c r="T681" s="13" t="s">
        <v>951</v>
      </c>
      <c r="U681" s="19">
        <v>28881900</v>
      </c>
      <c r="V681" s="18">
        <v>0</v>
      </c>
      <c r="W681" s="18">
        <f>_xlfn.XLOOKUP(J681,'Master Data 14-9-2026'!C:C,'Master Data 14-9-2026'!L:L)</f>
        <v>1.5</v>
      </c>
      <c r="X681" s="23">
        <v>0</v>
      </c>
      <c r="Y681" s="13"/>
      <c r="Z681" s="24" t="s">
        <v>33</v>
      </c>
      <c r="AB681" s="13" t="s">
        <v>1018</v>
      </c>
      <c r="AC681" s="13"/>
      <c r="AD681" s="13"/>
      <c r="AE681" s="13" t="str">
        <f>_xlfn.XLOOKUP(L681,'[1]ID PROJECT'!E:E,'[1]ID PROJECT'!F:F)</f>
        <v xml:space="preserve">PRJ-KUT-KPU-TPED-2026-04-00071 </v>
      </c>
      <c r="AF681" s="13"/>
      <c r="AG681" s="13"/>
      <c r="AH681" s="65"/>
      <c r="AI681" s="27"/>
    </row>
    <row r="682" spans="1:35" hidden="1">
      <c r="A682" s="13" t="s">
        <v>258</v>
      </c>
      <c r="B682" s="13" t="str">
        <f>_xlfn.XLOOKUP(J682,'Master Data 14-9-2026'!C:C,'Master Data 14-9-2026'!D:D)</f>
        <v>F Albert Jacob wx1504717</v>
      </c>
      <c r="C682" s="13"/>
      <c r="D682" s="13" t="str">
        <f>_xlfn.XLOOKUP(J682,'Master Data 14-9-2026'!C:C,'Master Data 14-9-2026'!E:E)</f>
        <v>TELKOMSEL</v>
      </c>
      <c r="E682" s="13"/>
      <c r="F682" s="13"/>
      <c r="G682" s="13" t="s">
        <v>31</v>
      </c>
      <c r="H682" s="13" t="str">
        <f>_xlfn.XLOOKUP(J682,'Master Data 14-9-2026'!C:C,'Master Data 14-9-2026'!H:H)</f>
        <v>2026-08-23 - 2026-09-22</v>
      </c>
      <c r="I682" s="13" t="str">
        <f t="shared" si="10"/>
        <v>August</v>
      </c>
      <c r="J682" s="13" t="s">
        <v>1989</v>
      </c>
      <c r="K682" s="13" t="s">
        <v>1989</v>
      </c>
      <c r="L682" s="13"/>
      <c r="M682" s="15">
        <v>200003133484020</v>
      </c>
      <c r="N682" s="13" t="s">
        <v>924</v>
      </c>
      <c r="O682" s="13">
        <v>1.0912026073100301E+17</v>
      </c>
      <c r="P682" s="13" t="s">
        <v>1990</v>
      </c>
      <c r="Q682" s="18">
        <v>1</v>
      </c>
      <c r="R682" s="18">
        <v>1</v>
      </c>
      <c r="S682" s="13">
        <v>8828132633</v>
      </c>
      <c r="T682" s="13" t="s">
        <v>951</v>
      </c>
      <c r="U682" s="19">
        <v>28881900</v>
      </c>
      <c r="V682" s="18">
        <v>0</v>
      </c>
      <c r="W682" s="18">
        <f>_xlfn.XLOOKUP(J682,'Master Data 14-9-2026'!C:C,'Master Data 14-9-2026'!L:L)</f>
        <v>1</v>
      </c>
      <c r="X682" s="23">
        <v>0</v>
      </c>
      <c r="Y682" s="13"/>
      <c r="Z682" s="24" t="str">
        <f>_xlfn.XLOOKUP(J682,'Master Data 14-9-2026'!C:C,'Master Data 14-9-2026'!I:I)</f>
        <v>Ongoing</v>
      </c>
      <c r="AB682" s="13"/>
      <c r="AC682" s="13"/>
      <c r="AD682" s="13"/>
      <c r="AE682" s="13" t="e">
        <f>_xlfn.XLOOKUP(L682,'[1]ID PROJECT'!E:E,'[1]ID PROJECT'!F:F)</f>
        <v>#N/A</v>
      </c>
      <c r="AF682" s="13"/>
      <c r="AG682" s="13"/>
      <c r="AH682" s="65"/>
      <c r="AI682" s="27"/>
    </row>
    <row r="683" spans="1:35" hidden="1">
      <c r="A683" s="13" t="s">
        <v>766</v>
      </c>
      <c r="B683" s="13" t="str">
        <f>_xlfn.XLOOKUP(J683,'Master Data 14-9-2026'!C:C,'Master Data 14-9-2026'!D:D)</f>
        <v>Slamet Riyanto wx1503652</v>
      </c>
      <c r="C683" s="13"/>
      <c r="D683" s="13" t="str">
        <f>_xlfn.XLOOKUP(J683,'Master Data 14-9-2026'!C:C,'Master Data 14-9-2026'!E:E)</f>
        <v>TELKOMSEL</v>
      </c>
      <c r="E683" s="13"/>
      <c r="F683" s="13"/>
      <c r="G683" s="13" t="s">
        <v>28</v>
      </c>
      <c r="H683" s="13" t="str">
        <f>_xlfn.XLOOKUP(J683,'Master Data 14-9-2026'!C:C,'Master Data 14-9-2026'!H:H)</f>
        <v>2026-08-01 - 2026-08-31</v>
      </c>
      <c r="I683" s="13" t="str">
        <f t="shared" si="10"/>
        <v>August</v>
      </c>
      <c r="J683" s="13" t="s">
        <v>1991</v>
      </c>
      <c r="K683" s="16" t="s">
        <v>1991</v>
      </c>
      <c r="L683" s="13" t="s">
        <v>468</v>
      </c>
      <c r="M683" s="15">
        <v>200003133472020</v>
      </c>
      <c r="N683" s="13" t="s">
        <v>924</v>
      </c>
      <c r="O683" s="13">
        <v>1.0912026073100301E+17</v>
      </c>
      <c r="P683" s="13" t="s">
        <v>1992</v>
      </c>
      <c r="Q683" s="18">
        <v>1</v>
      </c>
      <c r="R683" s="18">
        <v>1</v>
      </c>
      <c r="S683" s="13">
        <v>8828132635</v>
      </c>
      <c r="T683" s="13" t="s">
        <v>926</v>
      </c>
      <c r="U683" s="19">
        <v>34220600</v>
      </c>
      <c r="V683" s="18">
        <v>0</v>
      </c>
      <c r="W683" s="18">
        <f>_xlfn.XLOOKUP(J683,'Master Data 14-9-2026'!C:C,'Master Data 14-9-2026'!L:L)</f>
        <v>1</v>
      </c>
      <c r="X683" s="23">
        <v>28881900</v>
      </c>
      <c r="Y683" s="13"/>
      <c r="Z683" s="24" t="str">
        <f>_xlfn.XLOOKUP(J683,'Master Data 14-9-2026'!C:C,'Master Data 14-9-2026'!I:I)</f>
        <v>Ended</v>
      </c>
      <c r="AA683" s="39"/>
      <c r="AB683" s="40" t="s">
        <v>1018</v>
      </c>
      <c r="AC683" s="13"/>
      <c r="AD683" s="13"/>
      <c r="AE683" s="13" t="str">
        <f>_xlfn.XLOOKUP(L683,'[1]ID PROJECT'!E:E,'[1]ID PROJECT'!F:F)</f>
        <v>PRJ-KUT-KPU-TPED-2026-04-00075</v>
      </c>
      <c r="AF683" s="13"/>
      <c r="AG683" s="13"/>
      <c r="AH683" s="65"/>
      <c r="AI683" s="27"/>
    </row>
    <row r="684" spans="1:35" hidden="1">
      <c r="A684" s="13" t="s">
        <v>534</v>
      </c>
      <c r="B684" s="13" t="str">
        <f>_xlfn.XLOOKUP(J684,'Master Data 14-9-2026'!C:C,'Master Data 14-9-2026'!D:D)</f>
        <v>Risky Septiadi Hartono wx1503496</v>
      </c>
      <c r="C684" s="13"/>
      <c r="D684" s="13" t="str">
        <f>_xlfn.XLOOKUP(J684,'Master Data 14-9-2026'!C:C,'Master Data 14-9-2026'!E:E)</f>
        <v>TELKOMSEL</v>
      </c>
      <c r="E684" s="13"/>
      <c r="F684" s="13"/>
      <c r="G684" s="13" t="s">
        <v>31</v>
      </c>
      <c r="H684" s="13" t="str">
        <f>_xlfn.XLOOKUP(J684,'Master Data 14-9-2026'!C:C,'Master Data 14-9-2026'!H:H)</f>
        <v>2026-08-23 - 2026-09-22</v>
      </c>
      <c r="I684" s="13" t="str">
        <f t="shared" si="10"/>
        <v>August</v>
      </c>
      <c r="J684" s="13" t="s">
        <v>1993</v>
      </c>
      <c r="K684" s="13" t="s">
        <v>1993</v>
      </c>
      <c r="L684" s="13" t="s">
        <v>457</v>
      </c>
      <c r="M684" s="15">
        <v>200003133494020</v>
      </c>
      <c r="N684" s="13" t="s">
        <v>924</v>
      </c>
      <c r="O684" s="13">
        <v>1.09120260731004E+17</v>
      </c>
      <c r="P684" s="13" t="s">
        <v>1994</v>
      </c>
      <c r="Q684" s="18">
        <v>1</v>
      </c>
      <c r="R684" s="18">
        <v>1</v>
      </c>
      <c r="S684" s="13">
        <v>8828132636</v>
      </c>
      <c r="T684" s="13" t="s">
        <v>933</v>
      </c>
      <c r="U684" s="19">
        <v>36992000</v>
      </c>
      <c r="V684" s="18">
        <v>0</v>
      </c>
      <c r="W684" s="18">
        <f>_xlfn.XLOOKUP(J684,'Master Data 14-9-2026'!C:C,'Master Data 14-9-2026'!L:L)</f>
        <v>0.5</v>
      </c>
      <c r="X684" s="23">
        <v>0</v>
      </c>
      <c r="Y684" s="13"/>
      <c r="Z684" s="24" t="s">
        <v>225</v>
      </c>
      <c r="AB684" s="13"/>
      <c r="AC684" s="13"/>
      <c r="AD684" s="13"/>
      <c r="AE684" s="13" t="str">
        <f>_xlfn.XLOOKUP(L684,'[1]ID PROJECT'!E:E,'[1]ID PROJECT'!F:F)</f>
        <v>PRJ-KUT-KPU-TPED-2026-04-00076</v>
      </c>
      <c r="AF684" s="13"/>
      <c r="AG684" s="13"/>
      <c r="AH684" s="65"/>
      <c r="AI684" s="27"/>
    </row>
    <row r="685" spans="1:35" hidden="1">
      <c r="A685" s="13" t="s">
        <v>482</v>
      </c>
      <c r="B685" s="13" t="str">
        <f>_xlfn.XLOOKUP(J685,'Master Data 14-9-2026'!C:C,'Master Data 14-9-2026'!D:D)</f>
        <v>Adhelina Zulfiana wx1505386</v>
      </c>
      <c r="C685" s="13"/>
      <c r="D685" s="13" t="str">
        <f>_xlfn.XLOOKUP(J685,'Master Data 14-9-2026'!C:C,'Master Data 14-9-2026'!E:E)</f>
        <v>Platform DMD</v>
      </c>
      <c r="E685" s="13"/>
      <c r="F685" s="13"/>
      <c r="G685" s="13" t="s">
        <v>25</v>
      </c>
      <c r="H685" s="13" t="str">
        <f>_xlfn.XLOOKUP(J685,'Master Data 14-9-2026'!C:C,'Master Data 14-9-2026'!H:H)</f>
        <v>2026-06-30 - 2026-07-29</v>
      </c>
      <c r="I685" s="13" t="str">
        <f t="shared" si="10"/>
        <v>June</v>
      </c>
      <c r="J685" s="13" t="s">
        <v>1995</v>
      </c>
      <c r="K685" s="13" t="s">
        <v>1995</v>
      </c>
      <c r="L685" s="13" t="s">
        <v>441</v>
      </c>
      <c r="M685" s="15">
        <v>200003133458020</v>
      </c>
      <c r="N685" s="13" t="s">
        <v>924</v>
      </c>
      <c r="O685" s="13">
        <v>1.09120260731004E+17</v>
      </c>
      <c r="P685" s="13" t="s">
        <v>1996</v>
      </c>
      <c r="Q685" s="18">
        <v>1</v>
      </c>
      <c r="R685" s="18">
        <v>1</v>
      </c>
      <c r="S685" s="13">
        <v>8828132636</v>
      </c>
      <c r="T685" s="13" t="s">
        <v>933</v>
      </c>
      <c r="U685" s="19">
        <v>36992000</v>
      </c>
      <c r="V685" s="18">
        <v>0</v>
      </c>
      <c r="W685" s="18">
        <f>_xlfn.XLOOKUP(J685,'Master Data 14-9-2026'!C:C,'Master Data 14-9-2026'!L:L)</f>
        <v>1.1000000000000001</v>
      </c>
      <c r="X685" s="23">
        <v>0</v>
      </c>
      <c r="Y685" s="13"/>
      <c r="Z685" s="24" t="str">
        <f>_xlfn.XLOOKUP(J685,'Master Data 14-9-2026'!C:C,'Master Data 14-9-2026'!I:I)</f>
        <v>Ended</v>
      </c>
      <c r="AB685" s="13" t="s">
        <v>1149</v>
      </c>
      <c r="AC685" s="13"/>
      <c r="AD685" s="13"/>
      <c r="AE685" s="13" t="str">
        <f>_xlfn.XLOOKUP(L685,'[1]ID PROJECT'!E:E,'[1]ID PROJECT'!F:F)</f>
        <v xml:space="preserve">PRJ-KUT-KPU-TPED-2026-04-00071 </v>
      </c>
      <c r="AF685" s="13"/>
      <c r="AG685" s="13"/>
      <c r="AH685" s="65"/>
      <c r="AI685" s="27"/>
    </row>
    <row r="686" spans="1:35" hidden="1">
      <c r="A686" s="13" t="s">
        <v>35</v>
      </c>
      <c r="B686" s="13" t="str">
        <f>_xlfn.XLOOKUP(J686,'Master Data 14-9-2026'!C:C,'Master Data 14-9-2026'!D:D)</f>
        <v>Nancy Febrila Eko wx1524066</v>
      </c>
      <c r="C686" s="13"/>
      <c r="D686" s="13" t="str">
        <f>_xlfn.XLOOKUP(J686,'Master Data 14-9-2026'!C:C,'Master Data 14-9-2026'!E:E)</f>
        <v>TELKOMSEL</v>
      </c>
      <c r="E686" s="13"/>
      <c r="F686" s="13"/>
      <c r="G686" s="13" t="s">
        <v>22</v>
      </c>
      <c r="H686" s="13" t="str">
        <f>_xlfn.XLOOKUP(J686,'Master Data 14-9-2026'!C:C,'Master Data 14-9-2026'!H:H)</f>
        <v>2026-08-02 - 2026-09-01</v>
      </c>
      <c r="I686" s="13" t="str">
        <f t="shared" si="10"/>
        <v>August</v>
      </c>
      <c r="J686" s="13" t="s">
        <v>1997</v>
      </c>
      <c r="K686" s="16" t="s">
        <v>1997</v>
      </c>
      <c r="L686" s="13" t="s">
        <v>441</v>
      </c>
      <c r="M686" s="15">
        <v>200003186627020</v>
      </c>
      <c r="N686" s="13" t="s">
        <v>924</v>
      </c>
      <c r="O686" s="13">
        <v>1.09120260731004E+17</v>
      </c>
      <c r="P686" s="13" t="s">
        <v>1998</v>
      </c>
      <c r="Q686" s="18">
        <v>1</v>
      </c>
      <c r="R686" s="18">
        <v>1</v>
      </c>
      <c r="S686" s="13">
        <v>8828132633</v>
      </c>
      <c r="T686" s="13" t="s">
        <v>951</v>
      </c>
      <c r="U686" s="19">
        <v>28881900</v>
      </c>
      <c r="V686" s="18">
        <v>0</v>
      </c>
      <c r="W686" s="18">
        <f>_xlfn.XLOOKUP(J686,'Master Data 14-9-2026'!C:C,'Master Data 14-9-2026'!L:L)</f>
        <v>1</v>
      </c>
      <c r="X686" s="23">
        <v>0</v>
      </c>
      <c r="Y686" s="13"/>
      <c r="Z686" s="24" t="str">
        <f>_xlfn.XLOOKUP(J686,'Master Data 14-9-2026'!C:C,'Master Data 14-9-2026'!I:I)</f>
        <v>Ended</v>
      </c>
      <c r="AA686" s="4" t="s">
        <v>928</v>
      </c>
      <c r="AB686" s="13" t="s">
        <v>1018</v>
      </c>
      <c r="AC686" s="13"/>
      <c r="AD686" s="13"/>
      <c r="AE686" s="13" t="str">
        <f>_xlfn.XLOOKUP(L686,'[1]ID PROJECT'!E:E,'[1]ID PROJECT'!F:F)</f>
        <v xml:space="preserve">PRJ-KUT-KPU-TPED-2026-04-00071 </v>
      </c>
      <c r="AF686" s="13"/>
      <c r="AG686" s="13"/>
      <c r="AH686" s="65"/>
      <c r="AI686" s="27"/>
    </row>
    <row r="687" spans="1:35" hidden="1">
      <c r="A687" s="13" t="s">
        <v>170</v>
      </c>
      <c r="B687" s="13" t="str">
        <f>_xlfn.XLOOKUP(J687,'Master Data 14-9-2026'!C:C,'Master Data 14-9-2026'!D:D)</f>
        <v>Yosephine Yudianto wx1503656</v>
      </c>
      <c r="C687" s="13"/>
      <c r="D687" s="13" t="str">
        <f>_xlfn.XLOOKUP(J687,'Master Data 14-9-2026'!C:C,'Master Data 14-9-2026'!E:E)</f>
        <v>TELKOMSEL</v>
      </c>
      <c r="E687" s="13"/>
      <c r="F687" s="13"/>
      <c r="G687" s="13" t="s">
        <v>31</v>
      </c>
      <c r="H687" s="13" t="str">
        <f>_xlfn.XLOOKUP(J687,'Master Data 14-9-2026'!C:C,'Master Data 14-9-2026'!H:H)</f>
        <v>2026-08-30 - 2026-09-29</v>
      </c>
      <c r="I687" s="13" t="str">
        <f t="shared" si="10"/>
        <v>August</v>
      </c>
      <c r="J687" s="13" t="s">
        <v>1999</v>
      </c>
      <c r="K687" s="13" t="s">
        <v>1999</v>
      </c>
      <c r="L687" s="13" t="s">
        <v>441</v>
      </c>
      <c r="M687" s="15">
        <v>200003133486020</v>
      </c>
      <c r="N687" s="13" t="s">
        <v>924</v>
      </c>
      <c r="O687" s="13">
        <v>1.09120260731004E+17</v>
      </c>
      <c r="P687" s="13" t="s">
        <v>2000</v>
      </c>
      <c r="Q687" s="18">
        <v>1</v>
      </c>
      <c r="R687" s="18">
        <v>1</v>
      </c>
      <c r="S687" s="13">
        <v>8828132633</v>
      </c>
      <c r="T687" s="13" t="s">
        <v>951</v>
      </c>
      <c r="U687" s="19">
        <v>28881900</v>
      </c>
      <c r="V687" s="18">
        <v>0</v>
      </c>
      <c r="W687" s="18">
        <f>_xlfn.XLOOKUP(J687,'Master Data 14-9-2026'!C:C,'Master Data 14-9-2026'!L:L)</f>
        <v>1</v>
      </c>
      <c r="X687" s="23">
        <v>0</v>
      </c>
      <c r="Y687" s="13"/>
      <c r="Z687" s="24" t="str">
        <f>_xlfn.XLOOKUP(J687,'Master Data 14-9-2026'!C:C,'Master Data 14-9-2026'!I:I)</f>
        <v>Ongoing</v>
      </c>
      <c r="AB687" s="13"/>
      <c r="AC687" s="13"/>
      <c r="AD687" s="13"/>
      <c r="AE687" s="13" t="str">
        <f>_xlfn.XLOOKUP(L687,'[1]ID PROJECT'!E:E,'[1]ID PROJECT'!F:F)</f>
        <v xml:space="preserve">PRJ-KUT-KPU-TPED-2026-04-00071 </v>
      </c>
      <c r="AF687" s="13"/>
      <c r="AG687" s="13"/>
      <c r="AH687" s="65"/>
      <c r="AI687" s="27"/>
    </row>
    <row r="688" spans="1:35" hidden="1">
      <c r="A688" s="13" t="s">
        <v>439</v>
      </c>
      <c r="B688" s="13" t="str">
        <f>_xlfn.XLOOKUP(J688,'Master Data 14-9-2026'!C:C,'Master Data 14-9-2026'!D:D)</f>
        <v>Farizqi Anisah Nudhar wx1503972</v>
      </c>
      <c r="C688" s="13"/>
      <c r="D688" s="13" t="str">
        <f>_xlfn.XLOOKUP(J688,'Master Data 14-9-2026'!C:C,'Master Data 14-9-2026'!E:E)</f>
        <v>TELKOMSEL</v>
      </c>
      <c r="E688" s="13"/>
      <c r="F688" s="13"/>
      <c r="G688" s="13" t="s">
        <v>31</v>
      </c>
      <c r="H688" s="13" t="str">
        <f>_xlfn.XLOOKUP(J688,'Master Data 14-9-2026'!C:C,'Master Data 14-9-2026'!H:H)</f>
        <v>2026-08-30 - 2026-09-29</v>
      </c>
      <c r="I688" s="13" t="str">
        <f t="shared" si="10"/>
        <v>August</v>
      </c>
      <c r="J688" s="13" t="s">
        <v>2001</v>
      </c>
      <c r="K688" s="13" t="s">
        <v>2001</v>
      </c>
      <c r="L688" s="13" t="s">
        <v>441</v>
      </c>
      <c r="M688" s="15">
        <v>200003133495020</v>
      </c>
      <c r="N688" s="13" t="s">
        <v>924</v>
      </c>
      <c r="O688" s="13">
        <v>1.0912026073100301E+17</v>
      </c>
      <c r="P688" s="13" t="s">
        <v>2002</v>
      </c>
      <c r="Q688" s="18">
        <v>1</v>
      </c>
      <c r="R688" s="18">
        <v>1</v>
      </c>
      <c r="S688" s="13">
        <v>8828132636</v>
      </c>
      <c r="T688" s="13" t="s">
        <v>933</v>
      </c>
      <c r="U688" s="19">
        <v>36992000</v>
      </c>
      <c r="V688" s="18">
        <v>0</v>
      </c>
      <c r="W688" s="18">
        <f>_xlfn.XLOOKUP(J688,'Master Data 14-9-2026'!C:C,'Master Data 14-9-2026'!L:L)</f>
        <v>0.78</v>
      </c>
      <c r="X688" s="23">
        <v>0</v>
      </c>
      <c r="Y688" s="13"/>
      <c r="Z688" s="24" t="s">
        <v>984</v>
      </c>
      <c r="AB688" s="13"/>
      <c r="AC688" s="13"/>
      <c r="AD688" s="13"/>
      <c r="AE688" s="13" t="str">
        <f>_xlfn.XLOOKUP(L688,'[1]ID PROJECT'!E:E,'[1]ID PROJECT'!F:F)</f>
        <v xml:space="preserve">PRJ-KUT-KPU-TPED-2026-04-00071 </v>
      </c>
      <c r="AF688" s="13"/>
      <c r="AG688" s="13"/>
      <c r="AH688" s="65"/>
      <c r="AI688" s="27"/>
    </row>
    <row r="689" spans="1:35" hidden="1">
      <c r="A689" s="13" t="s">
        <v>120</v>
      </c>
      <c r="B689" s="13" t="str">
        <f>_xlfn.XLOOKUP(J689,'Master Data 14-9-2026'!C:C,'Master Data 14-9-2026'!D:D)</f>
        <v>Febryyanti Nawang Wulan wx1503626</v>
      </c>
      <c r="C689" s="13"/>
      <c r="D689" s="13" t="str">
        <f>_xlfn.XLOOKUP(J689,'Master Data 14-9-2026'!C:C,'Master Data 14-9-2026'!E:E)</f>
        <v>TELKOMSEL</v>
      </c>
      <c r="E689" s="13"/>
      <c r="F689" s="13"/>
      <c r="G689" s="13" t="s">
        <v>31</v>
      </c>
      <c r="H689" s="13" t="str">
        <f>_xlfn.XLOOKUP(J689,'Master Data 14-9-2026'!C:C,'Master Data 14-9-2026'!H:H)</f>
        <v>2026-08-30 - 2026-09-29</v>
      </c>
      <c r="I689" s="13" t="str">
        <f t="shared" si="10"/>
        <v>August</v>
      </c>
      <c r="J689" s="13" t="s">
        <v>2003</v>
      </c>
      <c r="K689" s="13" t="s">
        <v>2003</v>
      </c>
      <c r="L689" s="13"/>
      <c r="M689" s="15">
        <v>200003133485020</v>
      </c>
      <c r="N689" s="13" t="s">
        <v>924</v>
      </c>
      <c r="O689" s="13">
        <v>1.0912026073100301E+17</v>
      </c>
      <c r="P689" s="13" t="s">
        <v>2004</v>
      </c>
      <c r="Q689" s="18">
        <v>1</v>
      </c>
      <c r="R689" s="18">
        <v>1</v>
      </c>
      <c r="S689" s="13">
        <v>8828132633</v>
      </c>
      <c r="T689" s="13" t="s">
        <v>951</v>
      </c>
      <c r="U689" s="19">
        <v>28881900</v>
      </c>
      <c r="V689" s="18">
        <v>0</v>
      </c>
      <c r="W689" s="18">
        <f>_xlfn.XLOOKUP(J689,'Master Data 14-9-2026'!C:C,'Master Data 14-9-2026'!L:L)</f>
        <v>0.51</v>
      </c>
      <c r="X689" s="23">
        <v>0</v>
      </c>
      <c r="Y689" s="13"/>
      <c r="Z689" s="24" t="s">
        <v>984</v>
      </c>
      <c r="AB689" s="13"/>
      <c r="AC689" s="13"/>
      <c r="AD689" s="13"/>
      <c r="AE689" s="13" t="e">
        <f>_xlfn.XLOOKUP(L689,'[1]ID PROJECT'!E:E,'[1]ID PROJECT'!F:F)</f>
        <v>#N/A</v>
      </c>
      <c r="AF689" s="13"/>
      <c r="AG689" s="13"/>
      <c r="AH689" s="65"/>
      <c r="AI689" s="27"/>
    </row>
    <row r="690" spans="1:35" hidden="1">
      <c r="A690" s="13" t="s">
        <v>888</v>
      </c>
      <c r="B690" s="13" t="str">
        <f>_xlfn.XLOOKUP(J690,'Master Data 14-9-2026'!C:C,'Master Data 14-9-2026'!D:D)</f>
        <v>Fikri Fanani Lubis wx1539345</v>
      </c>
      <c r="C690" s="13"/>
      <c r="D690" s="13" t="str">
        <f>_xlfn.XLOOKUP(J690,'Master Data 14-9-2026'!C:C,'Master Data 14-9-2026'!E:E)</f>
        <v>TELKOMSEL</v>
      </c>
      <c r="E690" s="13"/>
      <c r="F690" s="13"/>
      <c r="G690" s="13" t="s">
        <v>13</v>
      </c>
      <c r="H690" s="13" t="str">
        <f>_xlfn.XLOOKUP(J690,'Master Data 14-9-2026'!C:C,'Master Data 14-9-2026'!H:H)</f>
        <v>2026-08-03 - 2026-09-02</v>
      </c>
      <c r="I690" s="13" t="str">
        <f t="shared" si="10"/>
        <v>August</v>
      </c>
      <c r="J690" s="13" t="s">
        <v>2005</v>
      </c>
      <c r="K690" s="13" t="s">
        <v>2005</v>
      </c>
      <c r="L690" s="13" t="s">
        <v>441</v>
      </c>
      <c r="M690" s="15">
        <v>200003225877020</v>
      </c>
      <c r="N690" s="13" t="s">
        <v>924</v>
      </c>
      <c r="O690" s="13">
        <v>1.09120260731004E+17</v>
      </c>
      <c r="P690" s="13" t="s">
        <v>2006</v>
      </c>
      <c r="Q690" s="18">
        <v>1</v>
      </c>
      <c r="R690" s="18">
        <v>1</v>
      </c>
      <c r="S690" s="13">
        <v>8828132635</v>
      </c>
      <c r="T690" s="13" t="s">
        <v>926</v>
      </c>
      <c r="U690" s="19">
        <v>34220600</v>
      </c>
      <c r="V690" s="18">
        <v>0</v>
      </c>
      <c r="W690" s="18">
        <f>_xlfn.XLOOKUP(J690,'Master Data 14-9-2026'!C:C,'Master Data 14-9-2026'!L:L)</f>
        <v>0</v>
      </c>
      <c r="X690" s="23">
        <v>0</v>
      </c>
      <c r="Y690" s="13"/>
      <c r="Z690" s="24" t="s">
        <v>33</v>
      </c>
      <c r="AB690" s="13" t="s">
        <v>1018</v>
      </c>
      <c r="AC690" s="13"/>
      <c r="AD690" s="13"/>
      <c r="AE690" s="13" t="str">
        <f>_xlfn.XLOOKUP(L690,'[1]ID PROJECT'!E:E,'[1]ID PROJECT'!F:F)</f>
        <v xml:space="preserve">PRJ-KUT-KPU-TPED-2026-04-00071 </v>
      </c>
      <c r="AF690" s="13"/>
      <c r="AG690" s="13"/>
      <c r="AH690" s="65"/>
      <c r="AI690" s="27"/>
    </row>
    <row r="691" spans="1:35" hidden="1">
      <c r="A691" s="13" t="s">
        <v>138</v>
      </c>
      <c r="B691" s="13" t="str">
        <f>_xlfn.XLOOKUP(J691,'Master Data 14-9-2026'!C:C,'Master Data 14-9-2026'!D:D)</f>
        <v>Raden Inna Rachmasetia wx1506939</v>
      </c>
      <c r="C691" s="13"/>
      <c r="D691" s="13" t="str">
        <f>_xlfn.XLOOKUP(J691,'Master Data 14-9-2026'!C:C,'Master Data 14-9-2026'!E:E)</f>
        <v>XL-FTTH</v>
      </c>
      <c r="E691" s="13"/>
      <c r="F691" s="13"/>
      <c r="G691" s="13" t="s">
        <v>25</v>
      </c>
      <c r="H691" s="13" t="str">
        <f>_xlfn.XLOOKUP(J691,'Master Data 14-9-2026'!C:C,'Master Data 14-9-2026'!H:H)</f>
        <v>2026-07-01 - 2026-07-31</v>
      </c>
      <c r="I691" s="13" t="str">
        <f t="shared" si="10"/>
        <v>July</v>
      </c>
      <c r="J691" s="13" t="s">
        <v>2007</v>
      </c>
      <c r="K691" s="13" t="s">
        <v>2007</v>
      </c>
      <c r="L691" s="13" t="s">
        <v>441</v>
      </c>
      <c r="M691" s="15">
        <v>200003169763020</v>
      </c>
      <c r="N691" s="13" t="s">
        <v>924</v>
      </c>
      <c r="O691" s="13">
        <v>1.0912026073100499E+17</v>
      </c>
      <c r="P691" s="13" t="s">
        <v>2008</v>
      </c>
      <c r="Q691" s="18">
        <v>1</v>
      </c>
      <c r="R691" s="18">
        <v>1</v>
      </c>
      <c r="S691" s="13">
        <v>8828132633</v>
      </c>
      <c r="T691" s="13" t="s">
        <v>951</v>
      </c>
      <c r="U691" s="19">
        <v>28881900</v>
      </c>
      <c r="V691" s="18">
        <v>1</v>
      </c>
      <c r="W691" s="18">
        <f>_xlfn.XLOOKUP(J691,'Master Data 14-9-2026'!C:C,'Master Data 14-9-2026'!L:L)</f>
        <v>1.06</v>
      </c>
      <c r="X691" s="23">
        <v>28881900</v>
      </c>
      <c r="Y691" s="13" t="s">
        <v>2009</v>
      </c>
      <c r="Z691" s="24" t="s">
        <v>984</v>
      </c>
      <c r="AB691" s="13"/>
      <c r="AC691" s="13"/>
      <c r="AD691" s="13"/>
      <c r="AE691" s="13" t="str">
        <f>_xlfn.XLOOKUP(L691,'[1]ID PROJECT'!E:E,'[1]ID PROJECT'!F:F)</f>
        <v xml:space="preserve">PRJ-KUT-KPU-TPED-2026-04-00071 </v>
      </c>
      <c r="AF691" s="13"/>
      <c r="AG691" s="13"/>
      <c r="AH691" s="65"/>
      <c r="AI691" s="27"/>
    </row>
    <row r="692" spans="1:35" hidden="1">
      <c r="A692" s="13" t="s">
        <v>666</v>
      </c>
      <c r="B692" s="13" t="str">
        <f>_xlfn.XLOOKUP(J692,'Master Data 14-9-2026'!C:C,'Master Data 14-9-2026'!D:D)</f>
        <v>Amar Aditia Wilujeng wx1520521</v>
      </c>
      <c r="C692" s="13"/>
      <c r="D692" s="13" t="str">
        <f>_xlfn.XLOOKUP(J692,'Master Data 14-9-2026'!C:C,'Master Data 14-9-2026'!E:E)</f>
        <v>IOH</v>
      </c>
      <c r="E692" s="13"/>
      <c r="F692" s="13"/>
      <c r="G692" s="13" t="s">
        <v>28</v>
      </c>
      <c r="H692" s="13" t="str">
        <f>_xlfn.XLOOKUP(J692,'Master Data 14-9-2026'!C:C,'Master Data 14-9-2026'!H:H)</f>
        <v>2026-09-15 - 2026-10-14</v>
      </c>
      <c r="I692" s="13" t="str">
        <f t="shared" si="10"/>
        <v>September</v>
      </c>
      <c r="J692" s="13" t="s">
        <v>2010</v>
      </c>
      <c r="K692" s="13" t="s">
        <v>2010</v>
      </c>
      <c r="L692" s="13" t="s">
        <v>441</v>
      </c>
      <c r="M692" s="15">
        <v>200003225883020</v>
      </c>
      <c r="N692" s="13" t="s">
        <v>924</v>
      </c>
      <c r="O692" s="13">
        <v>1.0912026073100499E+17</v>
      </c>
      <c r="P692" s="13" t="s">
        <v>2011</v>
      </c>
      <c r="Q692" s="18">
        <v>1</v>
      </c>
      <c r="R692" s="18">
        <v>1</v>
      </c>
      <c r="S692" s="13">
        <v>8828132634</v>
      </c>
      <c r="T692" s="13" t="s">
        <v>978</v>
      </c>
      <c r="U692" s="19">
        <v>32542400</v>
      </c>
      <c r="V692" s="18">
        <v>1</v>
      </c>
      <c r="W692" s="18">
        <f>_xlfn.XLOOKUP(J692,'Master Data 14-9-2026'!C:C,'Master Data 14-9-2026'!L:L)</f>
        <v>0</v>
      </c>
      <c r="X692" s="23">
        <v>32542400</v>
      </c>
      <c r="Y692" s="13" t="s">
        <v>2009</v>
      </c>
      <c r="Z692" s="24" t="s">
        <v>984</v>
      </c>
      <c r="AB692" s="13"/>
      <c r="AC692" s="13"/>
      <c r="AD692" s="13"/>
      <c r="AE692" s="13" t="str">
        <f>_xlfn.XLOOKUP(L692,'[1]ID PROJECT'!E:E,'[1]ID PROJECT'!F:F)</f>
        <v xml:space="preserve">PRJ-KUT-KPU-TPED-2026-04-00071 </v>
      </c>
      <c r="AF692" s="13"/>
      <c r="AG692" s="13"/>
      <c r="AH692" s="65"/>
      <c r="AI692" s="27"/>
    </row>
    <row r="693" spans="1:35" hidden="1">
      <c r="A693" s="13" t="s">
        <v>2012</v>
      </c>
      <c r="B693" s="13" t="e">
        <f>_xlfn.XLOOKUP(J693,'Master Data 14-9-2026'!C:C,'Master Data 14-9-2026'!D:D)</f>
        <v>#N/A</v>
      </c>
      <c r="C693" s="13"/>
      <c r="D693" s="13" t="e">
        <f>_xlfn.XLOOKUP(J693,'Master Data 14-9-2026'!C:C,'Master Data 14-9-2026'!E:E)</f>
        <v>#N/A</v>
      </c>
      <c r="E693" s="13"/>
      <c r="F693" s="13"/>
      <c r="G693" s="13" t="s">
        <v>13</v>
      </c>
      <c r="H693" s="13" t="e">
        <f>_xlfn.XLOOKUP(J693,'Master Data 14-9-2026'!C:C,'Master Data 14-9-2026'!H:H)</f>
        <v>#N/A</v>
      </c>
      <c r="I693" s="13" t="e">
        <f t="shared" si="10"/>
        <v>#N/A</v>
      </c>
      <c r="J693" s="13" t="s">
        <v>2013</v>
      </c>
      <c r="K693" s="13" t="s">
        <v>2013</v>
      </c>
      <c r="L693" s="13" t="s">
        <v>441</v>
      </c>
      <c r="M693" s="15">
        <v>200003233960020</v>
      </c>
      <c r="N693" s="13" t="s">
        <v>924</v>
      </c>
      <c r="O693" s="13">
        <v>1.0912026073100499E+17</v>
      </c>
      <c r="P693" s="13" t="s">
        <v>2011</v>
      </c>
      <c r="Q693" s="18">
        <v>2</v>
      </c>
      <c r="R693" s="18">
        <v>1</v>
      </c>
      <c r="S693" s="13">
        <v>8828132633</v>
      </c>
      <c r="T693" s="13" t="s">
        <v>951</v>
      </c>
      <c r="U693" s="19">
        <v>28881900</v>
      </c>
      <c r="V693" s="18">
        <v>1</v>
      </c>
      <c r="W693" s="18" t="e">
        <f>_xlfn.XLOOKUP(J693,'Master Data 14-9-2026'!C:C,'Master Data 14-9-2026'!L:L)</f>
        <v>#N/A</v>
      </c>
      <c r="X693" s="23">
        <v>28881900</v>
      </c>
      <c r="Y693" s="13" t="s">
        <v>2009</v>
      </c>
      <c r="Z693" s="24" t="s">
        <v>984</v>
      </c>
      <c r="AB693" s="13" t="s">
        <v>1116</v>
      </c>
      <c r="AC693" s="13"/>
      <c r="AD693" s="13"/>
      <c r="AE693" s="13" t="str">
        <f>_xlfn.XLOOKUP(L693,'[1]ID PROJECT'!E:E,'[1]ID PROJECT'!F:F)</f>
        <v xml:space="preserve">PRJ-KUT-KPU-TPED-2026-04-00071 </v>
      </c>
      <c r="AF693" s="13"/>
      <c r="AG693" s="13"/>
      <c r="AH693" s="65"/>
      <c r="AI693" s="27"/>
    </row>
    <row r="694" spans="1:35" hidden="1">
      <c r="A694" s="13" t="s">
        <v>544</v>
      </c>
      <c r="B694" s="13" t="str">
        <f>_xlfn.XLOOKUP(J694,'Master Data 14-9-2026'!C:C,'Master Data 14-9-2026'!D:D)</f>
        <v>Gun Gun Gunawan wx1531573</v>
      </c>
      <c r="C694" s="13"/>
      <c r="D694" s="13" t="str">
        <f>_xlfn.XLOOKUP(J694,'Master Data 14-9-2026'!C:C,'Master Data 14-9-2026'!E:E)</f>
        <v>IOH</v>
      </c>
      <c r="E694" s="13"/>
      <c r="F694" s="13"/>
      <c r="G694" s="13" t="s">
        <v>18</v>
      </c>
      <c r="H694" s="13" t="str">
        <f>_xlfn.XLOOKUP(J694,'Master Data 14-9-2026'!C:C,'Master Data 14-9-2026'!H:H)</f>
        <v>2026-08-02 - 2026-09-01</v>
      </c>
      <c r="I694" s="13" t="str">
        <f t="shared" si="10"/>
        <v>August</v>
      </c>
      <c r="J694" s="13" t="s">
        <v>2014</v>
      </c>
      <c r="K694" s="13" t="s">
        <v>2014</v>
      </c>
      <c r="L694" s="13" t="s">
        <v>441</v>
      </c>
      <c r="M694" s="15">
        <v>200003233952020</v>
      </c>
      <c r="N694" s="13" t="s">
        <v>924</v>
      </c>
      <c r="O694" s="13">
        <v>1.0912026073100499E+17</v>
      </c>
      <c r="P694" s="13" t="s">
        <v>2011</v>
      </c>
      <c r="Q694" s="18">
        <v>3</v>
      </c>
      <c r="R694" s="18">
        <v>1</v>
      </c>
      <c r="S694" s="13">
        <v>8828132634</v>
      </c>
      <c r="T694" s="13" t="s">
        <v>978</v>
      </c>
      <c r="U694" s="19">
        <v>32542400</v>
      </c>
      <c r="V694" s="18">
        <v>1</v>
      </c>
      <c r="W694" s="18">
        <f>_xlfn.XLOOKUP(J694,'Master Data 14-9-2026'!C:C,'Master Data 14-9-2026'!L:L)</f>
        <v>0.5</v>
      </c>
      <c r="X694" s="23">
        <v>32542400</v>
      </c>
      <c r="Y694" s="13" t="s">
        <v>2009</v>
      </c>
      <c r="Z694" s="24" t="s">
        <v>33</v>
      </c>
      <c r="AB694" s="13"/>
      <c r="AC694" s="13"/>
      <c r="AD694" s="13"/>
      <c r="AE694" s="13" t="str">
        <f>_xlfn.XLOOKUP(L694,'[1]ID PROJECT'!E:E,'[1]ID PROJECT'!F:F)</f>
        <v xml:space="preserve">PRJ-KUT-KPU-TPED-2026-04-00071 </v>
      </c>
      <c r="AF694" s="13"/>
      <c r="AG694" s="13"/>
      <c r="AH694" s="65"/>
      <c r="AI694" s="27"/>
    </row>
    <row r="695" spans="1:35" hidden="1">
      <c r="A695" s="13" t="s">
        <v>860</v>
      </c>
      <c r="B695" s="13" t="str">
        <f>_xlfn.XLOOKUP(J695,'Master Data 14-9-2026'!C:C,'Master Data 14-9-2026'!D:D)</f>
        <v>Febrian Rizky wx1529666</v>
      </c>
      <c r="C695" s="13"/>
      <c r="D695" s="13" t="str">
        <f>_xlfn.XLOOKUP(J695,'Master Data 14-9-2026'!C:C,'Master Data 14-9-2026'!E:E)</f>
        <v>IOH</v>
      </c>
      <c r="E695" s="13"/>
      <c r="F695" s="13"/>
      <c r="G695" s="13" t="s">
        <v>22</v>
      </c>
      <c r="H695" s="13" t="str">
        <f>_xlfn.XLOOKUP(J695,'Master Data 14-9-2026'!C:C,'Master Data 14-9-2026'!H:H)</f>
        <v>2026-08-23 - 2026-09-22</v>
      </c>
      <c r="I695" s="13" t="str">
        <f t="shared" si="10"/>
        <v>August</v>
      </c>
      <c r="J695" s="13" t="s">
        <v>2015</v>
      </c>
      <c r="K695" s="13" t="s">
        <v>2015</v>
      </c>
      <c r="L695" s="13" t="s">
        <v>441</v>
      </c>
      <c r="M695" s="15">
        <v>200003233921020</v>
      </c>
      <c r="N695" s="13" t="s">
        <v>924</v>
      </c>
      <c r="O695" s="13">
        <v>1.0912026073100499E+17</v>
      </c>
      <c r="P695" s="13" t="s">
        <v>2011</v>
      </c>
      <c r="Q695" s="18">
        <v>4</v>
      </c>
      <c r="R695" s="18">
        <v>1</v>
      </c>
      <c r="S695" s="13">
        <v>8828132635</v>
      </c>
      <c r="T695" s="13" t="s">
        <v>926</v>
      </c>
      <c r="U695" s="19">
        <v>34220600</v>
      </c>
      <c r="V695" s="18">
        <v>1</v>
      </c>
      <c r="W695" s="18">
        <f>_xlfn.XLOOKUP(J695,'Master Data 14-9-2026'!C:C,'Master Data 14-9-2026'!L:L)</f>
        <v>0</v>
      </c>
      <c r="X695" s="23">
        <v>34220600</v>
      </c>
      <c r="Y695" s="13" t="s">
        <v>2009</v>
      </c>
      <c r="Z695" s="24" t="s">
        <v>225</v>
      </c>
      <c r="AB695" s="13"/>
      <c r="AC695" s="13"/>
      <c r="AD695" s="13"/>
      <c r="AE695" s="13" t="str">
        <f>_xlfn.XLOOKUP(L695,'[1]ID PROJECT'!E:E,'[1]ID PROJECT'!F:F)</f>
        <v xml:space="preserve">PRJ-KUT-KPU-TPED-2026-04-00071 </v>
      </c>
      <c r="AF695" s="13"/>
      <c r="AG695" s="13"/>
      <c r="AH695" s="65"/>
      <c r="AI695" s="27"/>
    </row>
    <row r="696" spans="1:35" hidden="1">
      <c r="A696" s="13" t="s">
        <v>646</v>
      </c>
      <c r="B696" s="13" t="str">
        <f>_xlfn.XLOOKUP(J696,'Master Data 14-9-2026'!C:C,'Master Data 14-9-2026'!D:D)</f>
        <v>Ilham Fahmi WX1530247</v>
      </c>
      <c r="C696" s="13"/>
      <c r="D696" s="13" t="str">
        <f>_xlfn.XLOOKUP(J696,'Master Data 14-9-2026'!C:C,'Master Data 14-9-2026'!E:E)</f>
        <v>IOH</v>
      </c>
      <c r="E696" s="13"/>
      <c r="F696" s="13"/>
      <c r="G696" s="13" t="s">
        <v>22</v>
      </c>
      <c r="H696" s="13" t="str">
        <f>_xlfn.XLOOKUP(J696,'Master Data 14-9-2026'!C:C,'Master Data 14-9-2026'!H:H)</f>
        <v>2026-08-26 - 2026-09-25</v>
      </c>
      <c r="I696" s="13" t="str">
        <f t="shared" si="10"/>
        <v>August</v>
      </c>
      <c r="J696" s="13" t="s">
        <v>2016</v>
      </c>
      <c r="K696" s="13" t="s">
        <v>2016</v>
      </c>
      <c r="L696" s="13" t="s">
        <v>441</v>
      </c>
      <c r="M696" s="15">
        <v>200003233922020</v>
      </c>
      <c r="N696" s="13" t="s">
        <v>924</v>
      </c>
      <c r="O696" s="13">
        <v>1.0912026073100499E+17</v>
      </c>
      <c r="P696" s="13" t="s">
        <v>2011</v>
      </c>
      <c r="Q696" s="18">
        <v>5</v>
      </c>
      <c r="R696" s="18">
        <v>1</v>
      </c>
      <c r="S696" s="13">
        <v>8828132634</v>
      </c>
      <c r="T696" s="13" t="s">
        <v>978</v>
      </c>
      <c r="U696" s="19">
        <v>32542400</v>
      </c>
      <c r="V696" s="18">
        <v>1</v>
      </c>
      <c r="W696" s="18">
        <f>_xlfn.XLOOKUP(J696,'Master Data 14-9-2026'!C:C,'Master Data 14-9-2026'!L:L)</f>
        <v>0</v>
      </c>
      <c r="X696" s="23">
        <v>32542400</v>
      </c>
      <c r="Y696" s="13" t="s">
        <v>2009</v>
      </c>
      <c r="Z696" s="24" t="s">
        <v>225</v>
      </c>
      <c r="AB696" s="13"/>
      <c r="AC696" s="13"/>
      <c r="AD696" s="13"/>
      <c r="AE696" s="13" t="str">
        <f>_xlfn.XLOOKUP(L696,'[1]ID PROJECT'!E:E,'[1]ID PROJECT'!F:F)</f>
        <v xml:space="preserve">PRJ-KUT-KPU-TPED-2026-04-00071 </v>
      </c>
      <c r="AF696" s="13"/>
      <c r="AG696" s="13"/>
      <c r="AH696" s="65"/>
      <c r="AI696" s="27"/>
    </row>
    <row r="697" spans="1:35" hidden="1">
      <c r="A697" s="13" t="s">
        <v>544</v>
      </c>
      <c r="B697" s="13" t="str">
        <f>_xlfn.XLOOKUP(J697,'Master Data 14-9-2026'!C:C,'Master Data 14-9-2026'!D:D)</f>
        <v>Gun Gun Gunawan wx1531573</v>
      </c>
      <c r="C697" s="13"/>
      <c r="D697" s="13" t="str">
        <f>_xlfn.XLOOKUP(J697,'Master Data 14-9-2026'!C:C,'Master Data 14-9-2026'!E:E)</f>
        <v>IOH</v>
      </c>
      <c r="E697" s="13"/>
      <c r="F697" s="13"/>
      <c r="G697" s="13" t="s">
        <v>22</v>
      </c>
      <c r="H697" s="13" t="str">
        <f>_xlfn.XLOOKUP(J697,'Master Data 14-9-2026'!C:C,'Master Data 14-9-2026'!H:H)</f>
        <v>2026-09-02 - 2026-10-01</v>
      </c>
      <c r="I697" s="13" t="str">
        <f t="shared" si="10"/>
        <v>September</v>
      </c>
      <c r="J697" s="13" t="s">
        <v>2017</v>
      </c>
      <c r="K697" s="13" t="s">
        <v>2017</v>
      </c>
      <c r="L697" s="13" t="s">
        <v>441</v>
      </c>
      <c r="M697" s="15">
        <v>200003233953020</v>
      </c>
      <c r="N697" s="13" t="s">
        <v>924</v>
      </c>
      <c r="O697" s="13">
        <v>1.0912026073100499E+17</v>
      </c>
      <c r="P697" s="13" t="s">
        <v>2011</v>
      </c>
      <c r="Q697" s="18">
        <v>6</v>
      </c>
      <c r="R697" s="18">
        <v>1</v>
      </c>
      <c r="S697" s="13">
        <v>8828132634</v>
      </c>
      <c r="T697" s="13" t="s">
        <v>978</v>
      </c>
      <c r="U697" s="19">
        <v>32542400</v>
      </c>
      <c r="V697" s="18">
        <v>1</v>
      </c>
      <c r="W697" s="18">
        <f>_xlfn.XLOOKUP(J697,'Master Data 14-9-2026'!C:C,'Master Data 14-9-2026'!L:L)</f>
        <v>0.5</v>
      </c>
      <c r="X697" s="23">
        <v>32542400</v>
      </c>
      <c r="Y697" s="13" t="s">
        <v>2009</v>
      </c>
      <c r="Z697" s="24" t="s">
        <v>984</v>
      </c>
      <c r="AB697" s="13"/>
      <c r="AC697" s="13"/>
      <c r="AD697" s="13"/>
      <c r="AE697" s="13" t="str">
        <f>_xlfn.XLOOKUP(L697,'[1]ID PROJECT'!E:E,'[1]ID PROJECT'!F:F)</f>
        <v xml:space="preserve">PRJ-KUT-KPU-TPED-2026-04-00071 </v>
      </c>
      <c r="AF697" s="13"/>
      <c r="AG697" s="13"/>
      <c r="AH697" s="65"/>
      <c r="AI697" s="27"/>
    </row>
    <row r="698" spans="1:35" hidden="1">
      <c r="A698" s="13" t="s">
        <v>777</v>
      </c>
      <c r="B698" s="13" t="str">
        <f>_xlfn.XLOOKUP(J698,'Master Data 14-9-2026'!C:C,'Master Data 14-9-2026'!D:D)</f>
        <v>Chaerul Oky Suryatin wx1503975</v>
      </c>
      <c r="C698" s="13"/>
      <c r="D698" s="13" t="str">
        <f>_xlfn.XLOOKUP(J698,'Master Data 14-9-2026'!C:C,'Master Data 14-9-2026'!E:E)</f>
        <v>IOH</v>
      </c>
      <c r="E698" s="13"/>
      <c r="F698" s="13"/>
      <c r="G698" s="13" t="s">
        <v>31</v>
      </c>
      <c r="H698" s="13" t="str">
        <f>_xlfn.XLOOKUP(J698,'Master Data 14-9-2026'!C:C,'Master Data 14-9-2026'!H:H)</f>
        <v>2026-08-23 - 2026-09-22</v>
      </c>
      <c r="I698" s="13" t="str">
        <f t="shared" si="10"/>
        <v>August</v>
      </c>
      <c r="J698" s="13" t="s">
        <v>2018</v>
      </c>
      <c r="K698" s="13" t="s">
        <v>2018</v>
      </c>
      <c r="L698" s="13" t="s">
        <v>475</v>
      </c>
      <c r="M698" s="15">
        <v>200003225886020</v>
      </c>
      <c r="N698" s="13" t="s">
        <v>924</v>
      </c>
      <c r="O698" s="13">
        <v>1.0912026073100499E+17</v>
      </c>
      <c r="P698" s="13" t="s">
        <v>2011</v>
      </c>
      <c r="Q698" s="18">
        <v>7</v>
      </c>
      <c r="R698" s="18">
        <v>1</v>
      </c>
      <c r="S698" s="13">
        <v>8828132635</v>
      </c>
      <c r="T698" s="13" t="s">
        <v>926</v>
      </c>
      <c r="U698" s="19">
        <v>34220600</v>
      </c>
      <c r="V698" s="18">
        <v>1</v>
      </c>
      <c r="W698" s="18">
        <f>_xlfn.XLOOKUP(J698,'Master Data 14-9-2026'!C:C,'Master Data 14-9-2026'!L:L)</f>
        <v>0</v>
      </c>
      <c r="X698" s="23">
        <v>34220600</v>
      </c>
      <c r="Y698" s="13" t="s">
        <v>2009</v>
      </c>
      <c r="Z698" s="24" t="s">
        <v>225</v>
      </c>
      <c r="AB698" s="13"/>
      <c r="AC698" s="13"/>
      <c r="AD698" s="13"/>
      <c r="AE698" s="13" t="str">
        <f>_xlfn.XLOOKUP(L698,'[1]ID PROJECT'!E:E,'[1]ID PROJECT'!F:F)</f>
        <v>PRJ-KUT-KPU-TPED-2026-04-00074</v>
      </c>
      <c r="AF698" s="13"/>
      <c r="AG698" s="13"/>
      <c r="AH698" s="65"/>
      <c r="AI698" s="27"/>
    </row>
    <row r="699" spans="1:35" hidden="1">
      <c r="A699" s="13" t="s">
        <v>694</v>
      </c>
      <c r="B699" s="13" t="str">
        <f>_xlfn.XLOOKUP(J699,'Master Data 14-9-2026'!C:C,'Master Data 14-9-2026'!D:D)</f>
        <v>Awan Widodo wx1530241</v>
      </c>
      <c r="C699" s="13"/>
      <c r="D699" s="13" t="str">
        <f>_xlfn.XLOOKUP(J699,'Master Data 14-9-2026'!C:C,'Master Data 14-9-2026'!E:E)</f>
        <v>IOH</v>
      </c>
      <c r="E699" s="13"/>
      <c r="F699" s="13"/>
      <c r="G699" s="13" t="s">
        <v>13</v>
      </c>
      <c r="H699" s="13" t="str">
        <f>_xlfn.XLOOKUP(J699,'Master Data 14-9-2026'!C:C,'Master Data 14-9-2026'!H:H)</f>
        <v>2026-07-02 - 2026-08-01</v>
      </c>
      <c r="I699" s="13" t="str">
        <f t="shared" si="10"/>
        <v>July</v>
      </c>
      <c r="J699" s="13" t="s">
        <v>2019</v>
      </c>
      <c r="K699" s="13" t="s">
        <v>2019</v>
      </c>
      <c r="L699" s="13" t="s">
        <v>441</v>
      </c>
      <c r="M699" s="15">
        <v>200003233954020</v>
      </c>
      <c r="N699" s="13" t="s">
        <v>924</v>
      </c>
      <c r="O699" s="13">
        <v>1.0912026073100499E+17</v>
      </c>
      <c r="P699" s="13" t="s">
        <v>2011</v>
      </c>
      <c r="Q699" s="18">
        <v>8</v>
      </c>
      <c r="R699" s="18">
        <v>1</v>
      </c>
      <c r="S699" s="13">
        <v>8828132634</v>
      </c>
      <c r="T699" s="13" t="s">
        <v>978</v>
      </c>
      <c r="U699" s="19">
        <v>32542400</v>
      </c>
      <c r="V699" s="18">
        <v>1</v>
      </c>
      <c r="W699" s="18">
        <f>_xlfn.XLOOKUP(J699,'Master Data 14-9-2026'!C:C,'Master Data 14-9-2026'!L:L)</f>
        <v>0.5</v>
      </c>
      <c r="X699" s="23">
        <v>32542400</v>
      </c>
      <c r="Y699" s="13" t="s">
        <v>2009</v>
      </c>
      <c r="Z699" s="24" t="s">
        <v>15</v>
      </c>
      <c r="AA699" s="4" t="s">
        <v>1288</v>
      </c>
      <c r="AB699" s="13" t="s">
        <v>1289</v>
      </c>
      <c r="AC699" s="13"/>
      <c r="AD699" s="13"/>
      <c r="AE699" s="13" t="str">
        <f>_xlfn.XLOOKUP(L699,'[1]ID PROJECT'!E:E,'[1]ID PROJECT'!F:F)</f>
        <v xml:space="preserve">PRJ-KUT-KPU-TPED-2026-04-00071 </v>
      </c>
      <c r="AF699" s="13"/>
      <c r="AG699" s="13"/>
      <c r="AH699" s="65"/>
      <c r="AI699" s="27"/>
    </row>
    <row r="700" spans="1:35" hidden="1">
      <c r="A700" s="13" t="s">
        <v>694</v>
      </c>
      <c r="B700" s="13" t="str">
        <f>_xlfn.XLOOKUP(J700,'Master Data 14-9-2026'!C:C,'Master Data 14-9-2026'!D:D)</f>
        <v>Awan Widodo wx1530241</v>
      </c>
      <c r="C700" s="13"/>
      <c r="D700" s="13" t="str">
        <f>_xlfn.XLOOKUP(J700,'Master Data 14-9-2026'!C:C,'Master Data 14-9-2026'!E:E)</f>
        <v>IOH</v>
      </c>
      <c r="E700" s="13"/>
      <c r="F700" s="13"/>
      <c r="G700" s="13" t="s">
        <v>18</v>
      </c>
      <c r="H700" s="13" t="str">
        <f>_xlfn.XLOOKUP(J700,'Master Data 14-9-2026'!C:C,'Master Data 14-9-2026'!H:H)</f>
        <v>2026-08-02 - 2026-09-01</v>
      </c>
      <c r="I700" s="13" t="str">
        <f t="shared" si="10"/>
        <v>August</v>
      </c>
      <c r="J700" s="13" t="s">
        <v>2020</v>
      </c>
      <c r="K700" s="13" t="s">
        <v>2020</v>
      </c>
      <c r="L700" s="13" t="s">
        <v>441</v>
      </c>
      <c r="M700" s="15">
        <v>200003233955020</v>
      </c>
      <c r="N700" s="13" t="s">
        <v>924</v>
      </c>
      <c r="O700" s="13">
        <v>1.0912026073100499E+17</v>
      </c>
      <c r="P700" s="13" t="s">
        <v>2011</v>
      </c>
      <c r="Q700" s="18">
        <v>9</v>
      </c>
      <c r="R700" s="18">
        <v>1</v>
      </c>
      <c r="S700" s="13">
        <v>8828132634</v>
      </c>
      <c r="T700" s="13" t="s">
        <v>978</v>
      </c>
      <c r="U700" s="19">
        <v>32542400</v>
      </c>
      <c r="V700" s="18">
        <v>1</v>
      </c>
      <c r="W700" s="18">
        <f>_xlfn.XLOOKUP(J700,'Master Data 14-9-2026'!C:C,'Master Data 14-9-2026'!L:L)</f>
        <v>0.5</v>
      </c>
      <c r="X700" s="23">
        <v>32542400</v>
      </c>
      <c r="Y700" s="13" t="s">
        <v>2009</v>
      </c>
      <c r="Z700" s="24" t="s">
        <v>33</v>
      </c>
      <c r="AA700" s="4" t="s">
        <v>1288</v>
      </c>
      <c r="AB700" s="13" t="s">
        <v>1289</v>
      </c>
      <c r="AC700" s="13"/>
      <c r="AD700" s="13"/>
      <c r="AE700" s="13" t="str">
        <f>_xlfn.XLOOKUP(L700,'[1]ID PROJECT'!E:E,'[1]ID PROJECT'!F:F)</f>
        <v xml:space="preserve">PRJ-KUT-KPU-TPED-2026-04-00071 </v>
      </c>
      <c r="AF700" s="13"/>
      <c r="AG700" s="13"/>
      <c r="AH700" s="65"/>
      <c r="AI700" s="27"/>
    </row>
    <row r="701" spans="1:35" hidden="1">
      <c r="A701" s="13" t="s">
        <v>427</v>
      </c>
      <c r="B701" s="13" t="str">
        <f>_xlfn.XLOOKUP(J701,'Master Data 14-9-2026'!C:C,'Master Data 14-9-2026'!D:D)</f>
        <v>Wahyuni wx1504701</v>
      </c>
      <c r="C701" s="13"/>
      <c r="D701" s="13" t="str">
        <f>_xlfn.XLOOKUP(J701,'Master Data 14-9-2026'!C:C,'Master Data 14-9-2026'!E:E)</f>
        <v>Platform Region</v>
      </c>
      <c r="E701" s="13"/>
      <c r="F701" s="13"/>
      <c r="G701" s="13" t="s">
        <v>31</v>
      </c>
      <c r="H701" s="13" t="str">
        <f>_xlfn.XLOOKUP(J701,'Master Data 14-9-2026'!C:C,'Master Data 14-9-2026'!H:H)</f>
        <v>2026-08-30 - 2026-09-29</v>
      </c>
      <c r="I701" s="13" t="str">
        <f t="shared" si="10"/>
        <v>August</v>
      </c>
      <c r="J701" s="13" t="s">
        <v>2021</v>
      </c>
      <c r="K701" s="13" t="s">
        <v>2021</v>
      </c>
      <c r="L701" s="13"/>
      <c r="M701" s="15">
        <v>200003233911020</v>
      </c>
      <c r="N701" s="13" t="s">
        <v>924</v>
      </c>
      <c r="O701" s="13">
        <v>1.0912026073100499E+17</v>
      </c>
      <c r="P701" s="13" t="s">
        <v>2011</v>
      </c>
      <c r="Q701" s="18">
        <v>10</v>
      </c>
      <c r="R701" s="18">
        <v>1</v>
      </c>
      <c r="S701" s="13">
        <v>8828132633</v>
      </c>
      <c r="T701" s="13" t="s">
        <v>951</v>
      </c>
      <c r="U701" s="19">
        <v>28881900</v>
      </c>
      <c r="V701" s="18">
        <v>1</v>
      </c>
      <c r="W701" s="18">
        <f>_xlfn.XLOOKUP(J701,'Master Data 14-9-2026'!C:C,'Master Data 14-9-2026'!L:L)</f>
        <v>0.5</v>
      </c>
      <c r="X701" s="23">
        <v>28881900</v>
      </c>
      <c r="Y701" s="13" t="s">
        <v>2009</v>
      </c>
      <c r="Z701" s="24" t="s">
        <v>984</v>
      </c>
      <c r="AA701" s="4" t="s">
        <v>1288</v>
      </c>
      <c r="AB701" s="13"/>
      <c r="AC701" s="13"/>
      <c r="AD701" s="13"/>
      <c r="AE701" s="13" t="e">
        <f>_xlfn.XLOOKUP(L701,'[1]ID PROJECT'!E:E,'[1]ID PROJECT'!F:F)</f>
        <v>#N/A</v>
      </c>
      <c r="AF701" s="13"/>
      <c r="AG701" s="13"/>
      <c r="AH701" s="65"/>
      <c r="AI701" s="27"/>
    </row>
    <row r="702" spans="1:35" hidden="1">
      <c r="A702" s="13" t="s">
        <v>544</v>
      </c>
      <c r="B702" s="13" t="str">
        <f>_xlfn.XLOOKUP(J702,'Master Data 14-9-2026'!C:C,'Master Data 14-9-2026'!D:D)</f>
        <v>Gun Gun Gunawan wx1531573</v>
      </c>
      <c r="C702" s="13"/>
      <c r="D702" s="13" t="str">
        <f>_xlfn.XLOOKUP(J702,'Master Data 14-9-2026'!C:C,'Master Data 14-9-2026'!E:E)</f>
        <v>IOH</v>
      </c>
      <c r="E702" s="13"/>
      <c r="F702" s="13"/>
      <c r="G702" s="13" t="s">
        <v>13</v>
      </c>
      <c r="H702" s="13" t="str">
        <f>_xlfn.XLOOKUP(J702,'Master Data 14-9-2026'!C:C,'Master Data 14-9-2026'!H:H)</f>
        <v>2026-07-02 - 2026-08-01</v>
      </c>
      <c r="I702" s="13" t="str">
        <f t="shared" si="10"/>
        <v>July</v>
      </c>
      <c r="J702" s="13" t="s">
        <v>2022</v>
      </c>
      <c r="K702" s="13" t="s">
        <v>2022</v>
      </c>
      <c r="L702" s="13" t="s">
        <v>441</v>
      </c>
      <c r="M702" s="15">
        <v>200003233951020</v>
      </c>
      <c r="N702" s="13" t="s">
        <v>924</v>
      </c>
      <c r="O702" s="13">
        <v>1.0912026073100499E+17</v>
      </c>
      <c r="P702" s="13" t="s">
        <v>2011</v>
      </c>
      <c r="Q702" s="18">
        <v>11</v>
      </c>
      <c r="R702" s="18">
        <v>1</v>
      </c>
      <c r="S702" s="13">
        <v>8828132634</v>
      </c>
      <c r="T702" s="13" t="s">
        <v>978</v>
      </c>
      <c r="U702" s="19">
        <v>32542400</v>
      </c>
      <c r="V702" s="18">
        <v>1</v>
      </c>
      <c r="W702" s="18">
        <f>_xlfn.XLOOKUP(J702,'Master Data 14-9-2026'!C:C,'Master Data 14-9-2026'!L:L)</f>
        <v>0.5</v>
      </c>
      <c r="X702" s="23">
        <v>32542400</v>
      </c>
      <c r="Y702" s="13" t="s">
        <v>2009</v>
      </c>
      <c r="Z702" s="24" t="s">
        <v>15</v>
      </c>
      <c r="AA702" s="4" t="s">
        <v>1288</v>
      </c>
      <c r="AB702" s="13" t="s">
        <v>1289</v>
      </c>
      <c r="AC702" s="13"/>
      <c r="AD702" s="13"/>
      <c r="AE702" s="13" t="str">
        <f>_xlfn.XLOOKUP(L702,'[1]ID PROJECT'!E:E,'[1]ID PROJECT'!F:F)</f>
        <v xml:space="preserve">PRJ-KUT-KPU-TPED-2026-04-00071 </v>
      </c>
      <c r="AF702" s="13"/>
      <c r="AG702" s="13"/>
      <c r="AH702" s="65"/>
      <c r="AI702" s="27"/>
    </row>
    <row r="703" spans="1:35" hidden="1">
      <c r="A703" s="13" t="s">
        <v>833</v>
      </c>
      <c r="B703" s="13" t="str">
        <f>_xlfn.XLOOKUP(J703,'Master Data 14-9-2026'!C:C,'Master Data 14-9-2026'!D:D)</f>
        <v>Yusup wx1504641</v>
      </c>
      <c r="C703" s="13"/>
      <c r="D703" s="13" t="str">
        <f>_xlfn.XLOOKUP(J703,'Master Data 14-9-2026'!C:C,'Master Data 14-9-2026'!E:E)</f>
        <v>IOH</v>
      </c>
      <c r="E703" s="13"/>
      <c r="F703" s="13"/>
      <c r="G703" s="13" t="s">
        <v>31</v>
      </c>
      <c r="H703" s="13" t="str">
        <f>_xlfn.XLOOKUP(J703,'Master Data 14-9-2026'!C:C,'Master Data 14-9-2026'!H:H)</f>
        <v>2026-08-24 - 2026-09-23</v>
      </c>
      <c r="I703" s="13" t="str">
        <f t="shared" si="10"/>
        <v>August</v>
      </c>
      <c r="J703" s="13" t="s">
        <v>2023</v>
      </c>
      <c r="K703" s="13" t="s">
        <v>2023</v>
      </c>
      <c r="L703" s="13" t="s">
        <v>441</v>
      </c>
      <c r="M703" s="15">
        <v>200003233912020</v>
      </c>
      <c r="N703" s="13" t="s">
        <v>924</v>
      </c>
      <c r="O703" s="13">
        <v>1.0912026073100499E+17</v>
      </c>
      <c r="P703" s="13" t="s">
        <v>2011</v>
      </c>
      <c r="Q703" s="18">
        <v>12</v>
      </c>
      <c r="R703" s="18">
        <v>1</v>
      </c>
      <c r="S703" s="13">
        <v>8828132635</v>
      </c>
      <c r="T703" s="13" t="s">
        <v>926</v>
      </c>
      <c r="U703" s="19">
        <v>34220600</v>
      </c>
      <c r="V703" s="18">
        <v>1</v>
      </c>
      <c r="W703" s="18">
        <f>_xlfn.XLOOKUP(J703,'Master Data 14-9-2026'!C:C,'Master Data 14-9-2026'!L:L)</f>
        <v>0</v>
      </c>
      <c r="X703" s="23">
        <v>34220600</v>
      </c>
      <c r="Y703" s="13" t="s">
        <v>2009</v>
      </c>
      <c r="Z703" s="24" t="s">
        <v>225</v>
      </c>
      <c r="AB703" s="13"/>
      <c r="AC703" s="13"/>
      <c r="AD703" s="13"/>
      <c r="AE703" s="13" t="str">
        <f>_xlfn.XLOOKUP(L703,'[1]ID PROJECT'!E:E,'[1]ID PROJECT'!F:F)</f>
        <v xml:space="preserve">PRJ-KUT-KPU-TPED-2026-04-00071 </v>
      </c>
      <c r="AF703" s="13"/>
      <c r="AG703" s="13"/>
      <c r="AH703" s="65"/>
      <c r="AI703" s="27"/>
    </row>
    <row r="704" spans="1:35" hidden="1">
      <c r="A704" s="13" t="s">
        <v>652</v>
      </c>
      <c r="B704" s="13" t="str">
        <f>_xlfn.XLOOKUP(J704,'Master Data 14-9-2026'!C:C,'Master Data 14-9-2026'!D:D)</f>
        <v>Muhammad Yusuf wx1503989</v>
      </c>
      <c r="C704" s="13"/>
      <c r="D704" s="13" t="str">
        <f>_xlfn.XLOOKUP(J704,'Master Data 14-9-2026'!C:C,'Master Data 14-9-2026'!E:E)</f>
        <v>IOH</v>
      </c>
      <c r="E704" s="13"/>
      <c r="F704" s="13"/>
      <c r="G704" s="13" t="s">
        <v>31</v>
      </c>
      <c r="H704" s="13" t="str">
        <f>_xlfn.XLOOKUP(J704,'Master Data 14-9-2026'!C:C,'Master Data 14-9-2026'!H:H)</f>
        <v>2026-08-30 - 2026-09-29</v>
      </c>
      <c r="I704" s="13" t="str">
        <f t="shared" si="10"/>
        <v>August</v>
      </c>
      <c r="J704" s="13" t="s">
        <v>2024</v>
      </c>
      <c r="K704" s="13" t="s">
        <v>2024</v>
      </c>
      <c r="L704" s="13" t="s">
        <v>461</v>
      </c>
      <c r="M704" s="15">
        <v>200003233914020</v>
      </c>
      <c r="N704" s="13" t="s">
        <v>924</v>
      </c>
      <c r="O704" s="13">
        <v>1.0912026073100499E+17</v>
      </c>
      <c r="P704" s="13" t="s">
        <v>2011</v>
      </c>
      <c r="Q704" s="18">
        <v>13</v>
      </c>
      <c r="R704" s="18">
        <v>1</v>
      </c>
      <c r="S704" s="13">
        <v>8828132634</v>
      </c>
      <c r="T704" s="13" t="s">
        <v>978</v>
      </c>
      <c r="U704" s="19">
        <v>32542400</v>
      </c>
      <c r="V704" s="18">
        <v>1</v>
      </c>
      <c r="W704" s="18">
        <f>_xlfn.XLOOKUP(J704,'Master Data 14-9-2026'!C:C,'Master Data 14-9-2026'!L:L)</f>
        <v>0</v>
      </c>
      <c r="X704" s="23">
        <v>32542400</v>
      </c>
      <c r="Y704" s="13" t="s">
        <v>2009</v>
      </c>
      <c r="Z704" s="24" t="s">
        <v>984</v>
      </c>
      <c r="AB704" s="13"/>
      <c r="AC704" s="13"/>
      <c r="AD704" s="13"/>
      <c r="AE704" s="13" t="str">
        <f>_xlfn.XLOOKUP(L704,'[1]ID PROJECT'!E:E,'[1]ID PROJECT'!F:F)</f>
        <v>PRJ-KUT-KPU-TPED-2026-04-00078</v>
      </c>
      <c r="AF704" s="13"/>
      <c r="AG704" s="13"/>
      <c r="AH704" s="65"/>
      <c r="AI704" s="27"/>
    </row>
    <row r="705" spans="1:35" hidden="1">
      <c r="A705" s="13" t="s">
        <v>232</v>
      </c>
      <c r="B705" s="13" t="str">
        <f>_xlfn.XLOOKUP(J705,'Master Data 14-9-2026'!C:C,'Master Data 14-9-2026'!D:D)</f>
        <v>Fitra Faradilla wx1504702</v>
      </c>
      <c r="C705" s="13"/>
      <c r="D705" s="13" t="str">
        <f>_xlfn.XLOOKUP(J705,'Master Data 14-9-2026'!C:C,'Master Data 14-9-2026'!E:E)</f>
        <v>IOH</v>
      </c>
      <c r="E705" s="13"/>
      <c r="F705" s="13"/>
      <c r="G705" s="13" t="s">
        <v>31</v>
      </c>
      <c r="H705" s="13" t="str">
        <f>_xlfn.XLOOKUP(J705,'Master Data 14-9-2026'!C:C,'Master Data 14-9-2026'!H:H)</f>
        <v>2026-08-30 - 2026-09-29</v>
      </c>
      <c r="I705" s="13" t="str">
        <f t="shared" si="10"/>
        <v>August</v>
      </c>
      <c r="J705" s="13" t="s">
        <v>2025</v>
      </c>
      <c r="K705" s="13" t="s">
        <v>2025</v>
      </c>
      <c r="L705" s="13"/>
      <c r="M705" s="15">
        <v>200003225893020</v>
      </c>
      <c r="N705" s="13" t="s">
        <v>924</v>
      </c>
      <c r="O705" s="13">
        <v>1.0912026073100499E+17</v>
      </c>
      <c r="P705" s="13" t="s">
        <v>2011</v>
      </c>
      <c r="Q705" s="18">
        <v>14</v>
      </c>
      <c r="R705" s="18">
        <v>1</v>
      </c>
      <c r="S705" s="13">
        <v>8828132633</v>
      </c>
      <c r="T705" s="13" t="s">
        <v>951</v>
      </c>
      <c r="U705" s="19">
        <v>28881900</v>
      </c>
      <c r="V705" s="18">
        <v>1</v>
      </c>
      <c r="W705" s="18">
        <f>_xlfn.XLOOKUP(J705,'Master Data 14-9-2026'!C:C,'Master Data 14-9-2026'!L:L)</f>
        <v>0.52</v>
      </c>
      <c r="X705" s="23">
        <v>28881900</v>
      </c>
      <c r="Y705" s="13" t="s">
        <v>2009</v>
      </c>
      <c r="Z705" s="24" t="s">
        <v>984</v>
      </c>
      <c r="AB705" s="13"/>
      <c r="AC705" s="13"/>
      <c r="AD705" s="13"/>
      <c r="AE705" s="13" t="e">
        <f>_xlfn.XLOOKUP(L705,'[1]ID PROJECT'!E:E,'[1]ID PROJECT'!F:F)</f>
        <v>#N/A</v>
      </c>
      <c r="AF705" s="13"/>
      <c r="AG705" s="13"/>
      <c r="AH705" s="65"/>
      <c r="AI705" s="27"/>
    </row>
    <row r="706" spans="1:35" hidden="1">
      <c r="A706" s="13" t="s">
        <v>843</v>
      </c>
      <c r="B706" s="13" t="str">
        <f>_xlfn.XLOOKUP(J706,'Master Data 14-9-2026'!C:C,'Master Data 14-9-2026'!D:D)</f>
        <v>Krishna Fauzan Al Anshori WX1531577</v>
      </c>
      <c r="C706" s="13"/>
      <c r="D706" s="13" t="str">
        <f>_xlfn.XLOOKUP(J706,'Master Data 14-9-2026'!C:C,'Master Data 14-9-2026'!E:E)</f>
        <v>IOH</v>
      </c>
      <c r="E706" s="13"/>
      <c r="F706" s="13"/>
      <c r="G706" s="13" t="s">
        <v>22</v>
      </c>
      <c r="H706" s="13" t="str">
        <f>_xlfn.XLOOKUP(J706,'Master Data 14-9-2026'!C:C,'Master Data 14-9-2026'!H:H)</f>
        <v>2026-09-06 - 2026-10-05</v>
      </c>
      <c r="I706" s="13" t="str">
        <f t="shared" si="10"/>
        <v>September</v>
      </c>
      <c r="J706" s="13" t="s">
        <v>2026</v>
      </c>
      <c r="K706" s="13" t="s">
        <v>2026</v>
      </c>
      <c r="L706" s="13" t="s">
        <v>475</v>
      </c>
      <c r="M706" s="15">
        <v>200003233924020</v>
      </c>
      <c r="N706" s="13" t="s">
        <v>924</v>
      </c>
      <c r="O706" s="13">
        <v>1.0912026073100499E+17</v>
      </c>
      <c r="P706" s="13" t="s">
        <v>2011</v>
      </c>
      <c r="Q706" s="18">
        <v>15</v>
      </c>
      <c r="R706" s="18">
        <v>1</v>
      </c>
      <c r="S706" s="13">
        <v>8828132635</v>
      </c>
      <c r="T706" s="13" t="s">
        <v>926</v>
      </c>
      <c r="U706" s="19">
        <v>34220600</v>
      </c>
      <c r="V706" s="18">
        <v>1</v>
      </c>
      <c r="W706" s="18">
        <f>_xlfn.XLOOKUP(J706,'Master Data 14-9-2026'!C:C,'Master Data 14-9-2026'!L:L)</f>
        <v>0</v>
      </c>
      <c r="X706" s="23">
        <v>34220600</v>
      </c>
      <c r="Y706" s="13" t="s">
        <v>2009</v>
      </c>
      <c r="Z706" s="24" t="s">
        <v>984</v>
      </c>
      <c r="AB706" s="13"/>
      <c r="AC706" s="13"/>
      <c r="AD706" s="13"/>
      <c r="AE706" s="13" t="str">
        <f>_xlfn.XLOOKUP(L706,'[1]ID PROJECT'!E:E,'[1]ID PROJECT'!F:F)</f>
        <v>PRJ-KUT-KPU-TPED-2026-04-00074</v>
      </c>
      <c r="AF706" s="13"/>
      <c r="AG706" s="13"/>
      <c r="AH706" s="65"/>
      <c r="AI706" s="27"/>
    </row>
    <row r="707" spans="1:35" hidden="1">
      <c r="A707" s="13" t="s">
        <v>516</v>
      </c>
      <c r="B707" s="13" t="str">
        <f>_xlfn.XLOOKUP(J707,'Master Data 14-9-2026'!C:C,'Master Data 14-9-2026'!D:D)</f>
        <v>Gusti Wahyu Utomo wx1524845</v>
      </c>
      <c r="C707" s="13"/>
      <c r="D707" s="13" t="str">
        <f>_xlfn.XLOOKUP(J707,'Master Data 14-9-2026'!C:C,'Master Data 14-9-2026'!E:E)</f>
        <v>IOH</v>
      </c>
      <c r="E707" s="13"/>
      <c r="F707" s="13"/>
      <c r="G707" s="13" t="s">
        <v>22</v>
      </c>
      <c r="H707" s="13" t="str">
        <f>_xlfn.XLOOKUP(J707,'Master Data 14-9-2026'!C:C,'Master Data 14-9-2026'!H:H)</f>
        <v>2026-09-04 - 2026-10-03</v>
      </c>
      <c r="I707" s="13" t="str">
        <f t="shared" ref="I707:I770" si="11">TEXT(DATEVALUE(LEFT(H707,10)),"mmmm")</f>
        <v>September</v>
      </c>
      <c r="J707" s="13" t="s">
        <v>2027</v>
      </c>
      <c r="K707" s="13" t="s">
        <v>2027</v>
      </c>
      <c r="L707" s="13" t="s">
        <v>468</v>
      </c>
      <c r="M707" s="15">
        <v>200003225894020</v>
      </c>
      <c r="N707" s="13" t="s">
        <v>924</v>
      </c>
      <c r="O707" s="13">
        <v>1.0912026073100499E+17</v>
      </c>
      <c r="P707" s="13" t="s">
        <v>2011</v>
      </c>
      <c r="Q707" s="18">
        <v>16</v>
      </c>
      <c r="R707" s="18">
        <v>1</v>
      </c>
      <c r="S707" s="13">
        <v>8828132636</v>
      </c>
      <c r="T707" s="13" t="s">
        <v>933</v>
      </c>
      <c r="U707" s="19">
        <v>36992000</v>
      </c>
      <c r="V707" s="18">
        <v>1</v>
      </c>
      <c r="W707" s="18">
        <f>_xlfn.XLOOKUP(J707,'Master Data 14-9-2026'!C:C,'Master Data 14-9-2026'!L:L)</f>
        <v>1.08</v>
      </c>
      <c r="X707" s="23">
        <v>36992000</v>
      </c>
      <c r="Y707" s="13" t="s">
        <v>2009</v>
      </c>
      <c r="Z707" s="24" t="s">
        <v>33</v>
      </c>
      <c r="AB707" s="13"/>
      <c r="AC707" s="13"/>
      <c r="AD707" s="13"/>
      <c r="AE707" s="13" t="str">
        <f>_xlfn.XLOOKUP(L707,'[1]ID PROJECT'!E:E,'[1]ID PROJECT'!F:F)</f>
        <v>PRJ-KUT-KPU-TPED-2026-04-00075</v>
      </c>
      <c r="AF707" s="13"/>
      <c r="AG707" s="13"/>
      <c r="AH707" s="65"/>
      <c r="AI707" s="27"/>
    </row>
    <row r="708" spans="1:35" hidden="1">
      <c r="A708" s="13" t="s">
        <v>297</v>
      </c>
      <c r="B708" s="13" t="str">
        <f>_xlfn.XLOOKUP(J708,'Master Data 14-9-2026'!C:C,'Master Data 14-9-2026'!D:D)</f>
        <v>Rivo Asmeliandra wx1540088</v>
      </c>
      <c r="C708" s="13"/>
      <c r="D708" s="13" t="str">
        <f>_xlfn.XLOOKUP(J708,'Master Data 14-9-2026'!C:C,'Master Data 14-9-2026'!E:E)</f>
        <v>IOH</v>
      </c>
      <c r="E708" s="13"/>
      <c r="F708" s="13"/>
      <c r="G708" s="13" t="s">
        <v>13</v>
      </c>
      <c r="H708" s="13" t="str">
        <f>_xlfn.XLOOKUP(J708,'Master Data 14-9-2026'!C:C,'Master Data 14-9-2026'!H:H)</f>
        <v>2026-08-03 - 2026-09-02</v>
      </c>
      <c r="I708" s="13" t="str">
        <f t="shared" si="11"/>
        <v>August</v>
      </c>
      <c r="J708" s="13" t="s">
        <v>2028</v>
      </c>
      <c r="K708" s="13" t="s">
        <v>2028</v>
      </c>
      <c r="L708" s="13" t="s">
        <v>441</v>
      </c>
      <c r="M708" s="15">
        <v>200003233961020</v>
      </c>
      <c r="N708" s="13" t="s">
        <v>924</v>
      </c>
      <c r="O708" s="13">
        <v>1.0912026073100499E+17</v>
      </c>
      <c r="P708" s="13" t="s">
        <v>2011</v>
      </c>
      <c r="Q708" s="18">
        <v>17</v>
      </c>
      <c r="R708" s="18">
        <v>1</v>
      </c>
      <c r="S708" s="13">
        <v>8828132633</v>
      </c>
      <c r="T708" s="13" t="s">
        <v>951</v>
      </c>
      <c r="U708" s="19">
        <v>28881900</v>
      </c>
      <c r="V708" s="18">
        <v>1</v>
      </c>
      <c r="W708" s="18">
        <f>_xlfn.XLOOKUP(J708,'Master Data 14-9-2026'!C:C,'Master Data 14-9-2026'!L:L)</f>
        <v>0</v>
      </c>
      <c r="X708" s="23">
        <v>28881900</v>
      </c>
      <c r="Y708" s="13" t="s">
        <v>2009</v>
      </c>
      <c r="Z708" s="24" t="s">
        <v>984</v>
      </c>
      <c r="AB708" s="13" t="s">
        <v>1116</v>
      </c>
      <c r="AC708" s="13"/>
      <c r="AD708" s="13"/>
      <c r="AE708" s="13" t="str">
        <f>_xlfn.XLOOKUP(L708,'[1]ID PROJECT'!E:E,'[1]ID PROJECT'!F:F)</f>
        <v xml:space="preserve">PRJ-KUT-KPU-TPED-2026-04-00071 </v>
      </c>
      <c r="AF708" s="13"/>
      <c r="AG708" s="13"/>
      <c r="AH708" s="65"/>
      <c r="AI708" s="27"/>
    </row>
    <row r="709" spans="1:35" hidden="1">
      <c r="A709" s="13" t="s">
        <v>494</v>
      </c>
      <c r="B709" s="13" t="str">
        <f>_xlfn.XLOOKUP(J709,'Master Data 14-9-2026'!C:C,'Master Data 14-9-2026'!D:D)</f>
        <v>Okik Tri Priantoro wx1524148</v>
      </c>
      <c r="C709" s="13"/>
      <c r="D709" s="13" t="str">
        <f>_xlfn.XLOOKUP(J709,'Master Data 14-9-2026'!C:C,'Master Data 14-9-2026'!E:E)</f>
        <v>IOH</v>
      </c>
      <c r="E709" s="13"/>
      <c r="F709" s="13"/>
      <c r="G709" s="13" t="s">
        <v>25</v>
      </c>
      <c r="H709" s="13" t="str">
        <f>_xlfn.XLOOKUP(J709,'Master Data 14-9-2026'!C:C,'Master Data 14-9-2026'!H:H)</f>
        <v>2026-09-05 - 2026-10-04</v>
      </c>
      <c r="I709" s="13" t="str">
        <f t="shared" si="11"/>
        <v>September</v>
      </c>
      <c r="J709" s="13" t="s">
        <v>2029</v>
      </c>
      <c r="K709" s="13" t="s">
        <v>2029</v>
      </c>
      <c r="L709" s="13" t="s">
        <v>457</v>
      </c>
      <c r="M709" s="15">
        <v>200003233939020</v>
      </c>
      <c r="N709" s="13" t="s">
        <v>924</v>
      </c>
      <c r="O709" s="13">
        <v>1.0912026073100499E+17</v>
      </c>
      <c r="P709" s="13" t="s">
        <v>2011</v>
      </c>
      <c r="Q709" s="18">
        <v>18</v>
      </c>
      <c r="R709" s="18">
        <v>1</v>
      </c>
      <c r="S709" s="13">
        <v>8828132636</v>
      </c>
      <c r="T709" s="13" t="s">
        <v>933</v>
      </c>
      <c r="U709" s="19">
        <v>36992000</v>
      </c>
      <c r="V709" s="18">
        <v>1</v>
      </c>
      <c r="W709" s="18">
        <f>_xlfn.XLOOKUP(J709,'Master Data 14-9-2026'!C:C,'Master Data 14-9-2026'!L:L)</f>
        <v>0</v>
      </c>
      <c r="X709" s="23">
        <v>36992000</v>
      </c>
      <c r="Y709" s="13" t="s">
        <v>2009</v>
      </c>
      <c r="Z709" s="24" t="s">
        <v>984</v>
      </c>
      <c r="AB709" s="13"/>
      <c r="AC709" s="13"/>
      <c r="AD709" s="13"/>
      <c r="AE709" s="13" t="str">
        <f>_xlfn.XLOOKUP(L709,'[1]ID PROJECT'!E:E,'[1]ID PROJECT'!F:F)</f>
        <v>PRJ-KUT-KPU-TPED-2026-04-00076</v>
      </c>
      <c r="AF709" s="13"/>
      <c r="AG709" s="13"/>
      <c r="AH709" s="65"/>
      <c r="AI709" s="27"/>
    </row>
    <row r="710" spans="1:35" hidden="1">
      <c r="A710" s="13" t="s">
        <v>516</v>
      </c>
      <c r="B710" s="13" t="e">
        <f>_xlfn.XLOOKUP(J710,'Master Data 14-9-2026'!C:C,'Master Data 14-9-2026'!D:D)</f>
        <v>#N/A</v>
      </c>
      <c r="C710" s="13"/>
      <c r="D710" s="13" t="e">
        <f>_xlfn.XLOOKUP(J710,'Master Data 14-9-2026'!C:C,'Master Data 14-9-2026'!E:E)</f>
        <v>#N/A</v>
      </c>
      <c r="E710" s="13"/>
      <c r="F710" s="13"/>
      <c r="G710" s="13" t="s">
        <v>25</v>
      </c>
      <c r="H710" s="13" t="e">
        <f>_xlfn.XLOOKUP(J710,'Master Data 14-9-2026'!C:C,'Master Data 14-9-2026'!H:H)</f>
        <v>#N/A</v>
      </c>
      <c r="I710" s="13" t="e">
        <f t="shared" si="11"/>
        <v>#N/A</v>
      </c>
      <c r="J710" s="13" t="s">
        <v>2030</v>
      </c>
      <c r="K710" s="13" t="s">
        <v>2030</v>
      </c>
      <c r="L710" s="13" t="s">
        <v>468</v>
      </c>
      <c r="M710" s="15">
        <v>200003225895020</v>
      </c>
      <c r="N710" s="13" t="s">
        <v>924</v>
      </c>
      <c r="O710" s="13">
        <v>1.0912026073100499E+17</v>
      </c>
      <c r="P710" s="13" t="s">
        <v>2011</v>
      </c>
      <c r="Q710" s="18">
        <v>19</v>
      </c>
      <c r="R710" s="18">
        <v>1</v>
      </c>
      <c r="S710" s="13">
        <v>8828132636</v>
      </c>
      <c r="T710" s="13" t="s">
        <v>933</v>
      </c>
      <c r="U710" s="19">
        <v>36992000</v>
      </c>
      <c r="V710" s="18">
        <v>1</v>
      </c>
      <c r="W710" s="18" t="e">
        <f>_xlfn.XLOOKUP(J710,'Master Data 14-9-2026'!C:C,'Master Data 14-9-2026'!L:L)</f>
        <v>#N/A</v>
      </c>
      <c r="X710" s="23">
        <v>36992000</v>
      </c>
      <c r="Y710" s="13" t="s">
        <v>2009</v>
      </c>
      <c r="Z710" s="24" t="s">
        <v>984</v>
      </c>
      <c r="AB710" s="13"/>
      <c r="AC710" s="13"/>
      <c r="AD710" s="13"/>
      <c r="AE710" s="13" t="str">
        <f>_xlfn.XLOOKUP(L710,'[1]ID PROJECT'!E:E,'[1]ID PROJECT'!F:F)</f>
        <v>PRJ-KUT-KPU-TPED-2026-04-00075</v>
      </c>
      <c r="AF710" s="13"/>
      <c r="AG710" s="13"/>
      <c r="AH710" s="65"/>
      <c r="AI710" s="27"/>
    </row>
    <row r="711" spans="1:35" hidden="1">
      <c r="A711" s="13" t="s">
        <v>546</v>
      </c>
      <c r="B711" s="13" t="str">
        <f>_xlfn.XLOOKUP(J711,'Master Data 14-9-2026'!C:C,'Master Data 14-9-2026'!D:D)</f>
        <v>Andrean Nur Apriana WX1529429</v>
      </c>
      <c r="C711" s="13"/>
      <c r="D711" s="13" t="str">
        <f>_xlfn.XLOOKUP(J711,'Master Data 14-9-2026'!C:C,'Master Data 14-9-2026'!E:E)</f>
        <v>IOH</v>
      </c>
      <c r="E711" s="13"/>
      <c r="F711" s="13"/>
      <c r="G711" s="13" t="s">
        <v>22</v>
      </c>
      <c r="H711" s="13" t="str">
        <f>_xlfn.XLOOKUP(J711,'Master Data 14-9-2026'!C:C,'Master Data 14-9-2026'!H:H)</f>
        <v>2026-08-23 - 2026-09-22</v>
      </c>
      <c r="I711" s="13" t="str">
        <f t="shared" si="11"/>
        <v>August</v>
      </c>
      <c r="J711" s="13" t="s">
        <v>2031</v>
      </c>
      <c r="K711" s="13" t="s">
        <v>2031</v>
      </c>
      <c r="L711" s="13" t="s">
        <v>441</v>
      </c>
      <c r="M711" s="15">
        <v>200003233916020</v>
      </c>
      <c r="N711" s="13" t="s">
        <v>924</v>
      </c>
      <c r="O711" s="13">
        <v>1.0912026073100499E+17</v>
      </c>
      <c r="P711" s="13" t="s">
        <v>2011</v>
      </c>
      <c r="Q711" s="18">
        <v>20</v>
      </c>
      <c r="R711" s="18">
        <v>1</v>
      </c>
      <c r="S711" s="13">
        <v>8828132634</v>
      </c>
      <c r="T711" s="13" t="s">
        <v>978</v>
      </c>
      <c r="U711" s="19">
        <v>32542400</v>
      </c>
      <c r="V711" s="18">
        <v>1</v>
      </c>
      <c r="W711" s="18">
        <f>_xlfn.XLOOKUP(J711,'Master Data 14-9-2026'!C:C,'Master Data 14-9-2026'!L:L)</f>
        <v>0</v>
      </c>
      <c r="X711" s="23">
        <v>32542400</v>
      </c>
      <c r="Y711" s="13" t="s">
        <v>2009</v>
      </c>
      <c r="Z711" s="24" t="s">
        <v>225</v>
      </c>
      <c r="AB711" s="13"/>
      <c r="AC711" s="13"/>
      <c r="AD711" s="13"/>
      <c r="AE711" s="13" t="str">
        <f>_xlfn.XLOOKUP(L711,'[1]ID PROJECT'!E:E,'[1]ID PROJECT'!F:F)</f>
        <v xml:space="preserve">PRJ-KUT-KPU-TPED-2026-04-00071 </v>
      </c>
      <c r="AF711" s="13"/>
      <c r="AG711" s="13"/>
      <c r="AH711" s="65"/>
      <c r="AI711" s="27"/>
    </row>
    <row r="712" spans="1:35" hidden="1">
      <c r="A712" s="13" t="s">
        <v>65</v>
      </c>
      <c r="B712" s="13" t="str">
        <f>_xlfn.XLOOKUP(J712,'Master Data 14-9-2026'!C:C,'Master Data 14-9-2026'!D:D)</f>
        <v>Dwi Nofianti wx1524844</v>
      </c>
      <c r="C712" s="13"/>
      <c r="D712" s="13" t="str">
        <f>_xlfn.XLOOKUP(J712,'Master Data 14-9-2026'!C:C,'Master Data 14-9-2026'!E:E)</f>
        <v>IOH</v>
      </c>
      <c r="E712" s="13"/>
      <c r="F712" s="13"/>
      <c r="G712" s="13" t="s">
        <v>25</v>
      </c>
      <c r="H712" s="13" t="str">
        <f>_xlfn.XLOOKUP(J712,'Master Data 14-9-2026'!C:C,'Master Data 14-9-2026'!H:H)</f>
        <v>2026-09-03 - 2026-10-02</v>
      </c>
      <c r="I712" s="13" t="str">
        <f t="shared" si="11"/>
        <v>September</v>
      </c>
      <c r="J712" s="13" t="s">
        <v>2032</v>
      </c>
      <c r="K712" s="13" t="s">
        <v>2032</v>
      </c>
      <c r="L712" s="13"/>
      <c r="M712" s="15">
        <v>200003225889020</v>
      </c>
      <c r="N712" s="13" t="s">
        <v>924</v>
      </c>
      <c r="O712" s="13">
        <v>1.0912026073100499E+17</v>
      </c>
      <c r="P712" s="13" t="s">
        <v>2011</v>
      </c>
      <c r="Q712" s="18">
        <v>21</v>
      </c>
      <c r="R712" s="18">
        <v>1</v>
      </c>
      <c r="S712" s="13">
        <v>8828132633</v>
      </c>
      <c r="T712" s="13" t="s">
        <v>951</v>
      </c>
      <c r="U712" s="19">
        <v>28881900</v>
      </c>
      <c r="V712" s="18">
        <v>1</v>
      </c>
      <c r="W712" s="18">
        <f>_xlfn.XLOOKUP(J712,'Master Data 14-9-2026'!C:C,'Master Data 14-9-2026'!L:L)</f>
        <v>0</v>
      </c>
      <c r="X712" s="23">
        <v>28881900</v>
      </c>
      <c r="Y712" s="13" t="s">
        <v>2009</v>
      </c>
      <c r="Z712" s="24" t="s">
        <v>984</v>
      </c>
      <c r="AB712" s="13"/>
      <c r="AC712" s="13"/>
      <c r="AD712" s="13"/>
      <c r="AE712" s="13" t="e">
        <f>_xlfn.XLOOKUP(L712,'[1]ID PROJECT'!E:E,'[1]ID PROJECT'!F:F)</f>
        <v>#N/A</v>
      </c>
      <c r="AF712" s="13"/>
      <c r="AG712" s="13"/>
      <c r="AH712" s="65"/>
      <c r="AI712" s="27"/>
    </row>
    <row r="713" spans="1:35" hidden="1">
      <c r="A713" s="13" t="s">
        <v>46</v>
      </c>
      <c r="B713" s="13" t="str">
        <f>_xlfn.XLOOKUP(J713,'Master Data 14-9-2026'!C:C,'Master Data 14-9-2026'!D:D)</f>
        <v>Hyang Iman Kinasih Gusti wx1503650</v>
      </c>
      <c r="C713" s="13"/>
      <c r="D713" s="13" t="str">
        <f>_xlfn.XLOOKUP(J713,'Master Data 14-9-2026'!C:C,'Master Data 14-9-2026'!E:E)</f>
        <v>IOH</v>
      </c>
      <c r="E713" s="13"/>
      <c r="F713" s="13"/>
      <c r="G713" s="13" t="s">
        <v>31</v>
      </c>
      <c r="H713" s="13" t="str">
        <f>_xlfn.XLOOKUP(J713,'Master Data 14-9-2026'!C:C,'Master Data 14-9-2026'!H:H)</f>
        <v>2026-08-23 - 2026-09-22</v>
      </c>
      <c r="I713" s="13" t="str">
        <f t="shared" si="11"/>
        <v>August</v>
      </c>
      <c r="J713" s="13" t="s">
        <v>2033</v>
      </c>
      <c r="K713" s="13" t="s">
        <v>2033</v>
      </c>
      <c r="L713" s="13"/>
      <c r="M713" s="15">
        <v>200003225896020</v>
      </c>
      <c r="N713" s="13" t="s">
        <v>924</v>
      </c>
      <c r="O713" s="13">
        <v>1.0912026073100499E+17</v>
      </c>
      <c r="P713" s="13" t="s">
        <v>2011</v>
      </c>
      <c r="Q713" s="18">
        <v>22</v>
      </c>
      <c r="R713" s="18">
        <v>1</v>
      </c>
      <c r="S713" s="13">
        <v>8828132633</v>
      </c>
      <c r="T713" s="13" t="s">
        <v>951</v>
      </c>
      <c r="U713" s="19">
        <v>28881900</v>
      </c>
      <c r="V713" s="18">
        <v>1</v>
      </c>
      <c r="W713" s="18">
        <f>_xlfn.XLOOKUP(J713,'Master Data 14-9-2026'!C:C,'Master Data 14-9-2026'!L:L)</f>
        <v>0</v>
      </c>
      <c r="X713" s="23">
        <v>28881900</v>
      </c>
      <c r="Y713" s="13" t="s">
        <v>2009</v>
      </c>
      <c r="Z713" s="24" t="s">
        <v>984</v>
      </c>
      <c r="AB713" s="13"/>
      <c r="AC713" s="13"/>
      <c r="AD713" s="13"/>
      <c r="AE713" s="13" t="e">
        <f>_xlfn.XLOOKUP(L713,'[1]ID PROJECT'!E:E,'[1]ID PROJECT'!F:F)</f>
        <v>#N/A</v>
      </c>
      <c r="AF713" s="13"/>
      <c r="AG713" s="13"/>
      <c r="AH713" s="65"/>
      <c r="AI713" s="27"/>
    </row>
    <row r="714" spans="1:35" hidden="1">
      <c r="A714" s="13" t="s">
        <v>831</v>
      </c>
      <c r="B714" s="13" t="str">
        <f>_xlfn.XLOOKUP(J714,'Master Data 14-9-2026'!C:C,'Master Data 14-9-2026'!D:D)</f>
        <v>Miftahus Salam wx1527456</v>
      </c>
      <c r="C714" s="13"/>
      <c r="D714" s="13" t="str">
        <f>_xlfn.XLOOKUP(J714,'Master Data 14-9-2026'!C:C,'Master Data 14-9-2026'!E:E)</f>
        <v>IOH</v>
      </c>
      <c r="E714" s="13"/>
      <c r="F714" s="13"/>
      <c r="G714" s="13" t="s">
        <v>22</v>
      </c>
      <c r="H714" s="13" t="str">
        <f>_xlfn.XLOOKUP(J714,'Master Data 14-9-2026'!C:C,'Master Data 14-9-2026'!H:H)</f>
        <v>2026-08-12 - 2026-09-11</v>
      </c>
      <c r="I714" s="13" t="str">
        <f t="shared" si="11"/>
        <v>August</v>
      </c>
      <c r="J714" s="13" t="s">
        <v>2034</v>
      </c>
      <c r="K714" s="13" t="s">
        <v>2034</v>
      </c>
      <c r="L714" s="13" t="s">
        <v>441</v>
      </c>
      <c r="M714" s="15">
        <v>200003233925020</v>
      </c>
      <c r="N714" s="13" t="s">
        <v>924</v>
      </c>
      <c r="O714" s="13">
        <v>1.0912026073100499E+17</v>
      </c>
      <c r="P714" s="13" t="s">
        <v>2011</v>
      </c>
      <c r="Q714" s="18">
        <v>23</v>
      </c>
      <c r="R714" s="18">
        <v>1</v>
      </c>
      <c r="S714" s="13">
        <v>8828132635</v>
      </c>
      <c r="T714" s="13" t="s">
        <v>926</v>
      </c>
      <c r="U714" s="19">
        <v>34220600</v>
      </c>
      <c r="V714" s="18">
        <v>1</v>
      </c>
      <c r="W714" s="18">
        <f>_xlfn.XLOOKUP(J714,'Master Data 14-9-2026'!C:C,'Master Data 14-9-2026'!L:L)</f>
        <v>0</v>
      </c>
      <c r="X714" s="23">
        <v>34220600</v>
      </c>
      <c r="Y714" s="13" t="s">
        <v>2009</v>
      </c>
      <c r="Z714" s="24" t="s">
        <v>33</v>
      </c>
      <c r="AB714" s="13"/>
      <c r="AC714" s="13"/>
      <c r="AD714" s="13"/>
      <c r="AE714" s="13" t="str">
        <f>_xlfn.XLOOKUP(L714,'[1]ID PROJECT'!E:E,'[1]ID PROJECT'!F:F)</f>
        <v xml:space="preserve">PRJ-KUT-KPU-TPED-2026-04-00071 </v>
      </c>
      <c r="AF714" s="13"/>
      <c r="AG714" s="13"/>
      <c r="AH714" s="65"/>
      <c r="AI714" s="27"/>
    </row>
    <row r="715" spans="1:35" hidden="1">
      <c r="A715" s="13" t="s">
        <v>480</v>
      </c>
      <c r="B715" s="13" t="str">
        <f>_xlfn.XLOOKUP(J715,'Master Data 14-9-2026'!C:C,'Master Data 14-9-2026'!D:D)</f>
        <v>Moch Andi Afriansyah wx1503654</v>
      </c>
      <c r="C715" s="13"/>
      <c r="D715" s="13" t="str">
        <f>_xlfn.XLOOKUP(J715,'Master Data 14-9-2026'!C:C,'Master Data 14-9-2026'!E:E)</f>
        <v>IOH</v>
      </c>
      <c r="E715" s="13"/>
      <c r="F715" s="13"/>
      <c r="G715" s="13" t="s">
        <v>31</v>
      </c>
      <c r="H715" s="13" t="str">
        <f>_xlfn.XLOOKUP(J715,'Master Data 14-9-2026'!C:C,'Master Data 14-9-2026'!H:H)</f>
        <v>2026-09-01 - 2026-09-30</v>
      </c>
      <c r="I715" s="13" t="str">
        <f t="shared" si="11"/>
        <v>September</v>
      </c>
      <c r="J715" s="13" t="s">
        <v>2035</v>
      </c>
      <c r="K715" s="13" t="s">
        <v>2035</v>
      </c>
      <c r="L715" s="13" t="s">
        <v>457</v>
      </c>
      <c r="M715" s="15">
        <v>200003233901020</v>
      </c>
      <c r="N715" s="13" t="s">
        <v>924</v>
      </c>
      <c r="O715" s="13">
        <v>1.0912026073100499E+17</v>
      </c>
      <c r="P715" s="13" t="s">
        <v>2011</v>
      </c>
      <c r="Q715" s="18">
        <v>24</v>
      </c>
      <c r="R715" s="18">
        <v>1</v>
      </c>
      <c r="S715" s="13">
        <v>8828132636</v>
      </c>
      <c r="T715" s="13" t="s">
        <v>933</v>
      </c>
      <c r="U715" s="19">
        <v>36992000</v>
      </c>
      <c r="V715" s="18">
        <v>1</v>
      </c>
      <c r="W715" s="18">
        <f>_xlfn.XLOOKUP(J715,'Master Data 14-9-2026'!C:C,'Master Data 14-9-2026'!L:L)</f>
        <v>1.35</v>
      </c>
      <c r="X715" s="23">
        <v>36992000</v>
      </c>
      <c r="Y715" s="13" t="s">
        <v>2009</v>
      </c>
      <c r="Z715" s="24" t="s">
        <v>984</v>
      </c>
      <c r="AB715" s="13"/>
      <c r="AC715" s="13"/>
      <c r="AD715" s="13"/>
      <c r="AE715" s="13" t="str">
        <f>_xlfn.XLOOKUP(L715,'[1]ID PROJECT'!E:E,'[1]ID PROJECT'!F:F)</f>
        <v>PRJ-KUT-KPU-TPED-2026-04-00076</v>
      </c>
      <c r="AF715" s="13"/>
      <c r="AG715" s="13"/>
      <c r="AH715" s="65"/>
      <c r="AI715" s="27"/>
    </row>
    <row r="716" spans="1:35" hidden="1">
      <c r="A716" s="13" t="s">
        <v>641</v>
      </c>
      <c r="B716" s="13" t="str">
        <f>_xlfn.XLOOKUP(J716,'Master Data 14-9-2026'!C:C,'Master Data 14-9-2026'!D:D)</f>
        <v>Boy Frahansah Berutu wx1520523</v>
      </c>
      <c r="C716" s="13"/>
      <c r="D716" s="13" t="str">
        <f>_xlfn.XLOOKUP(J716,'Master Data 14-9-2026'!C:C,'Master Data 14-9-2026'!E:E)</f>
        <v>IOH</v>
      </c>
      <c r="E716" s="13"/>
      <c r="F716" s="13"/>
      <c r="G716" s="13" t="s">
        <v>28</v>
      </c>
      <c r="H716" s="13" t="str">
        <f>_xlfn.XLOOKUP(J716,'Master Data 14-9-2026'!C:C,'Master Data 14-9-2026'!H:H)</f>
        <v>2026-09-15 - 2026-10-14</v>
      </c>
      <c r="I716" s="13" t="str">
        <f t="shared" si="11"/>
        <v>September</v>
      </c>
      <c r="J716" s="13" t="s">
        <v>2036</v>
      </c>
      <c r="K716" s="13" t="s">
        <v>2036</v>
      </c>
      <c r="L716" s="13" t="s">
        <v>441</v>
      </c>
      <c r="M716" s="15">
        <v>200003225885020</v>
      </c>
      <c r="N716" s="13" t="s">
        <v>924</v>
      </c>
      <c r="O716" s="13">
        <v>1.0912026073100499E+17</v>
      </c>
      <c r="P716" s="13" t="s">
        <v>2011</v>
      </c>
      <c r="Q716" s="18">
        <v>25</v>
      </c>
      <c r="R716" s="18">
        <v>1</v>
      </c>
      <c r="S716" s="13">
        <v>8828132634</v>
      </c>
      <c r="T716" s="13" t="s">
        <v>978</v>
      </c>
      <c r="U716" s="19">
        <v>32542400</v>
      </c>
      <c r="V716" s="18">
        <v>1</v>
      </c>
      <c r="W716" s="18">
        <f>_xlfn.XLOOKUP(J716,'Master Data 14-9-2026'!C:C,'Master Data 14-9-2026'!L:L)</f>
        <v>0</v>
      </c>
      <c r="X716" s="23">
        <v>32542400</v>
      </c>
      <c r="Y716" s="13" t="s">
        <v>2009</v>
      </c>
      <c r="Z716" s="24" t="s">
        <v>984</v>
      </c>
      <c r="AB716" s="13"/>
      <c r="AC716" s="13"/>
      <c r="AD716" s="13"/>
      <c r="AE716" s="13" t="str">
        <f>_xlfn.XLOOKUP(L716,'[1]ID PROJECT'!E:E,'[1]ID PROJECT'!F:F)</f>
        <v xml:space="preserve">PRJ-KUT-KPU-TPED-2026-04-00071 </v>
      </c>
      <c r="AF716" s="13"/>
      <c r="AG716" s="13"/>
      <c r="AH716" s="65"/>
      <c r="AI716" s="27"/>
    </row>
    <row r="717" spans="1:35" hidden="1">
      <c r="A717" s="13" t="s">
        <v>597</v>
      </c>
      <c r="B717" s="13" t="str">
        <f>_xlfn.XLOOKUP(J717,'Master Data 14-9-2026'!C:C,'Master Data 14-9-2026'!D:D)</f>
        <v>Agus Sinardi wx1531021</v>
      </c>
      <c r="C717" s="13"/>
      <c r="D717" s="13" t="str">
        <f>_xlfn.XLOOKUP(J717,'Master Data 14-9-2026'!C:C,'Master Data 14-9-2026'!E:E)</f>
        <v>IOH</v>
      </c>
      <c r="E717" s="13"/>
      <c r="F717" s="13"/>
      <c r="G717" s="13" t="s">
        <v>13</v>
      </c>
      <c r="H717" s="13" t="str">
        <f>_xlfn.XLOOKUP(J717,'Master Data 14-9-2026'!C:C,'Master Data 14-9-2026'!H:H)</f>
        <v>2026-06-30 - 2026-07-29</v>
      </c>
      <c r="I717" s="13" t="str">
        <f t="shared" si="11"/>
        <v>June</v>
      </c>
      <c r="J717" s="13" t="s">
        <v>2037</v>
      </c>
      <c r="K717" s="13" t="s">
        <v>2037</v>
      </c>
      <c r="L717" s="13" t="s">
        <v>441</v>
      </c>
      <c r="M717" s="15">
        <v>200003233944020</v>
      </c>
      <c r="N717" s="13" t="s">
        <v>924</v>
      </c>
      <c r="O717" s="13">
        <v>1.0912026073100499E+17</v>
      </c>
      <c r="P717" s="13" t="s">
        <v>2011</v>
      </c>
      <c r="Q717" s="18">
        <v>26</v>
      </c>
      <c r="R717" s="18">
        <v>1</v>
      </c>
      <c r="S717" s="13">
        <v>8828132634</v>
      </c>
      <c r="T717" s="13" t="s">
        <v>978</v>
      </c>
      <c r="U717" s="19">
        <v>32542400</v>
      </c>
      <c r="V717" s="18">
        <v>1</v>
      </c>
      <c r="W717" s="18">
        <f>_xlfn.XLOOKUP(J717,'Master Data 14-9-2026'!C:C,'Master Data 14-9-2026'!L:L)</f>
        <v>0.5</v>
      </c>
      <c r="X717" s="23">
        <v>32542400</v>
      </c>
      <c r="Y717" s="13" t="s">
        <v>2009</v>
      </c>
      <c r="Z717" s="24" t="str">
        <f>_xlfn.XLOOKUP(J717,'Master Data 14-9-2026'!C:C,'Master Data 14-9-2026'!I:I)</f>
        <v>Ended</v>
      </c>
      <c r="AA717" s="4" t="s">
        <v>1288</v>
      </c>
      <c r="AB717" s="13" t="s">
        <v>1289</v>
      </c>
      <c r="AC717" s="13"/>
      <c r="AD717" s="13"/>
      <c r="AE717" s="13" t="str">
        <f>_xlfn.XLOOKUP(L717,'[1]ID PROJECT'!E:E,'[1]ID PROJECT'!F:F)</f>
        <v xml:space="preserve">PRJ-KUT-KPU-TPED-2026-04-00071 </v>
      </c>
      <c r="AF717" s="13"/>
      <c r="AG717" s="13"/>
      <c r="AH717" s="65"/>
      <c r="AI717" s="27"/>
    </row>
    <row r="718" spans="1:35" hidden="1">
      <c r="A718" s="13" t="s">
        <v>597</v>
      </c>
      <c r="B718" s="13" t="str">
        <f>_xlfn.XLOOKUP(J718,'Master Data 14-9-2026'!C:C,'Master Data 14-9-2026'!D:D)</f>
        <v>Agus Sinardi wx1531021</v>
      </c>
      <c r="C718" s="13"/>
      <c r="D718" s="13" t="str">
        <f>_xlfn.XLOOKUP(J718,'Master Data 14-9-2026'!C:C,'Master Data 14-9-2026'!E:E)</f>
        <v>IOH</v>
      </c>
      <c r="E718" s="13"/>
      <c r="F718" s="13"/>
      <c r="G718" s="13" t="s">
        <v>18</v>
      </c>
      <c r="H718" s="13" t="str">
        <f>_xlfn.XLOOKUP(J718,'Master Data 14-9-2026'!C:C,'Master Data 14-9-2026'!H:H)</f>
        <v>2026-07-30 - 2026-08-29</v>
      </c>
      <c r="I718" s="13" t="str">
        <f t="shared" si="11"/>
        <v>July</v>
      </c>
      <c r="J718" s="13" t="s">
        <v>2038</v>
      </c>
      <c r="K718" s="13" t="s">
        <v>2038</v>
      </c>
      <c r="L718" s="13" t="s">
        <v>441</v>
      </c>
      <c r="M718" s="15">
        <v>200003233945020</v>
      </c>
      <c r="N718" s="13" t="s">
        <v>924</v>
      </c>
      <c r="O718" s="13">
        <v>1.0912026073100499E+17</v>
      </c>
      <c r="P718" s="13" t="s">
        <v>2011</v>
      </c>
      <c r="Q718" s="18">
        <v>27</v>
      </c>
      <c r="R718" s="18">
        <v>1</v>
      </c>
      <c r="S718" s="13">
        <v>8828132634</v>
      </c>
      <c r="T718" s="13" t="s">
        <v>978</v>
      </c>
      <c r="U718" s="19">
        <v>32542400</v>
      </c>
      <c r="V718" s="18">
        <v>1</v>
      </c>
      <c r="W718" s="18">
        <f>_xlfn.XLOOKUP(J718,'Master Data 14-9-2026'!C:C,'Master Data 14-9-2026'!L:L)</f>
        <v>0.5</v>
      </c>
      <c r="X718" s="23">
        <v>32542400</v>
      </c>
      <c r="Y718" s="13" t="s">
        <v>2009</v>
      </c>
      <c r="Z718" s="24" t="s">
        <v>33</v>
      </c>
      <c r="AA718" s="4" t="s">
        <v>1288</v>
      </c>
      <c r="AB718" s="13" t="s">
        <v>1289</v>
      </c>
      <c r="AC718" s="13"/>
      <c r="AD718" s="13"/>
      <c r="AE718" s="13" t="str">
        <f>_xlfn.XLOOKUP(L718,'[1]ID PROJECT'!E:E,'[1]ID PROJECT'!F:F)</f>
        <v xml:space="preserve">PRJ-KUT-KPU-TPED-2026-04-00071 </v>
      </c>
      <c r="AF718" s="13"/>
      <c r="AG718" s="13"/>
      <c r="AH718" s="65"/>
      <c r="AI718" s="27"/>
    </row>
    <row r="719" spans="1:35" hidden="1">
      <c r="A719" s="13" t="s">
        <v>597</v>
      </c>
      <c r="B719" s="13" t="str">
        <f>_xlfn.XLOOKUP(J719,'Master Data 14-9-2026'!C:C,'Master Data 14-9-2026'!D:D)</f>
        <v>Agus Sinardi wx1531021</v>
      </c>
      <c r="C719" s="13"/>
      <c r="D719" s="13" t="str">
        <f>_xlfn.XLOOKUP(J719,'Master Data 14-9-2026'!C:C,'Master Data 14-9-2026'!E:E)</f>
        <v>IOH</v>
      </c>
      <c r="E719" s="13"/>
      <c r="F719" s="13"/>
      <c r="G719" s="13" t="s">
        <v>22</v>
      </c>
      <c r="H719" s="13" t="str">
        <f>_xlfn.XLOOKUP(J719,'Master Data 14-9-2026'!C:C,'Master Data 14-9-2026'!H:H)</f>
        <v>2026-08-30 - 2026-09-29</v>
      </c>
      <c r="I719" s="13" t="str">
        <f t="shared" si="11"/>
        <v>August</v>
      </c>
      <c r="J719" s="13" t="s">
        <v>2039</v>
      </c>
      <c r="K719" s="13" t="s">
        <v>2039</v>
      </c>
      <c r="L719" s="13" t="s">
        <v>441</v>
      </c>
      <c r="M719" s="15">
        <v>200003233946020</v>
      </c>
      <c r="N719" s="13" t="s">
        <v>924</v>
      </c>
      <c r="O719" s="13">
        <v>1.0912026073100499E+17</v>
      </c>
      <c r="P719" s="13" t="s">
        <v>2011</v>
      </c>
      <c r="Q719" s="18">
        <v>28</v>
      </c>
      <c r="R719" s="18">
        <v>1</v>
      </c>
      <c r="S719" s="13">
        <v>8828132634</v>
      </c>
      <c r="T719" s="13" t="s">
        <v>978</v>
      </c>
      <c r="U719" s="19">
        <v>32542400</v>
      </c>
      <c r="V719" s="18">
        <v>1</v>
      </c>
      <c r="W719" s="18">
        <f>_xlfn.XLOOKUP(J719,'Master Data 14-9-2026'!C:C,'Master Data 14-9-2026'!L:L)</f>
        <v>0.5</v>
      </c>
      <c r="X719" s="23">
        <v>32542400</v>
      </c>
      <c r="Y719" s="13" t="s">
        <v>2009</v>
      </c>
      <c r="Z719" s="24" t="s">
        <v>984</v>
      </c>
      <c r="AA719" s="4" t="s">
        <v>1288</v>
      </c>
      <c r="AB719" s="13"/>
      <c r="AC719" s="13"/>
      <c r="AD719" s="13"/>
      <c r="AE719" s="13" t="str">
        <f>_xlfn.XLOOKUP(L719,'[1]ID PROJECT'!E:E,'[1]ID PROJECT'!F:F)</f>
        <v xml:space="preserve">PRJ-KUT-KPU-TPED-2026-04-00071 </v>
      </c>
      <c r="AF719" s="13"/>
      <c r="AG719" s="13"/>
      <c r="AH719" s="65"/>
      <c r="AI719" s="27"/>
    </row>
    <row r="720" spans="1:35" hidden="1">
      <c r="A720" s="13" t="s">
        <v>608</v>
      </c>
      <c r="B720" s="13" t="str">
        <f>_xlfn.XLOOKUP(J720,'Master Data 14-9-2026'!C:C,'Master Data 14-9-2026'!D:D)</f>
        <v>Fentrinata wx1534292</v>
      </c>
      <c r="C720" s="13"/>
      <c r="D720" s="13" t="str">
        <f>_xlfn.XLOOKUP(J720,'Master Data 14-9-2026'!C:C,'Master Data 14-9-2026'!E:E)</f>
        <v>IOH</v>
      </c>
      <c r="E720" s="13"/>
      <c r="F720" s="13"/>
      <c r="G720" s="13" t="s">
        <v>13</v>
      </c>
      <c r="H720" s="13" t="str">
        <f>_xlfn.XLOOKUP(J720,'Master Data 14-9-2026'!C:C,'Master Data 14-9-2026'!H:H)</f>
        <v>2026-07-08 - 2026-08-07</v>
      </c>
      <c r="I720" s="13" t="str">
        <f t="shared" si="11"/>
        <v>July</v>
      </c>
      <c r="J720" s="13" t="s">
        <v>2040</v>
      </c>
      <c r="K720" s="13" t="s">
        <v>2040</v>
      </c>
      <c r="L720" s="13" t="s">
        <v>441</v>
      </c>
      <c r="M720" s="15">
        <v>200003233933020</v>
      </c>
      <c r="N720" s="13" t="s">
        <v>924</v>
      </c>
      <c r="O720" s="13">
        <v>1.0912026073100499E+17</v>
      </c>
      <c r="P720" s="13" t="s">
        <v>2011</v>
      </c>
      <c r="Q720" s="18">
        <v>29</v>
      </c>
      <c r="R720" s="18">
        <v>1</v>
      </c>
      <c r="S720" s="13">
        <v>8828132634</v>
      </c>
      <c r="T720" s="13" t="s">
        <v>978</v>
      </c>
      <c r="U720" s="19">
        <v>32542400</v>
      </c>
      <c r="V720" s="18">
        <v>1</v>
      </c>
      <c r="W720" s="18">
        <f>_xlfn.XLOOKUP(J720,'Master Data 14-9-2026'!C:C,'Master Data 14-9-2026'!L:L)</f>
        <v>0.5</v>
      </c>
      <c r="X720" s="23">
        <v>32542400</v>
      </c>
      <c r="Y720" s="13" t="s">
        <v>2009</v>
      </c>
      <c r="Z720" s="24" t="s">
        <v>15</v>
      </c>
      <c r="AA720" s="4" t="s">
        <v>1288</v>
      </c>
      <c r="AB720" s="13" t="s">
        <v>1289</v>
      </c>
      <c r="AC720" s="13"/>
      <c r="AD720" s="13"/>
      <c r="AE720" s="13" t="str">
        <f>_xlfn.XLOOKUP(L720,'[1]ID PROJECT'!E:E,'[1]ID PROJECT'!F:F)</f>
        <v xml:space="preserve">PRJ-KUT-KPU-TPED-2026-04-00071 </v>
      </c>
      <c r="AF720" s="13"/>
      <c r="AG720" s="13"/>
      <c r="AH720" s="65"/>
      <c r="AI720" s="27"/>
    </row>
    <row r="721" spans="1:35" hidden="1">
      <c r="A721" s="13" t="s">
        <v>574</v>
      </c>
      <c r="B721" s="13" t="str">
        <f>_xlfn.XLOOKUP(J721,'Master Data 14-9-2026'!C:C,'Master Data 14-9-2026'!D:D)</f>
        <v>Santoso Adi Kuncoro wx1524104</v>
      </c>
      <c r="C721" s="13"/>
      <c r="D721" s="13" t="str">
        <f>_xlfn.XLOOKUP(J721,'Master Data 14-9-2026'!C:C,'Master Data 14-9-2026'!E:E)</f>
        <v>IOH</v>
      </c>
      <c r="E721" s="13"/>
      <c r="F721" s="13"/>
      <c r="G721" s="13" t="s">
        <v>25</v>
      </c>
      <c r="H721" s="13" t="str">
        <f>_xlfn.XLOOKUP(J721,'Master Data 14-9-2026'!C:C,'Master Data 14-9-2026'!H:H)</f>
        <v>2026-09-15 - 2026-10-14</v>
      </c>
      <c r="I721" s="13" t="str">
        <f t="shared" si="11"/>
        <v>September</v>
      </c>
      <c r="J721" s="13" t="s">
        <v>2041</v>
      </c>
      <c r="K721" s="13" t="s">
        <v>2041</v>
      </c>
      <c r="L721" s="13" t="s">
        <v>468</v>
      </c>
      <c r="M721" s="15">
        <v>200003233907020</v>
      </c>
      <c r="N721" s="13" t="s">
        <v>924</v>
      </c>
      <c r="O721" s="13">
        <v>1.0912026073100499E+17</v>
      </c>
      <c r="P721" s="13" t="s">
        <v>2011</v>
      </c>
      <c r="Q721" s="18">
        <v>30</v>
      </c>
      <c r="R721" s="18">
        <v>1</v>
      </c>
      <c r="S721" s="13">
        <v>8828132634</v>
      </c>
      <c r="T721" s="13" t="s">
        <v>978</v>
      </c>
      <c r="U721" s="19">
        <v>32542400</v>
      </c>
      <c r="V721" s="18">
        <v>1</v>
      </c>
      <c r="W721" s="18">
        <f>_xlfn.XLOOKUP(J721,'Master Data 14-9-2026'!C:C,'Master Data 14-9-2026'!L:L)</f>
        <v>0</v>
      </c>
      <c r="X721" s="23">
        <v>32542400</v>
      </c>
      <c r="Y721" s="13" t="s">
        <v>2009</v>
      </c>
      <c r="Z721" s="24" t="s">
        <v>984</v>
      </c>
      <c r="AA721" s="4" t="s">
        <v>1288</v>
      </c>
      <c r="AB721" s="40" t="s">
        <v>44</v>
      </c>
      <c r="AC721" s="13"/>
      <c r="AD721" s="13"/>
      <c r="AE721" s="13" t="str">
        <f>_xlfn.XLOOKUP(L721,'[1]ID PROJECT'!E:E,'[1]ID PROJECT'!F:F)</f>
        <v>PRJ-KUT-KPU-TPED-2026-04-00075</v>
      </c>
      <c r="AF721" s="13"/>
      <c r="AG721" s="13"/>
      <c r="AH721" s="65"/>
      <c r="AI721" s="27"/>
    </row>
    <row r="722" spans="1:35" hidden="1">
      <c r="A722" s="13" t="s">
        <v>608</v>
      </c>
      <c r="B722" s="13" t="str">
        <f>_xlfn.XLOOKUP(J722,'Master Data 14-9-2026'!C:C,'Master Data 14-9-2026'!D:D)</f>
        <v>Fentrinata wx1534292</v>
      </c>
      <c r="C722" s="13"/>
      <c r="D722" s="13" t="str">
        <f>_xlfn.XLOOKUP(J722,'Master Data 14-9-2026'!C:C,'Master Data 14-9-2026'!E:E)</f>
        <v>IOH</v>
      </c>
      <c r="E722" s="13"/>
      <c r="F722" s="13"/>
      <c r="G722" s="13" t="s">
        <v>18</v>
      </c>
      <c r="H722" s="13" t="str">
        <f>_xlfn.XLOOKUP(J722,'Master Data 14-9-2026'!C:C,'Master Data 14-9-2026'!H:H)</f>
        <v>2026-08-08 - 2026-09-07</v>
      </c>
      <c r="I722" s="13" t="str">
        <f t="shared" si="11"/>
        <v>August</v>
      </c>
      <c r="J722" s="13" t="s">
        <v>2042</v>
      </c>
      <c r="K722" s="13" t="s">
        <v>2042</v>
      </c>
      <c r="L722" s="13" t="s">
        <v>441</v>
      </c>
      <c r="M722" s="15">
        <v>200003233934020</v>
      </c>
      <c r="N722" s="13" t="s">
        <v>924</v>
      </c>
      <c r="O722" s="13">
        <v>1.0912026073100499E+17</v>
      </c>
      <c r="P722" s="13" t="s">
        <v>2011</v>
      </c>
      <c r="Q722" s="18">
        <v>31</v>
      </c>
      <c r="R722" s="18">
        <v>1</v>
      </c>
      <c r="S722" s="13">
        <v>8828132634</v>
      </c>
      <c r="T722" s="13" t="s">
        <v>978</v>
      </c>
      <c r="U722" s="19">
        <v>32542400</v>
      </c>
      <c r="V722" s="18">
        <v>1</v>
      </c>
      <c r="W722" s="18">
        <f>_xlfn.XLOOKUP(J722,'Master Data 14-9-2026'!C:C,'Master Data 14-9-2026'!L:L)</f>
        <v>0.56000000000000005</v>
      </c>
      <c r="X722" s="23">
        <v>32542400</v>
      </c>
      <c r="Y722" s="13" t="s">
        <v>2009</v>
      </c>
      <c r="Z722" s="24" t="s">
        <v>33</v>
      </c>
      <c r="AA722" s="4" t="s">
        <v>1288</v>
      </c>
      <c r="AB722" s="13" t="s">
        <v>1289</v>
      </c>
      <c r="AC722" s="13"/>
      <c r="AD722" s="13"/>
      <c r="AE722" s="13" t="str">
        <f>_xlfn.XLOOKUP(L722,'[1]ID PROJECT'!E:E,'[1]ID PROJECT'!F:F)</f>
        <v xml:space="preserve">PRJ-KUT-KPU-TPED-2026-04-00071 </v>
      </c>
      <c r="AF722" s="13"/>
      <c r="AG722" s="13"/>
      <c r="AH722" s="65"/>
      <c r="AI722" s="27"/>
    </row>
    <row r="723" spans="1:35" hidden="1">
      <c r="A723" s="13" t="s">
        <v>608</v>
      </c>
      <c r="B723" s="13" t="str">
        <f>_xlfn.XLOOKUP(J723,'Master Data 14-9-2026'!C:C,'Master Data 14-9-2026'!D:D)</f>
        <v>Fentrinata wx1534292</v>
      </c>
      <c r="C723" s="13"/>
      <c r="D723" s="13" t="str">
        <f>_xlfn.XLOOKUP(J723,'Master Data 14-9-2026'!C:C,'Master Data 14-9-2026'!E:E)</f>
        <v>IOH</v>
      </c>
      <c r="E723" s="13"/>
      <c r="F723" s="13"/>
      <c r="G723" s="13" t="s">
        <v>22</v>
      </c>
      <c r="H723" s="13" t="str">
        <f>_xlfn.XLOOKUP(J723,'Master Data 14-9-2026'!C:C,'Master Data 14-9-2026'!H:H)</f>
        <v>2026-09-08 - 2026-10-07</v>
      </c>
      <c r="I723" s="13" t="str">
        <f t="shared" si="11"/>
        <v>September</v>
      </c>
      <c r="J723" s="13" t="s">
        <v>2043</v>
      </c>
      <c r="K723" s="13" t="s">
        <v>2043</v>
      </c>
      <c r="L723" s="13" t="s">
        <v>441</v>
      </c>
      <c r="M723" s="15">
        <v>200003233935020</v>
      </c>
      <c r="N723" s="13" t="s">
        <v>924</v>
      </c>
      <c r="O723" s="13">
        <v>1.0912026073100499E+17</v>
      </c>
      <c r="P723" s="13" t="s">
        <v>2011</v>
      </c>
      <c r="Q723" s="18">
        <v>32</v>
      </c>
      <c r="R723" s="18">
        <v>1</v>
      </c>
      <c r="S723" s="13">
        <v>8828132634</v>
      </c>
      <c r="T723" s="13" t="s">
        <v>978</v>
      </c>
      <c r="U723" s="19">
        <v>32542400</v>
      </c>
      <c r="V723" s="18">
        <v>1</v>
      </c>
      <c r="W723" s="18">
        <f>_xlfn.XLOOKUP(J723,'Master Data 14-9-2026'!C:C,'Master Data 14-9-2026'!L:L)</f>
        <v>0.5</v>
      </c>
      <c r="X723" s="23">
        <v>32542400</v>
      </c>
      <c r="Y723" s="13" t="s">
        <v>2009</v>
      </c>
      <c r="Z723" s="24" t="s">
        <v>984</v>
      </c>
      <c r="AA723" s="4" t="s">
        <v>1288</v>
      </c>
      <c r="AB723" s="13"/>
      <c r="AC723" s="13"/>
      <c r="AD723" s="13"/>
      <c r="AE723" s="13" t="str">
        <f>_xlfn.XLOOKUP(L723,'[1]ID PROJECT'!E:E,'[1]ID PROJECT'!F:F)</f>
        <v xml:space="preserve">PRJ-KUT-KPU-TPED-2026-04-00071 </v>
      </c>
      <c r="AF723" s="13"/>
      <c r="AG723" s="13"/>
      <c r="AH723" s="65"/>
      <c r="AI723" s="27"/>
    </row>
    <row r="724" spans="1:35" hidden="1">
      <c r="A724" s="13" t="s">
        <v>597</v>
      </c>
      <c r="B724" s="13" t="e">
        <f>_xlfn.XLOOKUP(J724,'Master Data 14-9-2026'!C:C,'Master Data 14-9-2026'!D:D)</f>
        <v>#N/A</v>
      </c>
      <c r="C724" s="13"/>
      <c r="D724" s="13" t="e">
        <f>_xlfn.XLOOKUP(J724,'Master Data 14-9-2026'!C:C,'Master Data 14-9-2026'!E:E)</f>
        <v>#N/A</v>
      </c>
      <c r="E724" s="13"/>
      <c r="F724" s="13"/>
      <c r="G724" s="13" t="s">
        <v>25</v>
      </c>
      <c r="H724" s="13" t="e">
        <f>_xlfn.XLOOKUP(J724,'Master Data 14-9-2026'!C:C,'Master Data 14-9-2026'!H:H)</f>
        <v>#N/A</v>
      </c>
      <c r="I724" s="13" t="e">
        <f t="shared" si="11"/>
        <v>#N/A</v>
      </c>
      <c r="J724" s="13" t="s">
        <v>2044</v>
      </c>
      <c r="K724" s="13" t="s">
        <v>2044</v>
      </c>
      <c r="L724" s="13" t="s">
        <v>441</v>
      </c>
      <c r="M724" s="15">
        <v>200003233947020</v>
      </c>
      <c r="N724" s="13" t="s">
        <v>924</v>
      </c>
      <c r="O724" s="13">
        <v>1.0912026073100499E+17</v>
      </c>
      <c r="P724" s="13" t="s">
        <v>2011</v>
      </c>
      <c r="Q724" s="18">
        <v>33</v>
      </c>
      <c r="R724" s="18">
        <v>1</v>
      </c>
      <c r="S724" s="13">
        <v>8828132634</v>
      </c>
      <c r="T724" s="13" t="s">
        <v>978</v>
      </c>
      <c r="U724" s="19">
        <v>32542400</v>
      </c>
      <c r="V724" s="18">
        <v>1</v>
      </c>
      <c r="W724" s="18" t="e">
        <f>_xlfn.XLOOKUP(J724,'Master Data 14-9-2026'!C:C,'Master Data 14-9-2026'!L:L)</f>
        <v>#N/A</v>
      </c>
      <c r="X724" s="23">
        <v>32542400</v>
      </c>
      <c r="Y724" s="13" t="s">
        <v>2009</v>
      </c>
      <c r="Z724" s="24" t="s">
        <v>984</v>
      </c>
      <c r="AA724" s="4" t="s">
        <v>1288</v>
      </c>
      <c r="AB724" s="13"/>
      <c r="AC724" s="13"/>
      <c r="AD724" s="13"/>
      <c r="AE724" s="13" t="str">
        <f>_xlfn.XLOOKUP(L724,'[1]ID PROJECT'!E:E,'[1]ID PROJECT'!F:F)</f>
        <v xml:space="preserve">PRJ-KUT-KPU-TPED-2026-04-00071 </v>
      </c>
      <c r="AF724" s="13"/>
      <c r="AG724" s="13"/>
      <c r="AH724" s="65"/>
      <c r="AI724" s="27"/>
    </row>
    <row r="725" spans="1:35" hidden="1">
      <c r="A725" s="13" t="s">
        <v>494</v>
      </c>
      <c r="B725" s="13" t="str">
        <f>_xlfn.XLOOKUP(J725,'Master Data 14-9-2026'!C:C,'Master Data 14-9-2026'!D:D)</f>
        <v>Okik Tri Priantoro wx1524148</v>
      </c>
      <c r="C725" s="13"/>
      <c r="D725" s="13" t="str">
        <f>_xlfn.XLOOKUP(J725,'Master Data 14-9-2026'!C:C,'Master Data 14-9-2026'!E:E)</f>
        <v>IOH</v>
      </c>
      <c r="E725" s="13"/>
      <c r="F725" s="13"/>
      <c r="G725" s="13" t="s">
        <v>13</v>
      </c>
      <c r="H725" s="13" t="str">
        <f>_xlfn.XLOOKUP(J725,'Master Data 14-9-2026'!C:C,'Master Data 14-9-2026'!H:H)</f>
        <v>2026-06-05 - 2026-07-04</v>
      </c>
      <c r="I725" s="13" t="str">
        <f t="shared" si="11"/>
        <v>June</v>
      </c>
      <c r="J725" s="13" t="s">
        <v>2045</v>
      </c>
      <c r="K725" s="13" t="s">
        <v>2045</v>
      </c>
      <c r="L725" s="13" t="s">
        <v>457</v>
      </c>
      <c r="M725" s="15">
        <v>200003233936020</v>
      </c>
      <c r="N725" s="13" t="s">
        <v>924</v>
      </c>
      <c r="O725" s="13">
        <v>1.0912026073100499E+17</v>
      </c>
      <c r="P725" s="13" t="s">
        <v>2011</v>
      </c>
      <c r="Q725" s="18">
        <v>34</v>
      </c>
      <c r="R725" s="18">
        <v>1</v>
      </c>
      <c r="S725" s="13">
        <v>8828132636</v>
      </c>
      <c r="T725" s="13" t="s">
        <v>933</v>
      </c>
      <c r="U725" s="19">
        <v>36992000</v>
      </c>
      <c r="V725" s="18">
        <v>1</v>
      </c>
      <c r="W725" s="18">
        <f>_xlfn.XLOOKUP(J725,'Master Data 14-9-2026'!C:C,'Master Data 14-9-2026'!L:L)</f>
        <v>1.5</v>
      </c>
      <c r="X725" s="23">
        <v>36992000</v>
      </c>
      <c r="Y725" s="13" t="s">
        <v>2009</v>
      </c>
      <c r="Z725" s="24" t="str">
        <f>_xlfn.XLOOKUP(J725,'Master Data 14-9-2026'!C:C,'Master Data 14-9-2026'!I:I)</f>
        <v>Ended</v>
      </c>
      <c r="AA725" s="4" t="s">
        <v>1288</v>
      </c>
      <c r="AB725" s="13" t="s">
        <v>1600</v>
      </c>
      <c r="AC725" s="13"/>
      <c r="AD725" s="13"/>
      <c r="AE725" s="13" t="str">
        <f>_xlfn.XLOOKUP(L725,'[1]ID PROJECT'!E:E,'[1]ID PROJECT'!F:F)</f>
        <v>PRJ-KUT-KPU-TPED-2026-04-00076</v>
      </c>
      <c r="AF725" s="13"/>
      <c r="AG725" s="13"/>
      <c r="AH725" s="65"/>
      <c r="AI725" s="27"/>
    </row>
    <row r="726" spans="1:35" hidden="1">
      <c r="A726" s="13" t="s">
        <v>658</v>
      </c>
      <c r="B726" s="13" t="str">
        <f>_xlfn.XLOOKUP(J726,'Master Data 14-9-2026'!C:C,'Master Data 14-9-2026'!D:D)</f>
        <v>Sergius Paulus Sinaga wx1520524</v>
      </c>
      <c r="C726" s="13"/>
      <c r="D726" s="13" t="str">
        <f>_xlfn.XLOOKUP(J726,'Master Data 14-9-2026'!C:C,'Master Data 14-9-2026'!E:E)</f>
        <v>IOH</v>
      </c>
      <c r="E726" s="13"/>
      <c r="F726" s="13"/>
      <c r="G726" s="13" t="s">
        <v>28</v>
      </c>
      <c r="H726" s="13" t="str">
        <f>_xlfn.XLOOKUP(J726,'Master Data 14-9-2026'!C:C,'Master Data 14-9-2026'!H:H)</f>
        <v>2026-09-15 - 2026-10-14</v>
      </c>
      <c r="I726" s="13" t="str">
        <f t="shared" si="11"/>
        <v>September</v>
      </c>
      <c r="J726" s="13" t="s">
        <v>2046</v>
      </c>
      <c r="K726" s="13" t="s">
        <v>2046</v>
      </c>
      <c r="L726" s="13" t="s">
        <v>441</v>
      </c>
      <c r="M726" s="15">
        <v>200003233908020</v>
      </c>
      <c r="N726" s="13" t="s">
        <v>924</v>
      </c>
      <c r="O726" s="13">
        <v>1.0912026073100499E+17</v>
      </c>
      <c r="P726" s="13" t="s">
        <v>2011</v>
      </c>
      <c r="Q726" s="18">
        <v>35</v>
      </c>
      <c r="R726" s="18">
        <v>1</v>
      </c>
      <c r="S726" s="13">
        <v>8828132634</v>
      </c>
      <c r="T726" s="13" t="s">
        <v>978</v>
      </c>
      <c r="U726" s="19">
        <v>32542400</v>
      </c>
      <c r="V726" s="18">
        <v>1</v>
      </c>
      <c r="W726" s="18">
        <f>_xlfn.XLOOKUP(J726,'Master Data 14-9-2026'!C:C,'Master Data 14-9-2026'!L:L)</f>
        <v>0</v>
      </c>
      <c r="X726" s="23">
        <v>32542400</v>
      </c>
      <c r="Y726" s="13" t="s">
        <v>2009</v>
      </c>
      <c r="Z726" s="24" t="s">
        <v>984</v>
      </c>
      <c r="AA726" s="4" t="s">
        <v>1288</v>
      </c>
      <c r="AB726" s="40" t="s">
        <v>44</v>
      </c>
      <c r="AC726" s="13"/>
      <c r="AD726" s="13"/>
      <c r="AE726" s="13" t="str">
        <f>_xlfn.XLOOKUP(L726,'[1]ID PROJECT'!E:E,'[1]ID PROJECT'!F:F)</f>
        <v xml:space="preserve">PRJ-KUT-KPU-TPED-2026-04-00071 </v>
      </c>
      <c r="AF726" s="13"/>
      <c r="AG726" s="13"/>
      <c r="AH726" s="65"/>
      <c r="AI726" s="27"/>
    </row>
    <row r="727" spans="1:35" hidden="1">
      <c r="A727" s="13" t="s">
        <v>494</v>
      </c>
      <c r="B727" s="13" t="str">
        <f>_xlfn.XLOOKUP(J727,'Master Data 14-9-2026'!C:C,'Master Data 14-9-2026'!D:D)</f>
        <v>Okik Tri Priantoro wx1524148</v>
      </c>
      <c r="C727" s="13"/>
      <c r="D727" s="13" t="str">
        <f>_xlfn.XLOOKUP(J727,'Master Data 14-9-2026'!C:C,'Master Data 14-9-2026'!E:E)</f>
        <v>IOH</v>
      </c>
      <c r="E727" s="13"/>
      <c r="F727" s="13"/>
      <c r="G727" s="13" t="s">
        <v>18</v>
      </c>
      <c r="H727" s="13" t="str">
        <f>_xlfn.XLOOKUP(J727,'Master Data 14-9-2026'!C:C,'Master Data 14-9-2026'!H:H)</f>
        <v>2026-07-05 - 2026-08-04</v>
      </c>
      <c r="I727" s="13" t="str">
        <f t="shared" si="11"/>
        <v>July</v>
      </c>
      <c r="J727" s="13" t="s">
        <v>2047</v>
      </c>
      <c r="K727" s="13" t="s">
        <v>2047</v>
      </c>
      <c r="L727" s="13" t="s">
        <v>457</v>
      </c>
      <c r="M727" s="15">
        <v>200003233937020</v>
      </c>
      <c r="N727" s="13" t="s">
        <v>924</v>
      </c>
      <c r="O727" s="13">
        <v>1.0912026073100499E+17</v>
      </c>
      <c r="P727" s="13" t="s">
        <v>2011</v>
      </c>
      <c r="Q727" s="18">
        <v>36</v>
      </c>
      <c r="R727" s="18">
        <v>1</v>
      </c>
      <c r="S727" s="13">
        <v>8828132636</v>
      </c>
      <c r="T727" s="13" t="s">
        <v>933</v>
      </c>
      <c r="U727" s="19">
        <v>36992000</v>
      </c>
      <c r="V727" s="18">
        <v>1</v>
      </c>
      <c r="W727" s="18">
        <f>_xlfn.XLOOKUP(J727,'Master Data 14-9-2026'!C:C,'Master Data 14-9-2026'!L:L)</f>
        <v>1.5</v>
      </c>
      <c r="X727" s="23">
        <v>36992000</v>
      </c>
      <c r="Y727" s="13" t="s">
        <v>2009</v>
      </c>
      <c r="Z727" s="24" t="s">
        <v>15</v>
      </c>
      <c r="AA727" s="4" t="s">
        <v>1288</v>
      </c>
      <c r="AB727" s="13" t="s">
        <v>1600</v>
      </c>
      <c r="AC727" s="13"/>
      <c r="AD727" s="13"/>
      <c r="AE727" s="13" t="str">
        <f>_xlfn.XLOOKUP(L727,'[1]ID PROJECT'!E:E,'[1]ID PROJECT'!F:F)</f>
        <v>PRJ-KUT-KPU-TPED-2026-04-00076</v>
      </c>
      <c r="AF727" s="13"/>
      <c r="AG727" s="13"/>
      <c r="AH727" s="65"/>
      <c r="AI727" s="27"/>
    </row>
    <row r="728" spans="1:35" hidden="1">
      <c r="A728" s="13" t="s">
        <v>694</v>
      </c>
      <c r="B728" s="13" t="str">
        <f>_xlfn.XLOOKUP(J728,'Master Data 14-9-2026'!C:C,'Master Data 14-9-2026'!D:D)</f>
        <v>Awan Widodo wx1530241</v>
      </c>
      <c r="C728" s="13"/>
      <c r="D728" s="13" t="str">
        <f>_xlfn.XLOOKUP(J728,'Master Data 14-9-2026'!C:C,'Master Data 14-9-2026'!E:E)</f>
        <v>IOH</v>
      </c>
      <c r="E728" s="13"/>
      <c r="F728" s="13"/>
      <c r="G728" s="13" t="s">
        <v>22</v>
      </c>
      <c r="H728" s="13" t="str">
        <f>_xlfn.XLOOKUP(J728,'Master Data 14-9-2026'!C:C,'Master Data 14-9-2026'!H:H)</f>
        <v>2026-09-02 - 2026-10-01</v>
      </c>
      <c r="I728" s="13" t="str">
        <f t="shared" si="11"/>
        <v>September</v>
      </c>
      <c r="J728" s="13" t="s">
        <v>2048</v>
      </c>
      <c r="K728" s="13" t="s">
        <v>2048</v>
      </c>
      <c r="L728" s="13" t="s">
        <v>441</v>
      </c>
      <c r="M728" s="15">
        <v>200003233956020</v>
      </c>
      <c r="N728" s="13" t="s">
        <v>924</v>
      </c>
      <c r="O728" s="13">
        <v>1.0912026073100499E+17</v>
      </c>
      <c r="P728" s="13" t="s">
        <v>2011</v>
      </c>
      <c r="Q728" s="18">
        <v>37</v>
      </c>
      <c r="R728" s="18">
        <v>1</v>
      </c>
      <c r="S728" s="13">
        <v>8828132634</v>
      </c>
      <c r="T728" s="13" t="s">
        <v>978</v>
      </c>
      <c r="U728" s="19">
        <v>32542400</v>
      </c>
      <c r="V728" s="18">
        <v>1</v>
      </c>
      <c r="W728" s="18">
        <f>_xlfn.XLOOKUP(J728,'Master Data 14-9-2026'!C:C,'Master Data 14-9-2026'!L:L)</f>
        <v>0.5</v>
      </c>
      <c r="X728" s="23">
        <v>32542400</v>
      </c>
      <c r="Y728" s="13" t="s">
        <v>2009</v>
      </c>
      <c r="Z728" s="24" t="s">
        <v>984</v>
      </c>
      <c r="AA728" s="4" t="s">
        <v>1288</v>
      </c>
      <c r="AB728" s="13"/>
      <c r="AC728" s="13"/>
      <c r="AD728" s="13"/>
      <c r="AE728" s="13" t="str">
        <f>_xlfn.XLOOKUP(L728,'[1]ID PROJECT'!E:E,'[1]ID PROJECT'!F:F)</f>
        <v xml:space="preserve">PRJ-KUT-KPU-TPED-2026-04-00071 </v>
      </c>
      <c r="AF728" s="13"/>
      <c r="AG728" s="13"/>
      <c r="AH728" s="65"/>
      <c r="AI728" s="27"/>
    </row>
    <row r="729" spans="1:35" hidden="1">
      <c r="A729" s="13" t="s">
        <v>698</v>
      </c>
      <c r="B729" s="13" t="str">
        <f>_xlfn.XLOOKUP(J729,'Master Data 14-9-2026'!C:C,'Master Data 14-9-2026'!D:D)</f>
        <v>Dedi Yoszar WX1529646</v>
      </c>
      <c r="C729" s="13"/>
      <c r="D729" s="13" t="str">
        <f>_xlfn.XLOOKUP(J729,'Master Data 14-9-2026'!C:C,'Master Data 14-9-2026'!E:E)</f>
        <v>IOH</v>
      </c>
      <c r="E729" s="13"/>
      <c r="F729" s="13"/>
      <c r="G729" s="13" t="s">
        <v>22</v>
      </c>
      <c r="H729" s="13" t="str">
        <f>_xlfn.XLOOKUP(J729,'Master Data 14-9-2026'!C:C,'Master Data 14-9-2026'!H:H)</f>
        <v>2026-08-23 - 2026-09-22</v>
      </c>
      <c r="I729" s="13" t="str">
        <f t="shared" si="11"/>
        <v>August</v>
      </c>
      <c r="J729" s="13" t="s">
        <v>2049</v>
      </c>
      <c r="K729" s="13" t="s">
        <v>2049</v>
      </c>
      <c r="L729" s="13" t="s">
        <v>441</v>
      </c>
      <c r="M729" s="15">
        <v>200003233917020</v>
      </c>
      <c r="N729" s="13" t="s">
        <v>924</v>
      </c>
      <c r="O729" s="13">
        <v>1.0912026073100499E+17</v>
      </c>
      <c r="P729" s="13" t="s">
        <v>2011</v>
      </c>
      <c r="Q729" s="18">
        <v>38</v>
      </c>
      <c r="R729" s="18">
        <v>1</v>
      </c>
      <c r="S729" s="13">
        <v>8828132634</v>
      </c>
      <c r="T729" s="13" t="s">
        <v>978</v>
      </c>
      <c r="U729" s="19">
        <v>32542400</v>
      </c>
      <c r="V729" s="18">
        <v>1</v>
      </c>
      <c r="W729" s="18">
        <f>_xlfn.XLOOKUP(J729,'Master Data 14-9-2026'!C:C,'Master Data 14-9-2026'!L:L)</f>
        <v>0.5</v>
      </c>
      <c r="X729" s="23">
        <v>32542400</v>
      </c>
      <c r="Y729" s="13" t="s">
        <v>2009</v>
      </c>
      <c r="Z729" s="24" t="s">
        <v>225</v>
      </c>
      <c r="AA729" s="4" t="s">
        <v>1288</v>
      </c>
      <c r="AB729" s="13"/>
      <c r="AC729" s="13"/>
      <c r="AD729" s="13"/>
      <c r="AE729" s="13" t="str">
        <f>_xlfn.XLOOKUP(L729,'[1]ID PROJECT'!E:E,'[1]ID PROJECT'!F:F)</f>
        <v xml:space="preserve">PRJ-KUT-KPU-TPED-2026-04-00071 </v>
      </c>
      <c r="AF729" s="13"/>
      <c r="AG729" s="13"/>
      <c r="AH729" s="65"/>
      <c r="AI729" s="27"/>
    </row>
    <row r="730" spans="1:35" hidden="1">
      <c r="A730" s="13" t="s">
        <v>722</v>
      </c>
      <c r="B730" s="13" t="str">
        <f>_xlfn.XLOOKUP(J730,'Master Data 14-9-2026'!C:C,'Master Data 14-9-2026'!D:D)</f>
        <v>Desy Mevianti Suryaning Astuti wx1529050</v>
      </c>
      <c r="C730" s="13"/>
      <c r="D730" s="13" t="str">
        <f>_xlfn.XLOOKUP(J730,'Master Data 14-9-2026'!C:C,'Master Data 14-9-2026'!E:E)</f>
        <v>IOH</v>
      </c>
      <c r="E730" s="13"/>
      <c r="F730" s="13"/>
      <c r="G730" s="13" t="s">
        <v>22</v>
      </c>
      <c r="H730" s="13" t="str">
        <f>_xlfn.XLOOKUP(J730,'Master Data 14-9-2026'!C:C,'Master Data 14-9-2026'!H:H)</f>
        <v>2026-09-01 - 2026-09-30</v>
      </c>
      <c r="I730" s="13" t="str">
        <f t="shared" si="11"/>
        <v>September</v>
      </c>
      <c r="J730" s="13" t="s">
        <v>2050</v>
      </c>
      <c r="K730" s="13" t="s">
        <v>2050</v>
      </c>
      <c r="L730" s="13" t="s">
        <v>457</v>
      </c>
      <c r="M730" s="15">
        <v>200003233918020</v>
      </c>
      <c r="N730" s="13" t="s">
        <v>924</v>
      </c>
      <c r="O730" s="13">
        <v>1.0912026073100499E+17</v>
      </c>
      <c r="P730" s="13" t="s">
        <v>2011</v>
      </c>
      <c r="Q730" s="18">
        <v>39</v>
      </c>
      <c r="R730" s="18">
        <v>1</v>
      </c>
      <c r="S730" s="13">
        <v>8828132635</v>
      </c>
      <c r="T730" s="13" t="s">
        <v>926</v>
      </c>
      <c r="U730" s="19">
        <v>34220600</v>
      </c>
      <c r="V730" s="18">
        <v>1</v>
      </c>
      <c r="W730" s="18">
        <f>_xlfn.XLOOKUP(J730,'Master Data 14-9-2026'!C:C,'Master Data 14-9-2026'!L:L)</f>
        <v>0.69</v>
      </c>
      <c r="X730" s="23">
        <v>34220600</v>
      </c>
      <c r="Y730" s="13" t="s">
        <v>2009</v>
      </c>
      <c r="Z730" s="24" t="s">
        <v>984</v>
      </c>
      <c r="AA730" s="4" t="s">
        <v>1288</v>
      </c>
      <c r="AB730" s="13"/>
      <c r="AC730" s="13"/>
      <c r="AD730" s="13"/>
      <c r="AE730" s="13" t="str">
        <f>_xlfn.XLOOKUP(L730,'[1]ID PROJECT'!E:E,'[1]ID PROJECT'!F:F)</f>
        <v>PRJ-KUT-KPU-TPED-2026-04-00076</v>
      </c>
      <c r="AF730" s="13"/>
      <c r="AG730" s="13"/>
      <c r="AH730" s="65"/>
      <c r="AI730" s="27"/>
    </row>
    <row r="731" spans="1:35" hidden="1">
      <c r="A731" s="13" t="s">
        <v>650</v>
      </c>
      <c r="B731" s="13" t="str">
        <f>_xlfn.XLOOKUP(J731,'Master Data 14-9-2026'!C:C,'Master Data 14-9-2026'!D:D)</f>
        <v>Muhammad Hafid Aqil Siroj wx1520522</v>
      </c>
      <c r="C731" s="13"/>
      <c r="D731" s="13" t="str">
        <f>_xlfn.XLOOKUP(J731,'Master Data 14-9-2026'!C:C,'Master Data 14-9-2026'!E:E)</f>
        <v>IOH</v>
      </c>
      <c r="E731" s="13"/>
      <c r="F731" s="13"/>
      <c r="G731" s="13" t="s">
        <v>28</v>
      </c>
      <c r="H731" s="13" t="str">
        <f>_xlfn.XLOOKUP(J731,'Master Data 14-9-2026'!C:C,'Master Data 14-9-2026'!H:H)</f>
        <v>2026-09-15 - 2026-10-14</v>
      </c>
      <c r="I731" s="13" t="str">
        <f t="shared" si="11"/>
        <v>September</v>
      </c>
      <c r="J731" s="13" t="s">
        <v>2051</v>
      </c>
      <c r="K731" s="13" t="s">
        <v>2051</v>
      </c>
      <c r="L731" s="13" t="s">
        <v>441</v>
      </c>
      <c r="M731" s="15">
        <v>200003233903020</v>
      </c>
      <c r="N731" s="13" t="s">
        <v>924</v>
      </c>
      <c r="O731" s="13">
        <v>1.0912026073100499E+17</v>
      </c>
      <c r="P731" s="13" t="s">
        <v>2011</v>
      </c>
      <c r="Q731" s="18">
        <v>40</v>
      </c>
      <c r="R731" s="18">
        <v>1</v>
      </c>
      <c r="S731" s="13">
        <v>8828132634</v>
      </c>
      <c r="T731" s="13" t="s">
        <v>978</v>
      </c>
      <c r="U731" s="19">
        <v>32542400</v>
      </c>
      <c r="V731" s="18">
        <v>1</v>
      </c>
      <c r="W731" s="18">
        <f>_xlfn.XLOOKUP(J731,'Master Data 14-9-2026'!C:C,'Master Data 14-9-2026'!L:L)</f>
        <v>0</v>
      </c>
      <c r="X731" s="23">
        <v>32542400</v>
      </c>
      <c r="Y731" s="13" t="s">
        <v>2009</v>
      </c>
      <c r="Z731" s="24" t="s">
        <v>984</v>
      </c>
      <c r="AA731" s="4" t="s">
        <v>1288</v>
      </c>
      <c r="AB731" s="40" t="s">
        <v>44</v>
      </c>
      <c r="AC731" s="13"/>
      <c r="AD731" s="13"/>
      <c r="AE731" s="13" t="str">
        <f>_xlfn.XLOOKUP(L731,'[1]ID PROJECT'!E:E,'[1]ID PROJECT'!F:F)</f>
        <v xml:space="preserve">PRJ-KUT-KPU-TPED-2026-04-00071 </v>
      </c>
      <c r="AF731" s="13"/>
      <c r="AG731" s="13"/>
      <c r="AH731" s="65"/>
      <c r="AI731" s="27"/>
    </row>
    <row r="732" spans="1:35" hidden="1">
      <c r="A732" s="13" t="s">
        <v>566</v>
      </c>
      <c r="B732" s="13" t="str">
        <f>_xlfn.XLOOKUP(J732,'Master Data 14-9-2026'!C:C,'Master Data 14-9-2026'!D:D)</f>
        <v>Donny Kesumo Widodo wx1524105</v>
      </c>
      <c r="C732" s="13"/>
      <c r="D732" s="13" t="str">
        <f>_xlfn.XLOOKUP(J732,'Master Data 14-9-2026'!C:C,'Master Data 14-9-2026'!E:E)</f>
        <v>IOH</v>
      </c>
      <c r="E732" s="13"/>
      <c r="F732" s="13"/>
      <c r="G732" s="13" t="s">
        <v>25</v>
      </c>
      <c r="H732" s="13" t="str">
        <f>_xlfn.XLOOKUP(J732,'Master Data 14-9-2026'!C:C,'Master Data 14-9-2026'!H:H)</f>
        <v>2026-09-03 - 2026-10-02</v>
      </c>
      <c r="I732" s="13" t="str">
        <f t="shared" si="11"/>
        <v>September</v>
      </c>
      <c r="J732" s="13" t="s">
        <v>2052</v>
      </c>
      <c r="K732" s="13" t="s">
        <v>2052</v>
      </c>
      <c r="L732" s="13" t="s">
        <v>457</v>
      </c>
      <c r="M732" s="15">
        <v>200003225888020</v>
      </c>
      <c r="N732" s="13" t="s">
        <v>924</v>
      </c>
      <c r="O732" s="13">
        <v>1.0912026073100499E+17</v>
      </c>
      <c r="P732" s="13" t="s">
        <v>2011</v>
      </c>
      <c r="Q732" s="18">
        <v>41</v>
      </c>
      <c r="R732" s="18">
        <v>1</v>
      </c>
      <c r="S732" s="13">
        <v>8828132634</v>
      </c>
      <c r="T732" s="13" t="s">
        <v>978</v>
      </c>
      <c r="U732" s="19">
        <v>32542400</v>
      </c>
      <c r="V732" s="18">
        <v>1</v>
      </c>
      <c r="W732" s="18">
        <f>_xlfn.XLOOKUP(J732,'Master Data 14-9-2026'!C:C,'Master Data 14-9-2026'!L:L)</f>
        <v>0.5</v>
      </c>
      <c r="X732" s="23">
        <v>32542400</v>
      </c>
      <c r="Y732" s="13" t="s">
        <v>2009</v>
      </c>
      <c r="Z732" s="24" t="s">
        <v>984</v>
      </c>
      <c r="AA732" s="4" t="s">
        <v>1288</v>
      </c>
      <c r="AB732" s="13"/>
      <c r="AC732" s="13"/>
      <c r="AD732" s="13"/>
      <c r="AE732" s="13" t="str">
        <f>_xlfn.XLOOKUP(L732,'[1]ID PROJECT'!E:E,'[1]ID PROJECT'!F:F)</f>
        <v>PRJ-KUT-KPU-TPED-2026-04-00076</v>
      </c>
      <c r="AF732" s="13"/>
      <c r="AG732" s="13"/>
      <c r="AH732" s="65"/>
      <c r="AI732" s="27"/>
    </row>
    <row r="733" spans="1:35" hidden="1">
      <c r="A733" s="13" t="s">
        <v>318</v>
      </c>
      <c r="B733" s="13" t="str">
        <f>_xlfn.XLOOKUP(J733,'Master Data 14-9-2026'!C:C,'Master Data 14-9-2026'!D:D)</f>
        <v>DIAJENG WAHYUNINGTIAS WX1530971</v>
      </c>
      <c r="C733" s="13"/>
      <c r="D733" s="13" t="str">
        <f>_xlfn.XLOOKUP(J733,'Master Data 14-9-2026'!C:C,'Master Data 14-9-2026'!E:E)</f>
        <v>IOH</v>
      </c>
      <c r="E733" s="13"/>
      <c r="F733" s="13"/>
      <c r="G733" s="13" t="s">
        <v>22</v>
      </c>
      <c r="H733" s="13" t="str">
        <f>_xlfn.XLOOKUP(J733,'Master Data 14-9-2026'!C:C,'Master Data 14-9-2026'!H:H)</f>
        <v>2026-08-30 - 2026-09-29</v>
      </c>
      <c r="I733" s="13" t="str">
        <f t="shared" si="11"/>
        <v>August</v>
      </c>
      <c r="J733" s="13" t="s">
        <v>2053</v>
      </c>
      <c r="K733" s="13" t="s">
        <v>2053</v>
      </c>
      <c r="L733" s="13"/>
      <c r="M733" s="15">
        <v>200003233919020</v>
      </c>
      <c r="N733" s="13" t="s">
        <v>924</v>
      </c>
      <c r="O733" s="13">
        <v>1.0912026073100499E+17</v>
      </c>
      <c r="P733" s="13" t="s">
        <v>2011</v>
      </c>
      <c r="Q733" s="18">
        <v>42</v>
      </c>
      <c r="R733" s="18">
        <v>1</v>
      </c>
      <c r="S733" s="13">
        <v>8828132633</v>
      </c>
      <c r="T733" s="13" t="s">
        <v>951</v>
      </c>
      <c r="U733" s="19">
        <v>28881900</v>
      </c>
      <c r="V733" s="18">
        <v>1</v>
      </c>
      <c r="W733" s="18">
        <f>_xlfn.XLOOKUP(J733,'Master Data 14-9-2026'!C:C,'Master Data 14-9-2026'!L:L)</f>
        <v>0</v>
      </c>
      <c r="X733" s="23">
        <v>28881900</v>
      </c>
      <c r="Y733" s="13" t="s">
        <v>2009</v>
      </c>
      <c r="Z733" s="24" t="s">
        <v>984</v>
      </c>
      <c r="AA733" s="4" t="s">
        <v>1288</v>
      </c>
      <c r="AB733" s="40" t="s">
        <v>44</v>
      </c>
      <c r="AC733" s="13"/>
      <c r="AD733" s="13"/>
      <c r="AE733" s="13" t="e">
        <f>_xlfn.XLOOKUP(L733,'[1]ID PROJECT'!E:E,'[1]ID PROJECT'!F:F)</f>
        <v>#N/A</v>
      </c>
      <c r="AF733" s="13"/>
      <c r="AG733" s="13"/>
      <c r="AH733" s="65"/>
      <c r="AI733" s="27"/>
    </row>
    <row r="734" spans="1:35" hidden="1">
      <c r="A734" s="13" t="s">
        <v>351</v>
      </c>
      <c r="B734" s="13" t="str">
        <f>_xlfn.XLOOKUP(J734,'Master Data 14-9-2026'!C:C,'Master Data 14-9-2026'!D:D)</f>
        <v>Rahma Nihayatul Nur M WX1524121</v>
      </c>
      <c r="C734" s="13"/>
      <c r="D734" s="13" t="str">
        <f>_xlfn.XLOOKUP(J734,'Master Data 14-9-2026'!C:C,'Master Data 14-9-2026'!E:E)</f>
        <v>IOH</v>
      </c>
      <c r="E734" s="13"/>
      <c r="F734" s="13"/>
      <c r="G734" s="13" t="s">
        <v>25</v>
      </c>
      <c r="H734" s="13" t="str">
        <f>_xlfn.XLOOKUP(J734,'Master Data 14-9-2026'!C:C,'Master Data 14-9-2026'!H:H)</f>
        <v>2026-09-01 - 2026-09-30</v>
      </c>
      <c r="I734" s="13" t="str">
        <f t="shared" si="11"/>
        <v>September</v>
      </c>
      <c r="J734" s="13" t="s">
        <v>2054</v>
      </c>
      <c r="K734" s="13" t="s">
        <v>2054</v>
      </c>
      <c r="L734" s="13"/>
      <c r="M734" s="15">
        <v>200003233906020</v>
      </c>
      <c r="N734" s="13" t="s">
        <v>924</v>
      </c>
      <c r="O734" s="13">
        <v>1.0912026073100499E+17</v>
      </c>
      <c r="P734" s="13" t="s">
        <v>2011</v>
      </c>
      <c r="Q734" s="18">
        <v>43</v>
      </c>
      <c r="R734" s="18">
        <v>1</v>
      </c>
      <c r="S734" s="13">
        <v>8828132633</v>
      </c>
      <c r="T734" s="13" t="s">
        <v>951</v>
      </c>
      <c r="U734" s="19">
        <v>28881900</v>
      </c>
      <c r="V734" s="18">
        <v>1</v>
      </c>
      <c r="W734" s="18">
        <f>_xlfn.XLOOKUP(J734,'Master Data 14-9-2026'!C:C,'Master Data 14-9-2026'!L:L)</f>
        <v>0</v>
      </c>
      <c r="X734" s="23">
        <v>28881900</v>
      </c>
      <c r="Y734" s="13" t="s">
        <v>2009</v>
      </c>
      <c r="Z734" s="24" t="s">
        <v>984</v>
      </c>
      <c r="AB734" s="13" t="s">
        <v>1149</v>
      </c>
      <c r="AC734" s="13"/>
      <c r="AD734" s="13"/>
      <c r="AE734" s="13"/>
      <c r="AF734" s="13"/>
      <c r="AG734" s="13"/>
      <c r="AH734" s="65"/>
      <c r="AI734" s="27"/>
    </row>
    <row r="735" spans="1:35" hidden="1">
      <c r="A735" s="13" t="s">
        <v>635</v>
      </c>
      <c r="B735" s="13" t="str">
        <f>_xlfn.XLOOKUP(J735,'Master Data 14-9-2026'!C:C,'Master Data 14-9-2026'!D:D)</f>
        <v>DOSMA A PADANG WX1530242</v>
      </c>
      <c r="C735" s="13"/>
      <c r="D735" s="13" t="str">
        <f>_xlfn.XLOOKUP(J735,'Master Data 14-9-2026'!C:C,'Master Data 14-9-2026'!E:E)</f>
        <v>IOH</v>
      </c>
      <c r="E735" s="13"/>
      <c r="F735" s="13"/>
      <c r="G735" s="13" t="s">
        <v>22</v>
      </c>
      <c r="H735" s="13" t="str">
        <f>_xlfn.XLOOKUP(J735,'Master Data 14-9-2026'!C:C,'Master Data 14-9-2026'!H:H)</f>
        <v>2026-08-25 - 2026-09-24</v>
      </c>
      <c r="I735" s="13" t="str">
        <f t="shared" si="11"/>
        <v>August</v>
      </c>
      <c r="J735" s="13" t="s">
        <v>2055</v>
      </c>
      <c r="K735" s="13" t="s">
        <v>2055</v>
      </c>
      <c r="L735" s="13" t="s">
        <v>441</v>
      </c>
      <c r="M735" s="15">
        <v>200003233920020</v>
      </c>
      <c r="N735" s="13" t="s">
        <v>924</v>
      </c>
      <c r="O735" s="13">
        <v>1.0912026073100499E+17</v>
      </c>
      <c r="P735" s="13" t="s">
        <v>2011</v>
      </c>
      <c r="Q735" s="18">
        <v>44</v>
      </c>
      <c r="R735" s="18">
        <v>1</v>
      </c>
      <c r="S735" s="13">
        <v>8828132634</v>
      </c>
      <c r="T735" s="13" t="s">
        <v>978</v>
      </c>
      <c r="U735" s="19">
        <v>32542400</v>
      </c>
      <c r="V735" s="18">
        <v>1</v>
      </c>
      <c r="W735" s="18">
        <f>_xlfn.XLOOKUP(J735,'Master Data 14-9-2026'!C:C,'Master Data 14-9-2026'!L:L)</f>
        <v>0.5</v>
      </c>
      <c r="X735" s="23">
        <v>32542400</v>
      </c>
      <c r="Y735" s="13" t="s">
        <v>2009</v>
      </c>
      <c r="Z735" s="24" t="s">
        <v>225</v>
      </c>
      <c r="AA735" s="4" t="s">
        <v>1288</v>
      </c>
      <c r="AB735" s="13"/>
      <c r="AC735" s="13"/>
      <c r="AD735" s="13"/>
      <c r="AE735" s="13" t="str">
        <f>_xlfn.XLOOKUP(L735,'[1]ID PROJECT'!E:E,'[1]ID PROJECT'!F:F)</f>
        <v xml:space="preserve">PRJ-KUT-KPU-TPED-2026-04-00071 </v>
      </c>
      <c r="AF735" s="13"/>
      <c r="AG735" s="13"/>
      <c r="AH735" s="65"/>
      <c r="AI735" s="27"/>
    </row>
    <row r="736" spans="1:35" hidden="1">
      <c r="A736" s="13" t="s">
        <v>400</v>
      </c>
      <c r="B736" s="13" t="str">
        <f>_xlfn.XLOOKUP(J736,'Master Data 14-9-2026'!C:C,'Master Data 14-9-2026'!D:D)</f>
        <v>Eka Maudyna Isdyanti wx1504640</v>
      </c>
      <c r="C736" s="13"/>
      <c r="D736" s="13" t="str">
        <f>_xlfn.XLOOKUP(J736,'Master Data 14-9-2026'!C:C,'Master Data 14-9-2026'!E:E)</f>
        <v>IOH</v>
      </c>
      <c r="E736" s="13"/>
      <c r="F736" s="13"/>
      <c r="G736" s="13" t="s">
        <v>31</v>
      </c>
      <c r="H736" s="13" t="str">
        <f>_xlfn.XLOOKUP(J736,'Master Data 14-9-2026'!C:C,'Master Data 14-9-2026'!H:H)</f>
        <v>2026-08-30 - 2026-09-29</v>
      </c>
      <c r="I736" s="13" t="str">
        <f t="shared" si="11"/>
        <v>August</v>
      </c>
      <c r="J736" s="13" t="s">
        <v>2056</v>
      </c>
      <c r="K736" s="13" t="s">
        <v>2056</v>
      </c>
      <c r="L736" s="13"/>
      <c r="M736" s="15">
        <v>200003225890020</v>
      </c>
      <c r="N736" s="13" t="s">
        <v>924</v>
      </c>
      <c r="O736" s="13">
        <v>1.0912026073100499E+17</v>
      </c>
      <c r="P736" s="13" t="s">
        <v>2011</v>
      </c>
      <c r="Q736" s="18">
        <v>45</v>
      </c>
      <c r="R736" s="18">
        <v>1</v>
      </c>
      <c r="S736" s="13">
        <v>8828132633</v>
      </c>
      <c r="T736" s="13" t="s">
        <v>951</v>
      </c>
      <c r="U736" s="19">
        <v>28881900</v>
      </c>
      <c r="V736" s="18">
        <v>1</v>
      </c>
      <c r="W736" s="18">
        <f>_xlfn.XLOOKUP(J736,'Master Data 14-9-2026'!C:C,'Master Data 14-9-2026'!L:L)</f>
        <v>0</v>
      </c>
      <c r="X736" s="23">
        <v>28881900</v>
      </c>
      <c r="Y736" s="13" t="s">
        <v>2009</v>
      </c>
      <c r="Z736" s="24" t="s">
        <v>984</v>
      </c>
      <c r="AA736" s="4" t="s">
        <v>1288</v>
      </c>
      <c r="AB736" s="40" t="s">
        <v>44</v>
      </c>
      <c r="AC736" s="13"/>
      <c r="AD736" s="13"/>
      <c r="AE736" s="13">
        <f>_xlfn.XLOOKUP(L736,'[1]ID PROJECT'!E:E,'[1]ID PROJECT'!F:F)</f>
        <v>0</v>
      </c>
      <c r="AF736" s="13"/>
      <c r="AG736" s="13"/>
      <c r="AH736" s="65"/>
      <c r="AI736" s="27"/>
    </row>
    <row r="737" spans="1:35" hidden="1">
      <c r="A737" s="13" t="s">
        <v>674</v>
      </c>
      <c r="B737" s="13" t="str">
        <f>_xlfn.XLOOKUP(J737,'Master Data 14-9-2026'!C:C,'Master Data 14-9-2026'!D:D)</f>
        <v>Andi Wijaya WX1529428</v>
      </c>
      <c r="C737" s="13"/>
      <c r="D737" s="13" t="str">
        <f>_xlfn.XLOOKUP(J737,'Master Data 14-9-2026'!C:C,'Master Data 14-9-2026'!E:E)</f>
        <v>IOH</v>
      </c>
      <c r="E737" s="13"/>
      <c r="F737" s="13"/>
      <c r="G737" s="13" t="s">
        <v>22</v>
      </c>
      <c r="H737" s="13" t="str">
        <f>_xlfn.XLOOKUP(J737,'Master Data 14-9-2026'!C:C,'Master Data 14-9-2026'!H:H)</f>
        <v>2026-08-24 - 2026-09-23</v>
      </c>
      <c r="I737" s="13" t="str">
        <f t="shared" si="11"/>
        <v>August</v>
      </c>
      <c r="J737" s="13" t="s">
        <v>2057</v>
      </c>
      <c r="K737" s="13" t="s">
        <v>2057</v>
      </c>
      <c r="L737" s="13" t="s">
        <v>441</v>
      </c>
      <c r="M737" s="15">
        <v>200003233915020</v>
      </c>
      <c r="N737" s="13" t="s">
        <v>924</v>
      </c>
      <c r="O737" s="13">
        <v>1.0912026073100499E+17</v>
      </c>
      <c r="P737" s="13" t="s">
        <v>2011</v>
      </c>
      <c r="Q737" s="18">
        <v>46</v>
      </c>
      <c r="R737" s="18">
        <v>1</v>
      </c>
      <c r="S737" s="13">
        <v>8828132634</v>
      </c>
      <c r="T737" s="13" t="s">
        <v>978</v>
      </c>
      <c r="U737" s="19">
        <v>32542400</v>
      </c>
      <c r="V737" s="18">
        <v>1</v>
      </c>
      <c r="W737" s="18">
        <f>_xlfn.XLOOKUP(J737,'Master Data 14-9-2026'!C:C,'Master Data 14-9-2026'!L:L)</f>
        <v>0.5</v>
      </c>
      <c r="X737" s="23">
        <v>32542400</v>
      </c>
      <c r="Y737" s="13" t="s">
        <v>2009</v>
      </c>
      <c r="Z737" s="24" t="s">
        <v>225</v>
      </c>
      <c r="AA737" s="4" t="s">
        <v>1288</v>
      </c>
      <c r="AB737" s="13"/>
      <c r="AC737" s="13"/>
      <c r="AD737" s="13"/>
      <c r="AE737" s="13" t="str">
        <f>_xlfn.XLOOKUP(L737,'[1]ID PROJECT'!E:E,'[1]ID PROJECT'!F:F)</f>
        <v xml:space="preserve">PRJ-KUT-KPU-TPED-2026-04-00071 </v>
      </c>
      <c r="AF737" s="13"/>
      <c r="AG737" s="13"/>
      <c r="AH737" s="65"/>
      <c r="AI737" s="27"/>
    </row>
    <row r="738" spans="1:35" hidden="1">
      <c r="A738" s="13" t="s">
        <v>435</v>
      </c>
      <c r="B738" s="13" t="str">
        <f>_xlfn.XLOOKUP(J738,'Master Data 14-9-2026'!C:C,'Master Data 14-9-2026'!D:D)</f>
        <v>Fasya Fatimma Azzhra wx1504711</v>
      </c>
      <c r="C738" s="13"/>
      <c r="D738" s="13" t="str">
        <f>_xlfn.XLOOKUP(J738,'Master Data 14-9-2026'!C:C,'Master Data 14-9-2026'!E:E)</f>
        <v>IOH</v>
      </c>
      <c r="E738" s="13"/>
      <c r="F738" s="13"/>
      <c r="G738" s="13" t="s">
        <v>31</v>
      </c>
      <c r="H738" s="13" t="str">
        <f>_xlfn.XLOOKUP(J738,'Master Data 14-9-2026'!C:C,'Master Data 14-9-2026'!H:H)</f>
        <v>2026-08-31 - 2026-09-29</v>
      </c>
      <c r="I738" s="13" t="str">
        <f t="shared" si="11"/>
        <v>August</v>
      </c>
      <c r="J738" s="13" t="s">
        <v>2058</v>
      </c>
      <c r="K738" s="13" t="s">
        <v>2058</v>
      </c>
      <c r="L738" s="13"/>
      <c r="M738" s="15">
        <v>200003225892020</v>
      </c>
      <c r="N738" s="13" t="s">
        <v>924</v>
      </c>
      <c r="O738" s="13">
        <v>1.0912026073100499E+17</v>
      </c>
      <c r="P738" s="13" t="s">
        <v>2011</v>
      </c>
      <c r="Q738" s="18">
        <v>47</v>
      </c>
      <c r="R738" s="18">
        <v>1</v>
      </c>
      <c r="S738" s="13">
        <v>8828132633</v>
      </c>
      <c r="T738" s="13" t="s">
        <v>951</v>
      </c>
      <c r="U738" s="19">
        <v>28881900</v>
      </c>
      <c r="V738" s="18">
        <v>1</v>
      </c>
      <c r="W738" s="18">
        <f>_xlfn.XLOOKUP(J738,'Master Data 14-9-2026'!C:C,'Master Data 14-9-2026'!L:L)</f>
        <v>0</v>
      </c>
      <c r="X738" s="23">
        <v>28881900</v>
      </c>
      <c r="Y738" s="13" t="s">
        <v>2009</v>
      </c>
      <c r="Z738" s="24" t="s">
        <v>984</v>
      </c>
      <c r="AA738" s="4" t="s">
        <v>1288</v>
      </c>
      <c r="AB738" s="40" t="s">
        <v>44</v>
      </c>
      <c r="AC738" s="13"/>
      <c r="AD738" s="13"/>
      <c r="AE738" s="13">
        <f>_xlfn.XLOOKUP(L738,'[1]ID PROJECT'!E:E,'[1]ID PROJECT'!F:F)</f>
        <v>0</v>
      </c>
      <c r="AF738" s="13"/>
      <c r="AG738" s="13"/>
      <c r="AH738" s="65"/>
      <c r="AI738" s="27"/>
    </row>
    <row r="739" spans="1:35" hidden="1">
      <c r="A739" s="13" t="s">
        <v>494</v>
      </c>
      <c r="B739" s="13" t="str">
        <f>_xlfn.XLOOKUP(J739,'Master Data 14-9-2026'!C:C,'Master Data 14-9-2026'!D:D)</f>
        <v>Okik Tri Priantoro wx1524148</v>
      </c>
      <c r="C739" s="13"/>
      <c r="D739" s="13" t="str">
        <f>_xlfn.XLOOKUP(J739,'Master Data 14-9-2026'!C:C,'Master Data 14-9-2026'!E:E)</f>
        <v>IOH</v>
      </c>
      <c r="E739" s="13"/>
      <c r="F739" s="13"/>
      <c r="G739" s="13" t="s">
        <v>22</v>
      </c>
      <c r="H739" s="13" t="str">
        <f>_xlfn.XLOOKUP(J739,'Master Data 14-9-2026'!C:C,'Master Data 14-9-2026'!H:H)</f>
        <v>2026-08-05 - 2026-09-04</v>
      </c>
      <c r="I739" s="13" t="str">
        <f t="shared" si="11"/>
        <v>August</v>
      </c>
      <c r="J739" s="13" t="s">
        <v>2059</v>
      </c>
      <c r="K739" s="13" t="s">
        <v>2059</v>
      </c>
      <c r="L739" s="13" t="s">
        <v>457</v>
      </c>
      <c r="M739" s="15">
        <v>200003233938020</v>
      </c>
      <c r="N739" s="13" t="s">
        <v>924</v>
      </c>
      <c r="O739" s="13">
        <v>1.0912026073100499E+17</v>
      </c>
      <c r="P739" s="13" t="s">
        <v>2011</v>
      </c>
      <c r="Q739" s="18">
        <v>48</v>
      </c>
      <c r="R739" s="18">
        <v>1</v>
      </c>
      <c r="S739" s="13">
        <v>8828132636</v>
      </c>
      <c r="T739" s="13" t="s">
        <v>933</v>
      </c>
      <c r="U739" s="19">
        <v>36992000</v>
      </c>
      <c r="V739" s="18">
        <v>1</v>
      </c>
      <c r="W739" s="18">
        <f>_xlfn.XLOOKUP(J739,'Master Data 14-9-2026'!C:C,'Master Data 14-9-2026'!L:L)</f>
        <v>1.5</v>
      </c>
      <c r="X739" s="23">
        <v>36992000</v>
      </c>
      <c r="Y739" s="13" t="s">
        <v>2009</v>
      </c>
      <c r="Z739" s="24" t="s">
        <v>33</v>
      </c>
      <c r="AA739" s="4" t="s">
        <v>1288</v>
      </c>
      <c r="AB739" s="13" t="s">
        <v>1600</v>
      </c>
      <c r="AC739" s="13"/>
      <c r="AD739" s="13"/>
      <c r="AE739" s="13" t="str">
        <f>_xlfn.XLOOKUP(L739,'[1]ID PROJECT'!E:E,'[1]ID PROJECT'!F:F)</f>
        <v>PRJ-KUT-KPU-TPED-2026-04-00076</v>
      </c>
      <c r="AF739" s="13"/>
      <c r="AG739" s="13"/>
      <c r="AH739" s="65"/>
      <c r="AI739" s="27"/>
    </row>
    <row r="740" spans="1:35" hidden="1">
      <c r="A740" s="13" t="s">
        <v>304</v>
      </c>
      <c r="B740" s="13" t="str">
        <f>_xlfn.XLOOKUP(J740,'Master Data 14-9-2026'!C:C,'Master Data 14-9-2026'!D:D)</f>
        <v>Salsabila Ulya Nabilah Fuad wx1507138</v>
      </c>
      <c r="C740" s="13"/>
      <c r="D740" s="13" t="str">
        <f>_xlfn.XLOOKUP(J740,'Master Data 14-9-2026'!C:C,'Master Data 14-9-2026'!E:E)</f>
        <v>XLSMART</v>
      </c>
      <c r="E740" s="13"/>
      <c r="F740" s="13"/>
      <c r="G740" s="13" t="s">
        <v>28</v>
      </c>
      <c r="H740" s="13" t="str">
        <f>_xlfn.XLOOKUP(J740,'Master Data 14-9-2026'!C:C,'Master Data 14-9-2026'!H:H)</f>
        <v>2026-08-01 - 2026-08-31</v>
      </c>
      <c r="I740" s="13" t="str">
        <f t="shared" si="11"/>
        <v>August</v>
      </c>
      <c r="J740" s="13" t="s">
        <v>2060</v>
      </c>
      <c r="K740" s="13" t="s">
        <v>1004</v>
      </c>
      <c r="L740" s="13" t="s">
        <v>441</v>
      </c>
      <c r="M740" s="15">
        <v>200003135943020</v>
      </c>
      <c r="N740" s="13" t="s">
        <v>924</v>
      </c>
      <c r="O740" s="13">
        <v>1.09120260803002E+17</v>
      </c>
      <c r="P740" s="13" t="s">
        <v>2061</v>
      </c>
      <c r="Q740" s="18">
        <v>1</v>
      </c>
      <c r="R740" s="18">
        <v>1</v>
      </c>
      <c r="S740" s="13">
        <v>8828132633</v>
      </c>
      <c r="T740" s="13" t="s">
        <v>951</v>
      </c>
      <c r="U740" s="19">
        <v>28881900</v>
      </c>
      <c r="V740" s="18">
        <v>1</v>
      </c>
      <c r="W740" s="18">
        <f>_xlfn.XLOOKUP(J740,'Master Data 14-9-2026'!C:C,'Master Data 14-9-2026'!L:L)</f>
        <v>0.83</v>
      </c>
      <c r="X740" s="23">
        <v>28881900</v>
      </c>
      <c r="Y740" s="13" t="s">
        <v>2009</v>
      </c>
      <c r="Z740" s="24" t="s">
        <v>984</v>
      </c>
      <c r="AA740" s="4" t="s">
        <v>1288</v>
      </c>
      <c r="AB740" s="13" t="s">
        <v>1289</v>
      </c>
      <c r="AC740" s="13"/>
      <c r="AD740" s="13"/>
      <c r="AE740" s="13" t="str">
        <f>_xlfn.XLOOKUP(L740,'[1]ID PROJECT'!E:E,'[1]ID PROJECT'!F:F)</f>
        <v xml:space="preserve">PRJ-KUT-KPU-TPED-2026-04-00071 </v>
      </c>
      <c r="AF740" s="13"/>
      <c r="AG740" s="13"/>
      <c r="AH740" s="65"/>
      <c r="AI740" s="27"/>
    </row>
    <row r="741" spans="1:35" hidden="1">
      <c r="A741" s="13" t="s">
        <v>433</v>
      </c>
      <c r="B741" s="13" t="str">
        <f>_xlfn.XLOOKUP(J741,'Master Data 14-9-2026'!C:C,'Master Data 14-9-2026'!D:D)</f>
        <v>Cahyo Suryo Bhuwono Winarso wx1507283</v>
      </c>
      <c r="C741" s="13"/>
      <c r="D741" s="13" t="str">
        <f>_xlfn.XLOOKUP(J741,'Master Data 14-9-2026'!C:C,'Master Data 14-9-2026'!E:E)</f>
        <v>XLSMART</v>
      </c>
      <c r="E741" s="13"/>
      <c r="F741" s="13"/>
      <c r="G741" s="13" t="s">
        <v>28</v>
      </c>
      <c r="H741" s="13" t="str">
        <f>_xlfn.XLOOKUP(J741,'Master Data 14-9-2026'!C:C,'Master Data 14-9-2026'!H:H)</f>
        <v>2026-08-01 - 2026-08-31</v>
      </c>
      <c r="I741" s="13" t="str">
        <f t="shared" si="11"/>
        <v>August</v>
      </c>
      <c r="J741" s="13" t="s">
        <v>2062</v>
      </c>
      <c r="K741" s="13" t="s">
        <v>1004</v>
      </c>
      <c r="L741" s="13" t="s">
        <v>441</v>
      </c>
      <c r="M741" s="15">
        <v>200003135944020</v>
      </c>
      <c r="N741" s="13" t="s">
        <v>924</v>
      </c>
      <c r="O741" s="13">
        <v>1.09120260803002E+17</v>
      </c>
      <c r="P741" s="13" t="s">
        <v>2061</v>
      </c>
      <c r="Q741" s="18">
        <v>2</v>
      </c>
      <c r="R741" s="18">
        <v>1</v>
      </c>
      <c r="S741" s="13">
        <v>8828132633</v>
      </c>
      <c r="T741" s="13" t="s">
        <v>951</v>
      </c>
      <c r="U741" s="19">
        <v>28881900</v>
      </c>
      <c r="V741" s="18">
        <v>1</v>
      </c>
      <c r="W741" s="18">
        <f>_xlfn.XLOOKUP(J741,'Master Data 14-9-2026'!C:C,'Master Data 14-9-2026'!L:L)</f>
        <v>0</v>
      </c>
      <c r="X741" s="23">
        <v>28881900</v>
      </c>
      <c r="Y741" s="13" t="s">
        <v>2009</v>
      </c>
      <c r="Z741" s="24" t="s">
        <v>984</v>
      </c>
      <c r="AA741" s="4" t="s">
        <v>1288</v>
      </c>
      <c r="AB741" s="40" t="s">
        <v>44</v>
      </c>
      <c r="AC741" s="13"/>
      <c r="AD741" s="13"/>
      <c r="AE741" s="13" t="str">
        <f>_xlfn.XLOOKUP(L741,'[1]ID PROJECT'!E:E,'[1]ID PROJECT'!F:F)</f>
        <v xml:space="preserve">PRJ-KUT-KPU-TPED-2026-04-00071 </v>
      </c>
      <c r="AF741" s="13"/>
      <c r="AG741" s="13"/>
      <c r="AH741" s="65"/>
      <c r="AI741" s="27"/>
    </row>
    <row r="742" spans="1:35">
      <c r="A742" s="13" t="s">
        <v>145</v>
      </c>
      <c r="B742" s="13" t="str">
        <f>_xlfn.XLOOKUP(J742,'Master Data 14-9-2026'!C:C,'Master Data 14-9-2026'!D:D)</f>
        <v>Gema Marhayen wx1506940</v>
      </c>
      <c r="C742" s="13"/>
      <c r="D742" s="13" t="str">
        <f>_xlfn.XLOOKUP(J742,'Master Data 14-9-2026'!C:C,'Master Data 14-9-2026'!E:E)</f>
        <v>XLSMART</v>
      </c>
      <c r="E742" s="13"/>
      <c r="F742" s="13"/>
      <c r="G742" s="13" t="s">
        <v>28</v>
      </c>
      <c r="H742" s="13" t="str">
        <f>_xlfn.XLOOKUP(J742,'Master Data 14-9-2026'!C:C,'Master Data 14-9-2026'!H:H)</f>
        <v>2026-08-01 - 2026-08-31</v>
      </c>
      <c r="I742" s="13" t="str">
        <f t="shared" si="11"/>
        <v>August</v>
      </c>
      <c r="J742" s="13" t="s">
        <v>2063</v>
      </c>
      <c r="K742" s="13" t="s">
        <v>1004</v>
      </c>
      <c r="L742" s="13" t="s">
        <v>441</v>
      </c>
      <c r="M742" s="15">
        <v>200003135945020</v>
      </c>
      <c r="N742" s="13" t="s">
        <v>924</v>
      </c>
      <c r="O742" s="13">
        <v>1.09120260803002E+17</v>
      </c>
      <c r="P742" s="13" t="s">
        <v>2061</v>
      </c>
      <c r="Q742" s="18">
        <v>3</v>
      </c>
      <c r="R742" s="18">
        <v>1</v>
      </c>
      <c r="S742" s="13">
        <v>8828132633</v>
      </c>
      <c r="T742" s="13" t="s">
        <v>951</v>
      </c>
      <c r="U742" s="19">
        <v>28881900</v>
      </c>
      <c r="V742" s="18">
        <v>1</v>
      </c>
      <c r="W742" s="18">
        <f>_xlfn.XLOOKUP(J742,'Master Data 14-9-2026'!C:C,'Master Data 14-9-2026'!L:L)</f>
        <v>1</v>
      </c>
      <c r="X742" s="23">
        <v>28881900</v>
      </c>
      <c r="Y742" s="13" t="s">
        <v>2009</v>
      </c>
      <c r="Z742" s="24" t="str">
        <f>_xlfn.XLOOKUP(J742,'Master Data 14-9-2026'!C:C,'Master Data 14-9-2026'!I:I)</f>
        <v>Ended</v>
      </c>
      <c r="AA742" s="39" t="s">
        <v>934</v>
      </c>
      <c r="AB742" s="40"/>
      <c r="AC742" s="13"/>
      <c r="AD742" s="40" t="s">
        <v>935</v>
      </c>
      <c r="AE742" s="13" t="str">
        <f>_xlfn.XLOOKUP(L742,'[1]ID PROJECT'!E:E,'[1]ID PROJECT'!F:F)</f>
        <v xml:space="preserve">PRJ-KUT-KPU-TPED-2026-04-00071 </v>
      </c>
      <c r="AF742" s="39" t="s">
        <v>4165</v>
      </c>
      <c r="AG742" s="13" t="s">
        <v>4192</v>
      </c>
      <c r="AH742" s="65">
        <v>46286</v>
      </c>
      <c r="AI742" s="41" t="s">
        <v>967</v>
      </c>
    </row>
    <row r="743" spans="1:35" hidden="1">
      <c r="A743" s="13" t="s">
        <v>623</v>
      </c>
      <c r="B743" s="13" t="str">
        <f>_xlfn.XLOOKUP(J743,'Master Data 14-9-2026'!C:C,'Master Data 14-9-2026'!D:D)</f>
        <v>Teguh Imam Setiawan WX1530243</v>
      </c>
      <c r="C743" s="13"/>
      <c r="D743" s="13" t="str">
        <f>_xlfn.XLOOKUP(J743,'Master Data 14-9-2026'!C:C,'Master Data 14-9-2026'!E:E)</f>
        <v>XLSMART</v>
      </c>
      <c r="E743" s="13"/>
      <c r="F743" s="13"/>
      <c r="G743" s="13" t="s">
        <v>22</v>
      </c>
      <c r="H743" s="13" t="str">
        <f>_xlfn.XLOOKUP(J743,'Master Data 14-9-2026'!C:C,'Master Data 14-9-2026'!H:H)</f>
        <v>2026-08-29 - 2026-09-28</v>
      </c>
      <c r="I743" s="13" t="str">
        <f t="shared" si="11"/>
        <v>August</v>
      </c>
      <c r="J743" s="13" t="s">
        <v>2064</v>
      </c>
      <c r="K743" s="13" t="s">
        <v>1004</v>
      </c>
      <c r="L743" s="13" t="s">
        <v>441</v>
      </c>
      <c r="M743" s="15">
        <v>200003233029020</v>
      </c>
      <c r="N743" s="13" t="s">
        <v>924</v>
      </c>
      <c r="O743" s="13">
        <v>1.09120260803002E+17</v>
      </c>
      <c r="P743" s="13" t="s">
        <v>2061</v>
      </c>
      <c r="Q743" s="18">
        <v>4</v>
      </c>
      <c r="R743" s="18">
        <v>1</v>
      </c>
      <c r="S743" s="13">
        <v>8828132634</v>
      </c>
      <c r="T743" s="13" t="s">
        <v>978</v>
      </c>
      <c r="U743" s="19">
        <v>32542400</v>
      </c>
      <c r="V743" s="18">
        <v>1</v>
      </c>
      <c r="W743" s="18">
        <f>_xlfn.XLOOKUP(J743,'Master Data 14-9-2026'!C:C,'Master Data 14-9-2026'!L:L)</f>
        <v>0</v>
      </c>
      <c r="X743" s="23">
        <v>32542400</v>
      </c>
      <c r="Y743" s="13" t="s">
        <v>2009</v>
      </c>
      <c r="Z743" s="24" t="s">
        <v>984</v>
      </c>
      <c r="AA743" s="4" t="s">
        <v>1288</v>
      </c>
      <c r="AB743" s="40" t="s">
        <v>44</v>
      </c>
      <c r="AC743" s="13"/>
      <c r="AD743" s="13"/>
      <c r="AE743" s="13" t="str">
        <f>_xlfn.XLOOKUP(L743,'[1]ID PROJECT'!E:E,'[1]ID PROJECT'!F:F)</f>
        <v xml:space="preserve">PRJ-KUT-KPU-TPED-2026-04-00071 </v>
      </c>
      <c r="AF743" s="13"/>
      <c r="AG743" s="13"/>
      <c r="AH743" s="65"/>
      <c r="AI743" s="27"/>
    </row>
    <row r="744" spans="1:35" hidden="1">
      <c r="A744" s="13" t="s">
        <v>612</v>
      </c>
      <c r="B744" s="13" t="str">
        <f>_xlfn.XLOOKUP(J744,'Master Data 14-9-2026'!C:C,'Master Data 14-9-2026'!D:D)</f>
        <v>Ervin Raditya WX1530249</v>
      </c>
      <c r="C744" s="13"/>
      <c r="D744" s="13" t="str">
        <f>_xlfn.XLOOKUP(J744,'Master Data 14-9-2026'!C:C,'Master Data 14-9-2026'!E:E)</f>
        <v>XLSMART</v>
      </c>
      <c r="E744" s="13"/>
      <c r="F744" s="13"/>
      <c r="G744" s="13" t="s">
        <v>22</v>
      </c>
      <c r="H744" s="13" t="str">
        <f>_xlfn.XLOOKUP(J744,'Master Data 14-9-2026'!C:C,'Master Data 14-9-2026'!H:H)</f>
        <v>2026-08-29 - 2026-09-28</v>
      </c>
      <c r="I744" s="13" t="str">
        <f t="shared" si="11"/>
        <v>August</v>
      </c>
      <c r="J744" s="13" t="s">
        <v>2065</v>
      </c>
      <c r="K744" s="13" t="s">
        <v>1004</v>
      </c>
      <c r="L744" s="13" t="s">
        <v>441</v>
      </c>
      <c r="M744" s="15">
        <v>200003233030020</v>
      </c>
      <c r="N744" s="13" t="s">
        <v>924</v>
      </c>
      <c r="O744" s="13">
        <v>1.09120260803002E+17</v>
      </c>
      <c r="P744" s="13" t="s">
        <v>2061</v>
      </c>
      <c r="Q744" s="18">
        <v>5</v>
      </c>
      <c r="R744" s="18">
        <v>1</v>
      </c>
      <c r="S744" s="13">
        <v>8828132634</v>
      </c>
      <c r="T744" s="13" t="s">
        <v>978</v>
      </c>
      <c r="U744" s="19">
        <v>32542400</v>
      </c>
      <c r="V744" s="18">
        <v>1</v>
      </c>
      <c r="W744" s="18">
        <f>_xlfn.XLOOKUP(J744,'Master Data 14-9-2026'!C:C,'Master Data 14-9-2026'!L:L)</f>
        <v>0.5</v>
      </c>
      <c r="X744" s="23">
        <v>32542400</v>
      </c>
      <c r="Y744" s="13" t="s">
        <v>2009</v>
      </c>
      <c r="Z744" s="24" t="s">
        <v>984</v>
      </c>
      <c r="AA744" s="4" t="s">
        <v>1288</v>
      </c>
      <c r="AB744" s="13"/>
      <c r="AC744" s="13"/>
      <c r="AD744" s="13"/>
      <c r="AE744" s="13" t="str">
        <f>_xlfn.XLOOKUP(L744,'[1]ID PROJECT'!E:E,'[1]ID PROJECT'!F:F)</f>
        <v xml:space="preserve">PRJ-KUT-KPU-TPED-2026-04-00071 </v>
      </c>
      <c r="AF744" s="13"/>
      <c r="AG744" s="13"/>
      <c r="AH744" s="65"/>
      <c r="AI744" s="27"/>
    </row>
    <row r="745" spans="1:35" hidden="1">
      <c r="A745" s="13" t="s">
        <v>226</v>
      </c>
      <c r="B745" s="13" t="str">
        <f>_xlfn.XLOOKUP(J745,'Master Data 14-9-2026'!C:C,'Master Data 14-9-2026'!D:D)</f>
        <v>Suhendar wx1533628</v>
      </c>
      <c r="C745" s="13"/>
      <c r="D745" s="13" t="str">
        <f>_xlfn.XLOOKUP(J745,'Master Data 14-9-2026'!C:C,'Master Data 14-9-2026'!E:E)</f>
        <v>XLSMART</v>
      </c>
      <c r="E745" s="13"/>
      <c r="F745" s="13"/>
      <c r="G745" s="13" t="s">
        <v>13</v>
      </c>
      <c r="H745" s="13" t="str">
        <f>_xlfn.XLOOKUP(J745,'Master Data 14-9-2026'!C:C,'Master Data 14-9-2026'!H:H)</f>
        <v>2026-07-07 - 2026-08-06</v>
      </c>
      <c r="I745" s="13" t="str">
        <f t="shared" si="11"/>
        <v>July</v>
      </c>
      <c r="J745" s="13" t="s">
        <v>2066</v>
      </c>
      <c r="K745" s="13" t="s">
        <v>1004</v>
      </c>
      <c r="L745" s="13" t="s">
        <v>441</v>
      </c>
      <c r="M745" s="15">
        <v>200003233143020</v>
      </c>
      <c r="N745" s="13" t="s">
        <v>924</v>
      </c>
      <c r="O745" s="13">
        <v>1.09120260803002E+17</v>
      </c>
      <c r="P745" s="13" t="s">
        <v>2061</v>
      </c>
      <c r="Q745" s="18">
        <v>6</v>
      </c>
      <c r="R745" s="18">
        <v>1</v>
      </c>
      <c r="S745" s="13">
        <v>8828132633</v>
      </c>
      <c r="T745" s="13" t="s">
        <v>951</v>
      </c>
      <c r="U745" s="19">
        <v>28881900</v>
      </c>
      <c r="V745" s="18">
        <v>1</v>
      </c>
      <c r="W745" s="18">
        <f>_xlfn.XLOOKUP(J745,'Master Data 14-9-2026'!C:C,'Master Data 14-9-2026'!L:L)</f>
        <v>1.5</v>
      </c>
      <c r="X745" s="23">
        <v>28881900</v>
      </c>
      <c r="Y745" s="13" t="s">
        <v>2009</v>
      </c>
      <c r="Z745" s="24" t="s">
        <v>984</v>
      </c>
      <c r="AA745" s="4" t="s">
        <v>1288</v>
      </c>
      <c r="AB745" s="13"/>
      <c r="AC745" s="13"/>
      <c r="AD745" s="13"/>
      <c r="AE745" s="13" t="str">
        <f>_xlfn.XLOOKUP(L745,'[1]ID PROJECT'!E:E,'[1]ID PROJECT'!F:F)</f>
        <v xml:space="preserve">PRJ-KUT-KPU-TPED-2026-04-00071 </v>
      </c>
      <c r="AF745" s="13"/>
      <c r="AG745" s="13"/>
      <c r="AH745" s="65"/>
      <c r="AI745" s="27"/>
    </row>
    <row r="746" spans="1:35" hidden="1">
      <c r="A746" s="13" t="s">
        <v>218</v>
      </c>
      <c r="B746" s="13" t="str">
        <f>_xlfn.XLOOKUP(J746,'Master Data 14-9-2026'!C:C,'Master Data 14-9-2026'!D:D)</f>
        <v>Rezicha Maulana Azazi wx1533627</v>
      </c>
      <c r="C746" s="13"/>
      <c r="D746" s="13" t="str">
        <f>_xlfn.XLOOKUP(J746,'Master Data 14-9-2026'!C:C,'Master Data 14-9-2026'!E:E)</f>
        <v>XLSMART</v>
      </c>
      <c r="E746" s="13"/>
      <c r="F746" s="13"/>
      <c r="G746" s="13" t="s">
        <v>13</v>
      </c>
      <c r="H746" s="13" t="str">
        <f>_xlfn.XLOOKUP(J746,'Master Data 14-9-2026'!C:C,'Master Data 14-9-2026'!H:H)</f>
        <v>2026-07-08 - 2026-08-07</v>
      </c>
      <c r="I746" s="13" t="str">
        <f t="shared" si="11"/>
        <v>July</v>
      </c>
      <c r="J746" s="13" t="s">
        <v>2067</v>
      </c>
      <c r="K746" s="13" t="s">
        <v>1004</v>
      </c>
      <c r="L746" s="13" t="s">
        <v>441</v>
      </c>
      <c r="M746" s="15">
        <v>200003233144020</v>
      </c>
      <c r="N746" s="13" t="s">
        <v>924</v>
      </c>
      <c r="O746" s="13">
        <v>1.09120260803002E+17</v>
      </c>
      <c r="P746" s="13" t="s">
        <v>2061</v>
      </c>
      <c r="Q746" s="18">
        <v>7</v>
      </c>
      <c r="R746" s="18">
        <v>1</v>
      </c>
      <c r="S746" s="13">
        <v>8828132633</v>
      </c>
      <c r="T746" s="13" t="s">
        <v>951</v>
      </c>
      <c r="U746" s="19">
        <v>28881900</v>
      </c>
      <c r="V746" s="18">
        <v>1</v>
      </c>
      <c r="W746" s="18">
        <f>_xlfn.XLOOKUP(J746,'Master Data 14-9-2026'!C:C,'Master Data 14-9-2026'!L:L)</f>
        <v>1.5</v>
      </c>
      <c r="X746" s="23">
        <v>28881900</v>
      </c>
      <c r="Y746" s="13" t="s">
        <v>2009</v>
      </c>
      <c r="Z746" s="24" t="s">
        <v>984</v>
      </c>
      <c r="AA746" s="4" t="s">
        <v>1288</v>
      </c>
      <c r="AB746" s="13"/>
      <c r="AC746" s="13"/>
      <c r="AD746" s="13"/>
      <c r="AE746" s="13" t="str">
        <f>_xlfn.XLOOKUP(L746,'[1]ID PROJECT'!E:E,'[1]ID PROJECT'!F:F)</f>
        <v xml:space="preserve">PRJ-KUT-KPU-TPED-2026-04-00071 </v>
      </c>
      <c r="AF746" s="13"/>
      <c r="AG746" s="13"/>
      <c r="AH746" s="65"/>
      <c r="AI746" s="27"/>
    </row>
    <row r="747" spans="1:35" hidden="1">
      <c r="A747" s="13" t="s">
        <v>599</v>
      </c>
      <c r="B747" s="13" t="str">
        <f>_xlfn.XLOOKUP(J747,'Master Data 14-9-2026'!C:C,'Master Data 14-9-2026'!D:D)</f>
        <v>Rokoy Redyanto wx1531575</v>
      </c>
      <c r="C747" s="13"/>
      <c r="D747" s="13" t="str">
        <f>_xlfn.XLOOKUP(J747,'Master Data 14-9-2026'!C:C,'Master Data 14-9-2026'!E:E)</f>
        <v>XLSMART</v>
      </c>
      <c r="E747" s="13"/>
      <c r="F747" s="13"/>
      <c r="G747" s="13" t="s">
        <v>13</v>
      </c>
      <c r="H747" s="13" t="str">
        <f>_xlfn.XLOOKUP(J747,'Master Data 14-9-2026'!C:C,'Master Data 14-9-2026'!H:H)</f>
        <v>2026-06-30 - 2026-07-29</v>
      </c>
      <c r="I747" s="13" t="str">
        <f t="shared" si="11"/>
        <v>June</v>
      </c>
      <c r="J747" s="13" t="s">
        <v>2068</v>
      </c>
      <c r="K747" s="13" t="s">
        <v>1004</v>
      </c>
      <c r="L747" s="13" t="s">
        <v>441</v>
      </c>
      <c r="M747" s="15">
        <v>200003233145020</v>
      </c>
      <c r="N747" s="13" t="s">
        <v>924</v>
      </c>
      <c r="O747" s="13">
        <v>1.09120260803002E+17</v>
      </c>
      <c r="P747" s="13" t="s">
        <v>2061</v>
      </c>
      <c r="Q747" s="18">
        <v>8</v>
      </c>
      <c r="R747" s="18">
        <v>1</v>
      </c>
      <c r="S747" s="13">
        <v>8828132634</v>
      </c>
      <c r="T747" s="13" t="s">
        <v>978</v>
      </c>
      <c r="U747" s="19">
        <v>32542400</v>
      </c>
      <c r="V747" s="18">
        <v>1</v>
      </c>
      <c r="W747" s="18">
        <f>_xlfn.XLOOKUP(J747,'Master Data 14-9-2026'!C:C,'Master Data 14-9-2026'!L:L)</f>
        <v>0.5</v>
      </c>
      <c r="X747" s="23">
        <v>32542400</v>
      </c>
      <c r="Y747" s="13" t="s">
        <v>2009</v>
      </c>
      <c r="Z747" s="24" t="str">
        <f>_xlfn.XLOOKUP(J747,'Master Data 14-9-2026'!C:C,'Master Data 14-9-2026'!I:I)</f>
        <v>Ended</v>
      </c>
      <c r="AA747" s="4" t="s">
        <v>1288</v>
      </c>
      <c r="AB747" s="13" t="s">
        <v>1289</v>
      </c>
      <c r="AC747" s="13"/>
      <c r="AD747" s="13"/>
      <c r="AE747" s="13" t="str">
        <f>_xlfn.XLOOKUP(L747,'[1]ID PROJECT'!E:E,'[1]ID PROJECT'!F:F)</f>
        <v xml:space="preserve">PRJ-KUT-KPU-TPED-2026-04-00071 </v>
      </c>
      <c r="AF747" s="13"/>
      <c r="AG747" s="13"/>
      <c r="AH747" s="65"/>
      <c r="AI747" s="27"/>
    </row>
    <row r="748" spans="1:35" hidden="1">
      <c r="A748" s="13" t="s">
        <v>595</v>
      </c>
      <c r="B748" s="13" t="str">
        <f>_xlfn.XLOOKUP(J748,'Master Data 14-9-2026'!C:C,'Master Data 14-9-2026'!D:D)</f>
        <v>Rizky Kurniawan wx1531020</v>
      </c>
      <c r="C748" s="13"/>
      <c r="D748" s="13" t="str">
        <f>_xlfn.XLOOKUP(J748,'Master Data 14-9-2026'!C:C,'Master Data 14-9-2026'!E:E)</f>
        <v>XLSMART</v>
      </c>
      <c r="E748" s="13"/>
      <c r="F748" s="13"/>
      <c r="G748" s="13" t="s">
        <v>13</v>
      </c>
      <c r="H748" s="13" t="str">
        <f>_xlfn.XLOOKUP(J748,'Master Data 14-9-2026'!C:C,'Master Data 14-9-2026'!H:H)</f>
        <v>2026-07-01 - 2026-07-31</v>
      </c>
      <c r="I748" s="13" t="str">
        <f t="shared" si="11"/>
        <v>July</v>
      </c>
      <c r="J748" s="13" t="s">
        <v>2069</v>
      </c>
      <c r="K748" s="13" t="s">
        <v>1004</v>
      </c>
      <c r="L748" s="13" t="s">
        <v>441</v>
      </c>
      <c r="M748" s="15">
        <v>200003233146020</v>
      </c>
      <c r="N748" s="13" t="s">
        <v>924</v>
      </c>
      <c r="O748" s="13">
        <v>1.09120260803002E+17</v>
      </c>
      <c r="P748" s="13" t="s">
        <v>2061</v>
      </c>
      <c r="Q748" s="18">
        <v>9</v>
      </c>
      <c r="R748" s="18">
        <v>1</v>
      </c>
      <c r="S748" s="13">
        <v>8828132634</v>
      </c>
      <c r="T748" s="13" t="s">
        <v>978</v>
      </c>
      <c r="U748" s="19">
        <v>32542400</v>
      </c>
      <c r="V748" s="18">
        <v>1</v>
      </c>
      <c r="W748" s="18">
        <f>_xlfn.XLOOKUP(J748,'Master Data 14-9-2026'!C:C,'Master Data 14-9-2026'!L:L)</f>
        <v>0.5</v>
      </c>
      <c r="X748" s="23">
        <v>32542400</v>
      </c>
      <c r="Y748" s="13" t="s">
        <v>2009</v>
      </c>
      <c r="Z748" s="24" t="s">
        <v>15</v>
      </c>
      <c r="AA748" s="4" t="s">
        <v>1288</v>
      </c>
      <c r="AB748" s="13" t="s">
        <v>1289</v>
      </c>
      <c r="AC748" s="13"/>
      <c r="AD748" s="13"/>
      <c r="AE748" s="13" t="str">
        <f>_xlfn.XLOOKUP(L748,'[1]ID PROJECT'!E:E,'[1]ID PROJECT'!F:F)</f>
        <v xml:space="preserve">PRJ-KUT-KPU-TPED-2026-04-00071 </v>
      </c>
      <c r="AF748" s="13"/>
      <c r="AG748" s="13"/>
      <c r="AH748" s="65"/>
      <c r="AI748" s="27"/>
    </row>
    <row r="749" spans="1:35" hidden="1">
      <c r="A749" s="13" t="s">
        <v>593</v>
      </c>
      <c r="B749" s="13" t="str">
        <f>_xlfn.XLOOKUP(J749,'Master Data 14-9-2026'!C:C,'Master Data 14-9-2026'!D:D)</f>
        <v>Rahmat Tulloh wx1531574</v>
      </c>
      <c r="C749" s="13"/>
      <c r="D749" s="13" t="str">
        <f>_xlfn.XLOOKUP(J749,'Master Data 14-9-2026'!C:C,'Master Data 14-9-2026'!E:E)</f>
        <v>XLSMART</v>
      </c>
      <c r="E749" s="13"/>
      <c r="F749" s="13"/>
      <c r="G749" s="13" t="s">
        <v>13</v>
      </c>
      <c r="H749" s="13" t="str">
        <f>_xlfn.XLOOKUP(J749,'Master Data 14-9-2026'!C:C,'Master Data 14-9-2026'!H:H)</f>
        <v>2026-07-01 - 2026-07-31</v>
      </c>
      <c r="I749" s="13" t="str">
        <f t="shared" si="11"/>
        <v>July</v>
      </c>
      <c r="J749" s="13" t="s">
        <v>2070</v>
      </c>
      <c r="K749" s="13" t="s">
        <v>1004</v>
      </c>
      <c r="L749" s="13" t="s">
        <v>441</v>
      </c>
      <c r="M749" s="15">
        <v>200003233147020</v>
      </c>
      <c r="N749" s="13" t="s">
        <v>924</v>
      </c>
      <c r="O749" s="13">
        <v>1.09120260803002E+17</v>
      </c>
      <c r="P749" s="13" t="s">
        <v>2061</v>
      </c>
      <c r="Q749" s="18">
        <v>10</v>
      </c>
      <c r="R749" s="18">
        <v>1</v>
      </c>
      <c r="S749" s="13">
        <v>8828132634</v>
      </c>
      <c r="T749" s="13" t="s">
        <v>978</v>
      </c>
      <c r="U749" s="19">
        <v>32542400</v>
      </c>
      <c r="V749" s="18">
        <v>1</v>
      </c>
      <c r="W749" s="18">
        <f>_xlfn.XLOOKUP(J749,'Master Data 14-9-2026'!C:C,'Master Data 14-9-2026'!L:L)</f>
        <v>0.69</v>
      </c>
      <c r="X749" s="23">
        <v>32542400</v>
      </c>
      <c r="Y749" s="13" t="s">
        <v>2009</v>
      </c>
      <c r="Z749" s="24" t="s">
        <v>15</v>
      </c>
      <c r="AA749" s="4" t="s">
        <v>1288</v>
      </c>
      <c r="AB749" s="13" t="s">
        <v>1289</v>
      </c>
      <c r="AC749" s="13"/>
      <c r="AD749" s="13"/>
      <c r="AE749" s="13" t="str">
        <f>_xlfn.XLOOKUP(L749,'[1]ID PROJECT'!E:E,'[1]ID PROJECT'!F:F)</f>
        <v xml:space="preserve">PRJ-KUT-KPU-TPED-2026-04-00071 </v>
      </c>
      <c r="AF749" s="13"/>
      <c r="AG749" s="13"/>
      <c r="AH749" s="65"/>
      <c r="AI749" s="27"/>
    </row>
    <row r="750" spans="1:35" hidden="1">
      <c r="A750" s="13" t="s">
        <v>732</v>
      </c>
      <c r="B750" s="13" t="str">
        <f>_xlfn.XLOOKUP(J750,'Master Data 14-9-2026'!C:C,'Master Data 14-9-2026'!D:D)</f>
        <v>Yonathan Janmorga wx1507284</v>
      </c>
      <c r="C750" s="13"/>
      <c r="D750" s="13" t="str">
        <f>_xlfn.XLOOKUP(J750,'Master Data 14-9-2026'!C:C,'Master Data 14-9-2026'!E:E)</f>
        <v>XLSMART</v>
      </c>
      <c r="E750" s="13"/>
      <c r="F750" s="13"/>
      <c r="G750" s="13" t="s">
        <v>28</v>
      </c>
      <c r="H750" s="13" t="str">
        <f>_xlfn.XLOOKUP(J750,'Master Data 14-9-2026'!C:C,'Master Data 14-9-2026'!H:H)</f>
        <v>2026-08-01 - 2026-08-31</v>
      </c>
      <c r="I750" s="13" t="str">
        <f t="shared" si="11"/>
        <v>August</v>
      </c>
      <c r="J750" s="13" t="s">
        <v>2071</v>
      </c>
      <c r="K750" s="13" t="s">
        <v>1004</v>
      </c>
      <c r="L750" s="13" t="s">
        <v>475</v>
      </c>
      <c r="M750" s="15">
        <v>200003135951020</v>
      </c>
      <c r="N750" s="13" t="s">
        <v>924</v>
      </c>
      <c r="O750" s="13">
        <v>1.09120260803002E+17</v>
      </c>
      <c r="P750" s="13" t="s">
        <v>2061</v>
      </c>
      <c r="Q750" s="18">
        <v>11</v>
      </c>
      <c r="R750" s="18">
        <v>1</v>
      </c>
      <c r="S750" s="13">
        <v>8828132635</v>
      </c>
      <c r="T750" s="13" t="s">
        <v>926</v>
      </c>
      <c r="U750" s="19">
        <v>34220600</v>
      </c>
      <c r="V750" s="18">
        <v>1</v>
      </c>
      <c r="W750" s="18">
        <f>_xlfn.XLOOKUP(J750,'Master Data 14-9-2026'!C:C,'Master Data 14-9-2026'!L:L)</f>
        <v>0.5</v>
      </c>
      <c r="X750" s="23">
        <v>34220600</v>
      </c>
      <c r="Y750" s="13" t="s">
        <v>2009</v>
      </c>
      <c r="Z750" s="24" t="s">
        <v>33</v>
      </c>
      <c r="AA750" s="4" t="s">
        <v>1288</v>
      </c>
      <c r="AB750" s="13" t="s">
        <v>1289</v>
      </c>
      <c r="AC750" s="13"/>
      <c r="AD750" s="13"/>
      <c r="AE750" s="13" t="str">
        <f>_xlfn.XLOOKUP(L750,'[1]ID PROJECT'!E:E,'[1]ID PROJECT'!F:F)</f>
        <v>PRJ-KUT-KPU-TPED-2026-04-00074</v>
      </c>
      <c r="AF750" s="13"/>
      <c r="AG750" s="13"/>
      <c r="AH750" s="65"/>
      <c r="AI750" s="27"/>
    </row>
    <row r="751" spans="1:35">
      <c r="A751" s="13" t="s">
        <v>736</v>
      </c>
      <c r="B751" s="13" t="str">
        <f>_xlfn.XLOOKUP(J751,'Master Data 14-9-2026'!C:C,'Master Data 14-9-2026'!D:D)</f>
        <v>Dheanera Fairuz Hasna wx1507280</v>
      </c>
      <c r="C751" s="13"/>
      <c r="D751" s="13" t="str">
        <f>_xlfn.XLOOKUP(J751,'Master Data 14-9-2026'!C:C,'Master Data 14-9-2026'!E:E)</f>
        <v>XLSMART</v>
      </c>
      <c r="E751" s="13"/>
      <c r="F751" s="13"/>
      <c r="G751" s="13" t="s">
        <v>28</v>
      </c>
      <c r="H751" s="13" t="str">
        <f>_xlfn.XLOOKUP(J751,'Master Data 14-9-2026'!C:C,'Master Data 14-9-2026'!H:H)</f>
        <v>2026-08-01 - 2026-08-31</v>
      </c>
      <c r="I751" s="13" t="str">
        <f t="shared" si="11"/>
        <v>August</v>
      </c>
      <c r="J751" s="13" t="s">
        <v>2072</v>
      </c>
      <c r="K751" s="13" t="s">
        <v>1004</v>
      </c>
      <c r="L751" s="13" t="s">
        <v>441</v>
      </c>
      <c r="M751" s="15">
        <v>200003135952020</v>
      </c>
      <c r="N751" s="13" t="s">
        <v>924</v>
      </c>
      <c r="O751" s="13">
        <v>1.09120260803002E+17</v>
      </c>
      <c r="P751" s="13" t="s">
        <v>2061</v>
      </c>
      <c r="Q751" s="18">
        <v>12</v>
      </c>
      <c r="R751" s="18">
        <v>1</v>
      </c>
      <c r="S751" s="13">
        <v>8828132635</v>
      </c>
      <c r="T751" s="13" t="s">
        <v>926</v>
      </c>
      <c r="U751" s="19">
        <v>34220600</v>
      </c>
      <c r="V751" s="18">
        <v>1</v>
      </c>
      <c r="W751" s="18">
        <f>_xlfn.XLOOKUP(J751,'Master Data 14-9-2026'!C:C,'Master Data 14-9-2026'!L:L)</f>
        <v>1</v>
      </c>
      <c r="X751" s="23">
        <v>34220600</v>
      </c>
      <c r="Y751" s="13" t="s">
        <v>2009</v>
      </c>
      <c r="Z751" s="24" t="str">
        <f>_xlfn.XLOOKUP(J751,'Master Data 14-9-2026'!C:C,'Master Data 14-9-2026'!I:I)</f>
        <v>Ended</v>
      </c>
      <c r="AA751" s="39" t="s">
        <v>934</v>
      </c>
      <c r="AB751" s="13"/>
      <c r="AC751" s="13"/>
      <c r="AD751" s="40" t="s">
        <v>935</v>
      </c>
      <c r="AE751" s="13" t="str">
        <f>_xlfn.XLOOKUP(L751,'[1]ID PROJECT'!E:E,'[1]ID PROJECT'!F:F)</f>
        <v xml:space="preserve">PRJ-KUT-KPU-TPED-2026-04-00071 </v>
      </c>
      <c r="AF751" s="50" t="s">
        <v>4122</v>
      </c>
      <c r="AG751" s="40" t="s">
        <v>4124</v>
      </c>
      <c r="AH751" s="66">
        <v>46275</v>
      </c>
      <c r="AI751" s="41" t="s">
        <v>967</v>
      </c>
    </row>
    <row r="752" spans="1:35" hidden="1">
      <c r="A752" s="13" t="s">
        <v>728</v>
      </c>
      <c r="B752" s="13" t="str">
        <f>_xlfn.XLOOKUP(J752,'Master Data 14-9-2026'!C:C,'Master Data 14-9-2026'!D:D)</f>
        <v>Qudsiyah Zahra Ilham Naseela wx1507281</v>
      </c>
      <c r="C752" s="13"/>
      <c r="D752" s="13" t="str">
        <f>_xlfn.XLOOKUP(J752,'Master Data 14-9-2026'!C:C,'Master Data 14-9-2026'!E:E)</f>
        <v>XLSMART</v>
      </c>
      <c r="E752" s="13"/>
      <c r="F752" s="13"/>
      <c r="G752" s="13" t="s">
        <v>28</v>
      </c>
      <c r="H752" s="13" t="str">
        <f>_xlfn.XLOOKUP(J752,'Master Data 14-9-2026'!C:C,'Master Data 14-9-2026'!H:H)</f>
        <v>2026-08-01 - 2026-08-31</v>
      </c>
      <c r="I752" s="13" t="str">
        <f t="shared" si="11"/>
        <v>August</v>
      </c>
      <c r="J752" s="13" t="s">
        <v>2073</v>
      </c>
      <c r="K752" s="13" t="s">
        <v>1004</v>
      </c>
      <c r="L752" s="13" t="s">
        <v>441</v>
      </c>
      <c r="M752" s="15">
        <v>200003135953020</v>
      </c>
      <c r="N752" s="13" t="s">
        <v>924</v>
      </c>
      <c r="O752" s="13">
        <v>1.09120260803002E+17</v>
      </c>
      <c r="P752" s="13" t="s">
        <v>2061</v>
      </c>
      <c r="Q752" s="18">
        <v>13</v>
      </c>
      <c r="R752" s="18">
        <v>1</v>
      </c>
      <c r="S752" s="13">
        <v>8828132635</v>
      </c>
      <c r="T752" s="13" t="s">
        <v>926</v>
      </c>
      <c r="U752" s="19">
        <v>34220600</v>
      </c>
      <c r="V752" s="18">
        <v>1</v>
      </c>
      <c r="W752" s="18">
        <f>_xlfn.XLOOKUP(J752,'Master Data 14-9-2026'!C:C,'Master Data 14-9-2026'!L:L)</f>
        <v>0.52</v>
      </c>
      <c r="X752" s="23">
        <v>34220600</v>
      </c>
      <c r="Y752" s="13" t="s">
        <v>2009</v>
      </c>
      <c r="Z752" s="24" t="s">
        <v>33</v>
      </c>
      <c r="AA752" s="4" t="s">
        <v>1288</v>
      </c>
      <c r="AB752" s="13" t="s">
        <v>1289</v>
      </c>
      <c r="AC752" s="13"/>
      <c r="AD752" s="13"/>
      <c r="AE752" s="13" t="str">
        <f>_xlfn.XLOOKUP(L752,'[1]ID PROJECT'!E:E,'[1]ID PROJECT'!F:F)</f>
        <v xml:space="preserve">PRJ-KUT-KPU-TPED-2026-04-00071 </v>
      </c>
      <c r="AF752" s="13"/>
      <c r="AG752" s="13"/>
      <c r="AH752" s="65"/>
      <c r="AI752" s="27"/>
    </row>
    <row r="753" spans="1:35">
      <c r="A753" s="13" t="s">
        <v>792</v>
      </c>
      <c r="B753" s="13" t="str">
        <f>_xlfn.XLOOKUP(J753,'Master Data 14-9-2026'!C:C,'Master Data 14-9-2026'!D:D)</f>
        <v>Agus Hendra wx1506946</v>
      </c>
      <c r="C753" s="13"/>
      <c r="D753" s="13" t="str">
        <f>_xlfn.XLOOKUP(J753,'Master Data 14-9-2026'!C:C,'Master Data 14-9-2026'!E:E)</f>
        <v>XLSMART</v>
      </c>
      <c r="E753" s="13"/>
      <c r="F753" s="13"/>
      <c r="G753" s="13" t="s">
        <v>28</v>
      </c>
      <c r="H753" s="13" t="str">
        <f>_xlfn.XLOOKUP(J753,'Master Data 14-9-2026'!C:C,'Master Data 14-9-2026'!H:H)</f>
        <v>2026-08-01 - 2026-08-31</v>
      </c>
      <c r="I753" s="13" t="str">
        <f t="shared" si="11"/>
        <v>August</v>
      </c>
      <c r="J753" s="13" t="s">
        <v>2074</v>
      </c>
      <c r="K753" s="13" t="s">
        <v>1004</v>
      </c>
      <c r="L753" s="13" t="s">
        <v>441</v>
      </c>
      <c r="M753" s="15">
        <v>200003135954020</v>
      </c>
      <c r="N753" s="13" t="s">
        <v>924</v>
      </c>
      <c r="O753" s="13">
        <v>1.09120260803002E+17</v>
      </c>
      <c r="P753" s="13" t="s">
        <v>2061</v>
      </c>
      <c r="Q753" s="18">
        <v>14</v>
      </c>
      <c r="R753" s="18">
        <v>1</v>
      </c>
      <c r="S753" s="13">
        <v>8828132635</v>
      </c>
      <c r="T753" s="13" t="s">
        <v>926</v>
      </c>
      <c r="U753" s="19">
        <v>34220600</v>
      </c>
      <c r="V753" s="18">
        <v>1</v>
      </c>
      <c r="W753" s="18">
        <f>_xlfn.XLOOKUP(J753,'Master Data 14-9-2026'!C:C,'Master Data 14-9-2026'!L:L)</f>
        <v>1</v>
      </c>
      <c r="X753" s="23">
        <v>34220600</v>
      </c>
      <c r="Y753" s="13" t="s">
        <v>2009</v>
      </c>
      <c r="Z753" s="24" t="str">
        <f>_xlfn.XLOOKUP(J753,'Master Data 14-9-2026'!C:C,'Master Data 14-9-2026'!I:I)</f>
        <v>Ended</v>
      </c>
      <c r="AA753" s="39" t="s">
        <v>934</v>
      </c>
      <c r="AB753" s="13"/>
      <c r="AC753" s="13"/>
      <c r="AD753" s="40" t="s">
        <v>935</v>
      </c>
      <c r="AE753" s="13" t="str">
        <f>_xlfn.XLOOKUP(L753,'[1]ID PROJECT'!E:E,'[1]ID PROJECT'!F:F)</f>
        <v xml:space="preserve">PRJ-KUT-KPU-TPED-2026-04-00071 </v>
      </c>
      <c r="AF753" s="50" t="s">
        <v>4122</v>
      </c>
      <c r="AG753" s="40" t="s">
        <v>4124</v>
      </c>
      <c r="AH753" s="66">
        <v>46275</v>
      </c>
      <c r="AI753" s="41" t="s">
        <v>967</v>
      </c>
    </row>
    <row r="754" spans="1:35" hidden="1">
      <c r="A754" s="13" t="s">
        <v>790</v>
      </c>
      <c r="B754" s="13" t="str">
        <f>_xlfn.XLOOKUP(J754,'Master Data 14-9-2026'!C:C,'Master Data 14-9-2026'!D:D)</f>
        <v>Prawira Satria Yodhipati wx1507286</v>
      </c>
      <c r="C754" s="13"/>
      <c r="D754" s="13" t="str">
        <f>_xlfn.XLOOKUP(J754,'Master Data 14-9-2026'!C:C,'Master Data 14-9-2026'!E:E)</f>
        <v>XLSMART</v>
      </c>
      <c r="E754" s="13"/>
      <c r="F754" s="13"/>
      <c r="G754" s="13" t="s">
        <v>28</v>
      </c>
      <c r="H754" s="13" t="str">
        <f>_xlfn.XLOOKUP(J754,'Master Data 14-9-2026'!C:C,'Master Data 14-9-2026'!H:H)</f>
        <v>2026-08-01 - 2026-08-31</v>
      </c>
      <c r="I754" s="13" t="str">
        <f t="shared" si="11"/>
        <v>August</v>
      </c>
      <c r="J754" s="13" t="s">
        <v>2075</v>
      </c>
      <c r="K754" s="13" t="s">
        <v>1004</v>
      </c>
      <c r="L754" s="13" t="s">
        <v>475</v>
      </c>
      <c r="M754" s="15">
        <v>200003135956020</v>
      </c>
      <c r="N754" s="13" t="s">
        <v>924</v>
      </c>
      <c r="O754" s="13">
        <v>1.09120260803002E+17</v>
      </c>
      <c r="P754" s="13" t="s">
        <v>2061</v>
      </c>
      <c r="Q754" s="18">
        <v>15</v>
      </c>
      <c r="R754" s="18">
        <v>1</v>
      </c>
      <c r="S754" s="13">
        <v>8828132635</v>
      </c>
      <c r="T754" s="13" t="s">
        <v>926</v>
      </c>
      <c r="U754" s="19">
        <v>34220600</v>
      </c>
      <c r="V754" s="18">
        <v>1</v>
      </c>
      <c r="W754" s="18">
        <f>_xlfn.XLOOKUP(J754,'Master Data 14-9-2026'!C:C,'Master Data 14-9-2026'!L:L)</f>
        <v>1.03</v>
      </c>
      <c r="X754" s="23">
        <v>34220600</v>
      </c>
      <c r="Y754" s="13" t="s">
        <v>2009</v>
      </c>
      <c r="Z754" s="24" t="s">
        <v>33</v>
      </c>
      <c r="AA754" s="4" t="s">
        <v>1288</v>
      </c>
      <c r="AB754" s="13"/>
      <c r="AC754" s="13"/>
      <c r="AD754" s="13"/>
      <c r="AE754" s="13" t="str">
        <f>_xlfn.XLOOKUP(L754,'[1]ID PROJECT'!E:E,'[1]ID PROJECT'!F:F)</f>
        <v>PRJ-KUT-KPU-TPED-2026-04-00074</v>
      </c>
      <c r="AF754" s="13"/>
      <c r="AG754" s="13"/>
      <c r="AH754" s="65"/>
      <c r="AI754" s="27"/>
    </row>
    <row r="755" spans="1:35" hidden="1">
      <c r="A755" s="13" t="s">
        <v>498</v>
      </c>
      <c r="B755" s="13" t="str">
        <f>_xlfn.XLOOKUP(J755,'Master Data 14-9-2026'!C:C,'Master Data 14-9-2026'!D:D)</f>
        <v>Julham Hamid wx1507139</v>
      </c>
      <c r="C755" s="13"/>
      <c r="D755" s="13" t="str">
        <f>_xlfn.XLOOKUP(J755,'Master Data 14-9-2026'!C:C,'Master Data 14-9-2026'!E:E)</f>
        <v>XLSMART</v>
      </c>
      <c r="E755" s="13"/>
      <c r="F755" s="13"/>
      <c r="G755" s="13" t="s">
        <v>28</v>
      </c>
      <c r="H755" s="13" t="str">
        <f>_xlfn.XLOOKUP(J755,'Master Data 14-9-2026'!C:C,'Master Data 14-9-2026'!H:H)</f>
        <v>2026-08-01 - 2026-08-31</v>
      </c>
      <c r="I755" s="13" t="str">
        <f t="shared" si="11"/>
        <v>August</v>
      </c>
      <c r="J755" s="13" t="s">
        <v>2076</v>
      </c>
      <c r="K755" s="13" t="s">
        <v>1004</v>
      </c>
      <c r="L755" s="13" t="s">
        <v>500</v>
      </c>
      <c r="M755" s="15">
        <v>200003135963020</v>
      </c>
      <c r="N755" s="13" t="s">
        <v>924</v>
      </c>
      <c r="O755" s="13">
        <v>1.09120260803002E+17</v>
      </c>
      <c r="P755" s="13" t="s">
        <v>2061</v>
      </c>
      <c r="Q755" s="18">
        <v>16</v>
      </c>
      <c r="R755" s="18">
        <v>1</v>
      </c>
      <c r="S755" s="13">
        <v>8828132636</v>
      </c>
      <c r="T755" s="13" t="s">
        <v>933</v>
      </c>
      <c r="U755" s="19">
        <v>36992000</v>
      </c>
      <c r="V755" s="18">
        <v>1</v>
      </c>
      <c r="W755" s="18">
        <f>_xlfn.XLOOKUP(J755,'Master Data 14-9-2026'!C:C,'Master Data 14-9-2026'!L:L)</f>
        <v>1.4</v>
      </c>
      <c r="X755" s="23">
        <v>36992000</v>
      </c>
      <c r="Y755" s="13" t="s">
        <v>2009</v>
      </c>
      <c r="Z755" s="24" t="s">
        <v>33</v>
      </c>
      <c r="AA755" s="4" t="s">
        <v>1288</v>
      </c>
      <c r="AB755" s="13" t="s">
        <v>1289</v>
      </c>
      <c r="AC755" s="13"/>
      <c r="AD755" s="13"/>
      <c r="AE755" s="13" t="str">
        <f>_xlfn.XLOOKUP(L755,'[1]ID PROJECT'!E:E,'[1]ID PROJECT'!F:F)</f>
        <v>PRJ-KUT-KPU-TPED-2026-04-00080</v>
      </c>
      <c r="AF755" s="13"/>
      <c r="AG755" s="13"/>
      <c r="AH755" s="65"/>
      <c r="AI755" s="27"/>
    </row>
    <row r="756" spans="1:35" hidden="1">
      <c r="A756" s="13" t="s">
        <v>491</v>
      </c>
      <c r="B756" s="13" t="str">
        <f>_xlfn.XLOOKUP(J756,'Master Data 14-9-2026'!C:C,'Master Data 14-9-2026'!D:D)</f>
        <v>Muh Haidir Haswan wx1507136</v>
      </c>
      <c r="C756" s="13"/>
      <c r="D756" s="13" t="str">
        <f>_xlfn.XLOOKUP(J756,'Master Data 14-9-2026'!C:C,'Master Data 14-9-2026'!E:E)</f>
        <v>XLSMART</v>
      </c>
      <c r="E756" s="13"/>
      <c r="F756" s="13"/>
      <c r="G756" s="13" t="s">
        <v>28</v>
      </c>
      <c r="H756" s="13" t="str">
        <f>_xlfn.XLOOKUP(J756,'Master Data 14-9-2026'!C:C,'Master Data 14-9-2026'!H:H)</f>
        <v>2026-08-01 - 2026-08-31</v>
      </c>
      <c r="I756" s="13" t="str">
        <f t="shared" si="11"/>
        <v>August</v>
      </c>
      <c r="J756" s="13" t="s">
        <v>2077</v>
      </c>
      <c r="K756" s="13" t="s">
        <v>1004</v>
      </c>
      <c r="L756" s="13" t="s">
        <v>493</v>
      </c>
      <c r="M756" s="15">
        <v>200003135964020</v>
      </c>
      <c r="N756" s="13" t="s">
        <v>924</v>
      </c>
      <c r="O756" s="13">
        <v>1.09120260803002E+17</v>
      </c>
      <c r="P756" s="13" t="s">
        <v>2061</v>
      </c>
      <c r="Q756" s="18">
        <v>17</v>
      </c>
      <c r="R756" s="18">
        <v>1</v>
      </c>
      <c r="S756" s="13">
        <v>8828132636</v>
      </c>
      <c r="T756" s="13" t="s">
        <v>933</v>
      </c>
      <c r="U756" s="19">
        <v>36992000</v>
      </c>
      <c r="V756" s="18">
        <v>1</v>
      </c>
      <c r="W756" s="18">
        <f>_xlfn.XLOOKUP(J756,'Master Data 14-9-2026'!C:C,'Master Data 14-9-2026'!L:L)</f>
        <v>1.5</v>
      </c>
      <c r="X756" s="23">
        <v>36992000</v>
      </c>
      <c r="Y756" s="13" t="s">
        <v>2009</v>
      </c>
      <c r="Z756" s="24" t="s">
        <v>33</v>
      </c>
      <c r="AA756" s="4" t="s">
        <v>1288</v>
      </c>
      <c r="AB756" s="13" t="s">
        <v>1289</v>
      </c>
      <c r="AC756" s="13"/>
      <c r="AD756" s="13"/>
      <c r="AE756" s="13" t="str">
        <f>_xlfn.XLOOKUP(L756,'[1]ID PROJECT'!E:E,'[1]ID PROJECT'!F:F)</f>
        <v>PRJ-KUT-KPU-TPED-2026-04-00079</v>
      </c>
      <c r="AF756" s="13"/>
      <c r="AG756" s="13"/>
      <c r="AH756" s="65"/>
      <c r="AI756" s="27"/>
    </row>
    <row r="757" spans="1:35" hidden="1">
      <c r="A757" s="13" t="s">
        <v>560</v>
      </c>
      <c r="B757" s="13" t="str">
        <f>_xlfn.XLOOKUP(J757,'Master Data 14-9-2026'!C:C,'Master Data 14-9-2026'!D:D)</f>
        <v>Rizki Kamil Fahmi wx1531571</v>
      </c>
      <c r="C757" s="13"/>
      <c r="D757" s="13" t="str">
        <f>_xlfn.XLOOKUP(J757,'Master Data 14-9-2026'!C:C,'Master Data 14-9-2026'!E:E)</f>
        <v>XLSMART</v>
      </c>
      <c r="E757" s="13"/>
      <c r="F757" s="13"/>
      <c r="G757" s="13" t="s">
        <v>13</v>
      </c>
      <c r="H757" s="13" t="str">
        <f>_xlfn.XLOOKUP(J757,'Master Data 14-9-2026'!C:C,'Master Data 14-9-2026'!H:H)</f>
        <v>2026-07-01 - 2026-07-31</v>
      </c>
      <c r="I757" s="13" t="str">
        <f t="shared" si="11"/>
        <v>July</v>
      </c>
      <c r="J757" s="13" t="s">
        <v>2078</v>
      </c>
      <c r="K757" s="13" t="s">
        <v>1004</v>
      </c>
      <c r="L757" s="13" t="s">
        <v>441</v>
      </c>
      <c r="M757" s="15">
        <v>200003233148020</v>
      </c>
      <c r="N757" s="13" t="s">
        <v>924</v>
      </c>
      <c r="O757" s="13">
        <v>1.09120260803002E+17</v>
      </c>
      <c r="P757" s="13" t="s">
        <v>2061</v>
      </c>
      <c r="Q757" s="18">
        <v>18</v>
      </c>
      <c r="R757" s="18">
        <v>1</v>
      </c>
      <c r="S757" s="13">
        <v>8828132634</v>
      </c>
      <c r="T757" s="13" t="s">
        <v>978</v>
      </c>
      <c r="U757" s="19">
        <v>32542400</v>
      </c>
      <c r="V757" s="18">
        <v>1</v>
      </c>
      <c r="W757" s="18">
        <f>_xlfn.XLOOKUP(J757,'Master Data 14-9-2026'!C:C,'Master Data 14-9-2026'!L:L)</f>
        <v>0.5</v>
      </c>
      <c r="X757" s="23">
        <v>32542400</v>
      </c>
      <c r="Y757" s="13" t="s">
        <v>2009</v>
      </c>
      <c r="Z757" s="24" t="s">
        <v>15</v>
      </c>
      <c r="AA757" s="4" t="s">
        <v>1288</v>
      </c>
      <c r="AB757" s="13" t="s">
        <v>1289</v>
      </c>
      <c r="AC757" s="13"/>
      <c r="AD757" s="13"/>
      <c r="AE757" s="13" t="str">
        <f>_xlfn.XLOOKUP(L757,'[1]ID PROJECT'!E:E,'[1]ID PROJECT'!F:F)</f>
        <v xml:space="preserve">PRJ-KUT-KPU-TPED-2026-04-00071 </v>
      </c>
      <c r="AF757" s="13"/>
      <c r="AG757" s="13"/>
      <c r="AH757" s="65"/>
      <c r="AI757" s="27"/>
    </row>
    <row r="758" spans="1:35" hidden="1">
      <c r="A758" s="13" t="s">
        <v>552</v>
      </c>
      <c r="B758" s="13" t="str">
        <f>_xlfn.XLOOKUP(J758,'Master Data 14-9-2026'!C:C,'Master Data 14-9-2026'!D:D)</f>
        <v>Pangestu Wiromahudin wx1530066</v>
      </c>
      <c r="C758" s="13"/>
      <c r="D758" s="13" t="str">
        <f>_xlfn.XLOOKUP(J758,'Master Data 14-9-2026'!C:C,'Master Data 14-9-2026'!E:E)</f>
        <v>XLSMART</v>
      </c>
      <c r="E758" s="13"/>
      <c r="F758" s="13"/>
      <c r="G758" s="13" t="s">
        <v>13</v>
      </c>
      <c r="H758" s="13" t="str">
        <f>_xlfn.XLOOKUP(J758,'Master Data 14-9-2026'!C:C,'Master Data 14-9-2026'!H:H)</f>
        <v>2026-07-01 - 2026-07-31</v>
      </c>
      <c r="I758" s="13" t="str">
        <f t="shared" si="11"/>
        <v>July</v>
      </c>
      <c r="J758" s="13" t="s">
        <v>2079</v>
      </c>
      <c r="K758" s="13" t="s">
        <v>1004</v>
      </c>
      <c r="L758" s="13" t="s">
        <v>441</v>
      </c>
      <c r="M758" s="15">
        <v>200003233149020</v>
      </c>
      <c r="N758" s="13" t="s">
        <v>924</v>
      </c>
      <c r="O758" s="13">
        <v>1.09120260803002E+17</v>
      </c>
      <c r="P758" s="13" t="s">
        <v>2061</v>
      </c>
      <c r="Q758" s="18">
        <v>19</v>
      </c>
      <c r="R758" s="18">
        <v>1</v>
      </c>
      <c r="S758" s="13">
        <v>8828132634</v>
      </c>
      <c r="T758" s="13" t="s">
        <v>978</v>
      </c>
      <c r="U758" s="19">
        <v>32542400</v>
      </c>
      <c r="V758" s="18">
        <v>1</v>
      </c>
      <c r="W758" s="18">
        <f>_xlfn.XLOOKUP(J758,'Master Data 14-9-2026'!C:C,'Master Data 14-9-2026'!L:L)</f>
        <v>0.56000000000000005</v>
      </c>
      <c r="X758" s="23">
        <v>32542400</v>
      </c>
      <c r="Y758" s="13" t="s">
        <v>2009</v>
      </c>
      <c r="Z758" s="24" t="s">
        <v>15</v>
      </c>
      <c r="AA758" s="4" t="s">
        <v>1288</v>
      </c>
      <c r="AB758" s="13" t="s">
        <v>1289</v>
      </c>
      <c r="AC758" s="13"/>
      <c r="AD758" s="13"/>
      <c r="AE758" s="13" t="str">
        <f>_xlfn.XLOOKUP(L758,'[1]ID PROJECT'!E:E,'[1]ID PROJECT'!F:F)</f>
        <v xml:space="preserve">PRJ-KUT-KPU-TPED-2026-04-00071 </v>
      </c>
      <c r="AF758" s="13"/>
      <c r="AG758" s="13"/>
      <c r="AH758" s="65"/>
      <c r="AI758" s="27"/>
    </row>
    <row r="759" spans="1:35" hidden="1">
      <c r="A759" s="13" t="s">
        <v>686</v>
      </c>
      <c r="B759" s="13" t="str">
        <f>_xlfn.XLOOKUP(J759,'Master Data 14-9-2026'!C:C,'Master Data 14-9-2026'!D:D)</f>
        <v>Andi Rohadi wx1531576</v>
      </c>
      <c r="C759" s="13"/>
      <c r="D759" s="13" t="str">
        <f>_xlfn.XLOOKUP(J759,'Master Data 14-9-2026'!C:C,'Master Data 14-9-2026'!E:E)</f>
        <v>XLSMART</v>
      </c>
      <c r="E759" s="13"/>
      <c r="F759" s="13"/>
      <c r="G759" s="13" t="s">
        <v>13</v>
      </c>
      <c r="H759" s="13" t="str">
        <f>_xlfn.XLOOKUP(J759,'Master Data 14-9-2026'!C:C,'Master Data 14-9-2026'!H:H)</f>
        <v>2026-07-02 - 2026-08-01</v>
      </c>
      <c r="I759" s="13" t="str">
        <f t="shared" si="11"/>
        <v>July</v>
      </c>
      <c r="J759" s="13" t="s">
        <v>2080</v>
      </c>
      <c r="K759" s="13" t="s">
        <v>1004</v>
      </c>
      <c r="L759" s="13" t="s">
        <v>441</v>
      </c>
      <c r="M759" s="15">
        <v>200003233150020</v>
      </c>
      <c r="N759" s="13" t="s">
        <v>924</v>
      </c>
      <c r="O759" s="13">
        <v>1.09120260803002E+17</v>
      </c>
      <c r="P759" s="13" t="s">
        <v>2061</v>
      </c>
      <c r="Q759" s="18">
        <v>20</v>
      </c>
      <c r="R759" s="18">
        <v>1</v>
      </c>
      <c r="S759" s="13">
        <v>8828132634</v>
      </c>
      <c r="T759" s="13" t="s">
        <v>978</v>
      </c>
      <c r="U759" s="19">
        <v>32542400</v>
      </c>
      <c r="V759" s="18">
        <v>1</v>
      </c>
      <c r="W759" s="18">
        <f>_xlfn.XLOOKUP(J759,'Master Data 14-9-2026'!C:C,'Master Data 14-9-2026'!L:L)</f>
        <v>0.5</v>
      </c>
      <c r="X759" s="23">
        <v>32542400</v>
      </c>
      <c r="Y759" s="13" t="s">
        <v>2009</v>
      </c>
      <c r="Z759" s="24" t="s">
        <v>15</v>
      </c>
      <c r="AA759" s="4" t="s">
        <v>1288</v>
      </c>
      <c r="AB759" s="13" t="s">
        <v>1289</v>
      </c>
      <c r="AC759" s="13"/>
      <c r="AD759" s="13"/>
      <c r="AE759" s="13" t="str">
        <f>_xlfn.XLOOKUP(L759,'[1]ID PROJECT'!E:E,'[1]ID PROJECT'!F:F)</f>
        <v xml:space="preserve">PRJ-KUT-KPU-TPED-2026-04-00071 </v>
      </c>
      <c r="AF759" s="13"/>
      <c r="AG759" s="13"/>
      <c r="AH759" s="65"/>
      <c r="AI759" s="27"/>
    </row>
    <row r="760" spans="1:35" hidden="1">
      <c r="A760" s="13" t="s">
        <v>226</v>
      </c>
      <c r="B760" s="13" t="str">
        <f>_xlfn.XLOOKUP(J760,'Master Data 14-9-2026'!C:C,'Master Data 14-9-2026'!D:D)</f>
        <v>Suhendar wx1533628</v>
      </c>
      <c r="C760" s="13"/>
      <c r="D760" s="13" t="str">
        <f>_xlfn.XLOOKUP(J760,'Master Data 14-9-2026'!C:C,'Master Data 14-9-2026'!E:E)</f>
        <v>XLSMART</v>
      </c>
      <c r="E760" s="13"/>
      <c r="F760" s="13"/>
      <c r="G760" s="13" t="s">
        <v>18</v>
      </c>
      <c r="H760" s="13" t="str">
        <f>_xlfn.XLOOKUP(J760,'Master Data 14-9-2026'!C:C,'Master Data 14-9-2026'!H:H)</f>
        <v>2026-08-07 - 2026-09-06</v>
      </c>
      <c r="I760" s="13" t="str">
        <f t="shared" si="11"/>
        <v>August</v>
      </c>
      <c r="J760" s="13" t="s">
        <v>2081</v>
      </c>
      <c r="K760" s="13" t="s">
        <v>1004</v>
      </c>
      <c r="L760" s="40" t="s">
        <v>441</v>
      </c>
      <c r="M760" s="15">
        <v>200003233151020</v>
      </c>
      <c r="N760" s="13" t="s">
        <v>924</v>
      </c>
      <c r="O760" s="13">
        <v>1.09120260803002E+17</v>
      </c>
      <c r="P760" s="13" t="s">
        <v>2061</v>
      </c>
      <c r="Q760" s="18">
        <v>21</v>
      </c>
      <c r="R760" s="18">
        <v>1</v>
      </c>
      <c r="S760" s="13">
        <v>8828132633</v>
      </c>
      <c r="T760" s="13" t="s">
        <v>951</v>
      </c>
      <c r="U760" s="19">
        <v>28881900</v>
      </c>
      <c r="V760" s="18">
        <v>1</v>
      </c>
      <c r="W760" s="18">
        <f>_xlfn.XLOOKUP(J760,'Master Data 14-9-2026'!C:C,'Master Data 14-9-2026'!L:L)</f>
        <v>0</v>
      </c>
      <c r="X760" s="23">
        <v>28881900</v>
      </c>
      <c r="Y760" s="13" t="s">
        <v>2009</v>
      </c>
      <c r="Z760" s="24" t="s">
        <v>984</v>
      </c>
      <c r="AA760" s="4" t="s">
        <v>1288</v>
      </c>
      <c r="AB760" s="40" t="s">
        <v>44</v>
      </c>
      <c r="AC760" s="13"/>
      <c r="AD760" s="13"/>
      <c r="AE760" s="13" t="str">
        <f>_xlfn.XLOOKUP(L760,'[1]ID PROJECT'!E:E,'[1]ID PROJECT'!F:F)</f>
        <v xml:space="preserve">PRJ-KUT-KPU-TPED-2026-04-00071 </v>
      </c>
      <c r="AF760" s="13"/>
      <c r="AG760" s="13"/>
      <c r="AH760" s="65"/>
      <c r="AI760" s="27"/>
    </row>
    <row r="761" spans="1:35" hidden="1">
      <c r="A761" s="13" t="s">
        <v>218</v>
      </c>
      <c r="B761" s="13" t="str">
        <f>_xlfn.XLOOKUP(J761,'Master Data 14-9-2026'!C:C,'Master Data 14-9-2026'!D:D)</f>
        <v>Rezicha Maulana Azazi wx1533627</v>
      </c>
      <c r="C761" s="13"/>
      <c r="D761" s="13" t="str">
        <f>_xlfn.XLOOKUP(J761,'Master Data 14-9-2026'!C:C,'Master Data 14-9-2026'!E:E)</f>
        <v>XLSMART</v>
      </c>
      <c r="E761" s="13"/>
      <c r="F761" s="13"/>
      <c r="G761" s="13" t="s">
        <v>18</v>
      </c>
      <c r="H761" s="13" t="str">
        <f>_xlfn.XLOOKUP(J761,'Master Data 14-9-2026'!C:C,'Master Data 14-9-2026'!H:H)</f>
        <v>2026-08-08 - 2026-09-07</v>
      </c>
      <c r="I761" s="13" t="str">
        <f t="shared" si="11"/>
        <v>August</v>
      </c>
      <c r="J761" s="13" t="s">
        <v>2082</v>
      </c>
      <c r="K761" s="13" t="s">
        <v>1004</v>
      </c>
      <c r="L761" s="13"/>
      <c r="M761" s="15">
        <v>200003233152020</v>
      </c>
      <c r="N761" s="13" t="s">
        <v>924</v>
      </c>
      <c r="O761" s="13">
        <v>1.09120260803002E+17</v>
      </c>
      <c r="P761" s="13" t="s">
        <v>2061</v>
      </c>
      <c r="Q761" s="18">
        <v>22</v>
      </c>
      <c r="R761" s="18">
        <v>1</v>
      </c>
      <c r="S761" s="13">
        <v>8828132633</v>
      </c>
      <c r="T761" s="13" t="s">
        <v>951</v>
      </c>
      <c r="U761" s="19">
        <v>28881900</v>
      </c>
      <c r="V761" s="18">
        <v>1</v>
      </c>
      <c r="W761" s="18">
        <f>_xlfn.XLOOKUP(J761,'Master Data 14-9-2026'!C:C,'Master Data 14-9-2026'!L:L)</f>
        <v>1.5</v>
      </c>
      <c r="X761" s="23">
        <v>28881900</v>
      </c>
      <c r="Y761" s="13" t="s">
        <v>2009</v>
      </c>
      <c r="Z761" s="24" t="s">
        <v>984</v>
      </c>
      <c r="AA761" s="4" t="s">
        <v>1288</v>
      </c>
      <c r="AB761" s="13"/>
      <c r="AC761" s="13"/>
      <c r="AD761" s="13"/>
      <c r="AE761" s="13" t="e">
        <f>_xlfn.XLOOKUP(L761,'[1]ID PROJECT'!E:E,'[1]ID PROJECT'!F:F)</f>
        <v>#N/A</v>
      </c>
      <c r="AF761" s="13"/>
      <c r="AG761" s="13"/>
      <c r="AH761" s="65"/>
      <c r="AI761" s="27"/>
    </row>
    <row r="762" spans="1:35" hidden="1">
      <c r="A762" s="13" t="s">
        <v>599</v>
      </c>
      <c r="B762" s="13" t="str">
        <f>_xlfn.XLOOKUP(J762,'Master Data 14-9-2026'!C:C,'Master Data 14-9-2026'!D:D)</f>
        <v>Rokoy Redyanto wx1531575</v>
      </c>
      <c r="C762" s="13"/>
      <c r="D762" s="13" t="str">
        <f>_xlfn.XLOOKUP(J762,'Master Data 14-9-2026'!C:C,'Master Data 14-9-2026'!E:E)</f>
        <v>XLSMART</v>
      </c>
      <c r="E762" s="13"/>
      <c r="F762" s="13"/>
      <c r="G762" s="13" t="s">
        <v>18</v>
      </c>
      <c r="H762" s="13" t="str">
        <f>_xlfn.XLOOKUP(J762,'Master Data 14-9-2026'!C:C,'Master Data 14-9-2026'!H:H)</f>
        <v>2026-07-30 - 2026-08-29</v>
      </c>
      <c r="I762" s="13" t="str">
        <f t="shared" si="11"/>
        <v>July</v>
      </c>
      <c r="J762" s="13" t="s">
        <v>2083</v>
      </c>
      <c r="K762" s="13" t="s">
        <v>1004</v>
      </c>
      <c r="L762" s="13" t="s">
        <v>441</v>
      </c>
      <c r="M762" s="15">
        <v>200003233153020</v>
      </c>
      <c r="N762" s="13" t="s">
        <v>924</v>
      </c>
      <c r="O762" s="13">
        <v>1.09120260803002E+17</v>
      </c>
      <c r="P762" s="13" t="s">
        <v>2061</v>
      </c>
      <c r="Q762" s="18">
        <v>23</v>
      </c>
      <c r="R762" s="18">
        <v>1</v>
      </c>
      <c r="S762" s="13">
        <v>8828132634</v>
      </c>
      <c r="T762" s="13" t="s">
        <v>978</v>
      </c>
      <c r="U762" s="19">
        <v>32542400</v>
      </c>
      <c r="V762" s="18">
        <v>1</v>
      </c>
      <c r="W762" s="18">
        <f>_xlfn.XLOOKUP(J762,'Master Data 14-9-2026'!C:C,'Master Data 14-9-2026'!L:L)</f>
        <v>0.5</v>
      </c>
      <c r="X762" s="23">
        <v>32542400</v>
      </c>
      <c r="Y762" s="13" t="s">
        <v>2009</v>
      </c>
      <c r="Z762" s="24" t="s">
        <v>33</v>
      </c>
      <c r="AA762" s="4" t="s">
        <v>1288</v>
      </c>
      <c r="AB762" s="13"/>
      <c r="AC762" s="13"/>
      <c r="AD762" s="13"/>
      <c r="AE762" s="13" t="str">
        <f>_xlfn.XLOOKUP(L762,'[1]ID PROJECT'!E:E,'[1]ID PROJECT'!F:F)</f>
        <v xml:space="preserve">PRJ-KUT-KPU-TPED-2026-04-00071 </v>
      </c>
      <c r="AF762" s="13"/>
      <c r="AG762" s="13"/>
      <c r="AH762" s="65"/>
      <c r="AI762" s="27"/>
    </row>
    <row r="763" spans="1:35" hidden="1">
      <c r="A763" s="13" t="s">
        <v>595</v>
      </c>
      <c r="B763" s="13" t="str">
        <f>_xlfn.XLOOKUP(J763,'Master Data 14-9-2026'!C:C,'Master Data 14-9-2026'!D:D)</f>
        <v>Rizky Kurniawan wx1531020</v>
      </c>
      <c r="C763" s="13"/>
      <c r="D763" s="13" t="str">
        <f>_xlfn.XLOOKUP(J763,'Master Data 14-9-2026'!C:C,'Master Data 14-9-2026'!E:E)</f>
        <v>XLSMART</v>
      </c>
      <c r="E763" s="13"/>
      <c r="F763" s="13"/>
      <c r="G763" s="13" t="s">
        <v>18</v>
      </c>
      <c r="H763" s="13" t="str">
        <f>_xlfn.XLOOKUP(J763,'Master Data 14-9-2026'!C:C,'Master Data 14-9-2026'!H:H)</f>
        <v>2026-08-01 - 2026-08-31</v>
      </c>
      <c r="I763" s="13" t="str">
        <f t="shared" si="11"/>
        <v>August</v>
      </c>
      <c r="J763" s="13" t="s">
        <v>2084</v>
      </c>
      <c r="K763" s="13" t="s">
        <v>1004</v>
      </c>
      <c r="L763" s="13" t="s">
        <v>441</v>
      </c>
      <c r="M763" s="15">
        <v>200003233154020</v>
      </c>
      <c r="N763" s="13" t="s">
        <v>924</v>
      </c>
      <c r="O763" s="13">
        <v>1.09120260803002E+17</v>
      </c>
      <c r="P763" s="13" t="s">
        <v>2061</v>
      </c>
      <c r="Q763" s="18">
        <v>24</v>
      </c>
      <c r="R763" s="18">
        <v>1</v>
      </c>
      <c r="S763" s="13">
        <v>8828132634</v>
      </c>
      <c r="T763" s="13" t="s">
        <v>978</v>
      </c>
      <c r="U763" s="19">
        <v>32542400</v>
      </c>
      <c r="V763" s="18">
        <v>1</v>
      </c>
      <c r="W763" s="18">
        <f>_xlfn.XLOOKUP(J763,'Master Data 14-9-2026'!C:C,'Master Data 14-9-2026'!L:L)</f>
        <v>0.5</v>
      </c>
      <c r="X763" s="23">
        <v>32542400</v>
      </c>
      <c r="Y763" s="13" t="s">
        <v>2009</v>
      </c>
      <c r="Z763" s="24" t="s">
        <v>33</v>
      </c>
      <c r="AA763" s="4" t="s">
        <v>1288</v>
      </c>
      <c r="AB763" s="13"/>
      <c r="AC763" s="13"/>
      <c r="AD763" s="13"/>
      <c r="AE763" s="13" t="str">
        <f>_xlfn.XLOOKUP(L763,'[1]ID PROJECT'!E:E,'[1]ID PROJECT'!F:F)</f>
        <v xml:space="preserve">PRJ-KUT-KPU-TPED-2026-04-00071 </v>
      </c>
      <c r="AF763" s="13"/>
      <c r="AG763" s="13"/>
      <c r="AH763" s="65"/>
      <c r="AI763" s="27"/>
    </row>
    <row r="764" spans="1:35" hidden="1">
      <c r="A764" s="13" t="s">
        <v>501</v>
      </c>
      <c r="B764" s="13" t="str">
        <f>_xlfn.XLOOKUP(J764,'Master Data 14-9-2026'!C:C,'Master Data 14-9-2026'!D:D)</f>
        <v>Benny Prio Utomo wx1513406</v>
      </c>
      <c r="C764" s="13"/>
      <c r="D764" s="13" t="str">
        <f>_xlfn.XLOOKUP(J764,'Master Data 14-9-2026'!C:C,'Master Data 14-9-2026'!E:E)</f>
        <v>XLSMART</v>
      </c>
      <c r="E764" s="13"/>
      <c r="F764" s="13"/>
      <c r="G764" s="13" t="s">
        <v>28</v>
      </c>
      <c r="H764" s="13" t="str">
        <f>_xlfn.XLOOKUP(J764,'Master Data 14-9-2026'!C:C,'Master Data 14-9-2026'!H:H)</f>
        <v>2026-08-21 - 2026-09-20</v>
      </c>
      <c r="I764" s="13" t="str">
        <f t="shared" si="11"/>
        <v>August</v>
      </c>
      <c r="J764" s="13" t="s">
        <v>2085</v>
      </c>
      <c r="K764" s="13" t="s">
        <v>1004</v>
      </c>
      <c r="L764" s="13" t="s">
        <v>441</v>
      </c>
      <c r="M764" s="15">
        <v>200003135965020</v>
      </c>
      <c r="N764" s="13" t="s">
        <v>924</v>
      </c>
      <c r="O764" s="13">
        <v>1.09120260803002E+17</v>
      </c>
      <c r="P764" s="13" t="s">
        <v>2061</v>
      </c>
      <c r="Q764" s="18">
        <v>25</v>
      </c>
      <c r="R764" s="18">
        <v>1</v>
      </c>
      <c r="S764" s="13">
        <v>8828132636</v>
      </c>
      <c r="T764" s="13" t="s">
        <v>933</v>
      </c>
      <c r="U764" s="19">
        <v>36992000</v>
      </c>
      <c r="V764" s="18">
        <v>1</v>
      </c>
      <c r="W764" s="18">
        <f>_xlfn.XLOOKUP(J764,'Master Data 14-9-2026'!C:C,'Master Data 14-9-2026'!L:L)</f>
        <v>1.25</v>
      </c>
      <c r="X764" s="23">
        <v>36992000</v>
      </c>
      <c r="Y764" s="13" t="s">
        <v>2009</v>
      </c>
      <c r="Z764" s="24" t="s">
        <v>225</v>
      </c>
      <c r="AA764" s="4" t="s">
        <v>1288</v>
      </c>
      <c r="AB764" s="13"/>
      <c r="AC764" s="13"/>
      <c r="AD764" s="13"/>
      <c r="AE764" s="13" t="str">
        <f>_xlfn.XLOOKUP(L764,'[1]ID PROJECT'!E:E,'[1]ID PROJECT'!F:F)</f>
        <v xml:space="preserve">PRJ-KUT-KPU-TPED-2026-04-00071 </v>
      </c>
      <c r="AF764" s="13"/>
      <c r="AG764" s="13"/>
      <c r="AH764" s="65"/>
      <c r="AI764" s="27"/>
    </row>
    <row r="765" spans="1:35" hidden="1">
      <c r="A765" s="13" t="s">
        <v>617</v>
      </c>
      <c r="B765" s="13" t="str">
        <f>_xlfn.XLOOKUP(J765,'Master Data 14-9-2026'!C:C,'Master Data 14-9-2026'!D:D)</f>
        <v>Eko Syambudi Deviyanto wx1507285</v>
      </c>
      <c r="C765" s="13"/>
      <c r="D765" s="13" t="str">
        <f>_xlfn.XLOOKUP(J765,'Master Data 14-9-2026'!C:C,'Master Data 14-9-2026'!E:E)</f>
        <v>XL-FTTH</v>
      </c>
      <c r="E765" s="13"/>
      <c r="F765" s="13"/>
      <c r="G765" s="13" t="s">
        <v>28</v>
      </c>
      <c r="H765" s="13" t="str">
        <f>_xlfn.XLOOKUP(J765,'Master Data 14-9-2026'!C:C,'Master Data 14-9-2026'!H:H)</f>
        <v>2026-08-01 - 2026-08-31</v>
      </c>
      <c r="I765" s="13" t="str">
        <f t="shared" si="11"/>
        <v>August</v>
      </c>
      <c r="J765" s="13" t="s">
        <v>2086</v>
      </c>
      <c r="K765" s="13" t="s">
        <v>1004</v>
      </c>
      <c r="L765" s="13" t="s">
        <v>441</v>
      </c>
      <c r="M765" s="15">
        <v>200003135970020</v>
      </c>
      <c r="N765" s="13" t="s">
        <v>924</v>
      </c>
      <c r="O765" s="13">
        <v>1.09120260803002E+17</v>
      </c>
      <c r="P765" s="13" t="s">
        <v>2061</v>
      </c>
      <c r="Q765" s="18">
        <v>26</v>
      </c>
      <c r="R765" s="18">
        <v>1</v>
      </c>
      <c r="S765" s="13">
        <v>8828132634</v>
      </c>
      <c r="T765" s="13" t="s">
        <v>978</v>
      </c>
      <c r="U765" s="19">
        <v>32542400</v>
      </c>
      <c r="V765" s="18">
        <v>1</v>
      </c>
      <c r="W765" s="18">
        <f>_xlfn.XLOOKUP(J765,'Master Data 14-9-2026'!C:C,'Master Data 14-9-2026'!L:L)</f>
        <v>0</v>
      </c>
      <c r="X765" s="23">
        <v>32542400</v>
      </c>
      <c r="Y765" s="13" t="s">
        <v>2009</v>
      </c>
      <c r="Z765" s="24" t="s">
        <v>33</v>
      </c>
      <c r="AA765" s="4" t="s">
        <v>1288</v>
      </c>
      <c r="AB765" s="40" t="s">
        <v>44</v>
      </c>
      <c r="AC765" s="13"/>
      <c r="AD765" s="13"/>
      <c r="AE765" s="13" t="str">
        <f>_xlfn.XLOOKUP(L765,'[1]ID PROJECT'!E:E,'[1]ID PROJECT'!F:F)</f>
        <v xml:space="preserve">PRJ-KUT-KPU-TPED-2026-04-00071 </v>
      </c>
      <c r="AF765" s="13"/>
      <c r="AG765" s="13"/>
      <c r="AH765" s="65"/>
      <c r="AI765" s="27"/>
    </row>
    <row r="766" spans="1:35" hidden="1">
      <c r="A766" s="13" t="s">
        <v>286</v>
      </c>
      <c r="B766" s="13" t="str">
        <f>_xlfn.XLOOKUP(J766,'Master Data 14-9-2026'!C:C,'Master Data 14-9-2026'!D:D)</f>
        <v>Rifan Azkia wx1504665</v>
      </c>
      <c r="C766" s="13"/>
      <c r="D766" s="13" t="str">
        <f>_xlfn.XLOOKUP(J766,'Master Data 14-9-2026'!C:C,'Master Data 14-9-2026'!E:E)</f>
        <v>XLSMART</v>
      </c>
      <c r="E766" s="13"/>
      <c r="F766" s="13"/>
      <c r="G766" s="13" t="s">
        <v>31</v>
      </c>
      <c r="H766" s="13" t="str">
        <f>_xlfn.XLOOKUP(J766,'Master Data 14-9-2026'!C:C,'Master Data 14-9-2026'!H:H)</f>
        <v>2026-08-23 - 2026-09-22</v>
      </c>
      <c r="I766" s="13" t="str">
        <f t="shared" si="11"/>
        <v>August</v>
      </c>
      <c r="J766" s="13" t="s">
        <v>2087</v>
      </c>
      <c r="K766" s="13" t="s">
        <v>1004</v>
      </c>
      <c r="L766" s="13"/>
      <c r="M766" s="15">
        <v>200003135971020</v>
      </c>
      <c r="N766" s="13" t="s">
        <v>924</v>
      </c>
      <c r="O766" s="13">
        <v>1.09120260803002E+17</v>
      </c>
      <c r="P766" s="13" t="s">
        <v>2061</v>
      </c>
      <c r="Q766" s="18">
        <v>27</v>
      </c>
      <c r="R766" s="18">
        <v>1</v>
      </c>
      <c r="S766" s="13">
        <v>8828132633</v>
      </c>
      <c r="T766" s="13" t="s">
        <v>951</v>
      </c>
      <c r="U766" s="19">
        <v>28881900</v>
      </c>
      <c r="V766" s="18">
        <v>1</v>
      </c>
      <c r="W766" s="18">
        <f>_xlfn.XLOOKUP(J766,'Master Data 14-9-2026'!C:C,'Master Data 14-9-2026'!L:L)</f>
        <v>0.5</v>
      </c>
      <c r="X766" s="23">
        <v>28881900</v>
      </c>
      <c r="Y766" s="13" t="s">
        <v>2009</v>
      </c>
      <c r="Z766" s="24" t="s">
        <v>984</v>
      </c>
      <c r="AA766" s="4" t="s">
        <v>1288</v>
      </c>
      <c r="AB766" s="13"/>
      <c r="AC766" s="13"/>
      <c r="AD766" s="13"/>
      <c r="AE766" s="13" t="e">
        <f>_xlfn.XLOOKUP(L766,'[1]ID PROJECT'!E:E,'[1]ID PROJECT'!F:F)</f>
        <v>#N/A</v>
      </c>
      <c r="AF766" s="13"/>
      <c r="AG766" s="13"/>
      <c r="AH766" s="65"/>
      <c r="AI766" s="27"/>
    </row>
    <row r="767" spans="1:35" hidden="1">
      <c r="A767" s="13" t="s">
        <v>388</v>
      </c>
      <c r="B767" s="13" t="str">
        <f>_xlfn.XLOOKUP(J767,'Master Data 14-9-2026'!C:C,'Master Data 14-9-2026'!D:D)</f>
        <v>Devi Dyah Palupi wx1503645</v>
      </c>
      <c r="C767" s="13"/>
      <c r="D767" s="13" t="str">
        <f>_xlfn.XLOOKUP(J767,'Master Data 14-9-2026'!C:C,'Master Data 14-9-2026'!E:E)</f>
        <v>IOH</v>
      </c>
      <c r="E767" s="13"/>
      <c r="F767" s="13"/>
      <c r="G767" s="13" t="s">
        <v>31</v>
      </c>
      <c r="H767" s="13" t="str">
        <f>_xlfn.XLOOKUP(J767,'Master Data 14-9-2026'!C:C,'Master Data 14-9-2026'!H:H)</f>
        <v>2026-08-23 - 2026-09-22</v>
      </c>
      <c r="I767" s="13" t="str">
        <f t="shared" si="11"/>
        <v>August</v>
      </c>
      <c r="J767" s="13" t="s">
        <v>2088</v>
      </c>
      <c r="K767" s="13" t="s">
        <v>1004</v>
      </c>
      <c r="L767" s="13"/>
      <c r="M767" s="15">
        <v>200003135972020</v>
      </c>
      <c r="N767" s="13" t="s">
        <v>924</v>
      </c>
      <c r="O767" s="13">
        <v>1.09120260803002E+17</v>
      </c>
      <c r="P767" s="13" t="s">
        <v>2061</v>
      </c>
      <c r="Q767" s="18">
        <v>28</v>
      </c>
      <c r="R767" s="18">
        <v>1</v>
      </c>
      <c r="S767" s="13">
        <v>8828132633</v>
      </c>
      <c r="T767" s="13" t="s">
        <v>951</v>
      </c>
      <c r="U767" s="19">
        <v>28881900</v>
      </c>
      <c r="V767" s="18">
        <v>1</v>
      </c>
      <c r="W767" s="18">
        <f>_xlfn.XLOOKUP(J767,'Master Data 14-9-2026'!C:C,'Master Data 14-9-2026'!L:L)</f>
        <v>0</v>
      </c>
      <c r="X767" s="23">
        <v>28881900</v>
      </c>
      <c r="Y767" s="13" t="s">
        <v>2009</v>
      </c>
      <c r="Z767" s="24" t="s">
        <v>984</v>
      </c>
      <c r="AA767" s="4" t="s">
        <v>1288</v>
      </c>
      <c r="AB767" s="40" t="s">
        <v>44</v>
      </c>
      <c r="AC767" s="13"/>
      <c r="AD767" s="13"/>
      <c r="AE767" s="13" t="e">
        <f>_xlfn.XLOOKUP(L767,'[1]ID PROJECT'!E:E,'[1]ID PROJECT'!F:F)</f>
        <v>#N/A</v>
      </c>
      <c r="AF767" s="13"/>
      <c r="AG767" s="13"/>
      <c r="AH767" s="65"/>
      <c r="AI767" s="27"/>
    </row>
    <row r="768" spans="1:35" hidden="1">
      <c r="A768" s="13" t="s">
        <v>330</v>
      </c>
      <c r="B768" s="13" t="str">
        <f>_xlfn.XLOOKUP(J768,'Master Data 14-9-2026'!C:C,'Master Data 14-9-2026'!D:D)</f>
        <v>Mauli Rizki Amelia wx1504666</v>
      </c>
      <c r="C768" s="13"/>
      <c r="D768" s="13" t="str">
        <f>_xlfn.XLOOKUP(J768,'Master Data 14-9-2026'!C:C,'Master Data 14-9-2026'!E:E)</f>
        <v>XLSMART</v>
      </c>
      <c r="E768" s="13"/>
      <c r="F768" s="13"/>
      <c r="G768" s="13" t="s">
        <v>31</v>
      </c>
      <c r="H768" s="13" t="str">
        <f>_xlfn.XLOOKUP(J768,'Master Data 14-9-2026'!C:C,'Master Data 14-9-2026'!H:H)</f>
        <v>2026-08-26 - 2026-09-25</v>
      </c>
      <c r="I768" s="13" t="str">
        <f t="shared" si="11"/>
        <v>August</v>
      </c>
      <c r="J768" s="13" t="s">
        <v>2089</v>
      </c>
      <c r="K768" s="13" t="s">
        <v>1004</v>
      </c>
      <c r="L768" s="13"/>
      <c r="M768" s="15">
        <v>200003135973020</v>
      </c>
      <c r="N768" s="13" t="s">
        <v>924</v>
      </c>
      <c r="O768" s="13">
        <v>1.09120260803002E+17</v>
      </c>
      <c r="P768" s="13" t="s">
        <v>2061</v>
      </c>
      <c r="Q768" s="18">
        <v>29</v>
      </c>
      <c r="R768" s="18">
        <v>1</v>
      </c>
      <c r="S768" s="13">
        <v>8828132633</v>
      </c>
      <c r="T768" s="13" t="s">
        <v>951</v>
      </c>
      <c r="U768" s="19">
        <v>28881900</v>
      </c>
      <c r="V768" s="18">
        <v>1</v>
      </c>
      <c r="W768" s="18">
        <f>_xlfn.XLOOKUP(J768,'Master Data 14-9-2026'!C:C,'Master Data 14-9-2026'!L:L)</f>
        <v>0</v>
      </c>
      <c r="X768" s="23">
        <v>28881900</v>
      </c>
      <c r="Y768" s="13" t="s">
        <v>2009</v>
      </c>
      <c r="Z768" s="24" t="s">
        <v>984</v>
      </c>
      <c r="AA768" s="4" t="s">
        <v>1288</v>
      </c>
      <c r="AB768" s="40" t="s">
        <v>44</v>
      </c>
      <c r="AC768" s="13"/>
      <c r="AD768" s="13"/>
      <c r="AE768" s="13" t="e">
        <f>_xlfn.XLOOKUP(L768,'[1]ID PROJECT'!E:E,'[1]ID PROJECT'!F:F)</f>
        <v>#N/A</v>
      </c>
      <c r="AF768" s="13"/>
      <c r="AG768" s="13"/>
      <c r="AH768" s="65"/>
      <c r="AI768" s="27"/>
    </row>
    <row r="769" spans="1:35" hidden="1">
      <c r="A769" s="13" t="s">
        <v>98</v>
      </c>
      <c r="B769" s="13" t="str">
        <f>_xlfn.XLOOKUP(J769,'Master Data 14-9-2026'!C:C,'Master Data 14-9-2026'!D:D)</f>
        <v>Nurmawaty wx1504714</v>
      </c>
      <c r="C769" s="13"/>
      <c r="D769" s="13" t="str">
        <f>_xlfn.XLOOKUP(J769,'Master Data 14-9-2026'!C:C,'Master Data 14-9-2026'!E:E)</f>
        <v>XLSMART</v>
      </c>
      <c r="E769" s="13"/>
      <c r="F769" s="13"/>
      <c r="G769" s="13" t="s">
        <v>31</v>
      </c>
      <c r="H769" s="13" t="str">
        <f>_xlfn.XLOOKUP(J769,'Master Data 14-9-2026'!C:C,'Master Data 14-9-2026'!H:H)</f>
        <v>2026-08-28 - 2026-09-27</v>
      </c>
      <c r="I769" s="13" t="str">
        <f t="shared" si="11"/>
        <v>August</v>
      </c>
      <c r="J769" s="13" t="s">
        <v>2090</v>
      </c>
      <c r="K769" s="13" t="s">
        <v>1004</v>
      </c>
      <c r="L769" s="13"/>
      <c r="M769" s="15">
        <v>200003135974020</v>
      </c>
      <c r="N769" s="13" t="s">
        <v>924</v>
      </c>
      <c r="O769" s="13">
        <v>1.09120260803002E+17</v>
      </c>
      <c r="P769" s="13" t="s">
        <v>2061</v>
      </c>
      <c r="Q769" s="18">
        <v>30</v>
      </c>
      <c r="R769" s="18">
        <v>1</v>
      </c>
      <c r="S769" s="13">
        <v>8828132633</v>
      </c>
      <c r="T769" s="13" t="s">
        <v>951</v>
      </c>
      <c r="U769" s="19">
        <v>28881900</v>
      </c>
      <c r="V769" s="18">
        <v>1</v>
      </c>
      <c r="W769" s="18">
        <f>_xlfn.XLOOKUP(J769,'Master Data 14-9-2026'!C:C,'Master Data 14-9-2026'!L:L)</f>
        <v>0</v>
      </c>
      <c r="X769" s="23">
        <v>28881900</v>
      </c>
      <c r="Y769" s="13" t="s">
        <v>2009</v>
      </c>
      <c r="Z769" s="24" t="s">
        <v>984</v>
      </c>
      <c r="AA769" s="4" t="s">
        <v>1288</v>
      </c>
      <c r="AB769" s="40" t="s">
        <v>44</v>
      </c>
      <c r="AC769" s="13"/>
      <c r="AD769" s="13"/>
      <c r="AE769" s="13" t="e">
        <f>_xlfn.XLOOKUP(L769,'[1]ID PROJECT'!E:E,'[1]ID PROJECT'!F:F)</f>
        <v>#N/A</v>
      </c>
      <c r="AF769" s="13"/>
      <c r="AG769" s="13"/>
      <c r="AH769" s="65"/>
      <c r="AI769" s="27"/>
    </row>
    <row r="770" spans="1:35" hidden="1">
      <c r="A770" s="13" t="s">
        <v>419</v>
      </c>
      <c r="B770" s="13" t="str">
        <f>_xlfn.XLOOKUP(J770,'Master Data 14-9-2026'!C:C,'Master Data 14-9-2026'!D:D)</f>
        <v>Didit Irawan wx1504645</v>
      </c>
      <c r="C770" s="13"/>
      <c r="D770" s="13" t="str">
        <f>_xlfn.XLOOKUP(J770,'Master Data 14-9-2026'!C:C,'Master Data 14-9-2026'!E:E)</f>
        <v>XLSMART</v>
      </c>
      <c r="E770" s="13"/>
      <c r="F770" s="13"/>
      <c r="G770" s="13" t="s">
        <v>31</v>
      </c>
      <c r="H770" s="13" t="str">
        <f>_xlfn.XLOOKUP(J770,'Master Data 14-9-2026'!C:C,'Master Data 14-9-2026'!H:H)</f>
        <v>2026-08-30 - 2026-09-29</v>
      </c>
      <c r="I770" s="13" t="str">
        <f t="shared" si="11"/>
        <v>August</v>
      </c>
      <c r="J770" s="13" t="s">
        <v>2091</v>
      </c>
      <c r="K770" s="13" t="s">
        <v>1004</v>
      </c>
      <c r="L770" s="13"/>
      <c r="M770" s="15">
        <v>200003135975020</v>
      </c>
      <c r="N770" s="13" t="s">
        <v>924</v>
      </c>
      <c r="O770" s="13">
        <v>1.09120260803002E+17</v>
      </c>
      <c r="P770" s="13" t="s">
        <v>2061</v>
      </c>
      <c r="Q770" s="18">
        <v>31</v>
      </c>
      <c r="R770" s="18">
        <v>1</v>
      </c>
      <c r="S770" s="13">
        <v>8828132633</v>
      </c>
      <c r="T770" s="13" t="s">
        <v>951</v>
      </c>
      <c r="U770" s="19">
        <v>28881900</v>
      </c>
      <c r="V770" s="18">
        <v>1</v>
      </c>
      <c r="W770" s="18">
        <f>_xlfn.XLOOKUP(J770,'Master Data 14-9-2026'!C:C,'Master Data 14-9-2026'!L:L)</f>
        <v>0</v>
      </c>
      <c r="X770" s="23">
        <v>28881900</v>
      </c>
      <c r="Y770" s="13" t="s">
        <v>2009</v>
      </c>
      <c r="Z770" s="24" t="s">
        <v>984</v>
      </c>
      <c r="AA770" s="4" t="s">
        <v>1288</v>
      </c>
      <c r="AB770" s="40" t="s">
        <v>44</v>
      </c>
      <c r="AC770" s="13"/>
      <c r="AD770" s="13"/>
      <c r="AE770" s="13" t="e">
        <f>_xlfn.XLOOKUP(L770,'[1]ID PROJECT'!E:E,'[1]ID PROJECT'!F:F)</f>
        <v>#N/A</v>
      </c>
      <c r="AF770" s="13"/>
      <c r="AG770" s="13"/>
      <c r="AH770" s="65"/>
      <c r="AI770" s="27"/>
    </row>
    <row r="771" spans="1:35" hidden="1">
      <c r="A771" s="13" t="s">
        <v>390</v>
      </c>
      <c r="B771" s="13" t="str">
        <f>_xlfn.XLOOKUP(J771,'Master Data 14-9-2026'!C:C,'Master Data 14-9-2026'!D:D)</f>
        <v>Ajeng Meylani wx1521189</v>
      </c>
      <c r="C771" s="13"/>
      <c r="D771" s="13" t="str">
        <f>_xlfn.XLOOKUP(J771,'Master Data 14-9-2026'!C:C,'Master Data 14-9-2026'!E:E)</f>
        <v>XLSMART</v>
      </c>
      <c r="E771" s="13"/>
      <c r="F771" s="13"/>
      <c r="G771" s="13" t="s">
        <v>25</v>
      </c>
      <c r="H771" s="13" t="str">
        <f>_xlfn.XLOOKUP(J771,'Master Data 14-9-2026'!C:C,'Master Data 14-9-2026'!H:H)</f>
        <v>2026-08-20 - 2026-09-19</v>
      </c>
      <c r="I771" s="13" t="str">
        <f t="shared" ref="I771:I834" si="12">TEXT(DATEVALUE(LEFT(H771,10)),"mmmm")</f>
        <v>August</v>
      </c>
      <c r="J771" s="13" t="s">
        <v>2092</v>
      </c>
      <c r="K771" s="13" t="s">
        <v>1004</v>
      </c>
      <c r="L771" s="13"/>
      <c r="M771" s="15">
        <v>200003135911020</v>
      </c>
      <c r="N771" s="13" t="s">
        <v>924</v>
      </c>
      <c r="O771" s="13">
        <v>1.09120260803002E+17</v>
      </c>
      <c r="P771" s="13" t="s">
        <v>2061</v>
      </c>
      <c r="Q771" s="18">
        <v>32</v>
      </c>
      <c r="R771" s="18">
        <v>1</v>
      </c>
      <c r="S771" s="13">
        <v>8828132633</v>
      </c>
      <c r="T771" s="13" t="s">
        <v>951</v>
      </c>
      <c r="U771" s="19">
        <v>28881900</v>
      </c>
      <c r="V771" s="18">
        <v>1</v>
      </c>
      <c r="W771" s="18">
        <f>_xlfn.XLOOKUP(J771,'Master Data 14-9-2026'!C:C,'Master Data 14-9-2026'!L:L)</f>
        <v>1.01</v>
      </c>
      <c r="X771" s="23">
        <v>28881900</v>
      </c>
      <c r="Y771" s="13" t="s">
        <v>2009</v>
      </c>
      <c r="Z771" s="24" t="s">
        <v>984</v>
      </c>
      <c r="AA771" s="4" t="s">
        <v>1288</v>
      </c>
      <c r="AB771" s="13"/>
      <c r="AC771" s="13"/>
      <c r="AD771" s="13"/>
      <c r="AE771" s="13" t="e">
        <f>_xlfn.XLOOKUP(L771,'[1]ID PROJECT'!E:E,'[1]ID PROJECT'!F:F)</f>
        <v>#N/A</v>
      </c>
      <c r="AF771" s="13"/>
      <c r="AG771" s="13"/>
      <c r="AH771" s="65"/>
      <c r="AI771" s="27"/>
    </row>
    <row r="772" spans="1:35" hidden="1">
      <c r="A772" s="13" t="s">
        <v>823</v>
      </c>
      <c r="B772" s="13" t="str">
        <f>_xlfn.XLOOKUP(J772,'Master Data 14-9-2026'!C:C,'Master Data 14-9-2026'!D:D)</f>
        <v>Zulfan Arrofi wx1517184</v>
      </c>
      <c r="C772" s="13"/>
      <c r="D772" s="13" t="str">
        <f>_xlfn.XLOOKUP(J772,'Master Data 14-9-2026'!C:C,'Master Data 14-9-2026'!E:E)</f>
        <v>XLSMART</v>
      </c>
      <c r="E772" s="13"/>
      <c r="F772" s="13"/>
      <c r="G772" s="13" t="s">
        <v>25</v>
      </c>
      <c r="H772" s="13" t="str">
        <f>_xlfn.XLOOKUP(J772,'Master Data 14-9-2026'!C:C,'Master Data 14-9-2026'!H:H)</f>
        <v>2026-08-05 - 2026-09-04</v>
      </c>
      <c r="I772" s="13" t="str">
        <f t="shared" si="12"/>
        <v>August</v>
      </c>
      <c r="J772" s="13" t="s">
        <v>2093</v>
      </c>
      <c r="K772" s="13" t="s">
        <v>1004</v>
      </c>
      <c r="L772" s="13" t="s">
        <v>441</v>
      </c>
      <c r="M772" s="15">
        <v>200003135920020</v>
      </c>
      <c r="N772" s="13" t="s">
        <v>924</v>
      </c>
      <c r="O772" s="13">
        <v>1.09120260803002E+17</v>
      </c>
      <c r="P772" s="13" t="s">
        <v>2061</v>
      </c>
      <c r="Q772" s="18">
        <v>33</v>
      </c>
      <c r="R772" s="18">
        <v>1</v>
      </c>
      <c r="S772" s="13">
        <v>8828132635</v>
      </c>
      <c r="T772" s="13" t="s">
        <v>926</v>
      </c>
      <c r="U772" s="19">
        <v>34220600</v>
      </c>
      <c r="V772" s="18">
        <v>1</v>
      </c>
      <c r="W772" s="18">
        <f>_xlfn.XLOOKUP(J772,'Master Data 14-9-2026'!C:C,'Master Data 14-9-2026'!L:L)</f>
        <v>0</v>
      </c>
      <c r="X772" s="23">
        <v>34220600</v>
      </c>
      <c r="Y772" s="13" t="s">
        <v>2009</v>
      </c>
      <c r="Z772" s="24" t="s">
        <v>33</v>
      </c>
      <c r="AA772" s="4" t="s">
        <v>1288</v>
      </c>
      <c r="AB772" s="40" t="s">
        <v>44</v>
      </c>
      <c r="AC772" s="13"/>
      <c r="AD772" s="13"/>
      <c r="AE772" s="13" t="str">
        <f>_xlfn.XLOOKUP(L772,'[1]ID PROJECT'!E:E,'[1]ID PROJECT'!F:F)</f>
        <v xml:space="preserve">PRJ-KUT-KPU-TPED-2026-04-00071 </v>
      </c>
      <c r="AF772" s="13"/>
      <c r="AG772" s="13"/>
      <c r="AH772" s="65"/>
      <c r="AI772" s="27"/>
    </row>
    <row r="773" spans="1:35" hidden="1">
      <c r="A773" s="13" t="s">
        <v>185</v>
      </c>
      <c r="B773" s="13" t="str">
        <f>_xlfn.XLOOKUP(J773,'Master Data 14-9-2026'!C:C,'Master Data 14-9-2026'!D:D)</f>
        <v>Ika Setianingsih wx1507364</v>
      </c>
      <c r="C773" s="13"/>
      <c r="D773" s="13" t="str">
        <f>_xlfn.XLOOKUP(J773,'Master Data 14-9-2026'!C:C,'Master Data 14-9-2026'!E:E)</f>
        <v>XLSMART</v>
      </c>
      <c r="E773" s="13"/>
      <c r="F773" s="13"/>
      <c r="G773" s="13" t="s">
        <v>28</v>
      </c>
      <c r="H773" s="13" t="str">
        <f>_xlfn.XLOOKUP(J773,'Master Data 14-9-2026'!C:C,'Master Data 14-9-2026'!H:H)</f>
        <v>2026-08-01 - 2026-08-31</v>
      </c>
      <c r="I773" s="13" t="str">
        <f t="shared" si="12"/>
        <v>August</v>
      </c>
      <c r="J773" s="13" t="s">
        <v>2094</v>
      </c>
      <c r="K773" s="13" t="s">
        <v>1004</v>
      </c>
      <c r="L773" s="13" t="s">
        <v>441</v>
      </c>
      <c r="M773" s="15">
        <v>200003135941020</v>
      </c>
      <c r="N773" s="13" t="s">
        <v>924</v>
      </c>
      <c r="O773" s="13">
        <v>1.09120260803002E+17</v>
      </c>
      <c r="P773" s="13" t="s">
        <v>2061</v>
      </c>
      <c r="Q773" s="18">
        <v>34</v>
      </c>
      <c r="R773" s="18">
        <v>1</v>
      </c>
      <c r="S773" s="13">
        <v>8828132633</v>
      </c>
      <c r="T773" s="13" t="s">
        <v>951</v>
      </c>
      <c r="U773" s="19">
        <v>28881900</v>
      </c>
      <c r="V773" s="18">
        <v>1</v>
      </c>
      <c r="W773" s="18">
        <f>_xlfn.XLOOKUP(J773,'Master Data 14-9-2026'!C:C,'Master Data 14-9-2026'!L:L)</f>
        <v>1.5</v>
      </c>
      <c r="X773" s="23">
        <v>28881900</v>
      </c>
      <c r="Y773" s="13" t="s">
        <v>2009</v>
      </c>
      <c r="Z773" s="24" t="s">
        <v>984</v>
      </c>
      <c r="AA773" s="4" t="s">
        <v>1288</v>
      </c>
      <c r="AB773" s="13"/>
      <c r="AC773" s="13"/>
      <c r="AD773" s="13"/>
      <c r="AE773" s="13" t="str">
        <f>_xlfn.XLOOKUP(L773,'[1]ID PROJECT'!E:E,'[1]ID PROJECT'!F:F)</f>
        <v xml:space="preserve">PRJ-KUT-KPU-TPED-2026-04-00071 </v>
      </c>
      <c r="AF773" s="13"/>
      <c r="AG773" s="13"/>
      <c r="AH773" s="65"/>
      <c r="AI773" s="27"/>
    </row>
    <row r="774" spans="1:35" hidden="1">
      <c r="A774" s="13" t="s">
        <v>856</v>
      </c>
      <c r="B774" s="13" t="str">
        <f>_xlfn.XLOOKUP(J774,'Master Data 14-9-2026'!C:C,'Master Data 14-9-2026'!D:D)</f>
        <v>Rizqy Ramadhan Pramono wx1503632</v>
      </c>
      <c r="C774" s="13"/>
      <c r="D774" s="13" t="str">
        <f>_xlfn.XLOOKUP(J774,'Master Data 14-9-2026'!C:C,'Master Data 14-9-2026'!E:E)</f>
        <v>XLSMART</v>
      </c>
      <c r="E774" s="13"/>
      <c r="F774" s="13"/>
      <c r="G774" s="13" t="s">
        <v>31</v>
      </c>
      <c r="H774" s="13" t="str">
        <f>_xlfn.XLOOKUP(J774,'Master Data 14-9-2026'!C:C,'Master Data 14-9-2026'!H:H)</f>
        <v>2026-08-23 - 2026-09-22</v>
      </c>
      <c r="I774" s="13" t="str">
        <f t="shared" si="12"/>
        <v>August</v>
      </c>
      <c r="J774" s="13" t="s">
        <v>2095</v>
      </c>
      <c r="K774" s="13" t="s">
        <v>1004</v>
      </c>
      <c r="L774" s="13" t="s">
        <v>461</v>
      </c>
      <c r="M774" s="15">
        <v>200003135982020</v>
      </c>
      <c r="N774" s="13" t="s">
        <v>924</v>
      </c>
      <c r="O774" s="13">
        <v>1.09120260803002E+17</v>
      </c>
      <c r="P774" s="13" t="s">
        <v>2061</v>
      </c>
      <c r="Q774" s="18">
        <v>35</v>
      </c>
      <c r="R774" s="18">
        <v>1</v>
      </c>
      <c r="S774" s="13">
        <v>8828132635</v>
      </c>
      <c r="T774" s="13" t="s">
        <v>926</v>
      </c>
      <c r="U774" s="19">
        <v>34220600</v>
      </c>
      <c r="V774" s="18">
        <v>1</v>
      </c>
      <c r="W774" s="18">
        <f>_xlfn.XLOOKUP(J774,'Master Data 14-9-2026'!C:C,'Master Data 14-9-2026'!L:L)</f>
        <v>0</v>
      </c>
      <c r="X774" s="23">
        <v>34220600</v>
      </c>
      <c r="Y774" s="13" t="s">
        <v>2009</v>
      </c>
      <c r="Z774" s="24" t="s">
        <v>225</v>
      </c>
      <c r="AA774" s="4" t="s">
        <v>1288</v>
      </c>
      <c r="AB774" s="40" t="s">
        <v>44</v>
      </c>
      <c r="AC774" s="13"/>
      <c r="AD774" s="13"/>
      <c r="AE774" s="13" t="str">
        <f>_xlfn.XLOOKUP(L774,'[1]ID PROJECT'!E:E,'[1]ID PROJECT'!F:F)</f>
        <v>PRJ-KUT-KPU-TPED-2026-04-00078</v>
      </c>
      <c r="AF774" s="13"/>
      <c r="AG774" s="13"/>
      <c r="AH774" s="65"/>
      <c r="AI774" s="27"/>
    </row>
    <row r="775" spans="1:35" hidden="1">
      <c r="A775" s="13" t="s">
        <v>734</v>
      </c>
      <c r="B775" s="13" t="str">
        <f>_xlfn.XLOOKUP(J775,'Master Data 14-9-2026'!C:C,'Master Data 14-9-2026'!D:D)</f>
        <v>Rayza Mayga Pratama wx1504644</v>
      </c>
      <c r="C775" s="13"/>
      <c r="D775" s="13" t="str">
        <f>_xlfn.XLOOKUP(J775,'Master Data 14-9-2026'!C:C,'Master Data 14-9-2026'!E:E)</f>
        <v>XLSMART</v>
      </c>
      <c r="E775" s="13"/>
      <c r="F775" s="13"/>
      <c r="G775" s="13" t="s">
        <v>31</v>
      </c>
      <c r="H775" s="13" t="str">
        <f>_xlfn.XLOOKUP(J775,'Master Data 14-9-2026'!C:C,'Master Data 14-9-2026'!H:H)</f>
        <v>2026-08-23 - 2026-09-22</v>
      </c>
      <c r="I775" s="13" t="str">
        <f t="shared" si="12"/>
        <v>August</v>
      </c>
      <c r="J775" s="13" t="s">
        <v>2096</v>
      </c>
      <c r="K775" s="13" t="s">
        <v>1004</v>
      </c>
      <c r="L775" s="13" t="s">
        <v>441</v>
      </c>
      <c r="M775" s="15">
        <v>200003135983020</v>
      </c>
      <c r="N775" s="13" t="s">
        <v>924</v>
      </c>
      <c r="O775" s="13">
        <v>1.09120260803002E+17</v>
      </c>
      <c r="P775" s="13" t="s">
        <v>2061</v>
      </c>
      <c r="Q775" s="18">
        <v>36</v>
      </c>
      <c r="R775" s="18">
        <v>1</v>
      </c>
      <c r="S775" s="13">
        <v>8828132635</v>
      </c>
      <c r="T775" s="13" t="s">
        <v>926</v>
      </c>
      <c r="U775" s="19">
        <v>34220600</v>
      </c>
      <c r="V775" s="18">
        <v>1</v>
      </c>
      <c r="W775" s="18">
        <f>_xlfn.XLOOKUP(J775,'Master Data 14-9-2026'!C:C,'Master Data 14-9-2026'!L:L)</f>
        <v>0</v>
      </c>
      <c r="X775" s="23">
        <v>34220600</v>
      </c>
      <c r="Y775" s="13" t="s">
        <v>2009</v>
      </c>
      <c r="Z775" s="24" t="s">
        <v>225</v>
      </c>
      <c r="AA775" s="4" t="s">
        <v>1288</v>
      </c>
      <c r="AB775" s="40" t="s">
        <v>44</v>
      </c>
      <c r="AC775" s="13"/>
      <c r="AD775" s="13"/>
      <c r="AE775" s="13" t="str">
        <f>_xlfn.XLOOKUP(L775,'[1]ID PROJECT'!E:E,'[1]ID PROJECT'!F:F)</f>
        <v xml:space="preserve">PRJ-KUT-KPU-TPED-2026-04-00071 </v>
      </c>
      <c r="AF775" s="13"/>
      <c r="AG775" s="13"/>
      <c r="AH775" s="65"/>
      <c r="AI775" s="27"/>
    </row>
    <row r="776" spans="1:35" hidden="1">
      <c r="A776" s="13" t="s">
        <v>862</v>
      </c>
      <c r="B776" s="13" t="str">
        <f>_xlfn.XLOOKUP(J776,'Master Data 14-9-2026'!C:C,'Master Data 14-9-2026'!D:D)</f>
        <v>Sugeng Andrianto wx1504668</v>
      </c>
      <c r="C776" s="13"/>
      <c r="D776" s="13" t="str">
        <f>_xlfn.XLOOKUP(J776,'Master Data 14-9-2026'!C:C,'Master Data 14-9-2026'!E:E)</f>
        <v>XLSMART</v>
      </c>
      <c r="E776" s="13"/>
      <c r="F776" s="13"/>
      <c r="G776" s="13" t="s">
        <v>31</v>
      </c>
      <c r="H776" s="13" t="str">
        <f>_xlfn.XLOOKUP(J776,'Master Data 14-9-2026'!C:C,'Master Data 14-9-2026'!H:H)</f>
        <v>2026-08-30 - 2026-09-29</v>
      </c>
      <c r="I776" s="13" t="str">
        <f t="shared" si="12"/>
        <v>August</v>
      </c>
      <c r="J776" s="13" t="s">
        <v>2097</v>
      </c>
      <c r="K776" s="13" t="s">
        <v>1004</v>
      </c>
      <c r="L776" s="13" t="s">
        <v>461</v>
      </c>
      <c r="M776" s="15">
        <v>200003135984020</v>
      </c>
      <c r="N776" s="13" t="s">
        <v>924</v>
      </c>
      <c r="O776" s="13">
        <v>1.09120260803002E+17</v>
      </c>
      <c r="P776" s="13" t="s">
        <v>2061</v>
      </c>
      <c r="Q776" s="18">
        <v>37</v>
      </c>
      <c r="R776" s="18">
        <v>1</v>
      </c>
      <c r="S776" s="13">
        <v>8828132635</v>
      </c>
      <c r="T776" s="13" t="s">
        <v>926</v>
      </c>
      <c r="U776" s="19">
        <v>34220600</v>
      </c>
      <c r="V776" s="18">
        <v>1</v>
      </c>
      <c r="W776" s="18">
        <f>_xlfn.XLOOKUP(J776,'Master Data 14-9-2026'!C:C,'Master Data 14-9-2026'!L:L)</f>
        <v>0</v>
      </c>
      <c r="X776" s="23">
        <v>34220600</v>
      </c>
      <c r="Y776" s="13" t="s">
        <v>2009</v>
      </c>
      <c r="Z776" s="24" t="s">
        <v>984</v>
      </c>
      <c r="AA776" s="4" t="s">
        <v>1288</v>
      </c>
      <c r="AB776" s="40" t="s">
        <v>44</v>
      </c>
      <c r="AC776" s="13"/>
      <c r="AD776" s="13"/>
      <c r="AE776" s="13" t="str">
        <f>_xlfn.XLOOKUP(L776,'[1]ID PROJECT'!E:E,'[1]ID PROJECT'!F:F)</f>
        <v>PRJ-KUT-KPU-TPED-2026-04-00078</v>
      </c>
      <c r="AF776" s="13"/>
      <c r="AG776" s="13"/>
      <c r="AH776" s="65"/>
      <c r="AI776" s="27"/>
    </row>
    <row r="777" spans="1:35" hidden="1">
      <c r="A777" s="13" t="s">
        <v>742</v>
      </c>
      <c r="B777" s="13" t="str">
        <f>_xlfn.XLOOKUP(J777,'Master Data 14-9-2026'!C:C,'Master Data 14-9-2026'!D:D)</f>
        <v>Fauzan Fathoni wx1504667</v>
      </c>
      <c r="C777" s="13"/>
      <c r="D777" s="13" t="str">
        <f>_xlfn.XLOOKUP(J777,'Master Data 14-9-2026'!C:C,'Master Data 14-9-2026'!E:E)</f>
        <v>XLSMART</v>
      </c>
      <c r="E777" s="13"/>
      <c r="F777" s="13"/>
      <c r="G777" s="13" t="s">
        <v>31</v>
      </c>
      <c r="H777" s="13" t="str">
        <f>_xlfn.XLOOKUP(J777,'Master Data 14-9-2026'!C:C,'Master Data 14-9-2026'!H:H)</f>
        <v>2026-08-30 - 2026-09-29</v>
      </c>
      <c r="I777" s="13" t="str">
        <f t="shared" si="12"/>
        <v>August</v>
      </c>
      <c r="J777" s="13" t="s">
        <v>2098</v>
      </c>
      <c r="K777" s="13" t="s">
        <v>1004</v>
      </c>
      <c r="L777" s="13" t="s">
        <v>461</v>
      </c>
      <c r="M777" s="15">
        <v>200003135985020</v>
      </c>
      <c r="N777" s="13" t="s">
        <v>924</v>
      </c>
      <c r="O777" s="13">
        <v>1.09120260803002E+17</v>
      </c>
      <c r="P777" s="13" t="s">
        <v>2061</v>
      </c>
      <c r="Q777" s="18">
        <v>38</v>
      </c>
      <c r="R777" s="18">
        <v>1</v>
      </c>
      <c r="S777" s="13">
        <v>8828132635</v>
      </c>
      <c r="T777" s="13" t="s">
        <v>926</v>
      </c>
      <c r="U777" s="19">
        <v>34220600</v>
      </c>
      <c r="V777" s="18">
        <v>1</v>
      </c>
      <c r="W777" s="18">
        <f>_xlfn.XLOOKUP(J777,'Master Data 14-9-2026'!C:C,'Master Data 14-9-2026'!L:L)</f>
        <v>0</v>
      </c>
      <c r="X777" s="23">
        <v>34220600</v>
      </c>
      <c r="Y777" s="13" t="s">
        <v>2009</v>
      </c>
      <c r="Z777" s="24" t="s">
        <v>984</v>
      </c>
      <c r="AA777" s="4" t="s">
        <v>1288</v>
      </c>
      <c r="AB777" s="40" t="s">
        <v>44</v>
      </c>
      <c r="AC777" s="13"/>
      <c r="AD777" s="13"/>
      <c r="AE777" s="13" t="str">
        <f>_xlfn.XLOOKUP(L777,'[1]ID PROJECT'!E:E,'[1]ID PROJECT'!F:F)</f>
        <v>PRJ-KUT-KPU-TPED-2026-04-00078</v>
      </c>
      <c r="AF777" s="13"/>
      <c r="AG777" s="13"/>
      <c r="AH777" s="65"/>
      <c r="AI777" s="27"/>
    </row>
    <row r="778" spans="1:35" hidden="1">
      <c r="A778" s="13" t="s">
        <v>459</v>
      </c>
      <c r="B778" s="13" t="str">
        <f>_xlfn.XLOOKUP(J778,'Master Data 14-9-2026'!C:C,'Master Data 14-9-2026'!D:D)</f>
        <v>Leonard Ricardo Hutabarat wx1503633</v>
      </c>
      <c r="C778" s="13"/>
      <c r="D778" s="13" t="str">
        <f>_xlfn.XLOOKUP(J778,'Master Data 14-9-2026'!C:C,'Master Data 14-9-2026'!E:E)</f>
        <v>XLSMART</v>
      </c>
      <c r="E778" s="13"/>
      <c r="F778" s="13"/>
      <c r="G778" s="13" t="s">
        <v>31</v>
      </c>
      <c r="H778" s="13" t="str">
        <f>_xlfn.XLOOKUP(J778,'Master Data 14-9-2026'!C:C,'Master Data 14-9-2026'!H:H)</f>
        <v>2026-08-23 - 2026-09-22</v>
      </c>
      <c r="I778" s="13" t="str">
        <f t="shared" si="12"/>
        <v>August</v>
      </c>
      <c r="J778" s="13" t="s">
        <v>2099</v>
      </c>
      <c r="K778" s="13" t="s">
        <v>1004</v>
      </c>
      <c r="L778" s="13" t="s">
        <v>461</v>
      </c>
      <c r="M778" s="15">
        <v>200003135992020</v>
      </c>
      <c r="N778" s="13" t="s">
        <v>924</v>
      </c>
      <c r="O778" s="13">
        <v>1.09120260803002E+17</v>
      </c>
      <c r="P778" s="13" t="s">
        <v>2061</v>
      </c>
      <c r="Q778" s="18">
        <v>39</v>
      </c>
      <c r="R778" s="18">
        <v>1</v>
      </c>
      <c r="S778" s="13">
        <v>8828132636</v>
      </c>
      <c r="T778" s="13" t="s">
        <v>933</v>
      </c>
      <c r="U778" s="19">
        <v>36992000</v>
      </c>
      <c r="V778" s="18">
        <v>1</v>
      </c>
      <c r="W778" s="18">
        <f>_xlfn.XLOOKUP(J778,'Master Data 14-9-2026'!C:C,'Master Data 14-9-2026'!L:L)</f>
        <v>0.5</v>
      </c>
      <c r="X778" s="23">
        <v>36992000</v>
      </c>
      <c r="Y778" s="13" t="s">
        <v>2009</v>
      </c>
      <c r="Z778" s="24" t="s">
        <v>225</v>
      </c>
      <c r="AA778" s="4" t="s">
        <v>1288</v>
      </c>
      <c r="AB778" s="13"/>
      <c r="AC778" s="13"/>
      <c r="AD778" s="13"/>
      <c r="AE778" s="13" t="str">
        <f>_xlfn.XLOOKUP(L778,'[1]ID PROJECT'!E:E,'[1]ID PROJECT'!F:F)</f>
        <v>PRJ-KUT-KPU-TPED-2026-04-00078</v>
      </c>
      <c r="AF778" s="13"/>
      <c r="AG778" s="13"/>
      <c r="AH778" s="65"/>
      <c r="AI778" s="27"/>
    </row>
    <row r="779" spans="1:35" hidden="1">
      <c r="A779" s="13" t="s">
        <v>473</v>
      </c>
      <c r="B779" s="13" t="str">
        <f>_xlfn.XLOOKUP(J779,'Master Data 14-9-2026'!C:C,'Master Data 14-9-2026'!D:D)</f>
        <v>Risman Nurjaman wx1503969</v>
      </c>
      <c r="C779" s="13"/>
      <c r="D779" s="13" t="str">
        <f>_xlfn.XLOOKUP(J779,'Master Data 14-9-2026'!C:C,'Master Data 14-9-2026'!E:E)</f>
        <v>XLSMART</v>
      </c>
      <c r="E779" s="13"/>
      <c r="F779" s="13"/>
      <c r="G779" s="13" t="s">
        <v>31</v>
      </c>
      <c r="H779" s="13" t="str">
        <f>_xlfn.XLOOKUP(J779,'Master Data 14-9-2026'!C:C,'Master Data 14-9-2026'!H:H)</f>
        <v>2026-08-23 - 2026-09-22</v>
      </c>
      <c r="I779" s="13" t="str">
        <f t="shared" si="12"/>
        <v>August</v>
      </c>
      <c r="J779" s="13" t="s">
        <v>2100</v>
      </c>
      <c r="K779" s="13" t="s">
        <v>1004</v>
      </c>
      <c r="L779" s="13" t="s">
        <v>475</v>
      </c>
      <c r="M779" s="15">
        <v>200003135993020</v>
      </c>
      <c r="N779" s="13" t="s">
        <v>924</v>
      </c>
      <c r="O779" s="13">
        <v>1.09120260803002E+17</v>
      </c>
      <c r="P779" s="13" t="s">
        <v>2061</v>
      </c>
      <c r="Q779" s="18">
        <v>40</v>
      </c>
      <c r="R779" s="18">
        <v>1</v>
      </c>
      <c r="S779" s="13">
        <v>8828132636</v>
      </c>
      <c r="T779" s="13" t="s">
        <v>933</v>
      </c>
      <c r="U779" s="19">
        <v>36992000</v>
      </c>
      <c r="V779" s="18">
        <v>1</v>
      </c>
      <c r="W779" s="18">
        <f>_xlfn.XLOOKUP(J779,'Master Data 14-9-2026'!C:C,'Master Data 14-9-2026'!L:L)</f>
        <v>1.5</v>
      </c>
      <c r="X779" s="23">
        <v>36992000</v>
      </c>
      <c r="Y779" s="13" t="s">
        <v>2009</v>
      </c>
      <c r="Z779" s="24" t="s">
        <v>225</v>
      </c>
      <c r="AA779" s="4" t="s">
        <v>1288</v>
      </c>
      <c r="AB779" s="13"/>
      <c r="AC779" s="13"/>
      <c r="AD779" s="13"/>
      <c r="AE779" s="13" t="str">
        <f>_xlfn.XLOOKUP(L779,'[1]ID PROJECT'!E:E,'[1]ID PROJECT'!F:F)</f>
        <v>PRJ-KUT-KPU-TPED-2026-04-00074</v>
      </c>
      <c r="AF779" s="13"/>
      <c r="AG779" s="13"/>
      <c r="AH779" s="65"/>
      <c r="AI779" s="27"/>
    </row>
    <row r="780" spans="1:35" hidden="1">
      <c r="A780" s="13"/>
      <c r="B780" s="13" t="str">
        <f>_xlfn.XLOOKUP(J780,'Master Data 14-9-2026'!C:C,'Master Data 14-9-2026'!D:D)</f>
        <v>DENI MUHAMMAD ARIF FRIMALDI WX1521787</v>
      </c>
      <c r="C780" s="13"/>
      <c r="D780" s="13" t="str">
        <f>_xlfn.XLOOKUP(J780,'Master Data 14-9-2026'!C:C,'Master Data 14-9-2026'!E:E)</f>
        <v>XLSMART</v>
      </c>
      <c r="E780" s="13"/>
      <c r="F780" s="13"/>
      <c r="G780" s="13" t="s">
        <v>13</v>
      </c>
      <c r="H780" s="13" t="str">
        <f>_xlfn.XLOOKUP(J780,'Master Data 14-9-2026'!C:C,'Master Data 14-9-2026'!H:H)</f>
        <v>2026-05-20 - 2026-06-19</v>
      </c>
      <c r="I780" s="13" t="str">
        <f t="shared" si="12"/>
        <v>May</v>
      </c>
      <c r="J780" s="35" t="s">
        <v>1043</v>
      </c>
      <c r="K780" s="13"/>
      <c r="L780" s="13"/>
      <c r="M780" s="15"/>
      <c r="N780" s="13"/>
      <c r="O780" s="13"/>
      <c r="P780" s="13" t="s">
        <v>2061</v>
      </c>
      <c r="Q780" s="18"/>
      <c r="R780" s="18"/>
      <c r="S780" s="13"/>
      <c r="T780" s="13"/>
      <c r="U780" s="19"/>
      <c r="V780" s="18"/>
      <c r="W780" s="18">
        <f>_xlfn.XLOOKUP(J780,'Master Data 14-9-2026'!C:C,'Master Data 14-9-2026'!L:L)</f>
        <v>0.5</v>
      </c>
      <c r="X780" s="23">
        <v>32542400</v>
      </c>
      <c r="Y780" s="13"/>
      <c r="Z780" s="24" t="s">
        <v>15</v>
      </c>
      <c r="AB780" s="13"/>
      <c r="AC780" s="13"/>
      <c r="AD780" s="13"/>
      <c r="AE780" s="13" t="e">
        <f>_xlfn.XLOOKUP(L780,'[1]ID PROJECT'!E:E,'[1]ID PROJECT'!F:F)</f>
        <v>#N/A</v>
      </c>
      <c r="AF780" s="13"/>
      <c r="AG780" s="13"/>
      <c r="AH780" s="65"/>
      <c r="AI780" s="27"/>
    </row>
    <row r="781" spans="1:35" hidden="1">
      <c r="A781" s="13" t="s">
        <v>478</v>
      </c>
      <c r="B781" s="13" t="str">
        <f>_xlfn.XLOOKUP(J781,'Master Data 14-9-2026'!C:C,'Master Data 14-9-2026'!D:D)</f>
        <v>Dewi Nur Annisa wx1503631</v>
      </c>
      <c r="C781" s="13"/>
      <c r="D781" s="13" t="str">
        <f>_xlfn.XLOOKUP(J781,'Master Data 14-9-2026'!C:C,'Master Data 14-9-2026'!E:E)</f>
        <v>XLSMART</v>
      </c>
      <c r="E781" s="13"/>
      <c r="F781" s="13"/>
      <c r="G781" s="13" t="s">
        <v>31</v>
      </c>
      <c r="H781" s="13" t="str">
        <f>_xlfn.XLOOKUP(J781,'Master Data 14-9-2026'!C:C,'Master Data 14-9-2026'!H:H)</f>
        <v>2026-08-25 - 2026-09-24</v>
      </c>
      <c r="I781" s="13" t="str">
        <f t="shared" si="12"/>
        <v>August</v>
      </c>
      <c r="J781" s="13" t="s">
        <v>2101</v>
      </c>
      <c r="K781" s="13" t="s">
        <v>1004</v>
      </c>
      <c r="L781" s="13" t="s">
        <v>461</v>
      </c>
      <c r="M781" s="15">
        <v>200003135994020</v>
      </c>
      <c r="N781" s="13" t="s">
        <v>924</v>
      </c>
      <c r="O781" s="13">
        <v>1.09120260803002E+17</v>
      </c>
      <c r="P781" s="13" t="s">
        <v>2061</v>
      </c>
      <c r="Q781" s="18">
        <v>41</v>
      </c>
      <c r="R781" s="18">
        <v>1</v>
      </c>
      <c r="S781" s="13">
        <v>8828132636</v>
      </c>
      <c r="T781" s="13" t="s">
        <v>933</v>
      </c>
      <c r="U781" s="19">
        <v>36992000</v>
      </c>
      <c r="V781" s="18">
        <v>1</v>
      </c>
      <c r="W781" s="18">
        <f>_xlfn.XLOOKUP(J781,'Master Data 14-9-2026'!C:C,'Master Data 14-9-2026'!L:L)</f>
        <v>0.5</v>
      </c>
      <c r="X781" s="23">
        <v>36992000</v>
      </c>
      <c r="Y781" s="13" t="s">
        <v>2009</v>
      </c>
      <c r="Z781" s="24" t="s">
        <v>225</v>
      </c>
      <c r="AA781" s="4" t="s">
        <v>1288</v>
      </c>
      <c r="AB781" s="13"/>
      <c r="AC781" s="13"/>
      <c r="AD781" s="13"/>
      <c r="AE781" s="13" t="str">
        <f>_xlfn.XLOOKUP(L781,'[1]ID PROJECT'!E:E,'[1]ID PROJECT'!F:F)</f>
        <v>PRJ-KUT-KPU-TPED-2026-04-00078</v>
      </c>
      <c r="AF781" s="13"/>
      <c r="AG781" s="13"/>
      <c r="AH781" s="65"/>
      <c r="AI781" s="27"/>
    </row>
    <row r="782" spans="1:35" hidden="1">
      <c r="A782" s="13" t="s">
        <v>444</v>
      </c>
      <c r="B782" s="13" t="str">
        <f>_xlfn.XLOOKUP(J782,'Master Data 14-9-2026'!C:C,'Master Data 14-9-2026'!D:D)</f>
        <v>Febby Ramadhan Ahmad Suhandi wx1503968</v>
      </c>
      <c r="C782" s="13"/>
      <c r="D782" s="13" t="str">
        <f>_xlfn.XLOOKUP(J782,'Master Data 14-9-2026'!C:C,'Master Data 14-9-2026'!E:E)</f>
        <v>XLSMART</v>
      </c>
      <c r="E782" s="13"/>
      <c r="F782" s="13"/>
      <c r="G782" s="13" t="s">
        <v>31</v>
      </c>
      <c r="H782" s="13" t="str">
        <f>_xlfn.XLOOKUP(J782,'Master Data 14-9-2026'!C:C,'Master Data 14-9-2026'!H:H)</f>
        <v>2026-08-25 - 2026-09-24</v>
      </c>
      <c r="I782" s="13" t="str">
        <f t="shared" si="12"/>
        <v>August</v>
      </c>
      <c r="J782" s="13" t="s">
        <v>2102</v>
      </c>
      <c r="K782" s="13" t="s">
        <v>1004</v>
      </c>
      <c r="L782" s="13" t="s">
        <v>441</v>
      </c>
      <c r="M782" s="15">
        <v>200003135995020</v>
      </c>
      <c r="N782" s="13" t="s">
        <v>924</v>
      </c>
      <c r="O782" s="13">
        <v>1.09120260803002E+17</v>
      </c>
      <c r="P782" s="13" t="s">
        <v>2061</v>
      </c>
      <c r="Q782" s="18">
        <v>42</v>
      </c>
      <c r="R782" s="18">
        <v>1</v>
      </c>
      <c r="S782" s="13">
        <v>8828132636</v>
      </c>
      <c r="T782" s="13" t="s">
        <v>933</v>
      </c>
      <c r="U782" s="19">
        <v>36992000</v>
      </c>
      <c r="V782" s="18">
        <v>1</v>
      </c>
      <c r="W782" s="18">
        <f>_xlfn.XLOOKUP(J782,'Master Data 14-9-2026'!C:C,'Master Data 14-9-2026'!L:L)</f>
        <v>1.5</v>
      </c>
      <c r="X782" s="23">
        <v>36992000</v>
      </c>
      <c r="Y782" s="13" t="s">
        <v>2009</v>
      </c>
      <c r="Z782" s="24" t="s">
        <v>225</v>
      </c>
      <c r="AA782" s="4" t="s">
        <v>1288</v>
      </c>
      <c r="AB782" s="13"/>
      <c r="AC782" s="13"/>
      <c r="AD782" s="13"/>
      <c r="AE782" s="13" t="str">
        <f>_xlfn.XLOOKUP(L782,'[1]ID PROJECT'!E:E,'[1]ID PROJECT'!F:F)</f>
        <v xml:space="preserve">PRJ-KUT-KPU-TPED-2026-04-00071 </v>
      </c>
      <c r="AF782" s="13"/>
      <c r="AG782" s="13"/>
      <c r="AH782" s="65"/>
      <c r="AI782" s="27"/>
    </row>
    <row r="783" spans="1:35" hidden="1">
      <c r="A783" s="13" t="s">
        <v>469</v>
      </c>
      <c r="B783" s="13" t="str">
        <f>_xlfn.XLOOKUP(J783,'Master Data 14-9-2026'!C:C,'Master Data 14-9-2026'!D:D)</f>
        <v>Heri Kusnanto wx1503971</v>
      </c>
      <c r="C783" s="13"/>
      <c r="D783" s="13" t="str">
        <f>_xlfn.XLOOKUP(J783,'Master Data 14-9-2026'!C:C,'Master Data 14-9-2026'!E:E)</f>
        <v>XLSMART</v>
      </c>
      <c r="E783" s="13"/>
      <c r="F783" s="13"/>
      <c r="G783" s="13" t="s">
        <v>31</v>
      </c>
      <c r="H783" s="13" t="str">
        <f>_xlfn.XLOOKUP(J783,'Master Data 14-9-2026'!C:C,'Master Data 14-9-2026'!H:H)</f>
        <v>2026-08-26 - 2026-09-25</v>
      </c>
      <c r="I783" s="13" t="str">
        <f t="shared" si="12"/>
        <v>August</v>
      </c>
      <c r="J783" s="13" t="s">
        <v>2103</v>
      </c>
      <c r="K783" s="13" t="s">
        <v>1004</v>
      </c>
      <c r="L783" s="13" t="s">
        <v>441</v>
      </c>
      <c r="M783" s="15">
        <v>200003135996020</v>
      </c>
      <c r="N783" s="13" t="s">
        <v>924</v>
      </c>
      <c r="O783" s="13">
        <v>1.09120260803002E+17</v>
      </c>
      <c r="P783" s="13" t="s">
        <v>2061</v>
      </c>
      <c r="Q783" s="18">
        <v>43</v>
      </c>
      <c r="R783" s="18">
        <v>1</v>
      </c>
      <c r="S783" s="13">
        <v>8828132636</v>
      </c>
      <c r="T783" s="13" t="s">
        <v>933</v>
      </c>
      <c r="U783" s="19">
        <v>36992000</v>
      </c>
      <c r="V783" s="18">
        <v>1</v>
      </c>
      <c r="W783" s="18">
        <f>_xlfn.XLOOKUP(J783,'Master Data 14-9-2026'!C:C,'Master Data 14-9-2026'!L:L)</f>
        <v>1.3</v>
      </c>
      <c r="X783" s="23">
        <v>36992000</v>
      </c>
      <c r="Y783" s="13" t="s">
        <v>2009</v>
      </c>
      <c r="Z783" s="24" t="s">
        <v>225</v>
      </c>
      <c r="AA783" s="4" t="s">
        <v>1288</v>
      </c>
      <c r="AB783" s="13"/>
      <c r="AC783" s="13"/>
      <c r="AD783" s="13"/>
      <c r="AE783" s="13" t="str">
        <f>_xlfn.XLOOKUP(L783,'[1]ID PROJECT'!E:E,'[1]ID PROJECT'!F:F)</f>
        <v xml:space="preserve">PRJ-KUT-KPU-TPED-2026-04-00071 </v>
      </c>
      <c r="AF783" s="13"/>
      <c r="AG783" s="13"/>
      <c r="AH783" s="65"/>
      <c r="AI783" s="27"/>
    </row>
    <row r="784" spans="1:35" hidden="1">
      <c r="A784" s="13" t="s">
        <v>508</v>
      </c>
      <c r="B784" s="13" t="str">
        <f>_xlfn.XLOOKUP(J784,'Master Data 14-9-2026'!C:C,'Master Data 14-9-2026'!D:D)</f>
        <v>Herni Peruzi wx1503973</v>
      </c>
      <c r="C784" s="13"/>
      <c r="D784" s="13" t="str">
        <f>_xlfn.XLOOKUP(J784,'Master Data 14-9-2026'!C:C,'Master Data 14-9-2026'!E:E)</f>
        <v>XLSMART</v>
      </c>
      <c r="E784" s="13"/>
      <c r="F784" s="13"/>
      <c r="G784" s="13" t="s">
        <v>31</v>
      </c>
      <c r="H784" s="13" t="str">
        <f>_xlfn.XLOOKUP(J784,'Master Data 14-9-2026'!C:C,'Master Data 14-9-2026'!H:H)</f>
        <v>2026-08-30 - 2026-09-29</v>
      </c>
      <c r="I784" s="13" t="str">
        <f t="shared" si="12"/>
        <v>August</v>
      </c>
      <c r="J784" s="13" t="s">
        <v>2104</v>
      </c>
      <c r="K784" s="13" t="s">
        <v>1004</v>
      </c>
      <c r="L784" s="13" t="s">
        <v>441</v>
      </c>
      <c r="M784" s="15">
        <v>200003135997020</v>
      </c>
      <c r="N784" s="13" t="s">
        <v>924</v>
      </c>
      <c r="O784" s="13">
        <v>1.09120260803002E+17</v>
      </c>
      <c r="P784" s="13" t="s">
        <v>2061</v>
      </c>
      <c r="Q784" s="18">
        <v>44</v>
      </c>
      <c r="R784" s="18">
        <v>1</v>
      </c>
      <c r="S784" s="13">
        <v>8828132636</v>
      </c>
      <c r="T784" s="13" t="s">
        <v>933</v>
      </c>
      <c r="U784" s="19">
        <v>36992000</v>
      </c>
      <c r="V784" s="18">
        <v>1</v>
      </c>
      <c r="W784" s="18">
        <f>_xlfn.XLOOKUP(J784,'Master Data 14-9-2026'!C:C,'Master Data 14-9-2026'!L:L)</f>
        <v>1.1000000000000001</v>
      </c>
      <c r="X784" s="23">
        <v>36992000</v>
      </c>
      <c r="Y784" s="13" t="s">
        <v>2009</v>
      </c>
      <c r="Z784" s="24" t="s">
        <v>984</v>
      </c>
      <c r="AA784" s="4" t="s">
        <v>1288</v>
      </c>
      <c r="AB784" s="13"/>
      <c r="AC784" s="13"/>
      <c r="AD784" s="13"/>
      <c r="AE784" s="13" t="str">
        <f>_xlfn.XLOOKUP(L784,'[1]ID PROJECT'!E:E,'[1]ID PROJECT'!F:F)</f>
        <v xml:space="preserve">PRJ-KUT-KPU-TPED-2026-04-00071 </v>
      </c>
      <c r="AF784" s="13"/>
      <c r="AG784" s="13"/>
      <c r="AH784" s="65"/>
      <c r="AI784" s="27"/>
    </row>
    <row r="785" spans="1:35" hidden="1">
      <c r="A785" s="13" t="s">
        <v>583</v>
      </c>
      <c r="B785" s="13" t="str">
        <f>_xlfn.XLOOKUP(J785,'Master Data 14-9-2026'!C:C,'Master Data 14-9-2026'!D:D)</f>
        <v>Jepri Hamonangan Saragih wx1504646</v>
      </c>
      <c r="C785" s="13"/>
      <c r="D785" s="13" t="str">
        <f>_xlfn.XLOOKUP(J785,'Master Data 14-9-2026'!C:C,'Master Data 14-9-2026'!E:E)</f>
        <v>XLSMART</v>
      </c>
      <c r="E785" s="13"/>
      <c r="F785" s="13"/>
      <c r="G785" s="13" t="s">
        <v>31</v>
      </c>
      <c r="H785" s="13" t="str">
        <f>_xlfn.XLOOKUP(J785,'Master Data 14-9-2026'!C:C,'Master Data 14-9-2026'!H:H)</f>
        <v>2026-08-23 - 2026-09-22</v>
      </c>
      <c r="I785" s="13" t="str">
        <f t="shared" si="12"/>
        <v>August</v>
      </c>
      <c r="J785" s="13" t="s">
        <v>2105</v>
      </c>
      <c r="K785" s="13" t="s">
        <v>1004</v>
      </c>
      <c r="L785" s="13" t="s">
        <v>461</v>
      </c>
      <c r="M785" s="15">
        <v>200003136001020</v>
      </c>
      <c r="N785" s="13" t="s">
        <v>924</v>
      </c>
      <c r="O785" s="13">
        <v>1.09120260803002E+17</v>
      </c>
      <c r="P785" s="13" t="s">
        <v>2061</v>
      </c>
      <c r="Q785" s="18">
        <v>45</v>
      </c>
      <c r="R785" s="18">
        <v>1</v>
      </c>
      <c r="S785" s="13">
        <v>8828132634</v>
      </c>
      <c r="T785" s="13" t="s">
        <v>978</v>
      </c>
      <c r="U785" s="19">
        <v>32542400</v>
      </c>
      <c r="V785" s="18">
        <v>1</v>
      </c>
      <c r="W785" s="18">
        <f>_xlfn.XLOOKUP(J785,'Master Data 14-9-2026'!C:C,'Master Data 14-9-2026'!L:L)</f>
        <v>0</v>
      </c>
      <c r="X785" s="23">
        <v>32542400</v>
      </c>
      <c r="Y785" s="13" t="s">
        <v>2009</v>
      </c>
      <c r="Z785" s="24" t="s">
        <v>225</v>
      </c>
      <c r="AA785" s="4" t="s">
        <v>1288</v>
      </c>
      <c r="AB785" s="40" t="s">
        <v>44</v>
      </c>
      <c r="AC785" s="13"/>
      <c r="AD785" s="13"/>
      <c r="AE785" s="13" t="str">
        <f>_xlfn.XLOOKUP(L785,'[1]ID PROJECT'!E:E,'[1]ID PROJECT'!F:F)</f>
        <v>PRJ-KUT-KPU-TPED-2026-04-00078</v>
      </c>
      <c r="AF785" s="13"/>
      <c r="AG785" s="13"/>
      <c r="AH785" s="65"/>
      <c r="AI785" s="27"/>
    </row>
    <row r="786" spans="1:35" hidden="1">
      <c r="A786" s="13" t="s">
        <v>603</v>
      </c>
      <c r="B786" s="13" t="e">
        <f>_xlfn.XLOOKUP(J786,'Master Data 14-9-2026'!C:C,'Master Data 14-9-2026'!D:D)</f>
        <v>#N/A</v>
      </c>
      <c r="C786" s="13"/>
      <c r="D786" s="13" t="e">
        <f>_xlfn.XLOOKUP(J786,'Master Data 14-9-2026'!C:C,'Master Data 14-9-2026'!E:E)</f>
        <v>#N/A</v>
      </c>
      <c r="E786" s="13"/>
      <c r="F786" s="13"/>
      <c r="G786" s="13" t="s">
        <v>31</v>
      </c>
      <c r="H786" s="13" t="e">
        <f>_xlfn.XLOOKUP(J786,'Master Data 14-9-2026'!C:C,'Master Data 14-9-2026'!H:H)</f>
        <v>#N/A</v>
      </c>
      <c r="I786" s="13" t="e">
        <f t="shared" si="12"/>
        <v>#N/A</v>
      </c>
      <c r="J786" s="13" t="s">
        <v>2106</v>
      </c>
      <c r="K786" s="13" t="s">
        <v>1004</v>
      </c>
      <c r="L786" s="13" t="s">
        <v>520</v>
      </c>
      <c r="M786" s="15">
        <v>200003136002020</v>
      </c>
      <c r="N786" s="13" t="s">
        <v>924</v>
      </c>
      <c r="O786" s="13">
        <v>1.09120260803002E+17</v>
      </c>
      <c r="P786" s="13" t="s">
        <v>2061</v>
      </c>
      <c r="Q786" s="18">
        <v>46</v>
      </c>
      <c r="R786" s="18">
        <v>1</v>
      </c>
      <c r="S786" s="13">
        <v>8828132634</v>
      </c>
      <c r="T786" s="13" t="s">
        <v>978</v>
      </c>
      <c r="U786" s="19">
        <v>32542400</v>
      </c>
      <c r="V786" s="18">
        <v>1</v>
      </c>
      <c r="W786" s="18" t="e">
        <f>_xlfn.XLOOKUP(J786,'Master Data 14-9-2026'!C:C,'Master Data 14-9-2026'!L:L)</f>
        <v>#N/A</v>
      </c>
      <c r="X786" s="23">
        <v>32542400</v>
      </c>
      <c r="Y786" s="13" t="s">
        <v>2009</v>
      </c>
      <c r="Z786" s="24" t="s">
        <v>984</v>
      </c>
      <c r="AB786" s="13" t="s">
        <v>1018</v>
      </c>
      <c r="AC786" s="13" t="s">
        <v>1149</v>
      </c>
      <c r="AD786" s="13"/>
      <c r="AE786" s="13" t="str">
        <f>_xlfn.XLOOKUP(L786,'[1]ID PROJECT'!E:E,'[1]ID PROJECT'!F:F)</f>
        <v>PRJ-KUT-KPU-TPED-2026-04-00077</v>
      </c>
      <c r="AF786" s="13"/>
      <c r="AG786" s="13"/>
      <c r="AH786" s="65"/>
      <c r="AI786" s="27"/>
    </row>
    <row r="787" spans="1:35" hidden="1">
      <c r="A787" s="13" t="s">
        <v>702</v>
      </c>
      <c r="B787" s="13" t="str">
        <f>_xlfn.XLOOKUP(J787,'Master Data 14-9-2026'!C:C,'Master Data 14-9-2026'!D:D)</f>
        <v>I Nyoman Satriya Wibawa wx1503651</v>
      </c>
      <c r="C787" s="13"/>
      <c r="D787" s="13" t="str">
        <f>_xlfn.XLOOKUP(J787,'Master Data 14-9-2026'!C:C,'Master Data 14-9-2026'!E:E)</f>
        <v>IOH</v>
      </c>
      <c r="E787" s="13"/>
      <c r="F787" s="13"/>
      <c r="G787" s="13" t="s">
        <v>31</v>
      </c>
      <c r="H787" s="13" t="str">
        <f>_xlfn.XLOOKUP(J787,'Master Data 14-9-2026'!C:C,'Master Data 14-9-2026'!H:H)</f>
        <v>2026-08-30 - 2026-09-29</v>
      </c>
      <c r="I787" s="13" t="str">
        <f t="shared" si="12"/>
        <v>August</v>
      </c>
      <c r="J787" s="13" t="s">
        <v>2107</v>
      </c>
      <c r="K787" s="13" t="s">
        <v>1004</v>
      </c>
      <c r="L787" s="13" t="s">
        <v>520</v>
      </c>
      <c r="M787" s="15">
        <v>200003136003020</v>
      </c>
      <c r="N787" s="13" t="s">
        <v>924</v>
      </c>
      <c r="O787" s="13">
        <v>1.09120260803002E+17</v>
      </c>
      <c r="P787" s="13" t="s">
        <v>2061</v>
      </c>
      <c r="Q787" s="18">
        <v>47</v>
      </c>
      <c r="R787" s="18">
        <v>1</v>
      </c>
      <c r="S787" s="13">
        <v>8828132634</v>
      </c>
      <c r="T787" s="13" t="s">
        <v>978</v>
      </c>
      <c r="U787" s="19">
        <v>32542400</v>
      </c>
      <c r="V787" s="18">
        <v>1</v>
      </c>
      <c r="W787" s="18">
        <f>_xlfn.XLOOKUP(J787,'Master Data 14-9-2026'!C:C,'Master Data 14-9-2026'!L:L)</f>
        <v>0</v>
      </c>
      <c r="X787" s="23">
        <v>32542400</v>
      </c>
      <c r="Y787" s="13" t="s">
        <v>2009</v>
      </c>
      <c r="Z787" s="24" t="s">
        <v>984</v>
      </c>
      <c r="AA787" s="4" t="s">
        <v>1288</v>
      </c>
      <c r="AB787" s="40" t="s">
        <v>44</v>
      </c>
      <c r="AC787" s="13"/>
      <c r="AD787" s="13"/>
      <c r="AE787" s="13" t="str">
        <f>_xlfn.XLOOKUP(L787,'[1]ID PROJECT'!E:E,'[1]ID PROJECT'!F:F)</f>
        <v>PRJ-KUT-KPU-TPED-2026-04-00077</v>
      </c>
      <c r="AF787" s="13"/>
      <c r="AG787" s="13"/>
      <c r="AH787" s="65"/>
      <c r="AI787" s="27"/>
    </row>
    <row r="788" spans="1:35" hidden="1">
      <c r="A788" s="13" t="s">
        <v>676</v>
      </c>
      <c r="B788" s="13" t="str">
        <f>_xlfn.XLOOKUP(J788,'Master Data 14-9-2026'!C:C,'Master Data 14-9-2026'!D:D)</f>
        <v>DENI MUHAMMAD ARIF FRIMALDI WX1521787</v>
      </c>
      <c r="C788" s="13"/>
      <c r="D788" s="13" t="str">
        <f>_xlfn.XLOOKUP(J788,'Master Data 14-9-2026'!C:C,'Master Data 14-9-2026'!E:E)</f>
        <v>XLSMART</v>
      </c>
      <c r="E788" s="13"/>
      <c r="F788" s="13"/>
      <c r="G788" s="13" t="s">
        <v>25</v>
      </c>
      <c r="H788" s="13" t="str">
        <f>_xlfn.XLOOKUP(J788,'Master Data 14-9-2026'!C:C,'Master Data 14-9-2026'!H:H)</f>
        <v>2026-08-20 - 2026-09-19</v>
      </c>
      <c r="I788" s="13" t="str">
        <f t="shared" si="12"/>
        <v>August</v>
      </c>
      <c r="J788" s="13" t="s">
        <v>2108</v>
      </c>
      <c r="K788" s="13" t="s">
        <v>1004</v>
      </c>
      <c r="L788" s="13" t="s">
        <v>441</v>
      </c>
      <c r="M788" s="15">
        <v>200003229892020</v>
      </c>
      <c r="N788" s="13" t="s">
        <v>924</v>
      </c>
      <c r="O788" s="13">
        <v>1.09120260803002E+17</v>
      </c>
      <c r="P788" s="13" t="s">
        <v>2061</v>
      </c>
      <c r="Q788" s="18">
        <v>49</v>
      </c>
      <c r="R788" s="18">
        <v>1</v>
      </c>
      <c r="S788" s="13">
        <v>8828132634</v>
      </c>
      <c r="T788" s="13" t="s">
        <v>978</v>
      </c>
      <c r="U788" s="19">
        <v>32542400</v>
      </c>
      <c r="V788" s="18">
        <v>1</v>
      </c>
      <c r="W788" s="18">
        <f>_xlfn.XLOOKUP(J788,'Master Data 14-9-2026'!C:C,'Master Data 14-9-2026'!L:L)</f>
        <v>0</v>
      </c>
      <c r="X788" s="23">
        <v>32542400</v>
      </c>
      <c r="Y788" s="13" t="s">
        <v>2009</v>
      </c>
      <c r="Z788" s="24" t="s">
        <v>33</v>
      </c>
      <c r="AA788" s="4" t="s">
        <v>1288</v>
      </c>
      <c r="AB788" s="40" t="s">
        <v>44</v>
      </c>
      <c r="AC788" s="13"/>
      <c r="AD788" s="13"/>
      <c r="AE788" s="13" t="str">
        <f>_xlfn.XLOOKUP(L788,'[1]ID PROJECT'!E:E,'[1]ID PROJECT'!F:F)</f>
        <v xml:space="preserve">PRJ-KUT-KPU-TPED-2026-04-00071 </v>
      </c>
      <c r="AF788" s="13"/>
      <c r="AG788" s="13"/>
      <c r="AH788" s="65"/>
      <c r="AI788" s="27"/>
    </row>
    <row r="789" spans="1:35" hidden="1">
      <c r="A789" s="13" t="s">
        <v>177</v>
      </c>
      <c r="B789" s="13" t="str">
        <f>_xlfn.XLOOKUP(J789,'Master Data 14-9-2026'!C:C,'Master Data 14-9-2026'!D:D)</f>
        <v>Aliyah wx1507137</v>
      </c>
      <c r="C789" s="13"/>
      <c r="D789" s="13" t="str">
        <f>_xlfn.XLOOKUP(J789,'Master Data 14-9-2026'!C:C,'Master Data 14-9-2026'!E:E)</f>
        <v>XLSMART</v>
      </c>
      <c r="E789" s="13"/>
      <c r="F789" s="13"/>
      <c r="G789" s="13" t="s">
        <v>28</v>
      </c>
      <c r="H789" s="13" t="str">
        <f>_xlfn.XLOOKUP(J789,'Master Data 14-9-2026'!C:C,'Master Data 14-9-2026'!H:H)</f>
        <v>2026-08-01 - 2026-08-31</v>
      </c>
      <c r="I789" s="13" t="str">
        <f t="shared" si="12"/>
        <v>August</v>
      </c>
      <c r="J789" s="13" t="s">
        <v>2109</v>
      </c>
      <c r="K789" s="13" t="s">
        <v>1004</v>
      </c>
      <c r="L789" s="13" t="s">
        <v>441</v>
      </c>
      <c r="M789" s="15">
        <v>200003135942020</v>
      </c>
      <c r="N789" s="13" t="s">
        <v>924</v>
      </c>
      <c r="O789" s="13">
        <v>1.09120260803002E+17</v>
      </c>
      <c r="P789" s="13" t="s">
        <v>2061</v>
      </c>
      <c r="Q789" s="18">
        <v>51</v>
      </c>
      <c r="R789" s="18">
        <v>1</v>
      </c>
      <c r="S789" s="13">
        <v>8828132633</v>
      </c>
      <c r="T789" s="13" t="s">
        <v>951</v>
      </c>
      <c r="U789" s="19">
        <v>28881900</v>
      </c>
      <c r="V789" s="18">
        <v>1</v>
      </c>
      <c r="W789" s="18">
        <f>_xlfn.XLOOKUP(J789,'Master Data 14-9-2026'!C:C,'Master Data 14-9-2026'!L:L)</f>
        <v>0.5</v>
      </c>
      <c r="X789" s="23">
        <v>28881900</v>
      </c>
      <c r="Y789" s="13" t="s">
        <v>2009</v>
      </c>
      <c r="Z789" s="24" t="s">
        <v>984</v>
      </c>
      <c r="AA789" s="4" t="s">
        <v>1288</v>
      </c>
      <c r="AB789" s="13" t="s">
        <v>1289</v>
      </c>
      <c r="AC789" s="13"/>
      <c r="AD789" s="13"/>
      <c r="AE789" s="13" t="str">
        <f>_xlfn.XLOOKUP(L789,'[1]ID PROJECT'!E:E,'[1]ID PROJECT'!F:F)</f>
        <v xml:space="preserve">PRJ-KUT-KPU-TPED-2026-04-00071 </v>
      </c>
      <c r="AF789" s="13"/>
      <c r="AG789" s="13"/>
      <c r="AH789" s="65"/>
      <c r="AI789" s="27"/>
    </row>
    <row r="790" spans="1:35" hidden="1">
      <c r="A790" s="13" t="s">
        <v>684</v>
      </c>
      <c r="B790" s="13" t="str">
        <f>_xlfn.XLOOKUP(J790,'Master Data 14-9-2026'!C:C,'Master Data 14-9-2026'!D:D)</f>
        <v>MUHAMMAD IRHAS wx1521789</v>
      </c>
      <c r="C790" s="13"/>
      <c r="D790" s="13" t="str">
        <f>_xlfn.XLOOKUP(J790,'Master Data 14-9-2026'!C:C,'Master Data 14-9-2026'!E:E)</f>
        <v>XLSMART</v>
      </c>
      <c r="E790" s="13"/>
      <c r="F790" s="13"/>
      <c r="G790" s="13" t="s">
        <v>25</v>
      </c>
      <c r="H790" s="13" t="str">
        <f>_xlfn.XLOOKUP(J790,'Master Data 14-9-2026'!C:C,'Master Data 14-9-2026'!H:H)</f>
        <v>2026-08-20 - 2026-09-19</v>
      </c>
      <c r="I790" s="13" t="str">
        <f t="shared" si="12"/>
        <v>August</v>
      </c>
      <c r="J790" s="13" t="s">
        <v>2110</v>
      </c>
      <c r="K790" s="13" t="s">
        <v>1004</v>
      </c>
      <c r="L790" s="13" t="s">
        <v>441</v>
      </c>
      <c r="M790" s="15">
        <v>200003229896020</v>
      </c>
      <c r="N790" s="13" t="s">
        <v>924</v>
      </c>
      <c r="O790" s="13">
        <v>1.09120260803002E+17</v>
      </c>
      <c r="P790" s="13" t="s">
        <v>2061</v>
      </c>
      <c r="Q790" s="18">
        <v>52</v>
      </c>
      <c r="R790" s="18">
        <v>1</v>
      </c>
      <c r="S790" s="13">
        <v>8828132634</v>
      </c>
      <c r="T790" s="13" t="s">
        <v>978</v>
      </c>
      <c r="U790" s="19">
        <v>32542400</v>
      </c>
      <c r="V790" s="18">
        <v>1</v>
      </c>
      <c r="W790" s="18">
        <f>_xlfn.XLOOKUP(J790,'Master Data 14-9-2026'!C:C,'Master Data 14-9-2026'!L:L)</f>
        <v>0</v>
      </c>
      <c r="X790" s="23">
        <v>32542400</v>
      </c>
      <c r="Y790" s="13" t="s">
        <v>2009</v>
      </c>
      <c r="Z790" s="24" t="s">
        <v>33</v>
      </c>
      <c r="AA790" s="4" t="s">
        <v>1288</v>
      </c>
      <c r="AB790" s="40" t="s">
        <v>44</v>
      </c>
      <c r="AC790" s="13"/>
      <c r="AD790" s="13"/>
      <c r="AE790" s="13" t="str">
        <f>_xlfn.XLOOKUP(L790,'[1]ID PROJECT'!E:E,'[1]ID PROJECT'!F:F)</f>
        <v xml:space="preserve">PRJ-KUT-KPU-TPED-2026-04-00071 </v>
      </c>
      <c r="AF790" s="13"/>
      <c r="AG790" s="13"/>
      <c r="AH790" s="65"/>
      <c r="AI790" s="27"/>
    </row>
    <row r="791" spans="1:35" hidden="1">
      <c r="A791" s="13" t="s">
        <v>692</v>
      </c>
      <c r="B791" s="13" t="str">
        <f>_xlfn.XLOOKUP(J791,'Master Data 14-9-2026'!C:C,'Master Data 14-9-2026'!D:D)</f>
        <v>R Muhammad Valdi Pramudika W wx1521786</v>
      </c>
      <c r="C791" s="13"/>
      <c r="D791" s="13" t="str">
        <f>_xlfn.XLOOKUP(J791,'Master Data 14-9-2026'!C:C,'Master Data 14-9-2026'!E:E)</f>
        <v>XLSMART</v>
      </c>
      <c r="E791" s="13"/>
      <c r="F791" s="13"/>
      <c r="G791" s="13" t="s">
        <v>25</v>
      </c>
      <c r="H791" s="13" t="str">
        <f>_xlfn.XLOOKUP(J791,'Master Data 14-9-2026'!C:C,'Master Data 14-9-2026'!H:H)</f>
        <v>2026-08-20 - 2026-09-19</v>
      </c>
      <c r="I791" s="13" t="str">
        <f t="shared" si="12"/>
        <v>August</v>
      </c>
      <c r="J791" s="13" t="s">
        <v>2111</v>
      </c>
      <c r="K791" s="13" t="s">
        <v>1004</v>
      </c>
      <c r="L791" s="13" t="s">
        <v>441</v>
      </c>
      <c r="M791" s="15">
        <v>200003232900020</v>
      </c>
      <c r="N791" s="13" t="s">
        <v>924</v>
      </c>
      <c r="O791" s="13">
        <v>1.09120260803002E+17</v>
      </c>
      <c r="P791" s="13" t="s">
        <v>2061</v>
      </c>
      <c r="Q791" s="18">
        <v>54</v>
      </c>
      <c r="R791" s="18">
        <v>1</v>
      </c>
      <c r="S791" s="13">
        <v>8828132634</v>
      </c>
      <c r="T791" s="13" t="s">
        <v>978</v>
      </c>
      <c r="U791" s="19">
        <v>32542400</v>
      </c>
      <c r="V791" s="18">
        <v>1</v>
      </c>
      <c r="W791" s="18">
        <f>_xlfn.XLOOKUP(J791,'Master Data 14-9-2026'!C:C,'Master Data 14-9-2026'!L:L)</f>
        <v>0.5</v>
      </c>
      <c r="X791" s="23">
        <v>32542400</v>
      </c>
      <c r="Y791" s="13" t="s">
        <v>2009</v>
      </c>
      <c r="Z791" s="24" t="s">
        <v>33</v>
      </c>
      <c r="AA791" s="4" t="s">
        <v>1288</v>
      </c>
      <c r="AB791" s="13"/>
      <c r="AC791" s="13"/>
      <c r="AD791" s="13"/>
      <c r="AE791" s="13" t="str">
        <f>_xlfn.XLOOKUP(L791,'[1]ID PROJECT'!E:E,'[1]ID PROJECT'!F:F)</f>
        <v xml:space="preserve">PRJ-KUT-KPU-TPED-2026-04-00071 </v>
      </c>
      <c r="AF791" s="13"/>
      <c r="AG791" s="13"/>
      <c r="AH791" s="65"/>
      <c r="AI791" s="27"/>
    </row>
    <row r="792" spans="1:35" hidden="1">
      <c r="A792" s="13" t="s">
        <v>700</v>
      </c>
      <c r="B792" s="13" t="str">
        <f>_xlfn.XLOOKUP(J792,'Master Data 14-9-2026'!C:C,'Master Data 14-9-2026'!D:D)</f>
        <v>Syafrizal Akbar Harahap wx1521788</v>
      </c>
      <c r="C792" s="13"/>
      <c r="D792" s="13" t="str">
        <f>_xlfn.XLOOKUP(J792,'Master Data 14-9-2026'!C:C,'Master Data 14-9-2026'!E:E)</f>
        <v>XLSMART</v>
      </c>
      <c r="E792" s="13"/>
      <c r="F792" s="13"/>
      <c r="G792" s="13" t="s">
        <v>25</v>
      </c>
      <c r="H792" s="13" t="str">
        <f>_xlfn.XLOOKUP(J792,'Master Data 14-9-2026'!C:C,'Master Data 14-9-2026'!H:H)</f>
        <v>2026-08-20 - 2026-09-19</v>
      </c>
      <c r="I792" s="13" t="str">
        <f t="shared" si="12"/>
        <v>August</v>
      </c>
      <c r="J792" s="13" t="s">
        <v>2112</v>
      </c>
      <c r="K792" s="13" t="s">
        <v>1004</v>
      </c>
      <c r="L792" s="13" t="s">
        <v>441</v>
      </c>
      <c r="M792" s="15">
        <v>200003232904020</v>
      </c>
      <c r="N792" s="13" t="s">
        <v>924</v>
      </c>
      <c r="O792" s="13">
        <v>1.09120260803002E+17</v>
      </c>
      <c r="P792" s="13" t="s">
        <v>2061</v>
      </c>
      <c r="Q792" s="18">
        <v>56</v>
      </c>
      <c r="R792" s="18">
        <v>1</v>
      </c>
      <c r="S792" s="13">
        <v>8828132634</v>
      </c>
      <c r="T792" s="13" t="s">
        <v>978</v>
      </c>
      <c r="U792" s="19">
        <v>32542400</v>
      </c>
      <c r="V792" s="18">
        <v>1</v>
      </c>
      <c r="W792" s="18">
        <f>_xlfn.XLOOKUP(J792,'Master Data 14-9-2026'!C:C,'Master Data 14-9-2026'!L:L)</f>
        <v>0.5</v>
      </c>
      <c r="X792" s="23">
        <v>32542400</v>
      </c>
      <c r="Y792" s="13" t="s">
        <v>2009</v>
      </c>
      <c r="Z792" s="24" t="s">
        <v>33</v>
      </c>
      <c r="AA792" s="4" t="s">
        <v>1288</v>
      </c>
      <c r="AB792" s="13"/>
      <c r="AC792" s="13"/>
      <c r="AD792" s="13"/>
      <c r="AE792" s="13" t="str">
        <f>_xlfn.XLOOKUP(L792,'[1]ID PROJECT'!E:E,'[1]ID PROJECT'!F:F)</f>
        <v xml:space="preserve">PRJ-KUT-KPU-TPED-2026-04-00071 </v>
      </c>
      <c r="AF792" s="13"/>
      <c r="AG792" s="13"/>
      <c r="AH792" s="65"/>
      <c r="AI792" s="27"/>
    </row>
    <row r="793" spans="1:35" hidden="1">
      <c r="A793" s="13" t="s">
        <v>708</v>
      </c>
      <c r="B793" s="13" t="str">
        <f>_xlfn.XLOOKUP(J793,'Master Data 14-9-2026'!C:C,'Master Data 14-9-2026'!D:D)</f>
        <v>Maulida Nabilah Badriah wx1523058</v>
      </c>
      <c r="C793" s="13"/>
      <c r="D793" s="13" t="str">
        <f>_xlfn.XLOOKUP(J793,'Master Data 14-9-2026'!C:C,'Master Data 14-9-2026'!E:E)</f>
        <v>XLSMART</v>
      </c>
      <c r="E793" s="13"/>
      <c r="F793" s="13"/>
      <c r="G793" s="13" t="s">
        <v>25</v>
      </c>
      <c r="H793" s="13" t="str">
        <f>_xlfn.XLOOKUP(J793,'Master Data 14-9-2026'!C:C,'Master Data 14-9-2026'!H:H)</f>
        <v>2026-08-26 - 2026-09-25</v>
      </c>
      <c r="I793" s="13" t="str">
        <f t="shared" si="12"/>
        <v>August</v>
      </c>
      <c r="J793" s="13" t="s">
        <v>2113</v>
      </c>
      <c r="K793" s="13" t="s">
        <v>1004</v>
      </c>
      <c r="L793" s="13" t="s">
        <v>441</v>
      </c>
      <c r="M793" s="15">
        <v>200003232908020</v>
      </c>
      <c r="N793" s="13" t="s">
        <v>924</v>
      </c>
      <c r="O793" s="13">
        <v>1.09120260803002E+17</v>
      </c>
      <c r="P793" s="13" t="s">
        <v>2061</v>
      </c>
      <c r="Q793" s="18">
        <v>56</v>
      </c>
      <c r="R793" s="18">
        <v>1</v>
      </c>
      <c r="S793" s="13">
        <v>8828132634</v>
      </c>
      <c r="T793" s="13" t="s">
        <v>978</v>
      </c>
      <c r="U793" s="19">
        <v>32542400</v>
      </c>
      <c r="V793" s="18">
        <v>1</v>
      </c>
      <c r="W793" s="18">
        <f>_xlfn.XLOOKUP(J793,'Master Data 14-9-2026'!C:C,'Master Data 14-9-2026'!L:L)</f>
        <v>0</v>
      </c>
      <c r="X793" s="23">
        <v>32542400</v>
      </c>
      <c r="Y793" s="13" t="s">
        <v>2009</v>
      </c>
      <c r="Z793" s="24" t="s">
        <v>225</v>
      </c>
      <c r="AA793" s="4" t="s">
        <v>1288</v>
      </c>
      <c r="AB793" s="40" t="s">
        <v>44</v>
      </c>
      <c r="AC793" s="13"/>
      <c r="AD793" s="13"/>
      <c r="AE793" s="13" t="str">
        <f>_xlfn.XLOOKUP(L793,'[1]ID PROJECT'!E:E,'[1]ID PROJECT'!F:F)</f>
        <v xml:space="preserve">PRJ-KUT-KPU-TPED-2026-04-00071 </v>
      </c>
      <c r="AF793" s="13"/>
      <c r="AG793" s="13"/>
      <c r="AH793" s="65"/>
      <c r="AI793" s="27"/>
    </row>
    <row r="794" spans="1:35" hidden="1">
      <c r="A794" s="13" t="s">
        <v>542</v>
      </c>
      <c r="B794" s="13" t="str">
        <f>_xlfn.XLOOKUP(J794,'Master Data 14-9-2026'!C:C,'Master Data 14-9-2026'!D:D)</f>
        <v>Riyano ST WX1523065</v>
      </c>
      <c r="C794" s="13"/>
      <c r="D794" s="13" t="str">
        <f>_xlfn.XLOOKUP(J794,'Master Data 14-9-2026'!C:C,'Master Data 14-9-2026'!E:E)</f>
        <v>XLSMART</v>
      </c>
      <c r="E794" s="13"/>
      <c r="F794" s="13"/>
      <c r="G794" s="13" t="s">
        <v>18</v>
      </c>
      <c r="H794" s="13" t="str">
        <f>_xlfn.XLOOKUP(J794,'Master Data 14-9-2026'!C:C,'Master Data 14-9-2026'!H:H)</f>
        <v>2026-06-28 - 2026-07-27</v>
      </c>
      <c r="I794" s="13" t="str">
        <f t="shared" si="12"/>
        <v>June</v>
      </c>
      <c r="J794" s="13" t="s">
        <v>2114</v>
      </c>
      <c r="K794" s="13" t="s">
        <v>1004</v>
      </c>
      <c r="L794" s="13" t="s">
        <v>441</v>
      </c>
      <c r="M794" s="15">
        <v>200003232912020</v>
      </c>
      <c r="N794" s="13" t="s">
        <v>924</v>
      </c>
      <c r="O794" s="13">
        <v>1.09120260803002E+17</v>
      </c>
      <c r="P794" s="13" t="s">
        <v>2061</v>
      </c>
      <c r="Q794" s="18">
        <v>60</v>
      </c>
      <c r="R794" s="18">
        <v>1</v>
      </c>
      <c r="S794" s="13">
        <v>8828132634</v>
      </c>
      <c r="T794" s="13" t="s">
        <v>978</v>
      </c>
      <c r="U794" s="19">
        <v>32542400</v>
      </c>
      <c r="V794" s="18">
        <v>1</v>
      </c>
      <c r="W794" s="18">
        <f>_xlfn.XLOOKUP(J794,'Master Data 14-9-2026'!C:C,'Master Data 14-9-2026'!L:L)</f>
        <v>0.56000000000000005</v>
      </c>
      <c r="X794" s="23">
        <v>32542400</v>
      </c>
      <c r="Y794" s="13" t="s">
        <v>2009</v>
      </c>
      <c r="Z794" s="24" t="str">
        <f>_xlfn.XLOOKUP(J794,'Master Data 14-9-2026'!C:C,'Master Data 14-9-2026'!I:I)</f>
        <v>Ended</v>
      </c>
      <c r="AA794" s="4" t="s">
        <v>1288</v>
      </c>
      <c r="AB794" s="13" t="s">
        <v>1289</v>
      </c>
      <c r="AC794" s="13"/>
      <c r="AD794" s="13"/>
      <c r="AE794" s="13" t="str">
        <f>_xlfn.XLOOKUP(L794,'[1]ID PROJECT'!E:E,'[1]ID PROJECT'!F:F)</f>
        <v xml:space="preserve">PRJ-KUT-KPU-TPED-2026-04-00071 </v>
      </c>
      <c r="AF794" s="13"/>
      <c r="AG794" s="13"/>
      <c r="AH794" s="65"/>
      <c r="AI794" s="27"/>
    </row>
    <row r="795" spans="1:35" hidden="1">
      <c r="A795" s="13" t="s">
        <v>593</v>
      </c>
      <c r="B795" s="13" t="str">
        <f>_xlfn.XLOOKUP(J795,'Master Data 14-9-2026'!C:C,'Master Data 14-9-2026'!D:D)</f>
        <v>Rahmat Tulloh wx1531574</v>
      </c>
      <c r="C795" s="13"/>
      <c r="D795" s="13" t="str">
        <f>_xlfn.XLOOKUP(J795,'Master Data 14-9-2026'!C:C,'Master Data 14-9-2026'!E:E)</f>
        <v>XLSMART</v>
      </c>
      <c r="E795" s="13"/>
      <c r="F795" s="13"/>
      <c r="G795" s="13" t="s">
        <v>18</v>
      </c>
      <c r="H795" s="13" t="str">
        <f>_xlfn.XLOOKUP(J795,'Master Data 14-9-2026'!C:C,'Master Data 14-9-2026'!H:H)</f>
        <v>2026-08-01 - 2026-08-31</v>
      </c>
      <c r="I795" s="13" t="str">
        <f t="shared" si="12"/>
        <v>August</v>
      </c>
      <c r="J795" s="13" t="s">
        <v>2115</v>
      </c>
      <c r="K795" s="13" t="s">
        <v>1004</v>
      </c>
      <c r="L795" s="13" t="s">
        <v>441</v>
      </c>
      <c r="M795" s="15">
        <v>200003233155020</v>
      </c>
      <c r="N795" s="13" t="s">
        <v>924</v>
      </c>
      <c r="O795" s="13">
        <v>1.09120260803002E+17</v>
      </c>
      <c r="P795" s="13" t="s">
        <v>2061</v>
      </c>
      <c r="Q795" s="18">
        <v>61</v>
      </c>
      <c r="R795" s="18">
        <v>1</v>
      </c>
      <c r="S795" s="13">
        <v>8828132634</v>
      </c>
      <c r="T795" s="13" t="s">
        <v>978</v>
      </c>
      <c r="U795" s="19">
        <v>32542400</v>
      </c>
      <c r="V795" s="18">
        <v>1</v>
      </c>
      <c r="W795" s="18">
        <f>_xlfn.XLOOKUP(J795,'Master Data 14-9-2026'!C:C,'Master Data 14-9-2026'!L:L)</f>
        <v>0.5</v>
      </c>
      <c r="X795" s="23">
        <v>32542400</v>
      </c>
      <c r="Y795" s="13" t="s">
        <v>2009</v>
      </c>
      <c r="Z795" s="24" t="s">
        <v>33</v>
      </c>
      <c r="AA795" s="4" t="s">
        <v>1288</v>
      </c>
      <c r="AB795" s="13" t="s">
        <v>1289</v>
      </c>
      <c r="AC795" s="13"/>
      <c r="AD795" s="13"/>
      <c r="AE795" s="13" t="str">
        <f>_xlfn.XLOOKUP(L795,'[1]ID PROJECT'!E:E,'[1]ID PROJECT'!F:F)</f>
        <v xml:space="preserve">PRJ-KUT-KPU-TPED-2026-04-00071 </v>
      </c>
      <c r="AF795" s="13"/>
      <c r="AG795" s="13"/>
      <c r="AH795" s="65"/>
      <c r="AI795" s="27"/>
    </row>
    <row r="796" spans="1:35" hidden="1">
      <c r="A796" s="13" t="s">
        <v>560</v>
      </c>
      <c r="B796" s="13" t="str">
        <f>_xlfn.XLOOKUP(J796,'Master Data 14-9-2026'!C:C,'Master Data 14-9-2026'!D:D)</f>
        <v>Rizki Kamil Fahmi wx1531571</v>
      </c>
      <c r="C796" s="13"/>
      <c r="D796" s="13" t="str">
        <f>_xlfn.XLOOKUP(J796,'Master Data 14-9-2026'!C:C,'Master Data 14-9-2026'!E:E)</f>
        <v>XLSMART</v>
      </c>
      <c r="E796" s="13"/>
      <c r="F796" s="13"/>
      <c r="G796" s="13" t="s">
        <v>18</v>
      </c>
      <c r="H796" s="13" t="str">
        <f>_xlfn.XLOOKUP(J796,'Master Data 14-9-2026'!C:C,'Master Data 14-9-2026'!H:H)</f>
        <v>2026-08-01 - 2026-08-31</v>
      </c>
      <c r="I796" s="13" t="str">
        <f t="shared" si="12"/>
        <v>August</v>
      </c>
      <c r="J796" s="13" t="s">
        <v>2116</v>
      </c>
      <c r="K796" s="13" t="s">
        <v>1004</v>
      </c>
      <c r="L796" s="13" t="s">
        <v>441</v>
      </c>
      <c r="M796" s="15">
        <v>200003233156020</v>
      </c>
      <c r="N796" s="13" t="s">
        <v>924</v>
      </c>
      <c r="O796" s="13">
        <v>1.09120260803002E+17</v>
      </c>
      <c r="P796" s="13" t="s">
        <v>2061</v>
      </c>
      <c r="Q796" s="18">
        <v>62</v>
      </c>
      <c r="R796" s="18">
        <v>1</v>
      </c>
      <c r="S796" s="13">
        <v>8828132634</v>
      </c>
      <c r="T796" s="13" t="s">
        <v>978</v>
      </c>
      <c r="U796" s="19">
        <v>32542400</v>
      </c>
      <c r="V796" s="18">
        <v>1</v>
      </c>
      <c r="W796" s="18">
        <f>_xlfn.XLOOKUP(J796,'Master Data 14-9-2026'!C:C,'Master Data 14-9-2026'!L:L)</f>
        <v>0.5</v>
      </c>
      <c r="X796" s="23">
        <v>32542400</v>
      </c>
      <c r="Y796" s="13" t="s">
        <v>2009</v>
      </c>
      <c r="Z796" s="24" t="s">
        <v>33</v>
      </c>
      <c r="AA796" s="4" t="s">
        <v>1288</v>
      </c>
      <c r="AB796" s="13"/>
      <c r="AC796" s="13"/>
      <c r="AD796" s="13"/>
      <c r="AE796" s="13" t="str">
        <f>_xlfn.XLOOKUP(L796,'[1]ID PROJECT'!E:E,'[1]ID PROJECT'!F:F)</f>
        <v xml:space="preserve">PRJ-KUT-KPU-TPED-2026-04-00071 </v>
      </c>
      <c r="AF796" s="13"/>
      <c r="AG796" s="13"/>
      <c r="AH796" s="65"/>
      <c r="AI796" s="27"/>
    </row>
    <row r="797" spans="1:35" hidden="1">
      <c r="A797" s="13" t="s">
        <v>552</v>
      </c>
      <c r="B797" s="13" t="str">
        <f>_xlfn.XLOOKUP(J797,'Master Data 14-9-2026'!C:C,'Master Data 14-9-2026'!D:D)</f>
        <v>Pangestu Wiromahudin wx1530066</v>
      </c>
      <c r="C797" s="13"/>
      <c r="D797" s="13" t="str">
        <f>_xlfn.XLOOKUP(J797,'Master Data 14-9-2026'!C:C,'Master Data 14-9-2026'!E:E)</f>
        <v>XLSMART</v>
      </c>
      <c r="E797" s="13"/>
      <c r="F797" s="13"/>
      <c r="G797" s="13" t="s">
        <v>18</v>
      </c>
      <c r="H797" s="13" t="str">
        <f>_xlfn.XLOOKUP(J797,'Master Data 14-9-2026'!C:C,'Master Data 14-9-2026'!H:H)</f>
        <v>2026-08-01 - 2026-08-31</v>
      </c>
      <c r="I797" s="13" t="str">
        <f t="shared" si="12"/>
        <v>August</v>
      </c>
      <c r="J797" s="13" t="s">
        <v>2117</v>
      </c>
      <c r="K797" s="13" t="s">
        <v>1004</v>
      </c>
      <c r="L797" s="13" t="s">
        <v>441</v>
      </c>
      <c r="M797" s="15">
        <v>200003233157020</v>
      </c>
      <c r="N797" s="13" t="s">
        <v>924</v>
      </c>
      <c r="O797" s="13">
        <v>1.09120260803002E+17</v>
      </c>
      <c r="P797" s="13" t="s">
        <v>2061</v>
      </c>
      <c r="Q797" s="18">
        <v>63</v>
      </c>
      <c r="R797" s="18">
        <v>1</v>
      </c>
      <c r="S797" s="13">
        <v>8828132634</v>
      </c>
      <c r="T797" s="13" t="s">
        <v>978</v>
      </c>
      <c r="U797" s="19">
        <v>32542400</v>
      </c>
      <c r="V797" s="18">
        <v>1</v>
      </c>
      <c r="W797" s="18">
        <f>_xlfn.XLOOKUP(J797,'Master Data 14-9-2026'!C:C,'Master Data 14-9-2026'!L:L)</f>
        <v>0.5</v>
      </c>
      <c r="X797" s="23">
        <v>32542400</v>
      </c>
      <c r="Y797" s="13" t="s">
        <v>2009</v>
      </c>
      <c r="Z797" s="24" t="s">
        <v>33</v>
      </c>
      <c r="AA797" s="4" t="s">
        <v>1288</v>
      </c>
      <c r="AB797" s="13" t="s">
        <v>1289</v>
      </c>
      <c r="AC797" s="13"/>
      <c r="AD797" s="13"/>
      <c r="AE797" s="13" t="str">
        <f>_xlfn.XLOOKUP(L797,'[1]ID PROJECT'!E:E,'[1]ID PROJECT'!F:F)</f>
        <v xml:space="preserve">PRJ-KUT-KPU-TPED-2026-04-00071 </v>
      </c>
      <c r="AF797" s="13"/>
      <c r="AG797" s="13"/>
      <c r="AH797" s="65"/>
      <c r="AI797" s="27"/>
    </row>
    <row r="798" spans="1:35" hidden="1">
      <c r="A798" s="13" t="s">
        <v>686</v>
      </c>
      <c r="B798" s="13" t="str">
        <f>_xlfn.XLOOKUP(J798,'Master Data 14-9-2026'!C:C,'Master Data 14-9-2026'!D:D)</f>
        <v>Andi Rohadi wx1531576</v>
      </c>
      <c r="C798" s="13"/>
      <c r="D798" s="13" t="str">
        <f>_xlfn.XLOOKUP(J798,'Master Data 14-9-2026'!C:C,'Master Data 14-9-2026'!E:E)</f>
        <v>XLSMART</v>
      </c>
      <c r="E798" s="13"/>
      <c r="F798" s="13"/>
      <c r="G798" s="13" t="s">
        <v>18</v>
      </c>
      <c r="H798" s="13" t="str">
        <f>_xlfn.XLOOKUP(J798,'Master Data 14-9-2026'!C:C,'Master Data 14-9-2026'!H:H)</f>
        <v>2026-08-02 - 2026-09-01</v>
      </c>
      <c r="I798" s="13" t="str">
        <f t="shared" si="12"/>
        <v>August</v>
      </c>
      <c r="J798" s="13" t="s">
        <v>2118</v>
      </c>
      <c r="K798" s="13" t="s">
        <v>1004</v>
      </c>
      <c r="L798" s="13" t="s">
        <v>441</v>
      </c>
      <c r="M798" s="15">
        <v>200003233158020</v>
      </c>
      <c r="N798" s="13" t="s">
        <v>924</v>
      </c>
      <c r="O798" s="13">
        <v>1.09120260803002E+17</v>
      </c>
      <c r="P798" s="13" t="s">
        <v>2061</v>
      </c>
      <c r="Q798" s="18">
        <v>64</v>
      </c>
      <c r="R798" s="18">
        <v>1</v>
      </c>
      <c r="S798" s="13">
        <v>8828132634</v>
      </c>
      <c r="T798" s="13" t="s">
        <v>978</v>
      </c>
      <c r="U798" s="19">
        <v>32542400</v>
      </c>
      <c r="V798" s="18">
        <v>1</v>
      </c>
      <c r="W798" s="18">
        <f>_xlfn.XLOOKUP(J798,'Master Data 14-9-2026'!C:C,'Master Data 14-9-2026'!L:L)</f>
        <v>0.5</v>
      </c>
      <c r="X798" s="23">
        <v>32542400</v>
      </c>
      <c r="Y798" s="13" t="s">
        <v>2009</v>
      </c>
      <c r="Z798" s="24" t="s">
        <v>33</v>
      </c>
      <c r="AA798" s="4" t="s">
        <v>1288</v>
      </c>
      <c r="AB798" s="13"/>
      <c r="AC798" s="13"/>
      <c r="AD798" s="13"/>
      <c r="AE798" s="13" t="str">
        <f>_xlfn.XLOOKUP(L798,'[1]ID PROJECT'!E:E,'[1]ID PROJECT'!F:F)</f>
        <v xml:space="preserve">PRJ-KUT-KPU-TPED-2026-04-00071 </v>
      </c>
      <c r="AF798" s="13"/>
      <c r="AG798" s="13"/>
      <c r="AH798" s="65"/>
      <c r="AI798" s="27"/>
    </row>
    <row r="799" spans="1:35" hidden="1">
      <c r="A799" s="13" t="s">
        <v>599</v>
      </c>
      <c r="B799" s="13" t="str">
        <f>_xlfn.XLOOKUP(J799,'Master Data 14-9-2026'!C:C,'Master Data 14-9-2026'!D:D)</f>
        <v>Rokoy Redyanto wx1531575</v>
      </c>
      <c r="C799" s="13"/>
      <c r="D799" s="13" t="str">
        <f>_xlfn.XLOOKUP(J799,'Master Data 14-9-2026'!C:C,'Master Data 14-9-2026'!E:E)</f>
        <v>XLSMART</v>
      </c>
      <c r="E799" s="13"/>
      <c r="F799" s="13"/>
      <c r="G799" s="13" t="s">
        <v>22</v>
      </c>
      <c r="H799" s="13" t="str">
        <f>_xlfn.XLOOKUP(J799,'Master Data 14-9-2026'!C:C,'Master Data 14-9-2026'!H:H)</f>
        <v>2026-08-30 - 2026-09-29</v>
      </c>
      <c r="I799" s="13" t="str">
        <f t="shared" si="12"/>
        <v>August</v>
      </c>
      <c r="J799" s="13" t="s">
        <v>2119</v>
      </c>
      <c r="K799" s="13" t="s">
        <v>1004</v>
      </c>
      <c r="L799" s="13" t="s">
        <v>441</v>
      </c>
      <c r="M799" s="15">
        <v>200003233161020</v>
      </c>
      <c r="N799" s="13" t="s">
        <v>924</v>
      </c>
      <c r="O799" s="13">
        <v>1.09120260803002E+17</v>
      </c>
      <c r="P799" s="13" t="s">
        <v>2061</v>
      </c>
      <c r="Q799" s="18">
        <v>65</v>
      </c>
      <c r="R799" s="18">
        <v>1</v>
      </c>
      <c r="S799" s="13">
        <v>8828132634</v>
      </c>
      <c r="T799" s="13" t="s">
        <v>978</v>
      </c>
      <c r="U799" s="19">
        <v>32542400</v>
      </c>
      <c r="V799" s="18">
        <v>1</v>
      </c>
      <c r="W799" s="18">
        <f>_xlfn.XLOOKUP(J799,'Master Data 14-9-2026'!C:C,'Master Data 14-9-2026'!L:L)</f>
        <v>0</v>
      </c>
      <c r="X799" s="23">
        <v>32542400</v>
      </c>
      <c r="Y799" s="13" t="s">
        <v>2009</v>
      </c>
      <c r="Z799" s="24" t="s">
        <v>984</v>
      </c>
      <c r="AA799" s="4" t="s">
        <v>1288</v>
      </c>
      <c r="AB799" s="40" t="s">
        <v>44</v>
      </c>
      <c r="AC799" s="13"/>
      <c r="AD799" s="13"/>
      <c r="AE799" s="13" t="str">
        <f>_xlfn.XLOOKUP(L799,'[1]ID PROJECT'!E:E,'[1]ID PROJECT'!F:F)</f>
        <v xml:space="preserve">PRJ-KUT-KPU-TPED-2026-04-00071 </v>
      </c>
      <c r="AF799" s="13"/>
      <c r="AG799" s="13"/>
      <c r="AH799" s="65"/>
      <c r="AI799" s="27"/>
    </row>
    <row r="800" spans="1:35" hidden="1">
      <c r="A800" s="13" t="s">
        <v>312</v>
      </c>
      <c r="B800" s="13" t="str">
        <f>_xlfn.XLOOKUP(J800,'Master Data 14-9-2026'!C:C,'Master Data 14-9-2026'!D:D)</f>
        <v>Azzahra Salma Euga wx1524070</v>
      </c>
      <c r="C800" s="13"/>
      <c r="D800" s="13" t="str">
        <f>_xlfn.XLOOKUP(J800,'Master Data 14-9-2026'!C:C,'Master Data 14-9-2026'!E:E)</f>
        <v>XLSMART</v>
      </c>
      <c r="E800" s="13"/>
      <c r="F800" s="13"/>
      <c r="G800" s="13" t="s">
        <v>13</v>
      </c>
      <c r="H800" s="13" t="str">
        <f>_xlfn.XLOOKUP(J800,'Master Data 14-9-2026'!C:C,'Master Data 14-9-2026'!H:H)</f>
        <v>2026-06-02 - 2026-07-01</v>
      </c>
      <c r="I800" s="13" t="str">
        <f t="shared" si="12"/>
        <v>June</v>
      </c>
      <c r="J800" s="13" t="s">
        <v>2120</v>
      </c>
      <c r="K800" s="13" t="s">
        <v>1004</v>
      </c>
      <c r="L800" s="13" t="s">
        <v>441</v>
      </c>
      <c r="M800" s="15">
        <v>200003233191020</v>
      </c>
      <c r="N800" s="13" t="s">
        <v>924</v>
      </c>
      <c r="O800" s="13">
        <v>1.09120260803002E+17</v>
      </c>
      <c r="P800" s="13" t="s">
        <v>2061</v>
      </c>
      <c r="Q800" s="18">
        <v>66</v>
      </c>
      <c r="R800" s="18">
        <v>1</v>
      </c>
      <c r="S800" s="13">
        <v>8828132633</v>
      </c>
      <c r="T800" s="13" t="s">
        <v>951</v>
      </c>
      <c r="U800" s="19">
        <v>28881900</v>
      </c>
      <c r="V800" s="18">
        <v>1</v>
      </c>
      <c r="W800" s="18">
        <f>_xlfn.XLOOKUP(J800,'Master Data 14-9-2026'!C:C,'Master Data 14-9-2026'!L:L)</f>
        <v>0.56000000000000005</v>
      </c>
      <c r="X800" s="23">
        <v>28881900</v>
      </c>
      <c r="Y800" s="13" t="s">
        <v>2009</v>
      </c>
      <c r="Z800" s="24" t="str">
        <f>_xlfn.XLOOKUP(J800,'Master Data 14-9-2026'!C:C,'Master Data 14-9-2026'!I:I)</f>
        <v>Ended</v>
      </c>
      <c r="AA800" s="4" t="s">
        <v>1288</v>
      </c>
      <c r="AB800" s="13"/>
      <c r="AC800" s="13"/>
      <c r="AD800" s="13"/>
      <c r="AE800" s="13" t="str">
        <f>_xlfn.XLOOKUP(L800,'[1]ID PROJECT'!E:E,'[1]ID PROJECT'!F:F)</f>
        <v xml:space="preserve">PRJ-KUT-KPU-TPED-2026-04-00071 </v>
      </c>
      <c r="AF800" s="13"/>
      <c r="AG800" s="13"/>
      <c r="AH800" s="65"/>
      <c r="AI800" s="27"/>
    </row>
    <row r="801" spans="1:35" hidden="1">
      <c r="A801" s="13" t="s">
        <v>312</v>
      </c>
      <c r="B801" s="13" t="str">
        <f>_xlfn.XLOOKUP(J801,'Master Data 14-9-2026'!C:C,'Master Data 14-9-2026'!D:D)</f>
        <v>Azzahra Salma Euga wx1524070</v>
      </c>
      <c r="C801" s="13"/>
      <c r="D801" s="13" t="str">
        <f>_xlfn.XLOOKUP(J801,'Master Data 14-9-2026'!C:C,'Master Data 14-9-2026'!E:E)</f>
        <v>XLSMART</v>
      </c>
      <c r="E801" s="13"/>
      <c r="F801" s="13"/>
      <c r="G801" s="13" t="s">
        <v>18</v>
      </c>
      <c r="H801" s="13" t="str">
        <f>_xlfn.XLOOKUP(J801,'Master Data 14-9-2026'!C:C,'Master Data 14-9-2026'!H:H)</f>
        <v>2026-07-02 - 2026-08-01</v>
      </c>
      <c r="I801" s="13" t="str">
        <f t="shared" si="12"/>
        <v>July</v>
      </c>
      <c r="J801" s="13" t="s">
        <v>2121</v>
      </c>
      <c r="K801" s="13" t="s">
        <v>1004</v>
      </c>
      <c r="L801" s="13" t="s">
        <v>441</v>
      </c>
      <c r="M801" s="15">
        <v>200003233192020</v>
      </c>
      <c r="N801" s="13" t="s">
        <v>924</v>
      </c>
      <c r="O801" s="13">
        <v>1.09120260803002E+17</v>
      </c>
      <c r="P801" s="13" t="s">
        <v>2061</v>
      </c>
      <c r="Q801" s="18">
        <v>67</v>
      </c>
      <c r="R801" s="18">
        <v>1</v>
      </c>
      <c r="S801" s="13">
        <v>8828132633</v>
      </c>
      <c r="T801" s="13" t="s">
        <v>951</v>
      </c>
      <c r="U801" s="19">
        <v>28881900</v>
      </c>
      <c r="V801" s="18">
        <v>1</v>
      </c>
      <c r="W801" s="18">
        <f>_xlfn.XLOOKUP(J801,'Master Data 14-9-2026'!C:C,'Master Data 14-9-2026'!L:L)</f>
        <v>1.01</v>
      </c>
      <c r="X801" s="23">
        <v>28881900</v>
      </c>
      <c r="Y801" s="13" t="s">
        <v>2009</v>
      </c>
      <c r="Z801" s="24" t="s">
        <v>15</v>
      </c>
      <c r="AA801" s="4" t="s">
        <v>1419</v>
      </c>
      <c r="AB801" s="39" t="s">
        <v>2122</v>
      </c>
      <c r="AC801" s="13"/>
      <c r="AD801" s="13"/>
      <c r="AE801" s="13" t="str">
        <f>_xlfn.XLOOKUP(L801,'[1]ID PROJECT'!E:E,'[1]ID PROJECT'!F:F)</f>
        <v xml:space="preserve">PRJ-KUT-KPU-TPED-2026-04-00071 </v>
      </c>
      <c r="AF801" s="13"/>
      <c r="AG801" s="13"/>
      <c r="AH801" s="65"/>
      <c r="AI801" s="27"/>
    </row>
    <row r="802" spans="1:35" hidden="1">
      <c r="A802" s="13" t="s">
        <v>542</v>
      </c>
      <c r="B802" s="13" t="str">
        <f>_xlfn.XLOOKUP(J802,'Master Data 14-9-2026'!C:C,'Master Data 14-9-2026'!D:D)</f>
        <v>Riyano ST WX1523065</v>
      </c>
      <c r="C802" s="13"/>
      <c r="D802" s="13" t="str">
        <f>_xlfn.XLOOKUP(J802,'Master Data 14-9-2026'!C:C,'Master Data 14-9-2026'!E:E)</f>
        <v>XLSMART</v>
      </c>
      <c r="E802" s="13"/>
      <c r="F802" s="13"/>
      <c r="G802" s="13" t="s">
        <v>22</v>
      </c>
      <c r="H802" s="13" t="str">
        <f>_xlfn.XLOOKUP(J802,'Master Data 14-9-2026'!C:C,'Master Data 14-9-2026'!H:H)</f>
        <v>2026-07-28 - 2026-08-27</v>
      </c>
      <c r="I802" s="13" t="str">
        <f t="shared" si="12"/>
        <v>July</v>
      </c>
      <c r="J802" s="13" t="s">
        <v>2123</v>
      </c>
      <c r="K802" s="13" t="s">
        <v>1004</v>
      </c>
      <c r="L802" s="13" t="s">
        <v>441</v>
      </c>
      <c r="M802" s="15">
        <v>200003232913020</v>
      </c>
      <c r="N802" s="13" t="s">
        <v>924</v>
      </c>
      <c r="O802" s="13">
        <v>1.09120260803002E+17</v>
      </c>
      <c r="P802" s="13" t="s">
        <v>2061</v>
      </c>
      <c r="Q802" s="18">
        <v>68</v>
      </c>
      <c r="R802" s="18">
        <v>1</v>
      </c>
      <c r="S802" s="13">
        <v>8828132634</v>
      </c>
      <c r="T802" s="13" t="s">
        <v>978</v>
      </c>
      <c r="U802" s="19">
        <v>32542400</v>
      </c>
      <c r="V802" s="18">
        <v>1</v>
      </c>
      <c r="W802" s="18">
        <f>_xlfn.XLOOKUP(J802,'Master Data 14-9-2026'!C:C,'Master Data 14-9-2026'!L:L)</f>
        <v>0.5</v>
      </c>
      <c r="X802" s="23">
        <v>32542400</v>
      </c>
      <c r="Y802" s="13" t="s">
        <v>2009</v>
      </c>
      <c r="Z802" s="24" t="s">
        <v>33</v>
      </c>
      <c r="AA802" s="4" t="s">
        <v>1288</v>
      </c>
      <c r="AB802" s="13" t="s">
        <v>1289</v>
      </c>
      <c r="AC802" s="13"/>
      <c r="AD802" s="13"/>
      <c r="AE802" s="13" t="str">
        <f>_xlfn.XLOOKUP(L802,'[1]ID PROJECT'!E:E,'[1]ID PROJECT'!F:F)</f>
        <v xml:space="preserve">PRJ-KUT-KPU-TPED-2026-04-00071 </v>
      </c>
      <c r="AF802" s="13"/>
      <c r="AG802" s="13"/>
      <c r="AH802" s="65"/>
      <c r="AI802" s="27"/>
    </row>
    <row r="803" spans="1:35" hidden="1">
      <c r="A803" s="13" t="s">
        <v>542</v>
      </c>
      <c r="B803" s="13" t="str">
        <f>_xlfn.XLOOKUP(J803,'Master Data 14-9-2026'!C:C,'Master Data 14-9-2026'!D:D)</f>
        <v>Riyano ST WX1523065</v>
      </c>
      <c r="C803" s="13"/>
      <c r="D803" s="13" t="str">
        <f>_xlfn.XLOOKUP(J803,'Master Data 14-9-2026'!C:C,'Master Data 14-9-2026'!E:E)</f>
        <v>XLSMART</v>
      </c>
      <c r="E803" s="13"/>
      <c r="F803" s="13"/>
      <c r="G803" s="13" t="s">
        <v>25</v>
      </c>
      <c r="H803" s="13" t="str">
        <f>_xlfn.XLOOKUP(J803,'Master Data 14-9-2026'!C:C,'Master Data 14-9-2026'!H:H)</f>
        <v>2026-08-28 - 2026-09-27</v>
      </c>
      <c r="I803" s="13" t="str">
        <f t="shared" si="12"/>
        <v>August</v>
      </c>
      <c r="J803" s="13" t="s">
        <v>2124</v>
      </c>
      <c r="K803" s="13" t="s">
        <v>1004</v>
      </c>
      <c r="L803" s="13" t="s">
        <v>441</v>
      </c>
      <c r="M803" s="15">
        <v>200003232914020</v>
      </c>
      <c r="N803" s="13" t="s">
        <v>924</v>
      </c>
      <c r="O803" s="13">
        <v>1.09120260803002E+17</v>
      </c>
      <c r="P803" s="13" t="s">
        <v>2061</v>
      </c>
      <c r="Q803" s="18">
        <v>69</v>
      </c>
      <c r="R803" s="18">
        <v>1</v>
      </c>
      <c r="S803" s="13">
        <v>8828132634</v>
      </c>
      <c r="T803" s="13" t="s">
        <v>978</v>
      </c>
      <c r="U803" s="19">
        <v>32542400</v>
      </c>
      <c r="V803" s="18">
        <v>1</v>
      </c>
      <c r="W803" s="18">
        <f>_xlfn.XLOOKUP(J803,'Master Data 14-9-2026'!C:C,'Master Data 14-9-2026'!L:L)</f>
        <v>0.5</v>
      </c>
      <c r="X803" s="23">
        <v>32542400</v>
      </c>
      <c r="Y803" s="13" t="s">
        <v>2009</v>
      </c>
      <c r="Z803" s="24" t="s">
        <v>984</v>
      </c>
      <c r="AA803" s="4" t="s">
        <v>1288</v>
      </c>
      <c r="AB803" s="13"/>
      <c r="AC803" s="13"/>
      <c r="AD803" s="13"/>
      <c r="AE803" s="13" t="str">
        <f>_xlfn.XLOOKUP(L803,'[1]ID PROJECT'!E:E,'[1]ID PROJECT'!F:F)</f>
        <v xml:space="preserve">PRJ-KUT-KPU-TPED-2026-04-00071 </v>
      </c>
      <c r="AF803" s="13"/>
      <c r="AG803" s="13"/>
      <c r="AH803" s="65"/>
      <c r="AI803" s="27"/>
    </row>
    <row r="804" spans="1:35" hidden="1">
      <c r="A804" s="13" t="s">
        <v>558</v>
      </c>
      <c r="B804" s="13" t="str">
        <f>_xlfn.XLOOKUP(J804,'Master Data 14-9-2026'!C:C,'Master Data 14-9-2026'!D:D)</f>
        <v>Yusup Budiman wx1523059</v>
      </c>
      <c r="C804" s="13"/>
      <c r="D804" s="13" t="str">
        <f>_xlfn.XLOOKUP(J804,'Master Data 14-9-2026'!C:C,'Master Data 14-9-2026'!E:E)</f>
        <v>XLSMART</v>
      </c>
      <c r="E804" s="13"/>
      <c r="F804" s="13"/>
      <c r="G804" s="13" t="s">
        <v>18</v>
      </c>
      <c r="H804" s="13" t="str">
        <f>_xlfn.XLOOKUP(J804,'Master Data 14-9-2026'!C:C,'Master Data 14-9-2026'!H:H)</f>
        <v>2026-06-26 - 2026-07-25</v>
      </c>
      <c r="I804" s="13" t="str">
        <f t="shared" si="12"/>
        <v>June</v>
      </c>
      <c r="J804" s="13" t="s">
        <v>2125</v>
      </c>
      <c r="K804" s="13" t="s">
        <v>1004</v>
      </c>
      <c r="L804" s="13" t="s">
        <v>441</v>
      </c>
      <c r="M804" s="15">
        <v>200003232918020</v>
      </c>
      <c r="N804" s="13" t="s">
        <v>924</v>
      </c>
      <c r="O804" s="13">
        <v>1.09120260803002E+17</v>
      </c>
      <c r="P804" s="13" t="s">
        <v>2061</v>
      </c>
      <c r="Q804" s="18">
        <v>71</v>
      </c>
      <c r="R804" s="18">
        <v>1</v>
      </c>
      <c r="S804" s="13">
        <v>8828132634</v>
      </c>
      <c r="T804" s="13" t="s">
        <v>978</v>
      </c>
      <c r="U804" s="19">
        <v>32542400</v>
      </c>
      <c r="V804" s="18">
        <v>1</v>
      </c>
      <c r="W804" s="18">
        <f>_xlfn.XLOOKUP(J804,'Master Data 14-9-2026'!C:C,'Master Data 14-9-2026'!L:L)</f>
        <v>0.56000000000000005</v>
      </c>
      <c r="X804" s="23">
        <v>32542400</v>
      </c>
      <c r="Y804" s="13" t="s">
        <v>2009</v>
      </c>
      <c r="Z804" s="24" t="str">
        <f>_xlfn.XLOOKUP(J804,'Master Data 14-9-2026'!C:C,'Master Data 14-9-2026'!I:I)</f>
        <v>Ended</v>
      </c>
      <c r="AA804" s="4" t="s">
        <v>1288</v>
      </c>
      <c r="AB804" s="13" t="s">
        <v>1289</v>
      </c>
      <c r="AC804" s="13"/>
      <c r="AD804" s="13"/>
      <c r="AE804" s="13" t="str">
        <f>_xlfn.XLOOKUP(L804,'[1]ID PROJECT'!E:E,'[1]ID PROJECT'!F:F)</f>
        <v xml:space="preserve">PRJ-KUT-KPU-TPED-2026-04-00071 </v>
      </c>
      <c r="AF804" s="13"/>
      <c r="AG804" s="13"/>
      <c r="AH804" s="65"/>
      <c r="AI804" s="27"/>
    </row>
    <row r="805" spans="1:35" hidden="1">
      <c r="A805" s="13" t="s">
        <v>558</v>
      </c>
      <c r="B805" s="13" t="str">
        <f>_xlfn.XLOOKUP(J805,'Master Data 14-9-2026'!C:C,'Master Data 14-9-2026'!D:D)</f>
        <v>Yusup Budiman wx1523059</v>
      </c>
      <c r="C805" s="13"/>
      <c r="D805" s="13" t="str">
        <f>_xlfn.XLOOKUP(J805,'Master Data 14-9-2026'!C:C,'Master Data 14-9-2026'!E:E)</f>
        <v>XLSMART</v>
      </c>
      <c r="E805" s="13"/>
      <c r="F805" s="13"/>
      <c r="G805" s="13" t="s">
        <v>22</v>
      </c>
      <c r="H805" s="13" t="str">
        <f>_xlfn.XLOOKUP(J805,'Master Data 14-9-2026'!C:C,'Master Data 14-9-2026'!H:H)</f>
        <v>2026-07-26 - 2026-08-25</v>
      </c>
      <c r="I805" s="13" t="str">
        <f t="shared" si="12"/>
        <v>July</v>
      </c>
      <c r="J805" s="13" t="s">
        <v>2126</v>
      </c>
      <c r="K805" s="13" t="s">
        <v>1004</v>
      </c>
      <c r="L805" s="13" t="s">
        <v>441</v>
      </c>
      <c r="M805" s="15">
        <v>200003232919020</v>
      </c>
      <c r="N805" s="13" t="s">
        <v>924</v>
      </c>
      <c r="O805" s="13">
        <v>1.09120260803002E+17</v>
      </c>
      <c r="P805" s="13" t="s">
        <v>2061</v>
      </c>
      <c r="Q805" s="18">
        <v>72</v>
      </c>
      <c r="R805" s="18">
        <v>1</v>
      </c>
      <c r="S805" s="13">
        <v>8828132634</v>
      </c>
      <c r="T805" s="13" t="s">
        <v>978</v>
      </c>
      <c r="U805" s="19">
        <v>32542400</v>
      </c>
      <c r="V805" s="18">
        <v>1</v>
      </c>
      <c r="W805" s="18">
        <f>_xlfn.XLOOKUP(J805,'Master Data 14-9-2026'!C:C,'Master Data 14-9-2026'!L:L)</f>
        <v>0.5</v>
      </c>
      <c r="X805" s="23">
        <v>32542400</v>
      </c>
      <c r="Y805" s="13" t="s">
        <v>2009</v>
      </c>
      <c r="Z805" s="24" t="s">
        <v>33</v>
      </c>
      <c r="AA805" s="4" t="s">
        <v>1288</v>
      </c>
      <c r="AB805" s="13"/>
      <c r="AC805" s="13"/>
      <c r="AD805" s="13"/>
      <c r="AE805" s="13" t="str">
        <f>_xlfn.XLOOKUP(L805,'[1]ID PROJECT'!E:E,'[1]ID PROJECT'!F:F)</f>
        <v xml:space="preserve">PRJ-KUT-KPU-TPED-2026-04-00071 </v>
      </c>
      <c r="AF805" s="13"/>
      <c r="AG805" s="13"/>
      <c r="AH805" s="65"/>
      <c r="AI805" s="27"/>
    </row>
    <row r="806" spans="1:35" hidden="1">
      <c r="A806" s="13" t="s">
        <v>558</v>
      </c>
      <c r="B806" s="13" t="str">
        <f>_xlfn.XLOOKUP(J806,'Master Data 14-9-2026'!C:C,'Master Data 14-9-2026'!D:D)</f>
        <v>Yusup Budiman wx1523059</v>
      </c>
      <c r="C806" s="13"/>
      <c r="D806" s="13" t="str">
        <f>_xlfn.XLOOKUP(J806,'Master Data 14-9-2026'!C:C,'Master Data 14-9-2026'!E:E)</f>
        <v>XLSMART</v>
      </c>
      <c r="E806" s="13"/>
      <c r="F806" s="13"/>
      <c r="G806" s="13" t="s">
        <v>25</v>
      </c>
      <c r="H806" s="13" t="str">
        <f>_xlfn.XLOOKUP(J806,'Master Data 14-9-2026'!C:C,'Master Data 14-9-2026'!H:H)</f>
        <v>2026-08-26 - 2026-09-25</v>
      </c>
      <c r="I806" s="13" t="str">
        <f t="shared" si="12"/>
        <v>August</v>
      </c>
      <c r="J806" s="13" t="s">
        <v>2127</v>
      </c>
      <c r="K806" s="13" t="s">
        <v>1004</v>
      </c>
      <c r="L806" s="13" t="s">
        <v>441</v>
      </c>
      <c r="M806" s="15">
        <v>200003232920020</v>
      </c>
      <c r="N806" s="13" t="s">
        <v>924</v>
      </c>
      <c r="O806" s="13">
        <v>1.09120260803002E+17</v>
      </c>
      <c r="P806" s="13" t="s">
        <v>2061</v>
      </c>
      <c r="Q806" s="18">
        <v>73</v>
      </c>
      <c r="R806" s="18">
        <v>1</v>
      </c>
      <c r="S806" s="13">
        <v>8828132634</v>
      </c>
      <c r="T806" s="13" t="s">
        <v>978</v>
      </c>
      <c r="U806" s="19">
        <v>32542400</v>
      </c>
      <c r="V806" s="18">
        <v>1</v>
      </c>
      <c r="W806" s="18">
        <f>_xlfn.XLOOKUP(J806,'Master Data 14-9-2026'!C:C,'Master Data 14-9-2026'!L:L)</f>
        <v>0</v>
      </c>
      <c r="X806" s="23">
        <v>32542400</v>
      </c>
      <c r="Y806" s="13" t="s">
        <v>2009</v>
      </c>
      <c r="Z806" s="24" t="s">
        <v>225</v>
      </c>
      <c r="AA806" s="4" t="s">
        <v>1288</v>
      </c>
      <c r="AB806" s="40" t="s">
        <v>44</v>
      </c>
      <c r="AC806" s="13"/>
      <c r="AD806" s="13"/>
      <c r="AE806" s="13" t="str">
        <f>_xlfn.XLOOKUP(L806,'[1]ID PROJECT'!E:E,'[1]ID PROJECT'!F:F)</f>
        <v xml:space="preserve">PRJ-KUT-KPU-TPED-2026-04-00071 </v>
      </c>
      <c r="AF806" s="13"/>
      <c r="AG806" s="13"/>
      <c r="AH806" s="65"/>
      <c r="AI806" s="27"/>
    </row>
    <row r="807" spans="1:35" hidden="1">
      <c r="A807" s="13" t="s">
        <v>340</v>
      </c>
      <c r="B807" s="13" t="str">
        <f>_xlfn.XLOOKUP(J807,'Master Data 14-9-2026'!C:C,'Master Data 14-9-2026'!D:D)</f>
        <v>Haedar Arrayyan Panggabean wx1522942</v>
      </c>
      <c r="C807" s="13"/>
      <c r="D807" s="13" t="str">
        <f>_xlfn.XLOOKUP(J807,'Master Data 14-9-2026'!C:C,'Master Data 14-9-2026'!E:E)</f>
        <v>XLSMART</v>
      </c>
      <c r="E807" s="13"/>
      <c r="F807" s="13"/>
      <c r="G807" s="13" t="s">
        <v>25</v>
      </c>
      <c r="H807" s="13" t="str">
        <f>_xlfn.XLOOKUP(J807,'Master Data 14-9-2026'!C:C,'Master Data 14-9-2026'!H:H)</f>
        <v>2026-08-26 - 2026-09-25</v>
      </c>
      <c r="I807" s="13" t="str">
        <f t="shared" si="12"/>
        <v>August</v>
      </c>
      <c r="J807" s="13" t="s">
        <v>2128</v>
      </c>
      <c r="K807" s="13" t="s">
        <v>1004</v>
      </c>
      <c r="L807" s="13"/>
      <c r="M807" s="15">
        <v>200003232923020</v>
      </c>
      <c r="N807" s="13" t="s">
        <v>924</v>
      </c>
      <c r="O807" s="13">
        <v>1.09120260803002E+17</v>
      </c>
      <c r="P807" s="13" t="s">
        <v>2061</v>
      </c>
      <c r="Q807" s="18">
        <v>74</v>
      </c>
      <c r="R807" s="18">
        <v>1</v>
      </c>
      <c r="S807" s="13">
        <v>8828132633</v>
      </c>
      <c r="T807" s="13" t="s">
        <v>951</v>
      </c>
      <c r="U807" s="19">
        <v>28881900</v>
      </c>
      <c r="V807" s="18">
        <v>1</v>
      </c>
      <c r="W807" s="18">
        <f>_xlfn.XLOOKUP(J807,'Master Data 14-9-2026'!C:C,'Master Data 14-9-2026'!L:L)</f>
        <v>0.5</v>
      </c>
      <c r="X807" s="23">
        <v>28881900</v>
      </c>
      <c r="Y807" s="13" t="s">
        <v>2009</v>
      </c>
      <c r="Z807" s="24" t="s">
        <v>984</v>
      </c>
      <c r="AA807" s="4" t="s">
        <v>1288</v>
      </c>
      <c r="AB807" s="13"/>
      <c r="AC807" s="13"/>
      <c r="AD807" s="13"/>
      <c r="AE807" s="13" t="e">
        <f>_xlfn.XLOOKUP(L807,'[1]ID PROJECT'!E:E,'[1]ID PROJECT'!F:F)</f>
        <v>#N/A</v>
      </c>
      <c r="AF807" s="13"/>
      <c r="AG807" s="13"/>
      <c r="AH807" s="65"/>
      <c r="AI807" s="27"/>
    </row>
    <row r="808" spans="1:35" hidden="1">
      <c r="A808" s="13" t="s">
        <v>349</v>
      </c>
      <c r="B808" s="13" t="str">
        <f>_xlfn.XLOOKUP(J808,'Master Data 14-9-2026'!C:C,'Master Data 14-9-2026'!D:D)</f>
        <v>Alda Rania Nawawi wx1522941</v>
      </c>
      <c r="C808" s="13"/>
      <c r="D808" s="13" t="str">
        <f>_xlfn.XLOOKUP(J808,'Master Data 14-9-2026'!C:C,'Master Data 14-9-2026'!E:E)</f>
        <v>XLSMART</v>
      </c>
      <c r="E808" s="13"/>
      <c r="F808" s="13"/>
      <c r="G808" s="13" t="s">
        <v>22</v>
      </c>
      <c r="H808" s="13" t="str">
        <f>_xlfn.XLOOKUP(J808,'Master Data 14-9-2026'!C:C,'Master Data 14-9-2026'!H:H)</f>
        <v>2026-08-02 - 2026-09-01</v>
      </c>
      <c r="I808" s="13" t="str">
        <f t="shared" si="12"/>
        <v>August</v>
      </c>
      <c r="J808" s="13" t="s">
        <v>2129</v>
      </c>
      <c r="K808" s="13" t="s">
        <v>1004</v>
      </c>
      <c r="L808" s="13" t="s">
        <v>441</v>
      </c>
      <c r="M808" s="15">
        <v>200003232926020</v>
      </c>
      <c r="N808" s="13" t="s">
        <v>924</v>
      </c>
      <c r="O808" s="13">
        <v>1.09120260803002E+17</v>
      </c>
      <c r="P808" s="13" t="s">
        <v>2061</v>
      </c>
      <c r="Q808" s="18">
        <v>75</v>
      </c>
      <c r="R808" s="18">
        <v>1</v>
      </c>
      <c r="S808" s="13">
        <v>8828132633</v>
      </c>
      <c r="T808" s="13" t="s">
        <v>951</v>
      </c>
      <c r="U808" s="19">
        <v>28881900</v>
      </c>
      <c r="V808" s="18">
        <v>1</v>
      </c>
      <c r="W808" s="18">
        <f>_xlfn.XLOOKUP(J808,'Master Data 14-9-2026'!C:C,'Master Data 14-9-2026'!L:L)</f>
        <v>0</v>
      </c>
      <c r="X808" s="23">
        <v>28881900</v>
      </c>
      <c r="Y808" s="13" t="s">
        <v>2009</v>
      </c>
      <c r="Z808" s="24" t="s">
        <v>984</v>
      </c>
      <c r="AA808" s="4" t="s">
        <v>1288</v>
      </c>
      <c r="AB808" s="40" t="s">
        <v>44</v>
      </c>
      <c r="AC808" s="13"/>
      <c r="AD808" s="13"/>
      <c r="AE808" s="13" t="str">
        <f>_xlfn.XLOOKUP(L808,'[1]ID PROJECT'!E:E,'[1]ID PROJECT'!F:F)</f>
        <v xml:space="preserve">PRJ-KUT-KPU-TPED-2026-04-00071 </v>
      </c>
      <c r="AF808" s="13"/>
      <c r="AG808" s="13"/>
      <c r="AH808" s="65"/>
      <c r="AI808" s="27"/>
    </row>
    <row r="809" spans="1:35">
      <c r="A809" s="13" t="s">
        <v>87</v>
      </c>
      <c r="B809" s="13" t="str">
        <f>_xlfn.XLOOKUP(J809,'Master Data 14-9-2026'!C:C,'Master Data 14-9-2026'!D:D)</f>
        <v>Adhitya Pratama wx1524069</v>
      </c>
      <c r="C809" s="13"/>
      <c r="D809" s="13" t="str">
        <f>_xlfn.XLOOKUP(J809,'Master Data 14-9-2026'!C:C,'Master Data 14-9-2026'!E:E)</f>
        <v>XLSMART</v>
      </c>
      <c r="E809" s="13"/>
      <c r="F809" s="13"/>
      <c r="G809" s="13" t="s">
        <v>22</v>
      </c>
      <c r="H809" s="13" t="str">
        <f>_xlfn.XLOOKUP(J809,'Master Data 14-9-2026'!C:C,'Master Data 14-9-2026'!H:H)</f>
        <v>2026-08-02 - 2026-09-01</v>
      </c>
      <c r="I809" s="13" t="str">
        <f t="shared" si="12"/>
        <v>August</v>
      </c>
      <c r="J809" s="13" t="s">
        <v>2130</v>
      </c>
      <c r="K809" s="13" t="s">
        <v>1004</v>
      </c>
      <c r="L809" s="13" t="s">
        <v>441</v>
      </c>
      <c r="M809" s="15">
        <v>200003232930020</v>
      </c>
      <c r="N809" s="13" t="s">
        <v>924</v>
      </c>
      <c r="O809" s="13">
        <v>1.09120260803002E+17</v>
      </c>
      <c r="P809" s="13" t="s">
        <v>2061</v>
      </c>
      <c r="Q809" s="18">
        <v>76</v>
      </c>
      <c r="R809" s="18">
        <v>1</v>
      </c>
      <c r="S809" s="13">
        <v>8828132633</v>
      </c>
      <c r="T809" s="13" t="s">
        <v>951</v>
      </c>
      <c r="U809" s="19">
        <v>28881900</v>
      </c>
      <c r="V809" s="18">
        <v>1</v>
      </c>
      <c r="W809" s="18">
        <f>_xlfn.XLOOKUP(J809,'Master Data 14-9-2026'!C:C,'Master Data 14-9-2026'!L:L)</f>
        <v>1</v>
      </c>
      <c r="X809" s="23">
        <v>28881900</v>
      </c>
      <c r="Y809" s="13" t="s">
        <v>2009</v>
      </c>
      <c r="Z809" s="24" t="str">
        <f>_xlfn.XLOOKUP(J809,'Master Data 14-9-2026'!C:C,'Master Data 14-9-2026'!I:I)</f>
        <v>Ended</v>
      </c>
      <c r="AA809" s="39" t="s">
        <v>934</v>
      </c>
      <c r="AB809" s="40"/>
      <c r="AC809" s="13"/>
      <c r="AD809" s="40" t="s">
        <v>935</v>
      </c>
      <c r="AE809" s="13" t="str">
        <f>_xlfn.XLOOKUP(L809,'[1]ID PROJECT'!E:E,'[1]ID PROJECT'!F:F)</f>
        <v xml:space="preserve">PRJ-KUT-KPU-TPED-2026-04-00071 </v>
      </c>
      <c r="AF809" s="39" t="s">
        <v>4165</v>
      </c>
      <c r="AG809" s="13" t="s">
        <v>4192</v>
      </c>
      <c r="AH809" s="65">
        <v>46286</v>
      </c>
      <c r="AI809" s="41" t="s">
        <v>967</v>
      </c>
    </row>
    <row r="810" spans="1:35" hidden="1">
      <c r="A810" s="13" t="s">
        <v>74</v>
      </c>
      <c r="B810" s="13" t="str">
        <f>_xlfn.XLOOKUP(J810,'Master Data 14-9-2026'!C:C,'Master Data 14-9-2026'!D:D)</f>
        <v>Akmal wx1524119</v>
      </c>
      <c r="C810" s="13"/>
      <c r="D810" s="13" t="str">
        <f>_xlfn.XLOOKUP(J810,'Master Data 14-9-2026'!C:C,'Master Data 14-9-2026'!E:E)</f>
        <v>XLSMART</v>
      </c>
      <c r="E810" s="13"/>
      <c r="F810" s="13"/>
      <c r="G810" s="13" t="s">
        <v>22</v>
      </c>
      <c r="H810" s="13" t="str">
        <f>_xlfn.XLOOKUP(J810,'Master Data 14-9-2026'!C:C,'Master Data 14-9-2026'!H:H)</f>
        <v>2026-08-02 - 2026-09-01</v>
      </c>
      <c r="I810" s="13" t="str">
        <f t="shared" si="12"/>
        <v>August</v>
      </c>
      <c r="J810" s="13" t="s">
        <v>2131</v>
      </c>
      <c r="K810" s="13" t="s">
        <v>1004</v>
      </c>
      <c r="L810" s="13" t="s">
        <v>441</v>
      </c>
      <c r="M810" s="15">
        <v>200003232934020</v>
      </c>
      <c r="N810" s="13" t="s">
        <v>924</v>
      </c>
      <c r="O810" s="13">
        <v>1.09120260803002E+17</v>
      </c>
      <c r="P810" s="13" t="s">
        <v>2061</v>
      </c>
      <c r="Q810" s="18">
        <v>77</v>
      </c>
      <c r="R810" s="18">
        <v>1</v>
      </c>
      <c r="S810" s="13">
        <v>8828132633</v>
      </c>
      <c r="T810" s="13" t="s">
        <v>951</v>
      </c>
      <c r="U810" s="19">
        <v>28881900</v>
      </c>
      <c r="V810" s="18">
        <v>1</v>
      </c>
      <c r="W810" s="18">
        <f>_xlfn.XLOOKUP(J810,'Master Data 14-9-2026'!C:C,'Master Data 14-9-2026'!L:L)</f>
        <v>1.5</v>
      </c>
      <c r="X810" s="23">
        <v>28881900</v>
      </c>
      <c r="Y810" s="13" t="s">
        <v>2009</v>
      </c>
      <c r="Z810" s="24" t="s">
        <v>984</v>
      </c>
      <c r="AA810" s="4" t="s">
        <v>1288</v>
      </c>
      <c r="AB810" s="13" t="s">
        <v>1600</v>
      </c>
      <c r="AC810" s="13"/>
      <c r="AD810" s="13"/>
      <c r="AE810" s="13" t="str">
        <f>_xlfn.XLOOKUP(L810,'[1]ID PROJECT'!E:E,'[1]ID PROJECT'!F:F)</f>
        <v xml:space="preserve">PRJ-KUT-KPU-TPED-2026-04-00071 </v>
      </c>
      <c r="AF810" s="13"/>
      <c r="AG810" s="13"/>
      <c r="AH810" s="65"/>
      <c r="AI810" s="27"/>
    </row>
    <row r="811" spans="1:35">
      <c r="A811" s="13" t="s">
        <v>368</v>
      </c>
      <c r="B811" s="13" t="str">
        <f>_xlfn.XLOOKUP(J811,'Master Data 14-9-2026'!C:C,'Master Data 14-9-2026'!D:D)</f>
        <v>Zaldy Raditya Ananta wx1524846</v>
      </c>
      <c r="C811" s="13"/>
      <c r="D811" s="13" t="str">
        <f>_xlfn.XLOOKUP(J811,'Master Data 14-9-2026'!C:C,'Master Data 14-9-2026'!E:E)</f>
        <v>XLSMART</v>
      </c>
      <c r="E811" s="13"/>
      <c r="F811" s="13"/>
      <c r="G811" s="13" t="s">
        <v>22</v>
      </c>
      <c r="H811" s="13" t="str">
        <f>_xlfn.XLOOKUP(J811,'Master Data 14-9-2026'!C:C,'Master Data 14-9-2026'!H:H)</f>
        <v>2026-08-02 - 2026-09-01</v>
      </c>
      <c r="I811" s="13" t="str">
        <f t="shared" si="12"/>
        <v>August</v>
      </c>
      <c r="J811" s="13" t="s">
        <v>2132</v>
      </c>
      <c r="K811" s="16" t="s">
        <v>1004</v>
      </c>
      <c r="L811" s="13" t="s">
        <v>441</v>
      </c>
      <c r="M811" s="15">
        <v>200003232938020</v>
      </c>
      <c r="N811" s="13" t="s">
        <v>924</v>
      </c>
      <c r="O811" s="13">
        <v>1.09120260803002E+17</v>
      </c>
      <c r="P811" s="13" t="s">
        <v>2061</v>
      </c>
      <c r="Q811" s="18">
        <v>78</v>
      </c>
      <c r="R811" s="18">
        <v>1</v>
      </c>
      <c r="S811" s="13">
        <v>8828132633</v>
      </c>
      <c r="T811" s="13" t="s">
        <v>951</v>
      </c>
      <c r="U811" s="19">
        <v>28881900</v>
      </c>
      <c r="V811" s="18">
        <v>1</v>
      </c>
      <c r="W811" s="18">
        <f>_xlfn.XLOOKUP(J811,'Master Data 14-9-2026'!C:C,'Master Data 14-9-2026'!L:L)</f>
        <v>1</v>
      </c>
      <c r="X811" s="23">
        <v>28881900</v>
      </c>
      <c r="Y811" s="13" t="s">
        <v>2009</v>
      </c>
      <c r="Z811" s="24" t="str">
        <f>_xlfn.XLOOKUP(J811,'Master Data 14-9-2026'!C:C,'Master Data 14-9-2026'!I:I)</f>
        <v>Ended</v>
      </c>
      <c r="AA811" s="39" t="s">
        <v>934</v>
      </c>
      <c r="AB811" s="13"/>
      <c r="AC811" s="13"/>
      <c r="AD811" s="40" t="s">
        <v>935</v>
      </c>
      <c r="AE811" s="13" t="str">
        <f>_xlfn.XLOOKUP(L811,'[1]ID PROJECT'!E:E,'[1]ID PROJECT'!F:F)</f>
        <v xml:space="preserve">PRJ-KUT-KPU-TPED-2026-04-00071 </v>
      </c>
      <c r="AF811" s="50" t="s">
        <v>4122</v>
      </c>
      <c r="AG811" s="40" t="s">
        <v>4124</v>
      </c>
      <c r="AH811" s="66">
        <v>46275</v>
      </c>
      <c r="AI811" s="41" t="s">
        <v>967</v>
      </c>
    </row>
    <row r="812" spans="1:35" hidden="1">
      <c r="A812" s="13" t="s">
        <v>355</v>
      </c>
      <c r="B812" s="13" t="str">
        <f>_xlfn.XLOOKUP(J812,'Master Data 14-9-2026'!C:C,'Master Data 14-9-2026'!D:D)</f>
        <v>Laura Alvina Dewi wx1524149</v>
      </c>
      <c r="C812" s="13"/>
      <c r="D812" s="13" t="str">
        <f>_xlfn.XLOOKUP(J812,'Master Data 14-9-2026'!C:C,'Master Data 14-9-2026'!E:E)</f>
        <v>XLSMART</v>
      </c>
      <c r="E812" s="13"/>
      <c r="F812" s="13"/>
      <c r="G812" s="13" t="s">
        <v>22</v>
      </c>
      <c r="H812" s="13" t="str">
        <f>_xlfn.XLOOKUP(J812,'Master Data 14-9-2026'!C:C,'Master Data 14-9-2026'!H:H)</f>
        <v>2026-08-08 - 2026-09-07</v>
      </c>
      <c r="I812" s="13" t="str">
        <f t="shared" si="12"/>
        <v>August</v>
      </c>
      <c r="J812" s="13" t="s">
        <v>2133</v>
      </c>
      <c r="K812" s="13" t="s">
        <v>1004</v>
      </c>
      <c r="L812" s="13"/>
      <c r="M812" s="15">
        <v>200003232942020</v>
      </c>
      <c r="N812" s="13" t="s">
        <v>924</v>
      </c>
      <c r="O812" s="13">
        <v>1.09120260803002E+17</v>
      </c>
      <c r="P812" s="13" t="s">
        <v>2061</v>
      </c>
      <c r="Q812" s="18">
        <v>79</v>
      </c>
      <c r="R812" s="18">
        <v>1</v>
      </c>
      <c r="S812" s="13">
        <v>8828132633</v>
      </c>
      <c r="T812" s="13" t="s">
        <v>951</v>
      </c>
      <c r="U812" s="19">
        <v>28881900</v>
      </c>
      <c r="V812" s="18">
        <v>1</v>
      </c>
      <c r="W812" s="18">
        <f>_xlfn.XLOOKUP(J812,'Master Data 14-9-2026'!C:C,'Master Data 14-9-2026'!L:L)</f>
        <v>0</v>
      </c>
      <c r="X812" s="23">
        <v>28881900</v>
      </c>
      <c r="Y812" s="13" t="s">
        <v>2009</v>
      </c>
      <c r="Z812" s="24" t="s">
        <v>984</v>
      </c>
      <c r="AA812" s="4" t="s">
        <v>1288</v>
      </c>
      <c r="AB812" s="40" t="s">
        <v>44</v>
      </c>
      <c r="AC812" s="13"/>
      <c r="AD812" s="13"/>
      <c r="AE812" s="13" t="e">
        <f>_xlfn.XLOOKUP(L812,'[1]ID PROJECT'!E:E,'[1]ID PROJECT'!F:F)</f>
        <v>#N/A</v>
      </c>
      <c r="AF812" s="13"/>
      <c r="AG812" s="13"/>
      <c r="AH812" s="65"/>
      <c r="AI812" s="27"/>
    </row>
    <row r="813" spans="1:35" hidden="1">
      <c r="A813" s="13" t="s">
        <v>353</v>
      </c>
      <c r="B813" s="13" t="str">
        <f>_xlfn.XLOOKUP(J813,'Master Data 14-9-2026'!C:C,'Master Data 14-9-2026'!D:D)</f>
        <v>Adnnia Nafis Qulub Aina wx1524134</v>
      </c>
      <c r="C813" s="13"/>
      <c r="D813" s="13" t="str">
        <f>_xlfn.XLOOKUP(J813,'Master Data 14-9-2026'!C:C,'Master Data 14-9-2026'!E:E)</f>
        <v>XLSMART</v>
      </c>
      <c r="E813" s="13"/>
      <c r="F813" s="13"/>
      <c r="G813" s="13" t="s">
        <v>22</v>
      </c>
      <c r="H813" s="13" t="str">
        <f>_xlfn.XLOOKUP(J813,'Master Data 14-9-2026'!C:C,'Master Data 14-9-2026'!H:H)</f>
        <v>2026-08-02 - 2026-09-01</v>
      </c>
      <c r="I813" s="13" t="str">
        <f t="shared" si="12"/>
        <v>August</v>
      </c>
      <c r="J813" s="13" t="s">
        <v>2134</v>
      </c>
      <c r="K813" s="13" t="s">
        <v>1004</v>
      </c>
      <c r="L813" s="13" t="s">
        <v>441</v>
      </c>
      <c r="M813" s="15">
        <v>200003232946020</v>
      </c>
      <c r="N813" s="13" t="s">
        <v>924</v>
      </c>
      <c r="O813" s="13">
        <v>1.09120260803002E+17</v>
      </c>
      <c r="P813" s="13" t="s">
        <v>2061</v>
      </c>
      <c r="Q813" s="18">
        <v>80</v>
      </c>
      <c r="R813" s="18">
        <v>1</v>
      </c>
      <c r="S813" s="13">
        <v>8828132633</v>
      </c>
      <c r="T813" s="13" t="s">
        <v>951</v>
      </c>
      <c r="U813" s="19">
        <v>28881900</v>
      </c>
      <c r="V813" s="18">
        <v>1</v>
      </c>
      <c r="W813" s="18">
        <f>_xlfn.XLOOKUP(J813,'Master Data 14-9-2026'!C:C,'Master Data 14-9-2026'!L:L)</f>
        <v>0</v>
      </c>
      <c r="X813" s="23">
        <v>28881900</v>
      </c>
      <c r="Y813" s="13" t="s">
        <v>2009</v>
      </c>
      <c r="Z813" s="24" t="s">
        <v>984</v>
      </c>
      <c r="AA813" s="4" t="s">
        <v>1288</v>
      </c>
      <c r="AB813" s="40" t="s">
        <v>44</v>
      </c>
      <c r="AC813" s="13"/>
      <c r="AD813" s="13"/>
      <c r="AE813" s="13" t="str">
        <f>_xlfn.XLOOKUP(L813,'[1]ID PROJECT'!E:E,'[1]ID PROJECT'!F:F)</f>
        <v xml:space="preserve">PRJ-KUT-KPU-TPED-2026-04-00071 </v>
      </c>
      <c r="AF813" s="13"/>
      <c r="AG813" s="13"/>
      <c r="AH813" s="65"/>
      <c r="AI813" s="27"/>
    </row>
    <row r="814" spans="1:35" hidden="1">
      <c r="A814" s="13" t="s">
        <v>866</v>
      </c>
      <c r="B814" s="13" t="str">
        <f>_xlfn.XLOOKUP(J814,'Master Data 14-9-2026'!C:C,'Master Data 14-9-2026'!D:D)</f>
        <v>Muhammad Fajri Zulfa wx1524072</v>
      </c>
      <c r="C814" s="13"/>
      <c r="D814" s="13" t="str">
        <f>_xlfn.XLOOKUP(J814,'Master Data 14-9-2026'!C:C,'Master Data 14-9-2026'!E:E)</f>
        <v>XLSMART</v>
      </c>
      <c r="E814" s="13"/>
      <c r="F814" s="13"/>
      <c r="G814" s="13" t="s">
        <v>22</v>
      </c>
      <c r="H814" s="13" t="str">
        <f>_xlfn.XLOOKUP(J814,'Master Data 14-9-2026'!C:C,'Master Data 14-9-2026'!H:H)</f>
        <v>2026-08-02 - 2026-09-01</v>
      </c>
      <c r="I814" s="13" t="str">
        <f t="shared" si="12"/>
        <v>August</v>
      </c>
      <c r="J814" s="13" t="s">
        <v>2135</v>
      </c>
      <c r="K814" s="13" t="s">
        <v>1004</v>
      </c>
      <c r="L814" s="13" t="s">
        <v>441</v>
      </c>
      <c r="M814" s="15">
        <v>200003232950020</v>
      </c>
      <c r="N814" s="13" t="s">
        <v>924</v>
      </c>
      <c r="O814" s="13">
        <v>1.09120260803002E+17</v>
      </c>
      <c r="P814" s="13" t="s">
        <v>2061</v>
      </c>
      <c r="Q814" s="18">
        <v>81</v>
      </c>
      <c r="R814" s="18">
        <v>1</v>
      </c>
      <c r="S814" s="13">
        <v>8828132635</v>
      </c>
      <c r="T814" s="13" t="s">
        <v>926</v>
      </c>
      <c r="U814" s="19">
        <v>34220600</v>
      </c>
      <c r="V814" s="18">
        <v>1</v>
      </c>
      <c r="W814" s="18">
        <f>_xlfn.XLOOKUP(J814,'Master Data 14-9-2026'!C:C,'Master Data 14-9-2026'!L:L)</f>
        <v>0</v>
      </c>
      <c r="X814" s="23">
        <v>34220600</v>
      </c>
      <c r="Y814" s="13" t="s">
        <v>2009</v>
      </c>
      <c r="Z814" s="24" t="s">
        <v>33</v>
      </c>
      <c r="AA814" s="4" t="s">
        <v>1288</v>
      </c>
      <c r="AB814" s="40" t="s">
        <v>44</v>
      </c>
      <c r="AC814" s="13"/>
      <c r="AD814" s="13"/>
      <c r="AE814" s="13" t="str">
        <f>_xlfn.XLOOKUP(L814,'[1]ID PROJECT'!E:E,'[1]ID PROJECT'!F:F)</f>
        <v xml:space="preserve">PRJ-KUT-KPU-TPED-2026-04-00071 </v>
      </c>
      <c r="AF814" s="13"/>
      <c r="AG814" s="13"/>
      <c r="AH814" s="65"/>
      <c r="AI814" s="27"/>
    </row>
    <row r="815" spans="1:35" hidden="1">
      <c r="A815" s="13" t="s">
        <v>876</v>
      </c>
      <c r="B815" s="13" t="str">
        <f>_xlfn.XLOOKUP(J815,'Master Data 14-9-2026'!C:C,'Master Data 14-9-2026'!D:D)</f>
        <v>Maulana Muhammad Aziz wx1524071</v>
      </c>
      <c r="C815" s="13"/>
      <c r="D815" s="13" t="str">
        <f>_xlfn.XLOOKUP(J815,'Master Data 14-9-2026'!C:C,'Master Data 14-9-2026'!E:E)</f>
        <v>XLSMART</v>
      </c>
      <c r="E815" s="13"/>
      <c r="F815" s="13"/>
      <c r="G815" s="13" t="s">
        <v>22</v>
      </c>
      <c r="H815" s="13" t="str">
        <f>_xlfn.XLOOKUP(J815,'Master Data 14-9-2026'!C:C,'Master Data 14-9-2026'!H:H)</f>
        <v>2026-08-02 - 2026-09-01</v>
      </c>
      <c r="I815" s="13" t="str">
        <f t="shared" si="12"/>
        <v>August</v>
      </c>
      <c r="J815" s="13" t="s">
        <v>2136</v>
      </c>
      <c r="K815" s="13" t="s">
        <v>1004</v>
      </c>
      <c r="L815" s="13" t="s">
        <v>441</v>
      </c>
      <c r="M815" s="15">
        <v>200003232954020</v>
      </c>
      <c r="N815" s="13" t="s">
        <v>924</v>
      </c>
      <c r="O815" s="13">
        <v>1.09120260803002E+17</v>
      </c>
      <c r="P815" s="13" t="s">
        <v>2061</v>
      </c>
      <c r="Q815" s="18">
        <v>82</v>
      </c>
      <c r="R815" s="18">
        <v>1</v>
      </c>
      <c r="S815" s="13">
        <v>8828132635</v>
      </c>
      <c r="T815" s="13" t="s">
        <v>926</v>
      </c>
      <c r="U815" s="19">
        <v>34220600</v>
      </c>
      <c r="V815" s="18">
        <v>1</v>
      </c>
      <c r="W815" s="18">
        <f>_xlfn.XLOOKUP(J815,'Master Data 14-9-2026'!C:C,'Master Data 14-9-2026'!L:L)</f>
        <v>0</v>
      </c>
      <c r="X815" s="23">
        <v>34220600</v>
      </c>
      <c r="Y815" s="13" t="s">
        <v>2009</v>
      </c>
      <c r="Z815" s="24" t="s">
        <v>33</v>
      </c>
      <c r="AA815" s="4" t="s">
        <v>1288</v>
      </c>
      <c r="AB815" s="40" t="s">
        <v>44</v>
      </c>
      <c r="AC815" s="13"/>
      <c r="AD815" s="13"/>
      <c r="AE815" s="13" t="str">
        <f>_xlfn.XLOOKUP(L815,'[1]ID PROJECT'!E:E,'[1]ID PROJECT'!F:F)</f>
        <v xml:space="preserve">PRJ-KUT-KPU-TPED-2026-04-00071 </v>
      </c>
      <c r="AF815" s="13"/>
      <c r="AG815" s="13"/>
      <c r="AH815" s="65"/>
      <c r="AI815" s="27"/>
    </row>
    <row r="816" spans="1:35" hidden="1">
      <c r="A816" s="13" t="s">
        <v>730</v>
      </c>
      <c r="B816" s="13" t="str">
        <f>_xlfn.XLOOKUP(J816,'Master Data 14-9-2026'!C:C,'Master Data 14-9-2026'!D:D)</f>
        <v>Andri Aryo Priyadi wx1524068</v>
      </c>
      <c r="C816" s="13"/>
      <c r="D816" s="13" t="str">
        <f>_xlfn.XLOOKUP(J816,'Master Data 14-9-2026'!C:C,'Master Data 14-9-2026'!E:E)</f>
        <v>XLSMART</v>
      </c>
      <c r="E816" s="13"/>
      <c r="F816" s="13"/>
      <c r="G816" s="13" t="s">
        <v>22</v>
      </c>
      <c r="H816" s="13" t="str">
        <f>_xlfn.XLOOKUP(J816,'Master Data 14-9-2026'!C:C,'Master Data 14-9-2026'!H:H)</f>
        <v>2026-08-02 - 2026-09-01</v>
      </c>
      <c r="I816" s="13" t="str">
        <f t="shared" si="12"/>
        <v>August</v>
      </c>
      <c r="J816" s="13" t="s">
        <v>2137</v>
      </c>
      <c r="K816" s="13" t="s">
        <v>1004</v>
      </c>
      <c r="L816" s="13" t="s">
        <v>441</v>
      </c>
      <c r="M816" s="15">
        <v>200003232958020</v>
      </c>
      <c r="N816" s="13" t="s">
        <v>924</v>
      </c>
      <c r="O816" s="13">
        <v>1.09120260803002E+17</v>
      </c>
      <c r="P816" s="13" t="s">
        <v>2061</v>
      </c>
      <c r="Q816" s="18">
        <v>83</v>
      </c>
      <c r="R816" s="18">
        <v>1</v>
      </c>
      <c r="S816" s="13">
        <v>8828132635</v>
      </c>
      <c r="T816" s="13" t="s">
        <v>926</v>
      </c>
      <c r="U816" s="19">
        <v>34220600</v>
      </c>
      <c r="V816" s="18">
        <v>1</v>
      </c>
      <c r="W816" s="18">
        <f>_xlfn.XLOOKUP(J816,'Master Data 14-9-2026'!C:C,'Master Data 14-9-2026'!L:L)</f>
        <v>1.5</v>
      </c>
      <c r="X816" s="23">
        <v>34220600</v>
      </c>
      <c r="Y816" s="13" t="s">
        <v>2009</v>
      </c>
      <c r="Z816" s="24" t="s">
        <v>33</v>
      </c>
      <c r="AA816" s="4" t="s">
        <v>1288</v>
      </c>
      <c r="AB816" s="13" t="s">
        <v>1600</v>
      </c>
      <c r="AC816" s="13"/>
      <c r="AD816" s="13"/>
      <c r="AE816" s="13" t="str">
        <f>_xlfn.XLOOKUP(L816,'[1]ID PROJECT'!E:E,'[1]ID PROJECT'!F:F)</f>
        <v xml:space="preserve">PRJ-KUT-KPU-TPED-2026-04-00071 </v>
      </c>
      <c r="AF816" s="13"/>
      <c r="AG816" s="13"/>
      <c r="AH816" s="65"/>
      <c r="AI816" s="27"/>
    </row>
    <row r="817" spans="1:35" hidden="1">
      <c r="A817" s="13" t="s">
        <v>720</v>
      </c>
      <c r="B817" s="13" t="str">
        <f>_xlfn.XLOOKUP(J817,'Master Data 14-9-2026'!C:C,'Master Data 14-9-2026'!D:D)</f>
        <v>Nisrina Nurul Fadlilah wx1524067</v>
      </c>
      <c r="C817" s="13"/>
      <c r="D817" s="13" t="str">
        <f>_xlfn.XLOOKUP(J817,'Master Data 14-9-2026'!C:C,'Master Data 14-9-2026'!E:E)</f>
        <v>XLSMART</v>
      </c>
      <c r="E817" s="13"/>
      <c r="F817" s="13"/>
      <c r="G817" s="13" t="s">
        <v>22</v>
      </c>
      <c r="H817" s="13" t="str">
        <f>_xlfn.XLOOKUP(J817,'Master Data 14-9-2026'!C:C,'Master Data 14-9-2026'!H:H)</f>
        <v>2026-08-02 - 2026-09-01</v>
      </c>
      <c r="I817" s="13" t="str">
        <f t="shared" si="12"/>
        <v>August</v>
      </c>
      <c r="J817" s="13" t="s">
        <v>2138</v>
      </c>
      <c r="K817" s="13" t="s">
        <v>1004</v>
      </c>
      <c r="L817" s="13" t="s">
        <v>441</v>
      </c>
      <c r="M817" s="15">
        <v>200003232962020</v>
      </c>
      <c r="N817" s="13" t="s">
        <v>924</v>
      </c>
      <c r="O817" s="13">
        <v>1.09120260803002E+17</v>
      </c>
      <c r="P817" s="13" t="s">
        <v>2061</v>
      </c>
      <c r="Q817" s="18">
        <v>84</v>
      </c>
      <c r="R817" s="18">
        <v>1</v>
      </c>
      <c r="S817" s="13">
        <v>8828132635</v>
      </c>
      <c r="T817" s="13" t="s">
        <v>926</v>
      </c>
      <c r="U817" s="19">
        <v>34220600</v>
      </c>
      <c r="V817" s="18">
        <v>1</v>
      </c>
      <c r="W817" s="18">
        <f>_xlfn.XLOOKUP(J817,'Master Data 14-9-2026'!C:C,'Master Data 14-9-2026'!L:L)</f>
        <v>1.5</v>
      </c>
      <c r="X817" s="23">
        <v>34220600</v>
      </c>
      <c r="Y817" s="13" t="s">
        <v>2009</v>
      </c>
      <c r="Z817" s="24" t="s">
        <v>33</v>
      </c>
      <c r="AA817" s="4" t="s">
        <v>1288</v>
      </c>
      <c r="AB817" s="13" t="s">
        <v>1600</v>
      </c>
      <c r="AC817" s="13"/>
      <c r="AD817" s="13"/>
      <c r="AE817" s="13" t="str">
        <f>_xlfn.XLOOKUP(L817,'[1]ID PROJECT'!E:E,'[1]ID PROJECT'!F:F)</f>
        <v xml:space="preserve">PRJ-KUT-KPU-TPED-2026-04-00071 </v>
      </c>
      <c r="AF817" s="13"/>
      <c r="AG817" s="13"/>
      <c r="AH817" s="65"/>
      <c r="AI817" s="27"/>
    </row>
    <row r="818" spans="1:35" hidden="1">
      <c r="A818" s="13" t="s">
        <v>808</v>
      </c>
      <c r="B818" s="13" t="str">
        <f>_xlfn.XLOOKUP(J818,'Master Data 14-9-2026'!C:C,'Master Data 14-9-2026'!D:D)</f>
        <v>Muhammad hidayah Ramadhan wx1524847</v>
      </c>
      <c r="C818" s="13"/>
      <c r="D818" s="13" t="str">
        <f>_xlfn.XLOOKUP(J818,'Master Data 14-9-2026'!C:C,'Master Data 14-9-2026'!E:E)</f>
        <v>XLSMART</v>
      </c>
      <c r="E818" s="13"/>
      <c r="F818" s="13"/>
      <c r="G818" s="13" t="s">
        <v>22</v>
      </c>
      <c r="H818" s="13" t="str">
        <f>_xlfn.XLOOKUP(J818,'Master Data 14-9-2026'!C:C,'Master Data 14-9-2026'!H:H)</f>
        <v>2026-08-02 - 2026-09-01</v>
      </c>
      <c r="I818" s="13" t="str">
        <f t="shared" si="12"/>
        <v>August</v>
      </c>
      <c r="J818" s="13" t="s">
        <v>2139</v>
      </c>
      <c r="K818" s="13" t="s">
        <v>1004</v>
      </c>
      <c r="L818" s="13" t="s">
        <v>441</v>
      </c>
      <c r="M818" s="15">
        <v>200003232966020</v>
      </c>
      <c r="N818" s="13" t="s">
        <v>924</v>
      </c>
      <c r="O818" s="13">
        <v>1.09120260803002E+17</v>
      </c>
      <c r="P818" s="13" t="s">
        <v>2061</v>
      </c>
      <c r="Q818" s="18">
        <v>85</v>
      </c>
      <c r="R818" s="18">
        <v>1</v>
      </c>
      <c r="S818" s="13">
        <v>8828132635</v>
      </c>
      <c r="T818" s="13" t="s">
        <v>926</v>
      </c>
      <c r="U818" s="19">
        <v>34220600</v>
      </c>
      <c r="V818" s="18">
        <v>1</v>
      </c>
      <c r="W818" s="18">
        <f>_xlfn.XLOOKUP(J818,'Master Data 14-9-2026'!C:C,'Master Data 14-9-2026'!L:L)</f>
        <v>0</v>
      </c>
      <c r="X818" s="23">
        <v>34220600</v>
      </c>
      <c r="Y818" s="13" t="s">
        <v>2009</v>
      </c>
      <c r="Z818" s="24" t="s">
        <v>33</v>
      </c>
      <c r="AA818" s="4" t="s">
        <v>1288</v>
      </c>
      <c r="AB818" s="40" t="s">
        <v>44</v>
      </c>
      <c r="AC818" s="13"/>
      <c r="AD818" s="13"/>
      <c r="AE818" s="13" t="str">
        <f>_xlfn.XLOOKUP(L818,'[1]ID PROJECT'!E:E,'[1]ID PROJECT'!F:F)</f>
        <v xml:space="preserve">PRJ-KUT-KPU-TPED-2026-04-00071 </v>
      </c>
      <c r="AF818" s="13"/>
      <c r="AG818" s="13"/>
      <c r="AH818" s="65"/>
      <c r="AI818" s="27"/>
    </row>
    <row r="819" spans="1:35" hidden="1">
      <c r="A819" s="13" t="s">
        <v>496</v>
      </c>
      <c r="B819" s="13" t="str">
        <f>_xlfn.XLOOKUP(J819,'Master Data 14-9-2026'!C:C,'Master Data 14-9-2026'!D:D)</f>
        <v>Dimas Sigit Setio Putro wx1523999</v>
      </c>
      <c r="C819" s="13"/>
      <c r="D819" s="13" t="str">
        <f>_xlfn.XLOOKUP(J819,'Master Data 14-9-2026'!C:C,'Master Data 14-9-2026'!E:E)</f>
        <v>XLSMART</v>
      </c>
      <c r="E819" s="13"/>
      <c r="F819" s="13"/>
      <c r="G819" s="13" t="s">
        <v>22</v>
      </c>
      <c r="H819" s="13" t="str">
        <f>_xlfn.XLOOKUP(J819,'Master Data 14-9-2026'!C:C,'Master Data 14-9-2026'!H:H)</f>
        <v>2026-08-02 - 2026-09-01</v>
      </c>
      <c r="I819" s="13" t="str">
        <f t="shared" si="12"/>
        <v>August</v>
      </c>
      <c r="J819" s="13" t="s">
        <v>2140</v>
      </c>
      <c r="K819" s="13" t="s">
        <v>1004</v>
      </c>
      <c r="L819" s="13" t="s">
        <v>441</v>
      </c>
      <c r="M819" s="15">
        <v>200003232970020</v>
      </c>
      <c r="N819" s="13" t="s">
        <v>924</v>
      </c>
      <c r="O819" s="13">
        <v>1.09120260803002E+17</v>
      </c>
      <c r="P819" s="13" t="s">
        <v>2061</v>
      </c>
      <c r="Q819" s="18">
        <v>86</v>
      </c>
      <c r="R819" s="18">
        <v>1</v>
      </c>
      <c r="S819" s="13">
        <v>8828132636</v>
      </c>
      <c r="T819" s="13" t="s">
        <v>933</v>
      </c>
      <c r="U819" s="19">
        <v>36992000</v>
      </c>
      <c r="V819" s="18">
        <v>1</v>
      </c>
      <c r="W819" s="18">
        <f>_xlfn.XLOOKUP(J819,'Master Data 14-9-2026'!C:C,'Master Data 14-9-2026'!L:L)</f>
        <v>1.5</v>
      </c>
      <c r="X819" s="23">
        <v>36992000</v>
      </c>
      <c r="Y819" s="13" t="s">
        <v>2009</v>
      </c>
      <c r="Z819" s="24" t="s">
        <v>33</v>
      </c>
      <c r="AA819" s="4" t="s">
        <v>1288</v>
      </c>
      <c r="AB819" s="13" t="s">
        <v>1289</v>
      </c>
      <c r="AC819" s="13"/>
      <c r="AD819" s="13"/>
      <c r="AE819" s="13" t="str">
        <f>_xlfn.XLOOKUP(L819,'[1]ID PROJECT'!E:E,'[1]ID PROJECT'!F:F)</f>
        <v xml:space="preserve">PRJ-KUT-KPU-TPED-2026-04-00071 </v>
      </c>
      <c r="AF819" s="13"/>
      <c r="AG819" s="13"/>
      <c r="AH819" s="65"/>
      <c r="AI819" s="27"/>
    </row>
    <row r="820" spans="1:35" hidden="1">
      <c r="A820" s="13" t="s">
        <v>818</v>
      </c>
      <c r="B820" s="13" t="str">
        <f>_xlfn.XLOOKUP(J820,'Master Data 14-9-2026'!C:C,'Master Data 14-9-2026'!D:D)</f>
        <v>Anan Agrani wx1524133</v>
      </c>
      <c r="C820" s="13"/>
      <c r="D820" s="13" t="str">
        <f>_xlfn.XLOOKUP(J820,'Master Data 14-9-2026'!C:C,'Master Data 14-9-2026'!E:E)</f>
        <v>XLSMART</v>
      </c>
      <c r="E820" s="13"/>
      <c r="F820" s="13"/>
      <c r="G820" s="13" t="s">
        <v>22</v>
      </c>
      <c r="H820" s="13" t="str">
        <f>_xlfn.XLOOKUP(J820,'Master Data 14-9-2026'!C:C,'Master Data 14-9-2026'!H:H)</f>
        <v>2026-08-16 - 2026-09-15</v>
      </c>
      <c r="I820" s="13" t="str">
        <f t="shared" si="12"/>
        <v>August</v>
      </c>
      <c r="J820" s="13" t="s">
        <v>2141</v>
      </c>
      <c r="K820" s="13" t="s">
        <v>1004</v>
      </c>
      <c r="L820" s="13" t="s">
        <v>441</v>
      </c>
      <c r="M820" s="15">
        <v>200003232974020</v>
      </c>
      <c r="N820" s="13" t="s">
        <v>924</v>
      </c>
      <c r="O820" s="13">
        <v>1.09120260803002E+17</v>
      </c>
      <c r="P820" s="13" t="s">
        <v>2061</v>
      </c>
      <c r="Q820" s="18">
        <v>87</v>
      </c>
      <c r="R820" s="18">
        <v>1</v>
      </c>
      <c r="S820" s="13">
        <v>8828132635</v>
      </c>
      <c r="T820" s="13" t="s">
        <v>926</v>
      </c>
      <c r="U820" s="19">
        <v>34220600</v>
      </c>
      <c r="V820" s="18">
        <v>1</v>
      </c>
      <c r="W820" s="18">
        <f>_xlfn.XLOOKUP(J820,'Master Data 14-9-2026'!C:C,'Master Data 14-9-2026'!L:L)</f>
        <v>0.5</v>
      </c>
      <c r="X820" s="23">
        <v>34220600</v>
      </c>
      <c r="Y820" s="13" t="s">
        <v>2009</v>
      </c>
      <c r="Z820" s="24" t="s">
        <v>33</v>
      </c>
      <c r="AA820" s="4" t="s">
        <v>1288</v>
      </c>
      <c r="AB820" s="13"/>
      <c r="AC820" s="13"/>
      <c r="AD820" s="13"/>
      <c r="AE820" s="13" t="str">
        <f>_xlfn.XLOOKUP(L820,'[1]ID PROJECT'!E:E,'[1]ID PROJECT'!F:F)</f>
        <v xml:space="preserve">PRJ-KUT-KPU-TPED-2026-04-00071 </v>
      </c>
      <c r="AF820" s="13"/>
      <c r="AG820" s="13"/>
      <c r="AH820" s="65"/>
      <c r="AI820" s="27"/>
    </row>
    <row r="821" spans="1:35" hidden="1">
      <c r="A821" s="13" t="s">
        <v>326</v>
      </c>
      <c r="B821" s="13" t="str">
        <f>_xlfn.XLOOKUP(J821,'Master Data 14-9-2026'!C:C,'Master Data 14-9-2026'!D:D)</f>
        <v>Fatimah Putri Johari wx1529215</v>
      </c>
      <c r="C821" s="13"/>
      <c r="D821" s="13" t="str">
        <f>_xlfn.XLOOKUP(J821,'Master Data 14-9-2026'!C:C,'Master Data 14-9-2026'!E:E)</f>
        <v>XLSMART</v>
      </c>
      <c r="E821" s="13"/>
      <c r="F821" s="13"/>
      <c r="G821" s="13" t="s">
        <v>18</v>
      </c>
      <c r="H821" s="13" t="str">
        <f>_xlfn.XLOOKUP(J821,'Master Data 14-9-2026'!C:C,'Master Data 14-9-2026'!H:H)</f>
        <v>2026-08-01 - 2026-08-31</v>
      </c>
      <c r="I821" s="13" t="str">
        <f t="shared" si="12"/>
        <v>August</v>
      </c>
      <c r="J821" s="13" t="s">
        <v>2142</v>
      </c>
      <c r="K821" s="13" t="s">
        <v>1004</v>
      </c>
      <c r="L821" s="13" t="s">
        <v>441</v>
      </c>
      <c r="M821" s="15">
        <v>200003232982020</v>
      </c>
      <c r="N821" s="13" t="s">
        <v>924</v>
      </c>
      <c r="O821" s="13">
        <v>1.09120260803002E+17</v>
      </c>
      <c r="P821" s="13" t="s">
        <v>2061</v>
      </c>
      <c r="Q821" s="18">
        <v>88</v>
      </c>
      <c r="R821" s="18">
        <v>1</v>
      </c>
      <c r="S821" s="13">
        <v>8828132633</v>
      </c>
      <c r="T821" s="13" t="s">
        <v>951</v>
      </c>
      <c r="U821" s="19">
        <v>28881900</v>
      </c>
      <c r="V821" s="18">
        <v>1</v>
      </c>
      <c r="W821" s="18">
        <f>_xlfn.XLOOKUP(J821,'Master Data 14-9-2026'!C:C,'Master Data 14-9-2026'!L:L)</f>
        <v>0</v>
      </c>
      <c r="X821" s="23">
        <v>28881900</v>
      </c>
      <c r="Y821" s="13" t="s">
        <v>2009</v>
      </c>
      <c r="Z821" s="24" t="s">
        <v>984</v>
      </c>
      <c r="AA821" s="4" t="s">
        <v>1288</v>
      </c>
      <c r="AB821" s="40" t="s">
        <v>44</v>
      </c>
      <c r="AC821" s="13"/>
      <c r="AD821" s="13"/>
      <c r="AE821" s="13" t="str">
        <f>_xlfn.XLOOKUP(L821,'[1]ID PROJECT'!E:E,'[1]ID PROJECT'!F:F)</f>
        <v xml:space="preserve">PRJ-KUT-KPU-TPED-2026-04-00071 </v>
      </c>
      <c r="AF821" s="13"/>
      <c r="AG821" s="13"/>
      <c r="AH821" s="65"/>
      <c r="AI821" s="27"/>
    </row>
    <row r="822" spans="1:35" hidden="1">
      <c r="A822" s="13" t="s">
        <v>312</v>
      </c>
      <c r="B822" s="13" t="str">
        <f>_xlfn.XLOOKUP(J822,'Master Data 14-9-2026'!C:C,'Master Data 14-9-2026'!D:D)</f>
        <v>Azzahra Salma Euga wx1524070</v>
      </c>
      <c r="C822" s="13"/>
      <c r="D822" s="13" t="str">
        <f>_xlfn.XLOOKUP(J822,'Master Data 14-9-2026'!C:C,'Master Data 14-9-2026'!E:E)</f>
        <v>XLSMART</v>
      </c>
      <c r="E822" s="13"/>
      <c r="F822" s="13"/>
      <c r="G822" s="13" t="s">
        <v>22</v>
      </c>
      <c r="H822" s="13" t="str">
        <f>_xlfn.XLOOKUP(J822,'Master Data 14-9-2026'!C:C,'Master Data 14-9-2026'!H:H)</f>
        <v>2026-08-02 - 2026-09-01</v>
      </c>
      <c r="I822" s="13" t="str">
        <f t="shared" si="12"/>
        <v>August</v>
      </c>
      <c r="J822" s="13" t="s">
        <v>2143</v>
      </c>
      <c r="K822" s="13" t="s">
        <v>1004</v>
      </c>
      <c r="L822" s="13" t="s">
        <v>441</v>
      </c>
      <c r="M822" s="15">
        <v>200003233193020</v>
      </c>
      <c r="N822" s="13" t="s">
        <v>924</v>
      </c>
      <c r="O822" s="13">
        <v>1.09120260803002E+17</v>
      </c>
      <c r="P822" s="13" t="s">
        <v>2061</v>
      </c>
      <c r="Q822" s="18">
        <v>89</v>
      </c>
      <c r="R822" s="18">
        <v>1</v>
      </c>
      <c r="S822" s="13">
        <v>8828132633</v>
      </c>
      <c r="T822" s="13" t="s">
        <v>951</v>
      </c>
      <c r="U822" s="19">
        <v>28881900</v>
      </c>
      <c r="V822" s="18">
        <v>1</v>
      </c>
      <c r="W822" s="18">
        <f>_xlfn.XLOOKUP(J822,'Master Data 14-9-2026'!C:C,'Master Data 14-9-2026'!L:L)</f>
        <v>1.5</v>
      </c>
      <c r="X822" s="23">
        <v>28881900</v>
      </c>
      <c r="Y822" s="13" t="s">
        <v>2009</v>
      </c>
      <c r="Z822" s="24" t="s">
        <v>984</v>
      </c>
      <c r="AA822" s="4" t="s">
        <v>1288</v>
      </c>
      <c r="AB822" s="13"/>
      <c r="AC822" s="13"/>
      <c r="AD822" s="13"/>
      <c r="AE822" s="13" t="str">
        <f>_xlfn.XLOOKUP(L822,'[1]ID PROJECT'!E:E,'[1]ID PROJECT'!F:F)</f>
        <v xml:space="preserve">PRJ-KUT-KPU-TPED-2026-04-00071 </v>
      </c>
      <c r="AF822" s="13"/>
      <c r="AG822" s="13"/>
      <c r="AH822" s="65"/>
      <c r="AI822" s="27"/>
    </row>
    <row r="823" spans="1:35" hidden="1">
      <c r="A823" s="13" t="s">
        <v>312</v>
      </c>
      <c r="B823" s="13" t="str">
        <f>_xlfn.XLOOKUP(J823,'Master Data 14-9-2026'!C:C,'Master Data 14-9-2026'!D:D)</f>
        <v>Azzahra Salma Euga wx1524070</v>
      </c>
      <c r="C823" s="13"/>
      <c r="D823" s="13" t="str">
        <f>_xlfn.XLOOKUP(J823,'Master Data 14-9-2026'!C:C,'Master Data 14-9-2026'!E:E)</f>
        <v>XLSMART</v>
      </c>
      <c r="E823" s="13"/>
      <c r="F823" s="13"/>
      <c r="G823" s="13" t="s">
        <v>25</v>
      </c>
      <c r="H823" s="13" t="str">
        <f>_xlfn.XLOOKUP(J823,'Master Data 14-9-2026'!C:C,'Master Data 14-9-2026'!H:H)</f>
        <v>2026-09-02 - 2026-10-01</v>
      </c>
      <c r="I823" s="13" t="str">
        <f t="shared" si="12"/>
        <v>September</v>
      </c>
      <c r="J823" s="13" t="s">
        <v>2144</v>
      </c>
      <c r="K823" s="13" t="s">
        <v>1004</v>
      </c>
      <c r="L823" s="13"/>
      <c r="M823" s="15">
        <v>200003233194020</v>
      </c>
      <c r="N823" s="13" t="s">
        <v>924</v>
      </c>
      <c r="O823" s="13">
        <v>1.09120260803002E+17</v>
      </c>
      <c r="P823" s="13" t="s">
        <v>2061</v>
      </c>
      <c r="Q823" s="18">
        <v>90</v>
      </c>
      <c r="R823" s="18">
        <v>1</v>
      </c>
      <c r="S823" s="13">
        <v>8828132633</v>
      </c>
      <c r="T823" s="13" t="s">
        <v>951</v>
      </c>
      <c r="U823" s="19">
        <v>28881900</v>
      </c>
      <c r="V823" s="18">
        <v>1</v>
      </c>
      <c r="W823" s="18">
        <f>_xlfn.XLOOKUP(J823,'Master Data 14-9-2026'!C:C,'Master Data 14-9-2026'!L:L)</f>
        <v>1</v>
      </c>
      <c r="X823" s="23">
        <v>28881900</v>
      </c>
      <c r="Y823" s="13" t="s">
        <v>2009</v>
      </c>
      <c r="Z823" s="24" t="str">
        <f>_xlfn.XLOOKUP(J823,'Master Data 14-9-2026'!C:C,'Master Data 14-9-2026'!I:I)</f>
        <v>Ongoing</v>
      </c>
      <c r="AA823" s="4" t="s">
        <v>1288</v>
      </c>
      <c r="AB823" s="13"/>
      <c r="AC823" s="13"/>
      <c r="AD823" s="13"/>
      <c r="AE823" s="13" t="e">
        <f>_xlfn.XLOOKUP(L823,'[1]ID PROJECT'!E:E,'[1]ID PROJECT'!F:F)</f>
        <v>#N/A</v>
      </c>
      <c r="AF823" s="13"/>
      <c r="AG823" s="13"/>
      <c r="AH823" s="65"/>
      <c r="AI823" s="27"/>
    </row>
    <row r="824" spans="1:35" hidden="1">
      <c r="A824" s="13" t="s">
        <v>786</v>
      </c>
      <c r="B824" s="13" t="str">
        <f>_xlfn.XLOOKUP(J824,'Master Data 14-9-2026'!C:C,'Master Data 14-9-2026'!D:D)</f>
        <v>Carolus Loka Wiro Utomo wx1529069</v>
      </c>
      <c r="C824" s="13"/>
      <c r="D824" s="13" t="str">
        <f>_xlfn.XLOOKUP(J824,'Master Data 14-9-2026'!C:C,'Master Data 14-9-2026'!E:E)</f>
        <v>XLSMART</v>
      </c>
      <c r="E824" s="13"/>
      <c r="F824" s="13"/>
      <c r="G824" s="13" t="s">
        <v>18</v>
      </c>
      <c r="H824" s="13" t="str">
        <f>_xlfn.XLOOKUP(J824,'Master Data 14-9-2026'!C:C,'Master Data 14-9-2026'!H:H)</f>
        <v>2026-08-01 - 2026-08-31</v>
      </c>
      <c r="I824" s="13" t="str">
        <f t="shared" si="12"/>
        <v>August</v>
      </c>
      <c r="J824" s="13" t="s">
        <v>2145</v>
      </c>
      <c r="K824" s="13" t="s">
        <v>1004</v>
      </c>
      <c r="L824" s="13" t="s">
        <v>441</v>
      </c>
      <c r="M824" s="15">
        <v>200003232984020</v>
      </c>
      <c r="N824" s="13" t="s">
        <v>924</v>
      </c>
      <c r="O824" s="13">
        <v>1.09120260803002E+17</v>
      </c>
      <c r="P824" s="13" t="s">
        <v>2061</v>
      </c>
      <c r="Q824" s="18">
        <v>91</v>
      </c>
      <c r="R824" s="18">
        <v>1</v>
      </c>
      <c r="S824" s="13">
        <v>8828132635</v>
      </c>
      <c r="T824" s="13" t="s">
        <v>926</v>
      </c>
      <c r="U824" s="19">
        <v>34220600</v>
      </c>
      <c r="V824" s="18">
        <v>1</v>
      </c>
      <c r="W824" s="18">
        <f>_xlfn.XLOOKUP(J824,'Master Data 14-9-2026'!C:C,'Master Data 14-9-2026'!L:L)</f>
        <v>1.22</v>
      </c>
      <c r="X824" s="23">
        <v>34220600</v>
      </c>
      <c r="Y824" s="13" t="s">
        <v>2009</v>
      </c>
      <c r="Z824" s="24" t="s">
        <v>33</v>
      </c>
      <c r="AA824" s="4" t="s">
        <v>1288</v>
      </c>
      <c r="AB824" s="13" t="s">
        <v>1289</v>
      </c>
      <c r="AC824" s="13"/>
      <c r="AD824" s="13"/>
      <c r="AE824" s="13" t="str">
        <f>_xlfn.XLOOKUP(L824,'[1]ID PROJECT'!E:E,'[1]ID PROJECT'!F:F)</f>
        <v xml:space="preserve">PRJ-KUT-KPU-TPED-2026-04-00071 </v>
      </c>
      <c r="AF824" s="13"/>
      <c r="AG824" s="13"/>
      <c r="AH824" s="65"/>
      <c r="AI824" s="27"/>
    </row>
    <row r="825" spans="1:35" hidden="1">
      <c r="A825" s="13" t="s">
        <v>726</v>
      </c>
      <c r="B825" s="13" t="str">
        <f>_xlfn.XLOOKUP(J825,'Master Data 14-9-2026'!C:C,'Master Data 14-9-2026'!D:D)</f>
        <v>Hardian Jayadi wx1529214</v>
      </c>
      <c r="C825" s="13"/>
      <c r="D825" s="13" t="str">
        <f>_xlfn.XLOOKUP(J825,'Master Data 14-9-2026'!C:C,'Master Data 14-9-2026'!E:E)</f>
        <v>XLSMART</v>
      </c>
      <c r="E825" s="13"/>
      <c r="F825" s="13"/>
      <c r="G825" s="13" t="s">
        <v>18</v>
      </c>
      <c r="H825" s="13" t="str">
        <f>_xlfn.XLOOKUP(J825,'Master Data 14-9-2026'!C:C,'Master Data 14-9-2026'!H:H)</f>
        <v>2026-08-01 - 2026-08-31</v>
      </c>
      <c r="I825" s="13" t="str">
        <f t="shared" si="12"/>
        <v>August</v>
      </c>
      <c r="J825" s="13" t="s">
        <v>2146</v>
      </c>
      <c r="K825" s="13" t="s">
        <v>1004</v>
      </c>
      <c r="L825" s="13" t="s">
        <v>441</v>
      </c>
      <c r="M825" s="15">
        <v>200003232985020</v>
      </c>
      <c r="N825" s="13" t="s">
        <v>924</v>
      </c>
      <c r="O825" s="13">
        <v>1.09120260803002E+17</v>
      </c>
      <c r="P825" s="13" t="s">
        <v>2061</v>
      </c>
      <c r="Q825" s="18">
        <v>92</v>
      </c>
      <c r="R825" s="18">
        <v>1</v>
      </c>
      <c r="S825" s="13">
        <v>8828132635</v>
      </c>
      <c r="T825" s="13" t="s">
        <v>926</v>
      </c>
      <c r="U825" s="19">
        <v>34220600</v>
      </c>
      <c r="V825" s="18">
        <v>1</v>
      </c>
      <c r="W825" s="18">
        <f>_xlfn.XLOOKUP(J825,'Master Data 14-9-2026'!C:C,'Master Data 14-9-2026'!L:L)</f>
        <v>1.25</v>
      </c>
      <c r="X825" s="23">
        <v>34220600</v>
      </c>
      <c r="Y825" s="13" t="s">
        <v>2009</v>
      </c>
      <c r="Z825" s="24" t="s">
        <v>33</v>
      </c>
      <c r="AA825" s="4" t="s">
        <v>1288</v>
      </c>
      <c r="AB825" s="13"/>
      <c r="AC825" s="13"/>
      <c r="AD825" s="13"/>
      <c r="AE825" s="13" t="str">
        <f>_xlfn.XLOOKUP(L825,'[1]ID PROJECT'!E:E,'[1]ID PROJECT'!F:F)</f>
        <v xml:space="preserve">PRJ-KUT-KPU-TPED-2026-04-00071 </v>
      </c>
      <c r="AF825" s="13"/>
      <c r="AG825" s="13"/>
      <c r="AH825" s="65"/>
      <c r="AI825" s="27"/>
    </row>
    <row r="826" spans="1:35" hidden="1">
      <c r="A826" s="13" t="s">
        <v>882</v>
      </c>
      <c r="B826" s="13" t="str">
        <f>_xlfn.XLOOKUP(J826,'Master Data 14-9-2026'!C:C,'Master Data 14-9-2026'!D:D)</f>
        <v>Januari Yanto wx1529418</v>
      </c>
      <c r="C826" s="13"/>
      <c r="D826" s="13" t="str">
        <f>_xlfn.XLOOKUP(J826,'Master Data 14-9-2026'!C:C,'Master Data 14-9-2026'!E:E)</f>
        <v>XLSMART</v>
      </c>
      <c r="E826" s="13"/>
      <c r="F826" s="13"/>
      <c r="G826" s="13" t="s">
        <v>18</v>
      </c>
      <c r="H826" s="13" t="str">
        <f>_xlfn.XLOOKUP(J826,'Master Data 14-9-2026'!C:C,'Master Data 14-9-2026'!H:H)</f>
        <v>2026-08-01 - 2026-08-31</v>
      </c>
      <c r="I826" s="13" t="str">
        <f t="shared" si="12"/>
        <v>August</v>
      </c>
      <c r="J826" s="13" t="s">
        <v>2147</v>
      </c>
      <c r="K826" s="13" t="s">
        <v>1004</v>
      </c>
      <c r="L826" s="13" t="s">
        <v>441</v>
      </c>
      <c r="M826" s="15">
        <v>200003232986020</v>
      </c>
      <c r="N826" s="13" t="s">
        <v>924</v>
      </c>
      <c r="O826" s="13">
        <v>1.09120260803002E+17</v>
      </c>
      <c r="P826" s="13" t="s">
        <v>2061</v>
      </c>
      <c r="Q826" s="18">
        <v>93</v>
      </c>
      <c r="R826" s="18">
        <v>1</v>
      </c>
      <c r="S826" s="13">
        <v>8828132635</v>
      </c>
      <c r="T826" s="13" t="s">
        <v>926</v>
      </c>
      <c r="U826" s="19">
        <v>34220600</v>
      </c>
      <c r="V826" s="18">
        <v>1</v>
      </c>
      <c r="W826" s="18">
        <f>_xlfn.XLOOKUP(J826,'Master Data 14-9-2026'!C:C,'Master Data 14-9-2026'!L:L)</f>
        <v>0</v>
      </c>
      <c r="X826" s="23">
        <v>34220600</v>
      </c>
      <c r="Y826" s="13" t="s">
        <v>2009</v>
      </c>
      <c r="Z826" s="24" t="s">
        <v>33</v>
      </c>
      <c r="AA826" s="4" t="s">
        <v>1288</v>
      </c>
      <c r="AB826" s="13" t="s">
        <v>1289</v>
      </c>
      <c r="AC826" s="13"/>
      <c r="AD826" s="13"/>
      <c r="AE826" s="13" t="str">
        <f>_xlfn.XLOOKUP(L826,'[1]ID PROJECT'!E:E,'[1]ID PROJECT'!F:F)</f>
        <v xml:space="preserve">PRJ-KUT-KPU-TPED-2026-04-00071 </v>
      </c>
      <c r="AF826" s="13"/>
      <c r="AG826" s="13"/>
      <c r="AH826" s="65"/>
      <c r="AI826" s="27"/>
    </row>
    <row r="827" spans="1:35" hidden="1">
      <c r="A827" s="13" t="s">
        <v>764</v>
      </c>
      <c r="B827" s="13" t="str">
        <f>_xlfn.XLOOKUP(J827,'Master Data 14-9-2026'!C:C,'Master Data 14-9-2026'!D:D)</f>
        <v>Muhammad Reza Fahlevi wx1529419</v>
      </c>
      <c r="C827" s="13"/>
      <c r="D827" s="13" t="str">
        <f>_xlfn.XLOOKUP(J827,'Master Data 14-9-2026'!C:C,'Master Data 14-9-2026'!E:E)</f>
        <v>XLSMART</v>
      </c>
      <c r="E827" s="13"/>
      <c r="F827" s="13"/>
      <c r="G827" s="13" t="s">
        <v>18</v>
      </c>
      <c r="H827" s="13" t="str">
        <f>_xlfn.XLOOKUP(J827,'Master Data 14-9-2026'!C:C,'Master Data 14-9-2026'!H:H)</f>
        <v>2026-08-01 - 2026-08-31</v>
      </c>
      <c r="I827" s="13" t="str">
        <f t="shared" si="12"/>
        <v>August</v>
      </c>
      <c r="J827" s="13" t="s">
        <v>2148</v>
      </c>
      <c r="K827" s="13" t="s">
        <v>1004</v>
      </c>
      <c r="L827" s="13" t="s">
        <v>441</v>
      </c>
      <c r="M827" s="15">
        <v>200003232987020</v>
      </c>
      <c r="N827" s="13" t="s">
        <v>924</v>
      </c>
      <c r="O827" s="13">
        <v>1.09120260803002E+17</v>
      </c>
      <c r="P827" s="13" t="s">
        <v>2061</v>
      </c>
      <c r="Q827" s="18">
        <v>94</v>
      </c>
      <c r="R827" s="18">
        <v>1</v>
      </c>
      <c r="S827" s="13">
        <v>8828132635</v>
      </c>
      <c r="T827" s="13" t="s">
        <v>926</v>
      </c>
      <c r="U827" s="19">
        <v>34220600</v>
      </c>
      <c r="V827" s="18">
        <v>1</v>
      </c>
      <c r="W827" s="18">
        <f>_xlfn.XLOOKUP(J827,'Master Data 14-9-2026'!C:C,'Master Data 14-9-2026'!L:L)</f>
        <v>1.18</v>
      </c>
      <c r="X827" s="23">
        <v>34220600</v>
      </c>
      <c r="Y827" s="13" t="s">
        <v>2009</v>
      </c>
      <c r="Z827" s="24" t="s">
        <v>33</v>
      </c>
      <c r="AA827" s="4" t="s">
        <v>1288</v>
      </c>
      <c r="AB827" s="13" t="s">
        <v>1289</v>
      </c>
      <c r="AC827" s="13"/>
      <c r="AD827" s="13"/>
      <c r="AE827" s="13" t="str">
        <f>_xlfn.XLOOKUP(L827,'[1]ID PROJECT'!E:E,'[1]ID PROJECT'!F:F)</f>
        <v xml:space="preserve">PRJ-KUT-KPU-TPED-2026-04-00071 </v>
      </c>
      <c r="AF827" s="13"/>
      <c r="AG827" s="13"/>
      <c r="AH827" s="65"/>
      <c r="AI827" s="27"/>
    </row>
    <row r="828" spans="1:35" hidden="1">
      <c r="A828" s="13" t="s">
        <v>880</v>
      </c>
      <c r="B828" s="13" t="str">
        <f>_xlfn.XLOOKUP(J828,'Master Data 14-9-2026'!C:C,'Master Data 14-9-2026'!D:D)</f>
        <v>Anang Husnul Rizqani wx1529420</v>
      </c>
      <c r="C828" s="13"/>
      <c r="D828" s="13" t="str">
        <f>_xlfn.XLOOKUP(J828,'Master Data 14-9-2026'!C:C,'Master Data 14-9-2026'!E:E)</f>
        <v>XLSMART</v>
      </c>
      <c r="E828" s="13"/>
      <c r="F828" s="13"/>
      <c r="G828" s="13" t="s">
        <v>18</v>
      </c>
      <c r="H828" s="13" t="str">
        <f>_xlfn.XLOOKUP(J828,'Master Data 14-9-2026'!C:C,'Master Data 14-9-2026'!H:H)</f>
        <v>2026-08-01 - 2026-08-31</v>
      </c>
      <c r="I828" s="13" t="str">
        <f t="shared" si="12"/>
        <v>August</v>
      </c>
      <c r="J828" s="13" t="s">
        <v>2149</v>
      </c>
      <c r="K828" s="13" t="s">
        <v>1004</v>
      </c>
      <c r="L828" s="13" t="s">
        <v>441</v>
      </c>
      <c r="M828" s="15">
        <v>200003232988020</v>
      </c>
      <c r="N828" s="13" t="s">
        <v>924</v>
      </c>
      <c r="O828" s="13">
        <v>1.09120260803002E+17</v>
      </c>
      <c r="P828" s="13" t="s">
        <v>2061</v>
      </c>
      <c r="Q828" s="18">
        <v>95</v>
      </c>
      <c r="R828" s="18">
        <v>1</v>
      </c>
      <c r="S828" s="13">
        <v>8828132635</v>
      </c>
      <c r="T828" s="13" t="s">
        <v>926</v>
      </c>
      <c r="U828" s="19">
        <v>34220600</v>
      </c>
      <c r="V828" s="18">
        <v>1</v>
      </c>
      <c r="W828" s="18">
        <f>_xlfn.XLOOKUP(J828,'Master Data 14-9-2026'!C:C,'Master Data 14-9-2026'!L:L)</f>
        <v>0</v>
      </c>
      <c r="X828" s="23">
        <v>34220600</v>
      </c>
      <c r="Y828" s="13" t="s">
        <v>2009</v>
      </c>
      <c r="Z828" s="24" t="s">
        <v>33</v>
      </c>
      <c r="AA828" s="4" t="s">
        <v>1288</v>
      </c>
      <c r="AB828" s="40" t="s">
        <v>44</v>
      </c>
      <c r="AC828" s="13"/>
      <c r="AD828" s="13"/>
      <c r="AE828" s="13" t="str">
        <f>_xlfn.XLOOKUP(L828,'[1]ID PROJECT'!E:E,'[1]ID PROJECT'!F:F)</f>
        <v xml:space="preserve">PRJ-KUT-KPU-TPED-2026-04-00071 </v>
      </c>
      <c r="AF828" s="13"/>
      <c r="AG828" s="13"/>
      <c r="AH828" s="65"/>
      <c r="AI828" s="27"/>
    </row>
    <row r="829" spans="1:35">
      <c r="A829" s="13" t="s">
        <v>748</v>
      </c>
      <c r="B829" s="13" t="str">
        <f>_xlfn.XLOOKUP(J829,'Master Data 14-9-2026'!C:C,'Master Data 14-9-2026'!D:D)</f>
        <v>Donny Rizky Pratama wx1529421</v>
      </c>
      <c r="C829" s="13"/>
      <c r="D829" s="13" t="str">
        <f>_xlfn.XLOOKUP(J829,'Master Data 14-9-2026'!C:C,'Master Data 14-9-2026'!E:E)</f>
        <v>XLSMART</v>
      </c>
      <c r="E829" s="13"/>
      <c r="F829" s="13"/>
      <c r="G829" s="13" t="s">
        <v>18</v>
      </c>
      <c r="H829" s="13" t="str">
        <f>_xlfn.XLOOKUP(J829,'Master Data 14-9-2026'!C:C,'Master Data 14-9-2026'!H:H)</f>
        <v>2026-08-01 - 2026-08-31</v>
      </c>
      <c r="I829" s="13" t="str">
        <f t="shared" si="12"/>
        <v>August</v>
      </c>
      <c r="J829" s="13" t="s">
        <v>2150</v>
      </c>
      <c r="K829" s="13" t="s">
        <v>1004</v>
      </c>
      <c r="L829" s="13" t="s">
        <v>441</v>
      </c>
      <c r="M829" s="15">
        <v>200003232989020</v>
      </c>
      <c r="N829" s="13" t="s">
        <v>924</v>
      </c>
      <c r="O829" s="13">
        <v>1.09120260803002E+17</v>
      </c>
      <c r="P829" s="13" t="s">
        <v>2061</v>
      </c>
      <c r="Q829" s="18">
        <v>96</v>
      </c>
      <c r="R829" s="18">
        <v>1</v>
      </c>
      <c r="S829" s="13">
        <v>8828132635</v>
      </c>
      <c r="T829" s="13" t="s">
        <v>926</v>
      </c>
      <c r="U829" s="19">
        <v>34220600</v>
      </c>
      <c r="V829" s="18">
        <v>1</v>
      </c>
      <c r="W829" s="18">
        <f>_xlfn.XLOOKUP(J829,'Master Data 14-9-2026'!C:C,'Master Data 14-9-2026'!L:L)</f>
        <v>1</v>
      </c>
      <c r="X829" s="23">
        <v>34220600</v>
      </c>
      <c r="Y829" s="13" t="s">
        <v>2009</v>
      </c>
      <c r="Z829" s="24" t="str">
        <f>_xlfn.XLOOKUP(J829,'Master Data 14-9-2026'!C:C,'Master Data 14-9-2026'!I:I)</f>
        <v>Ended</v>
      </c>
      <c r="AA829" s="39" t="s">
        <v>934</v>
      </c>
      <c r="AB829" s="40"/>
      <c r="AC829" s="13"/>
      <c r="AD829" s="40" t="s">
        <v>935</v>
      </c>
      <c r="AE829" s="13" t="str">
        <f>_xlfn.XLOOKUP(L829,'[1]ID PROJECT'!E:E,'[1]ID PROJECT'!F:F)</f>
        <v xml:space="preserve">PRJ-KUT-KPU-TPED-2026-04-00071 </v>
      </c>
      <c r="AF829" s="39" t="s">
        <v>4165</v>
      </c>
      <c r="AG829" s="13" t="s">
        <v>4192</v>
      </c>
      <c r="AH829" s="65">
        <v>46286</v>
      </c>
      <c r="AI829" s="41" t="s">
        <v>967</v>
      </c>
    </row>
    <row r="830" spans="1:35" hidden="1">
      <c r="A830" s="13" t="s">
        <v>872</v>
      </c>
      <c r="B830" s="13" t="str">
        <f>_xlfn.XLOOKUP(J830,'Master Data 14-9-2026'!C:C,'Master Data 14-9-2026'!D:D)</f>
        <v>Popi Masdianto wx1529422</v>
      </c>
      <c r="C830" s="13"/>
      <c r="D830" s="13" t="str">
        <f>_xlfn.XLOOKUP(J830,'Master Data 14-9-2026'!C:C,'Master Data 14-9-2026'!E:E)</f>
        <v>XLSMART</v>
      </c>
      <c r="E830" s="13"/>
      <c r="F830" s="13"/>
      <c r="G830" s="13" t="s">
        <v>18</v>
      </c>
      <c r="H830" s="13" t="str">
        <f>_xlfn.XLOOKUP(J830,'Master Data 14-9-2026'!C:C,'Master Data 14-9-2026'!H:H)</f>
        <v>2026-08-01 - 2026-08-31</v>
      </c>
      <c r="I830" s="13" t="str">
        <f t="shared" si="12"/>
        <v>August</v>
      </c>
      <c r="J830" s="13" t="s">
        <v>2151</v>
      </c>
      <c r="K830" s="13" t="s">
        <v>1004</v>
      </c>
      <c r="L830" s="13" t="s">
        <v>441</v>
      </c>
      <c r="M830" s="15">
        <v>200003232990020</v>
      </c>
      <c r="N830" s="13" t="s">
        <v>924</v>
      </c>
      <c r="O830" s="13">
        <v>1.09120260803002E+17</v>
      </c>
      <c r="P830" s="13" t="s">
        <v>2061</v>
      </c>
      <c r="Q830" s="18">
        <v>97</v>
      </c>
      <c r="R830" s="18">
        <v>1</v>
      </c>
      <c r="S830" s="13">
        <v>8828132635</v>
      </c>
      <c r="T830" s="13" t="s">
        <v>926</v>
      </c>
      <c r="U830" s="19">
        <v>34220600</v>
      </c>
      <c r="V830" s="18">
        <v>1</v>
      </c>
      <c r="W830" s="18">
        <f>_xlfn.XLOOKUP(J830,'Master Data 14-9-2026'!C:C,'Master Data 14-9-2026'!L:L)</f>
        <v>0</v>
      </c>
      <c r="X830" s="23">
        <v>34220600</v>
      </c>
      <c r="Y830" s="13" t="s">
        <v>2009</v>
      </c>
      <c r="Z830" s="24" t="s">
        <v>33</v>
      </c>
      <c r="AA830" s="4" t="s">
        <v>1288</v>
      </c>
      <c r="AB830" s="40" t="s">
        <v>44</v>
      </c>
      <c r="AC830" s="13"/>
      <c r="AD830" s="13"/>
      <c r="AE830" s="13" t="str">
        <f>_xlfn.XLOOKUP(L830,'[1]ID PROJECT'!E:E,'[1]ID PROJECT'!F:F)</f>
        <v xml:space="preserve">PRJ-KUT-KPU-TPED-2026-04-00071 </v>
      </c>
      <c r="AF830" s="13"/>
      <c r="AG830" s="13"/>
      <c r="AH830" s="65"/>
      <c r="AI830" s="27"/>
    </row>
    <row r="831" spans="1:35" hidden="1">
      <c r="A831" s="13" t="s">
        <v>312</v>
      </c>
      <c r="B831" s="13" t="e">
        <f>_xlfn.XLOOKUP(J831,'Master Data 14-9-2026'!C:C,'Master Data 14-9-2026'!D:D)</f>
        <v>#N/A</v>
      </c>
      <c r="C831" s="13"/>
      <c r="D831" s="13" t="e">
        <f>_xlfn.XLOOKUP(J831,'Master Data 14-9-2026'!C:C,'Master Data 14-9-2026'!E:E)</f>
        <v>#N/A</v>
      </c>
      <c r="E831" s="13"/>
      <c r="F831" s="13"/>
      <c r="G831" s="13" t="s">
        <v>28</v>
      </c>
      <c r="H831" s="13" t="e">
        <f>_xlfn.XLOOKUP(J831,'Master Data 14-9-2026'!C:C,'Master Data 14-9-2026'!H:H)</f>
        <v>#N/A</v>
      </c>
      <c r="I831" s="13" t="e">
        <f t="shared" si="12"/>
        <v>#N/A</v>
      </c>
      <c r="J831" s="13" t="s">
        <v>2152</v>
      </c>
      <c r="K831" s="13" t="s">
        <v>1004</v>
      </c>
      <c r="L831" s="13"/>
      <c r="M831" s="15">
        <v>200003233195020</v>
      </c>
      <c r="N831" s="13" t="s">
        <v>924</v>
      </c>
      <c r="O831" s="13">
        <v>1.09120260803002E+17</v>
      </c>
      <c r="P831" s="13" t="s">
        <v>2061</v>
      </c>
      <c r="Q831" s="18">
        <v>98</v>
      </c>
      <c r="R831" s="18">
        <v>1</v>
      </c>
      <c r="S831" s="13">
        <v>8828132633</v>
      </c>
      <c r="T831" s="13" t="s">
        <v>951</v>
      </c>
      <c r="U831" s="19">
        <v>28881900</v>
      </c>
      <c r="V831" s="18">
        <v>1</v>
      </c>
      <c r="W831" s="18" t="e">
        <f>_xlfn.XLOOKUP(J831,'Master Data 14-9-2026'!C:C,'Master Data 14-9-2026'!L:L)</f>
        <v>#N/A</v>
      </c>
      <c r="X831" s="23">
        <v>28881900</v>
      </c>
      <c r="Y831" s="13" t="s">
        <v>2009</v>
      </c>
      <c r="Z831" s="24" t="s">
        <v>984</v>
      </c>
      <c r="AA831" s="4" t="s">
        <v>1288</v>
      </c>
      <c r="AB831" s="13"/>
      <c r="AC831" s="13"/>
      <c r="AD831" s="13"/>
      <c r="AE831" s="13" t="e">
        <f>_xlfn.XLOOKUP(L831,'[1]ID PROJECT'!E:E,'[1]ID PROJECT'!F:F)</f>
        <v>#N/A</v>
      </c>
      <c r="AF831" s="13"/>
      <c r="AG831" s="13"/>
      <c r="AH831" s="65"/>
      <c r="AI831" s="27"/>
    </row>
    <row r="832" spans="1:35" hidden="1">
      <c r="A832" s="13" t="s">
        <v>312</v>
      </c>
      <c r="B832" s="13" t="e">
        <f>_xlfn.XLOOKUP(J832,'Master Data 14-9-2026'!C:C,'Master Data 14-9-2026'!D:D)</f>
        <v>#N/A</v>
      </c>
      <c r="C832" s="13"/>
      <c r="D832" s="13" t="e">
        <f>_xlfn.XLOOKUP(J832,'Master Data 14-9-2026'!C:C,'Master Data 14-9-2026'!E:E)</f>
        <v>#N/A</v>
      </c>
      <c r="E832" s="13"/>
      <c r="F832" s="13"/>
      <c r="G832" s="13" t="s">
        <v>31</v>
      </c>
      <c r="H832" s="13" t="e">
        <f>_xlfn.XLOOKUP(J832,'Master Data 14-9-2026'!C:C,'Master Data 14-9-2026'!H:H)</f>
        <v>#N/A</v>
      </c>
      <c r="I832" s="13" t="e">
        <f t="shared" si="12"/>
        <v>#N/A</v>
      </c>
      <c r="J832" s="13" t="s">
        <v>2153</v>
      </c>
      <c r="K832" s="13" t="s">
        <v>1004</v>
      </c>
      <c r="L832" s="13"/>
      <c r="M832" s="15">
        <v>200003233196020</v>
      </c>
      <c r="N832" s="13" t="s">
        <v>924</v>
      </c>
      <c r="O832" s="13">
        <v>1.09120260803002E+17</v>
      </c>
      <c r="P832" s="13" t="s">
        <v>2061</v>
      </c>
      <c r="Q832" s="18">
        <v>99</v>
      </c>
      <c r="R832" s="18">
        <v>1</v>
      </c>
      <c r="S832" s="13">
        <v>8828132633</v>
      </c>
      <c r="T832" s="13" t="s">
        <v>951</v>
      </c>
      <c r="U832" s="19">
        <v>28881900</v>
      </c>
      <c r="V832" s="18">
        <v>1</v>
      </c>
      <c r="W832" s="18" t="e">
        <f>_xlfn.XLOOKUP(J832,'Master Data 14-9-2026'!C:C,'Master Data 14-9-2026'!L:L)</f>
        <v>#N/A</v>
      </c>
      <c r="X832" s="23">
        <v>28881900</v>
      </c>
      <c r="Y832" s="13" t="s">
        <v>2009</v>
      </c>
      <c r="Z832" s="24" t="s">
        <v>984</v>
      </c>
      <c r="AA832" s="4" t="s">
        <v>1288</v>
      </c>
      <c r="AB832" s="13"/>
      <c r="AC832" s="13"/>
      <c r="AD832" s="13"/>
      <c r="AE832" s="13" t="e">
        <f>_xlfn.XLOOKUP(L832,'[1]ID PROJECT'!E:E,'[1]ID PROJECT'!F:F)</f>
        <v>#N/A</v>
      </c>
      <c r="AF832" s="13"/>
      <c r="AG832" s="13"/>
      <c r="AH832" s="65"/>
      <c r="AI832" s="27"/>
    </row>
    <row r="833" spans="1:35" hidden="1">
      <c r="A833" s="13" t="s">
        <v>291</v>
      </c>
      <c r="B833" s="13" t="str">
        <f>_xlfn.XLOOKUP(J833,'Master Data 14-9-2026'!C:C,'Master Data 14-9-2026'!D:D)</f>
        <v>Riesha Hardineti wx1537498</v>
      </c>
      <c r="C833" s="13"/>
      <c r="D833" s="13" t="str">
        <f>_xlfn.XLOOKUP(J833,'Master Data 14-9-2026'!C:C,'Master Data 14-9-2026'!E:E)</f>
        <v>XLSMART</v>
      </c>
      <c r="E833" s="13"/>
      <c r="F833" s="13"/>
      <c r="G833" s="13" t="s">
        <v>13</v>
      </c>
      <c r="H833" s="13" t="str">
        <f>_xlfn.XLOOKUP(J833,'Master Data 14-9-2026'!C:C,'Master Data 14-9-2026'!H:H)</f>
        <v>2026-07-22 - 2026-08-21</v>
      </c>
      <c r="I833" s="13" t="str">
        <f t="shared" si="12"/>
        <v>July</v>
      </c>
      <c r="J833" s="13" t="s">
        <v>2154</v>
      </c>
      <c r="K833" s="13" t="s">
        <v>1004</v>
      </c>
      <c r="L833" s="13"/>
      <c r="M833" s="15">
        <v>200003233197020</v>
      </c>
      <c r="N833" s="13" t="s">
        <v>924</v>
      </c>
      <c r="O833" s="13">
        <v>1.09120260803002E+17</v>
      </c>
      <c r="P833" s="13" t="s">
        <v>2061</v>
      </c>
      <c r="Q833" s="18">
        <v>100</v>
      </c>
      <c r="R833" s="18">
        <v>1</v>
      </c>
      <c r="S833" s="13">
        <v>8828132633</v>
      </c>
      <c r="T833" s="13" t="s">
        <v>951</v>
      </c>
      <c r="U833" s="19">
        <v>28881900</v>
      </c>
      <c r="V833" s="18">
        <v>1</v>
      </c>
      <c r="W833" s="18">
        <f>_xlfn.XLOOKUP(J833,'Master Data 14-9-2026'!C:C,'Master Data 14-9-2026'!L:L)</f>
        <v>0</v>
      </c>
      <c r="X833" s="23">
        <v>28881900</v>
      </c>
      <c r="Y833" s="13" t="s">
        <v>2009</v>
      </c>
      <c r="Z833" s="24" t="s">
        <v>984</v>
      </c>
      <c r="AB833" s="40" t="s">
        <v>44</v>
      </c>
      <c r="AC833" s="13"/>
      <c r="AD833" s="13"/>
      <c r="AE833" s="13" t="e">
        <f>_xlfn.XLOOKUP(L833,'[1]ID PROJECT'!E:E,'[1]ID PROJECT'!F:F)</f>
        <v>#N/A</v>
      </c>
      <c r="AF833" s="13"/>
      <c r="AG833" s="13"/>
      <c r="AH833" s="65"/>
      <c r="AI833" s="27"/>
    </row>
    <row r="834" spans="1:35" hidden="1">
      <c r="A834" s="13" t="s">
        <v>381</v>
      </c>
      <c r="B834" s="13" t="str">
        <f>_xlfn.XLOOKUP(J834,'Master Data 14-9-2026'!C:C,'Master Data 14-9-2026'!D:D)</f>
        <v>Redina Bella Masitho wx1524102</v>
      </c>
      <c r="C834" s="13"/>
      <c r="D834" s="13" t="str">
        <f>_xlfn.XLOOKUP(J834,'Master Data 14-9-2026'!C:C,'Master Data 14-9-2026'!E:E)</f>
        <v>XLSMART</v>
      </c>
      <c r="E834" s="13"/>
      <c r="F834" s="13"/>
      <c r="G834" s="13" t="s">
        <v>22</v>
      </c>
      <c r="H834" s="13" t="str">
        <f>_xlfn.XLOOKUP(J834,'Master Data 14-9-2026'!C:C,'Master Data 14-9-2026'!H:H)</f>
        <v>2026-08-02 - 2026-09-01</v>
      </c>
      <c r="I834" s="13" t="str">
        <f t="shared" si="12"/>
        <v>August</v>
      </c>
      <c r="J834" s="13" t="s">
        <v>2155</v>
      </c>
      <c r="K834" s="13" t="s">
        <v>2156</v>
      </c>
      <c r="L834" s="13" t="s">
        <v>441</v>
      </c>
      <c r="M834" s="15">
        <v>200003233213020</v>
      </c>
      <c r="N834" s="13" t="s">
        <v>924</v>
      </c>
      <c r="O834" s="13">
        <v>1.09120260803002E+17</v>
      </c>
      <c r="P834" s="13" t="s">
        <v>2061</v>
      </c>
      <c r="Q834" s="18">
        <v>101</v>
      </c>
      <c r="R834" s="18">
        <v>1</v>
      </c>
      <c r="S834" s="13">
        <v>8828132633</v>
      </c>
      <c r="T834" s="13" t="s">
        <v>951</v>
      </c>
      <c r="U834" s="19">
        <v>28881900</v>
      </c>
      <c r="V834" s="18">
        <v>1</v>
      </c>
      <c r="W834" s="18">
        <f>_xlfn.XLOOKUP(J834,'Master Data 14-9-2026'!C:C,'Master Data 14-9-2026'!L:L)</f>
        <v>0</v>
      </c>
      <c r="X834" s="23">
        <v>28881900</v>
      </c>
      <c r="Y834" s="13" t="s">
        <v>2009</v>
      </c>
      <c r="Z834" s="24" t="s">
        <v>984</v>
      </c>
      <c r="AB834" s="13"/>
      <c r="AC834" s="13"/>
      <c r="AD834" s="13"/>
      <c r="AE834" s="13" t="str">
        <f>_xlfn.XLOOKUP(L834,'[1]ID PROJECT'!E:E,'[1]ID PROJECT'!F:F)</f>
        <v xml:space="preserve">PRJ-KUT-KPU-TPED-2026-04-00071 </v>
      </c>
      <c r="AF834" s="13"/>
      <c r="AG834" s="13"/>
      <c r="AH834" s="65"/>
      <c r="AI834" s="27"/>
    </row>
    <row r="835" spans="1:35" hidden="1">
      <c r="A835" s="13" t="s">
        <v>740</v>
      </c>
      <c r="B835" s="13" t="str">
        <f>_xlfn.XLOOKUP(J835,'Master Data 14-9-2026'!C:C,'Master Data 14-9-2026'!D:D)</f>
        <v>Laily Kurniawati wx1529051</v>
      </c>
      <c r="C835" s="13"/>
      <c r="D835" s="13" t="str">
        <f>_xlfn.XLOOKUP(J835,'Master Data 14-9-2026'!C:C,'Master Data 14-9-2026'!E:E)</f>
        <v>XLSMART</v>
      </c>
      <c r="E835" s="13"/>
      <c r="F835" s="13"/>
      <c r="G835" s="13" t="s">
        <v>18</v>
      </c>
      <c r="H835" s="13" t="str">
        <f>_xlfn.XLOOKUP(J835,'Master Data 14-9-2026'!C:C,'Master Data 14-9-2026'!H:H)</f>
        <v>2026-08-01 - 2026-08-31</v>
      </c>
      <c r="I835" s="13" t="str">
        <f t="shared" ref="I835:I898" si="13">TEXT(DATEVALUE(LEFT(H835,10)),"mmmm")</f>
        <v>August</v>
      </c>
      <c r="J835" s="13" t="s">
        <v>2157</v>
      </c>
      <c r="K835" s="13" t="s">
        <v>2156</v>
      </c>
      <c r="L835" s="13" t="s">
        <v>520</v>
      </c>
      <c r="M835" s="15">
        <v>200003233217020</v>
      </c>
      <c r="N835" s="13" t="s">
        <v>924</v>
      </c>
      <c r="O835" s="13">
        <v>1.09120260803002E+17</v>
      </c>
      <c r="P835" s="13" t="s">
        <v>2061</v>
      </c>
      <c r="Q835" s="18">
        <v>102</v>
      </c>
      <c r="R835" s="18">
        <v>1</v>
      </c>
      <c r="S835" s="13">
        <v>8828132635</v>
      </c>
      <c r="T835" s="13" t="s">
        <v>926</v>
      </c>
      <c r="U835" s="19">
        <v>34220600</v>
      </c>
      <c r="V835" s="18">
        <v>1</v>
      </c>
      <c r="W835" s="18">
        <f>_xlfn.XLOOKUP(J835,'Master Data 14-9-2026'!C:C,'Master Data 14-9-2026'!L:L)</f>
        <v>1.5</v>
      </c>
      <c r="X835" s="23">
        <v>34220600</v>
      </c>
      <c r="Y835" s="13" t="s">
        <v>2009</v>
      </c>
      <c r="Z835" s="24" t="s">
        <v>33</v>
      </c>
      <c r="AB835" s="13"/>
      <c r="AC835" s="13"/>
      <c r="AD835" s="13"/>
      <c r="AE835" s="13" t="str">
        <f>_xlfn.XLOOKUP(L835,'[1]ID PROJECT'!E:E,'[1]ID PROJECT'!F:F)</f>
        <v>PRJ-KUT-KPU-TPED-2026-04-00077</v>
      </c>
      <c r="AF835" s="13"/>
      <c r="AG835" s="13"/>
      <c r="AH835" s="65"/>
      <c r="AI835" s="27"/>
    </row>
    <row r="836" spans="1:35" hidden="1">
      <c r="A836" s="13" t="s">
        <v>518</v>
      </c>
      <c r="B836" s="13" t="str">
        <f>_xlfn.XLOOKUP(J836,'Master Data 14-9-2026'!C:C,'Master Data 14-9-2026'!D:D)</f>
        <v>MUH ILHAM SYAHRUL wx1539229</v>
      </c>
      <c r="C836" s="13"/>
      <c r="D836" s="13" t="str">
        <f>_xlfn.XLOOKUP(J836,'Master Data 14-9-2026'!C:C,'Master Data 14-9-2026'!E:E)</f>
        <v>TELKOMSEL</v>
      </c>
      <c r="E836" s="13"/>
      <c r="F836" s="13"/>
      <c r="G836" s="13" t="s">
        <v>13</v>
      </c>
      <c r="H836" s="13" t="str">
        <f>_xlfn.XLOOKUP(J836,'Master Data 14-9-2026'!C:C,'Master Data 14-9-2026'!H:H)</f>
        <v>2026-08-03 - 2026-09-02</v>
      </c>
      <c r="I836" s="13" t="str">
        <f t="shared" si="13"/>
        <v>August</v>
      </c>
      <c r="J836" s="13" t="s">
        <v>2158</v>
      </c>
      <c r="K836" s="13" t="s">
        <v>2156</v>
      </c>
      <c r="L836" s="13" t="s">
        <v>520</v>
      </c>
      <c r="M836" s="15">
        <v>200003233222020</v>
      </c>
      <c r="N836" s="13" t="s">
        <v>924</v>
      </c>
      <c r="O836" s="13">
        <v>1.09120260803002E+17</v>
      </c>
      <c r="P836" s="13" t="s">
        <v>2061</v>
      </c>
      <c r="Q836" s="18">
        <v>103</v>
      </c>
      <c r="R836" s="18">
        <v>1</v>
      </c>
      <c r="S836" s="13">
        <v>8828132636</v>
      </c>
      <c r="T836" s="13" t="s">
        <v>933</v>
      </c>
      <c r="U836" s="19">
        <v>36992000</v>
      </c>
      <c r="V836" s="18">
        <v>1</v>
      </c>
      <c r="W836" s="18">
        <f>_xlfn.XLOOKUP(J836,'Master Data 14-9-2026'!C:C,'Master Data 14-9-2026'!L:L)</f>
        <v>0.5</v>
      </c>
      <c r="X836" s="23">
        <v>36992000</v>
      </c>
      <c r="Y836" s="13" t="s">
        <v>2009</v>
      </c>
      <c r="Z836" s="24" t="s">
        <v>984</v>
      </c>
      <c r="AB836" s="13" t="s">
        <v>1116</v>
      </c>
      <c r="AC836" s="13"/>
      <c r="AD836" s="13"/>
      <c r="AE836" s="13" t="str">
        <f>_xlfn.XLOOKUP(L836,'[1]ID PROJECT'!E:E,'[1]ID PROJECT'!F:F)</f>
        <v>PRJ-KUT-KPU-TPED-2026-04-00077</v>
      </c>
      <c r="AF836" s="13"/>
      <c r="AG836" s="13"/>
      <c r="AH836" s="65"/>
      <c r="AI836" s="27"/>
    </row>
    <row r="837" spans="1:35" hidden="1">
      <c r="A837" s="13" t="s">
        <v>717</v>
      </c>
      <c r="B837" s="13" t="str">
        <f>_xlfn.XLOOKUP(J837,'Master Data 14-9-2026'!C:C,'Master Data 14-9-2026'!D:D)</f>
        <v>Johannes Julfery Damanik wx1504705</v>
      </c>
      <c r="C837" s="13"/>
      <c r="D837" s="13" t="str">
        <f>_xlfn.XLOOKUP(J837,'Master Data 14-9-2026'!C:C,'Master Data 14-9-2026'!E:E)</f>
        <v>IOH</v>
      </c>
      <c r="E837" s="13"/>
      <c r="F837" s="13"/>
      <c r="G837" s="13" t="s">
        <v>31</v>
      </c>
      <c r="H837" s="13" t="str">
        <f>_xlfn.XLOOKUP(J837,'Master Data 14-9-2026'!C:C,'Master Data 14-9-2026'!H:H)</f>
        <v>2026-08-23 - 2026-09-22</v>
      </c>
      <c r="I837" s="13" t="str">
        <f t="shared" si="13"/>
        <v>August</v>
      </c>
      <c r="J837" s="13" t="s">
        <v>2159</v>
      </c>
      <c r="K837" s="13" t="s">
        <v>2160</v>
      </c>
      <c r="L837" s="13" t="s">
        <v>493</v>
      </c>
      <c r="M837" s="15">
        <v>200003233223020</v>
      </c>
      <c r="N837" s="13" t="s">
        <v>924</v>
      </c>
      <c r="O837" s="13">
        <v>1.09120260803002E+17</v>
      </c>
      <c r="P837" s="13" t="s">
        <v>2061</v>
      </c>
      <c r="Q837" s="18">
        <v>104</v>
      </c>
      <c r="R837" s="18">
        <v>1</v>
      </c>
      <c r="S837" s="13">
        <v>8828132635</v>
      </c>
      <c r="T837" s="13" t="s">
        <v>926</v>
      </c>
      <c r="U837" s="19">
        <v>34220600</v>
      </c>
      <c r="V837" s="18">
        <v>1</v>
      </c>
      <c r="W837" s="18">
        <f>_xlfn.XLOOKUP(J837,'Master Data 14-9-2026'!C:C,'Master Data 14-9-2026'!L:L)</f>
        <v>0</v>
      </c>
      <c r="X837" s="23">
        <v>34220600</v>
      </c>
      <c r="Y837" s="13" t="s">
        <v>2009</v>
      </c>
      <c r="Z837" s="24" t="s">
        <v>225</v>
      </c>
      <c r="AB837" s="13"/>
      <c r="AC837" s="13"/>
      <c r="AD837" s="13"/>
      <c r="AE837" s="13" t="str">
        <f>_xlfn.XLOOKUP(L837,'[1]ID PROJECT'!E:E,'[1]ID PROJECT'!F:F)</f>
        <v>PRJ-KUT-KPU-TPED-2026-04-00079</v>
      </c>
      <c r="AF837" s="13"/>
      <c r="AG837" s="13"/>
      <c r="AH837" s="65"/>
      <c r="AI837" s="27"/>
    </row>
    <row r="838" spans="1:35" hidden="1">
      <c r="A838" s="13" t="s">
        <v>858</v>
      </c>
      <c r="B838" s="13" t="str">
        <f>_xlfn.XLOOKUP(J838,'Master Data 14-9-2026'!C:C,'Master Data 14-9-2026'!D:D)</f>
        <v>Wiweko Pramono wx1529163</v>
      </c>
      <c r="C838" s="13"/>
      <c r="D838" s="13" t="str">
        <f>_xlfn.XLOOKUP(J838,'Master Data 14-9-2026'!C:C,'Master Data 14-9-2026'!E:E)</f>
        <v>XLSMART</v>
      </c>
      <c r="E838" s="13"/>
      <c r="F838" s="13"/>
      <c r="G838" s="13" t="s">
        <v>18</v>
      </c>
      <c r="H838" s="13" t="str">
        <f>_xlfn.XLOOKUP(J838,'Master Data 14-9-2026'!C:C,'Master Data 14-9-2026'!H:H)</f>
        <v>2026-08-01 - 2026-08-31</v>
      </c>
      <c r="I838" s="13" t="str">
        <f t="shared" si="13"/>
        <v>August</v>
      </c>
      <c r="J838" s="13" t="s">
        <v>2161</v>
      </c>
      <c r="K838" s="13" t="s">
        <v>1004</v>
      </c>
      <c r="L838" s="13" t="s">
        <v>441</v>
      </c>
      <c r="M838" s="15">
        <v>200003232991020</v>
      </c>
      <c r="N838" s="13" t="s">
        <v>924</v>
      </c>
      <c r="O838" s="13">
        <v>1.09120260803002E+17</v>
      </c>
      <c r="P838" s="13" t="s">
        <v>2061</v>
      </c>
      <c r="Q838" s="18">
        <v>105</v>
      </c>
      <c r="R838" s="18">
        <v>1</v>
      </c>
      <c r="S838" s="13">
        <v>8828132635</v>
      </c>
      <c r="T838" s="13" t="s">
        <v>926</v>
      </c>
      <c r="U838" s="19">
        <v>34220600</v>
      </c>
      <c r="V838" s="18">
        <v>1</v>
      </c>
      <c r="W838" s="18">
        <f>_xlfn.XLOOKUP(J838,'Master Data 14-9-2026'!C:C,'Master Data 14-9-2026'!L:L)</f>
        <v>0.5</v>
      </c>
      <c r="X838" s="23">
        <v>34220600</v>
      </c>
      <c r="Y838" s="13" t="s">
        <v>2009</v>
      </c>
      <c r="Z838" s="24" t="s">
        <v>33</v>
      </c>
      <c r="AB838" s="13"/>
      <c r="AC838" s="13"/>
      <c r="AD838" s="13"/>
      <c r="AE838" s="13" t="str">
        <f>_xlfn.XLOOKUP(L838,'[1]ID PROJECT'!E:E,'[1]ID PROJECT'!F:F)</f>
        <v xml:space="preserve">PRJ-KUT-KPU-TPED-2026-04-00071 </v>
      </c>
      <c r="AF838" s="13"/>
      <c r="AG838" s="13"/>
      <c r="AH838" s="65"/>
      <c r="AI838" s="27"/>
    </row>
    <row r="839" spans="1:35" hidden="1">
      <c r="A839" s="13" t="s">
        <v>794</v>
      </c>
      <c r="B839" s="13" t="str">
        <f>_xlfn.XLOOKUP(J839,'Master Data 14-9-2026'!C:C,'Master Data 14-9-2026'!D:D)</f>
        <v>Dolly Alif Subhi Nasution WX1531578</v>
      </c>
      <c r="C839" s="13"/>
      <c r="D839" s="13" t="str">
        <f>_xlfn.XLOOKUP(J839,'Master Data 14-9-2026'!C:C,'Master Data 14-9-2026'!E:E)</f>
        <v>XLSMART</v>
      </c>
      <c r="E839" s="13"/>
      <c r="F839" s="13"/>
      <c r="G839" s="13" t="s">
        <v>18</v>
      </c>
      <c r="H839" s="13" t="str">
        <f>_xlfn.XLOOKUP(J839,'Master Data 14-9-2026'!C:C,'Master Data 14-9-2026'!H:H)</f>
        <v>2026-08-14 - 2026-09-13</v>
      </c>
      <c r="I839" s="13" t="str">
        <f t="shared" si="13"/>
        <v>August</v>
      </c>
      <c r="J839" s="13" t="s">
        <v>2162</v>
      </c>
      <c r="K839" s="13" t="s">
        <v>1004</v>
      </c>
      <c r="L839" s="13" t="s">
        <v>441</v>
      </c>
      <c r="M839" s="15">
        <v>200003232994020</v>
      </c>
      <c r="N839" s="13" t="s">
        <v>924</v>
      </c>
      <c r="O839" s="13">
        <v>1.09120260803002E+17</v>
      </c>
      <c r="P839" s="13" t="s">
        <v>2061</v>
      </c>
      <c r="Q839" s="18">
        <v>106</v>
      </c>
      <c r="R839" s="18">
        <v>1</v>
      </c>
      <c r="S839" s="13">
        <v>8828132635</v>
      </c>
      <c r="T839" s="13" t="s">
        <v>926</v>
      </c>
      <c r="U839" s="19">
        <v>34220600</v>
      </c>
      <c r="V839" s="18">
        <v>1</v>
      </c>
      <c r="W839" s="18">
        <f>_xlfn.XLOOKUP(J839,'Master Data 14-9-2026'!C:C,'Master Data 14-9-2026'!L:L)</f>
        <v>0.5</v>
      </c>
      <c r="X839" s="23">
        <v>34220600</v>
      </c>
      <c r="Y839" s="13" t="s">
        <v>2009</v>
      </c>
      <c r="Z839" s="24" t="s">
        <v>33</v>
      </c>
      <c r="AB839" s="13"/>
      <c r="AC839" s="13"/>
      <c r="AD839" s="13"/>
      <c r="AE839" s="13" t="str">
        <f>_xlfn.XLOOKUP(L839,'[1]ID PROJECT'!E:E,'[1]ID PROJECT'!F:F)</f>
        <v xml:space="preserve">PRJ-KUT-KPU-TPED-2026-04-00071 </v>
      </c>
      <c r="AF839" s="13"/>
      <c r="AG839" s="13"/>
      <c r="AH839" s="65"/>
      <c r="AI839" s="27"/>
    </row>
    <row r="840" spans="1:35" hidden="1">
      <c r="A840" s="13" t="s">
        <v>610</v>
      </c>
      <c r="B840" s="13" t="str">
        <f>_xlfn.XLOOKUP(J840,'Master Data 14-9-2026'!C:C,'Master Data 14-9-2026'!D:D)</f>
        <v>Muhammad Indra Haryanto WX1529649</v>
      </c>
      <c r="C840" s="13"/>
      <c r="D840" s="13" t="str">
        <f>_xlfn.XLOOKUP(J840,'Master Data 14-9-2026'!C:C,'Master Data 14-9-2026'!E:E)</f>
        <v>XLSMART</v>
      </c>
      <c r="E840" s="13"/>
      <c r="F840" s="13"/>
      <c r="G840" s="13" t="s">
        <v>18</v>
      </c>
      <c r="H840" s="13" t="str">
        <f>_xlfn.XLOOKUP(J840,'Master Data 14-9-2026'!C:C,'Master Data 14-9-2026'!H:H)</f>
        <v>2026-08-03 - 2026-09-02</v>
      </c>
      <c r="I840" s="13" t="str">
        <f t="shared" si="13"/>
        <v>August</v>
      </c>
      <c r="J840" s="13" t="s">
        <v>2163</v>
      </c>
      <c r="K840" s="13" t="s">
        <v>1004</v>
      </c>
      <c r="L840" s="13" t="s">
        <v>441</v>
      </c>
      <c r="M840" s="15">
        <v>200003232996020</v>
      </c>
      <c r="N840" s="13" t="s">
        <v>924</v>
      </c>
      <c r="O840" s="13">
        <v>1.09120260803002E+17</v>
      </c>
      <c r="P840" s="13" t="s">
        <v>2061</v>
      </c>
      <c r="Q840" s="18">
        <v>107</v>
      </c>
      <c r="R840" s="18">
        <v>1</v>
      </c>
      <c r="S840" s="13">
        <v>8828132634</v>
      </c>
      <c r="T840" s="13" t="s">
        <v>978</v>
      </c>
      <c r="U840" s="19">
        <v>32542400</v>
      </c>
      <c r="V840" s="18">
        <v>1</v>
      </c>
      <c r="W840" s="18">
        <f>_xlfn.XLOOKUP(J840,'Master Data 14-9-2026'!C:C,'Master Data 14-9-2026'!L:L)</f>
        <v>0</v>
      </c>
      <c r="X840" s="23">
        <v>32542400</v>
      </c>
      <c r="Y840" s="13" t="s">
        <v>2009</v>
      </c>
      <c r="Z840" s="24" t="s">
        <v>33</v>
      </c>
      <c r="AB840" s="13"/>
      <c r="AC840" s="13"/>
      <c r="AD840" s="13"/>
      <c r="AE840" s="13" t="str">
        <f>_xlfn.XLOOKUP(L840,'[1]ID PROJECT'!E:E,'[1]ID PROJECT'!F:F)</f>
        <v xml:space="preserve">PRJ-KUT-KPU-TPED-2026-04-00071 </v>
      </c>
      <c r="AF840" s="13"/>
      <c r="AG840" s="13"/>
      <c r="AH840" s="65"/>
      <c r="AI840" s="27"/>
    </row>
    <row r="841" spans="1:35" hidden="1">
      <c r="A841" s="13" t="s">
        <v>320</v>
      </c>
      <c r="B841" s="13" t="str">
        <f>_xlfn.XLOOKUP(J841,'Master Data 14-9-2026'!C:C,'Master Data 14-9-2026'!D:D)</f>
        <v>LEONARD JULIAN ARYAWINATA WX1529216</v>
      </c>
      <c r="C841" s="13"/>
      <c r="D841" s="13" t="str">
        <f>_xlfn.XLOOKUP(J841,'Master Data 14-9-2026'!C:C,'Master Data 14-9-2026'!E:E)</f>
        <v>XLSMART</v>
      </c>
      <c r="E841" s="13"/>
      <c r="F841" s="13"/>
      <c r="G841" s="13" t="s">
        <v>22</v>
      </c>
      <c r="H841" s="13" t="str">
        <f>_xlfn.XLOOKUP(J841,'Master Data 14-9-2026'!C:C,'Master Data 14-9-2026'!H:H)</f>
        <v>2026-08-22 - 2026-09-21</v>
      </c>
      <c r="I841" s="13" t="str">
        <f t="shared" si="13"/>
        <v>August</v>
      </c>
      <c r="J841" s="13" t="s">
        <v>2164</v>
      </c>
      <c r="K841" s="13" t="s">
        <v>1004</v>
      </c>
      <c r="L841" s="13"/>
      <c r="M841" s="15">
        <v>200003232998020</v>
      </c>
      <c r="N841" s="13" t="s">
        <v>924</v>
      </c>
      <c r="O841" s="13">
        <v>1.09120260803002E+17</v>
      </c>
      <c r="P841" s="13" t="s">
        <v>2061</v>
      </c>
      <c r="Q841" s="18">
        <v>108</v>
      </c>
      <c r="R841" s="18">
        <v>1</v>
      </c>
      <c r="S841" s="13">
        <v>8828132633</v>
      </c>
      <c r="T841" s="13" t="s">
        <v>951</v>
      </c>
      <c r="U841" s="19">
        <v>28881900</v>
      </c>
      <c r="V841" s="18">
        <v>1</v>
      </c>
      <c r="W841" s="18">
        <f>_xlfn.XLOOKUP(J841,'Master Data 14-9-2026'!C:C,'Master Data 14-9-2026'!L:L)</f>
        <v>0.5</v>
      </c>
      <c r="X841" s="23">
        <v>28881900</v>
      </c>
      <c r="Y841" s="13" t="s">
        <v>2009</v>
      </c>
      <c r="Z841" s="24" t="s">
        <v>984</v>
      </c>
      <c r="AB841" s="13"/>
      <c r="AC841" s="13"/>
      <c r="AD841" s="13"/>
      <c r="AE841" s="13" t="e">
        <f>_xlfn.XLOOKUP(L841,'[1]ID PROJECT'!E:E,'[1]ID PROJECT'!F:F)</f>
        <v>#N/A</v>
      </c>
      <c r="AF841" s="13"/>
      <c r="AG841" s="13"/>
      <c r="AH841" s="65"/>
      <c r="AI841" s="27"/>
    </row>
    <row r="842" spans="1:35" hidden="1">
      <c r="A842" s="13" t="s">
        <v>587</v>
      </c>
      <c r="B842" s="13" t="str">
        <f>_xlfn.XLOOKUP(J842,'Master Data 14-9-2026'!C:C,'Master Data 14-9-2026'!D:D)</f>
        <v>Sudrajat wx1529015</v>
      </c>
      <c r="C842" s="13"/>
      <c r="D842" s="13" t="str">
        <f>_xlfn.XLOOKUP(J842,'Master Data 14-9-2026'!C:C,'Master Data 14-9-2026'!E:E)</f>
        <v>XLSMART</v>
      </c>
      <c r="E842" s="13"/>
      <c r="F842" s="13"/>
      <c r="G842" s="13" t="s">
        <v>22</v>
      </c>
      <c r="H842" s="13" t="str">
        <f>_xlfn.XLOOKUP(J842,'Master Data 14-9-2026'!C:C,'Master Data 14-9-2026'!H:H)</f>
        <v>2026-08-18 - 2026-09-17</v>
      </c>
      <c r="I842" s="13" t="str">
        <f t="shared" si="13"/>
        <v>August</v>
      </c>
      <c r="J842" s="13" t="s">
        <v>2165</v>
      </c>
      <c r="K842" s="13" t="s">
        <v>1004</v>
      </c>
      <c r="L842" s="13" t="s">
        <v>441</v>
      </c>
      <c r="M842" s="15">
        <v>200003233012020</v>
      </c>
      <c r="N842" s="13" t="s">
        <v>924</v>
      </c>
      <c r="O842" s="13">
        <v>1.09120260803002E+17</v>
      </c>
      <c r="P842" s="13" t="s">
        <v>2061</v>
      </c>
      <c r="Q842" s="18">
        <v>109</v>
      </c>
      <c r="R842" s="18">
        <v>1</v>
      </c>
      <c r="S842" s="13">
        <v>8828132634</v>
      </c>
      <c r="T842" s="13" t="s">
        <v>978</v>
      </c>
      <c r="U842" s="19">
        <v>32542400</v>
      </c>
      <c r="V842" s="18">
        <v>1</v>
      </c>
      <c r="W842" s="18">
        <f>_xlfn.XLOOKUP(J842,'Master Data 14-9-2026'!C:C,'Master Data 14-9-2026'!L:L)</f>
        <v>0</v>
      </c>
      <c r="X842" s="23">
        <v>32542400</v>
      </c>
      <c r="Y842" s="13" t="s">
        <v>2009</v>
      </c>
      <c r="Z842" s="24" t="s">
        <v>33</v>
      </c>
      <c r="AB842" s="13"/>
      <c r="AC842" s="13"/>
      <c r="AD842" s="13"/>
      <c r="AE842" s="13" t="str">
        <f>_xlfn.XLOOKUP(L842,'[1]ID PROJECT'!E:E,'[1]ID PROJECT'!F:F)</f>
        <v xml:space="preserve">PRJ-KUT-KPU-TPED-2026-04-00071 </v>
      </c>
      <c r="AF842" s="13"/>
      <c r="AG842" s="13"/>
      <c r="AH842" s="65"/>
      <c r="AI842" s="27"/>
    </row>
    <row r="843" spans="1:35" hidden="1">
      <c r="A843" s="13" t="s">
        <v>585</v>
      </c>
      <c r="B843" s="13" t="str">
        <f>_xlfn.XLOOKUP(J843,'Master Data 14-9-2026'!C:C,'Master Data 14-9-2026'!D:D)</f>
        <v>APRIHADI WX1529432</v>
      </c>
      <c r="C843" s="13"/>
      <c r="D843" s="13" t="str">
        <f>_xlfn.XLOOKUP(J843,'Master Data 14-9-2026'!C:C,'Master Data 14-9-2026'!E:E)</f>
        <v>XLSMART</v>
      </c>
      <c r="E843" s="13"/>
      <c r="F843" s="13"/>
      <c r="G843" s="13" t="s">
        <v>22</v>
      </c>
      <c r="H843" s="13" t="str">
        <f>_xlfn.XLOOKUP(J843,'Master Data 14-9-2026'!C:C,'Master Data 14-9-2026'!H:H)</f>
        <v>2026-08-23 - 2026-09-22</v>
      </c>
      <c r="I843" s="13" t="str">
        <f t="shared" si="13"/>
        <v>August</v>
      </c>
      <c r="J843" s="13" t="s">
        <v>2166</v>
      </c>
      <c r="K843" s="13" t="s">
        <v>1004</v>
      </c>
      <c r="L843" s="13" t="s">
        <v>441</v>
      </c>
      <c r="M843" s="15">
        <v>200003233013020</v>
      </c>
      <c r="N843" s="13" t="s">
        <v>924</v>
      </c>
      <c r="O843" s="13">
        <v>1.09120260803002E+17</v>
      </c>
      <c r="P843" s="13" t="s">
        <v>2061</v>
      </c>
      <c r="Q843" s="18">
        <v>110</v>
      </c>
      <c r="R843" s="18">
        <v>1</v>
      </c>
      <c r="S843" s="13">
        <v>8828132634</v>
      </c>
      <c r="T843" s="13" t="s">
        <v>978</v>
      </c>
      <c r="U843" s="19">
        <v>32542400</v>
      </c>
      <c r="V843" s="18">
        <v>1</v>
      </c>
      <c r="W843" s="18">
        <f>_xlfn.XLOOKUP(J843,'Master Data 14-9-2026'!C:C,'Master Data 14-9-2026'!L:L)</f>
        <v>0.5</v>
      </c>
      <c r="X843" s="23">
        <v>32542400</v>
      </c>
      <c r="Y843" s="13" t="s">
        <v>2009</v>
      </c>
      <c r="Z843" s="24" t="s">
        <v>225</v>
      </c>
      <c r="AB843" s="13"/>
      <c r="AC843" s="13"/>
      <c r="AD843" s="13"/>
      <c r="AE843" s="13" t="str">
        <f>_xlfn.XLOOKUP(L843,'[1]ID PROJECT'!E:E,'[1]ID PROJECT'!F:F)</f>
        <v xml:space="preserve">PRJ-KUT-KPU-TPED-2026-04-00071 </v>
      </c>
      <c r="AF843" s="13"/>
      <c r="AG843" s="13"/>
      <c r="AH843" s="65"/>
      <c r="AI843" s="27"/>
    </row>
    <row r="844" spans="1:35" hidden="1">
      <c r="A844" s="13" t="s">
        <v>579</v>
      </c>
      <c r="B844" s="13" t="str">
        <f>_xlfn.XLOOKUP(J844,'Master Data 14-9-2026'!C:C,'Master Data 14-9-2026'!D:D)</f>
        <v>Lamhot Hamonangan Butar butar WX1529424</v>
      </c>
      <c r="C844" s="13"/>
      <c r="D844" s="13" t="str">
        <f>_xlfn.XLOOKUP(J844,'Master Data 14-9-2026'!C:C,'Master Data 14-9-2026'!E:E)</f>
        <v>XLSMART</v>
      </c>
      <c r="E844" s="13"/>
      <c r="F844" s="13"/>
      <c r="G844" s="13" t="s">
        <v>22</v>
      </c>
      <c r="H844" s="13" t="str">
        <f>_xlfn.XLOOKUP(J844,'Master Data 14-9-2026'!C:C,'Master Data 14-9-2026'!H:H)</f>
        <v>2026-08-23 - 2026-09-22</v>
      </c>
      <c r="I844" s="13" t="str">
        <f t="shared" si="13"/>
        <v>August</v>
      </c>
      <c r="J844" s="13" t="s">
        <v>2167</v>
      </c>
      <c r="K844" s="13" t="s">
        <v>1004</v>
      </c>
      <c r="L844" s="13" t="s">
        <v>441</v>
      </c>
      <c r="M844" s="15">
        <v>200003233014020</v>
      </c>
      <c r="N844" s="13" t="s">
        <v>924</v>
      </c>
      <c r="O844" s="13">
        <v>1.09120260803002E+17</v>
      </c>
      <c r="P844" s="13" t="s">
        <v>2061</v>
      </c>
      <c r="Q844" s="18">
        <v>111</v>
      </c>
      <c r="R844" s="18">
        <v>1</v>
      </c>
      <c r="S844" s="13">
        <v>8828132634</v>
      </c>
      <c r="T844" s="13" t="s">
        <v>978</v>
      </c>
      <c r="U844" s="19">
        <v>32542400</v>
      </c>
      <c r="V844" s="18">
        <v>1</v>
      </c>
      <c r="W844" s="18">
        <f>_xlfn.XLOOKUP(J844,'Master Data 14-9-2026'!C:C,'Master Data 14-9-2026'!L:L)</f>
        <v>0.5</v>
      </c>
      <c r="X844" s="23">
        <v>32542400</v>
      </c>
      <c r="Y844" s="13" t="s">
        <v>2009</v>
      </c>
      <c r="Z844" s="24" t="s">
        <v>225</v>
      </c>
      <c r="AB844" s="13"/>
      <c r="AC844" s="13"/>
      <c r="AD844" s="13"/>
      <c r="AE844" s="13" t="str">
        <f>_xlfn.XLOOKUP(L844,'[1]ID PROJECT'!E:E,'[1]ID PROJECT'!F:F)</f>
        <v xml:space="preserve">PRJ-KUT-KPU-TPED-2026-04-00071 </v>
      </c>
      <c r="AF844" s="13"/>
      <c r="AG844" s="13"/>
      <c r="AH844" s="65"/>
      <c r="AI844" s="27"/>
    </row>
    <row r="845" spans="1:35" hidden="1">
      <c r="A845" s="13" t="s">
        <v>668</v>
      </c>
      <c r="B845" s="13" t="str">
        <f>_xlfn.XLOOKUP(J845,'Master Data 14-9-2026'!C:C,'Master Data 14-9-2026'!D:D)</f>
        <v>Topan wibowo wx1532660</v>
      </c>
      <c r="C845" s="13"/>
      <c r="D845" s="13" t="str">
        <f>_xlfn.XLOOKUP(J845,'Master Data 14-9-2026'!C:C,'Master Data 14-9-2026'!E:E)</f>
        <v>XLSMART</v>
      </c>
      <c r="E845" s="13"/>
      <c r="F845" s="13"/>
      <c r="G845" s="13" t="s">
        <v>13</v>
      </c>
      <c r="H845" s="13" t="str">
        <f>_xlfn.XLOOKUP(J845,'Master Data 14-9-2026'!C:C,'Master Data 14-9-2026'!H:H)</f>
        <v>2026-08-10 - 2026-09-09</v>
      </c>
      <c r="I845" s="13" t="str">
        <f t="shared" si="13"/>
        <v>August</v>
      </c>
      <c r="J845" s="13" t="s">
        <v>2168</v>
      </c>
      <c r="K845" s="13" t="s">
        <v>2160</v>
      </c>
      <c r="L845" s="13" t="s">
        <v>493</v>
      </c>
      <c r="M845" s="15">
        <v>200003233224020</v>
      </c>
      <c r="N845" s="13" t="s">
        <v>924</v>
      </c>
      <c r="O845" s="13">
        <v>1.09120260803002E+17</v>
      </c>
      <c r="P845" s="13" t="s">
        <v>2061</v>
      </c>
      <c r="Q845" s="18">
        <v>112</v>
      </c>
      <c r="R845" s="18">
        <v>1</v>
      </c>
      <c r="S845" s="13">
        <v>8828132634</v>
      </c>
      <c r="T845" s="13" t="s">
        <v>978</v>
      </c>
      <c r="U845" s="19">
        <v>32542400</v>
      </c>
      <c r="V845" s="18">
        <v>1</v>
      </c>
      <c r="W845" s="18">
        <f>_xlfn.XLOOKUP(J845,'Master Data 14-9-2026'!C:C,'Master Data 14-9-2026'!L:L)</f>
        <v>0.5</v>
      </c>
      <c r="X845" s="23">
        <v>32542400</v>
      </c>
      <c r="Y845" s="13" t="s">
        <v>2009</v>
      </c>
      <c r="Z845" s="24" t="s">
        <v>15</v>
      </c>
      <c r="AA845" s="4" t="s">
        <v>1288</v>
      </c>
      <c r="AB845" s="13"/>
      <c r="AC845" s="13"/>
      <c r="AD845" s="13"/>
      <c r="AE845" s="13" t="str">
        <f>_xlfn.XLOOKUP(L845,'[1]ID PROJECT'!E:E,'[1]ID PROJECT'!F:F)</f>
        <v>PRJ-KUT-KPU-TPED-2026-04-00079</v>
      </c>
      <c r="AF845" s="13"/>
      <c r="AG845" s="13"/>
      <c r="AH845" s="65"/>
      <c r="AI845" s="27"/>
    </row>
    <row r="846" spans="1:35" hidden="1">
      <c r="A846" s="13" t="s">
        <v>668</v>
      </c>
      <c r="B846" s="13" t="str">
        <f>_xlfn.XLOOKUP(J846,'Master Data 14-9-2026'!C:C,'Master Data 14-9-2026'!D:D)</f>
        <v>Topan wibowo wx1532660</v>
      </c>
      <c r="C846" s="13"/>
      <c r="D846" s="13" t="str">
        <f>_xlfn.XLOOKUP(J846,'Master Data 14-9-2026'!C:C,'Master Data 14-9-2026'!E:E)</f>
        <v>XLSMART</v>
      </c>
      <c r="E846" s="13"/>
      <c r="F846" s="13"/>
      <c r="G846" s="13" t="s">
        <v>18</v>
      </c>
      <c r="H846" s="13" t="str">
        <f>_xlfn.XLOOKUP(J846,'Master Data 14-9-2026'!C:C,'Master Data 14-9-2026'!H:H)</f>
        <v>2026-09-10 - 2026-10-09</v>
      </c>
      <c r="I846" s="13" t="str">
        <f t="shared" si="13"/>
        <v>September</v>
      </c>
      <c r="J846" s="13" t="s">
        <v>2169</v>
      </c>
      <c r="K846" s="13" t="s">
        <v>2160</v>
      </c>
      <c r="L846" s="13" t="s">
        <v>493</v>
      </c>
      <c r="M846" s="15">
        <v>200003233225020</v>
      </c>
      <c r="N846" s="13" t="s">
        <v>924</v>
      </c>
      <c r="O846" s="13">
        <v>1.09120260803002E+17</v>
      </c>
      <c r="P846" s="13" t="s">
        <v>2061</v>
      </c>
      <c r="Q846" s="18">
        <v>113</v>
      </c>
      <c r="R846" s="18">
        <v>1</v>
      </c>
      <c r="S846" s="13">
        <v>8828132634</v>
      </c>
      <c r="T846" s="13" t="s">
        <v>978</v>
      </c>
      <c r="U846" s="19">
        <v>32542400</v>
      </c>
      <c r="V846" s="18">
        <v>1</v>
      </c>
      <c r="W846" s="18">
        <f>_xlfn.XLOOKUP(J846,'Master Data 14-9-2026'!C:C,'Master Data 14-9-2026'!L:L)</f>
        <v>0</v>
      </c>
      <c r="X846" s="23">
        <v>32542400</v>
      </c>
      <c r="Y846" s="13" t="s">
        <v>2009</v>
      </c>
      <c r="Z846" s="24" t="s">
        <v>33</v>
      </c>
      <c r="AA846" s="4" t="s">
        <v>1288</v>
      </c>
      <c r="AB846" s="40" t="s">
        <v>44</v>
      </c>
      <c r="AC846" s="13"/>
      <c r="AD846" s="13"/>
      <c r="AE846" s="13" t="str">
        <f>_xlfn.XLOOKUP(L846,'[1]ID PROJECT'!E:E,'[1]ID PROJECT'!F:F)</f>
        <v>PRJ-KUT-KPU-TPED-2026-04-00079</v>
      </c>
      <c r="AF846" s="13"/>
      <c r="AG846" s="13"/>
      <c r="AH846" s="65"/>
      <c r="AI846" s="27"/>
    </row>
    <row r="847" spans="1:35">
      <c r="A847" s="13" t="s">
        <v>93</v>
      </c>
      <c r="B847" s="13" t="str">
        <f>_xlfn.XLOOKUP(J847,'Master Data 14-9-2026'!C:C,'Master Data 14-9-2026'!D:D)</f>
        <v>Fadhlan Adha wx1524099</v>
      </c>
      <c r="C847" s="13"/>
      <c r="D847" s="13" t="str">
        <f>_xlfn.XLOOKUP(J847,'Master Data 14-9-2026'!C:C,'Master Data 14-9-2026'!E:E)</f>
        <v>XLSMART</v>
      </c>
      <c r="E847" s="13"/>
      <c r="F847" s="13"/>
      <c r="G847" s="13" t="s">
        <v>22</v>
      </c>
      <c r="H847" s="13" t="str">
        <f>_xlfn.XLOOKUP(J847,'Master Data 14-9-2026'!C:C,'Master Data 14-9-2026'!H:H)</f>
        <v>2026-08-02 - 2026-09-01</v>
      </c>
      <c r="I847" s="13" t="str">
        <f t="shared" si="13"/>
        <v>August</v>
      </c>
      <c r="J847" s="13" t="s">
        <v>2170</v>
      </c>
      <c r="K847" s="13" t="s">
        <v>1606</v>
      </c>
      <c r="L847" s="13" t="s">
        <v>441</v>
      </c>
      <c r="M847" s="15">
        <v>200003233230020</v>
      </c>
      <c r="N847" s="13" t="s">
        <v>924</v>
      </c>
      <c r="O847" s="13">
        <v>1.09120260803002E+17</v>
      </c>
      <c r="P847" s="13" t="s">
        <v>2061</v>
      </c>
      <c r="Q847" s="18">
        <v>114</v>
      </c>
      <c r="R847" s="18">
        <v>1</v>
      </c>
      <c r="S847" s="13">
        <v>8828132633</v>
      </c>
      <c r="T847" s="13" t="s">
        <v>951</v>
      </c>
      <c r="U847" s="19">
        <v>28881900</v>
      </c>
      <c r="V847" s="18">
        <v>1</v>
      </c>
      <c r="W847" s="18">
        <f>_xlfn.XLOOKUP(J847,'Master Data 14-9-2026'!C:C,'Master Data 14-9-2026'!L:L)</f>
        <v>1</v>
      </c>
      <c r="X847" s="23">
        <v>28881900</v>
      </c>
      <c r="Y847" s="13" t="s">
        <v>2009</v>
      </c>
      <c r="Z847" s="24" t="str">
        <f>_xlfn.XLOOKUP(J847,'Master Data 14-9-2026'!C:C,'Master Data 14-9-2026'!I:I)</f>
        <v>Ended</v>
      </c>
      <c r="AA847" s="39" t="s">
        <v>934</v>
      </c>
      <c r="AB847" s="40"/>
      <c r="AC847" s="13"/>
      <c r="AD847" s="40" t="s">
        <v>935</v>
      </c>
      <c r="AE847" s="13" t="str">
        <f>_xlfn.XLOOKUP(L847,'[1]ID PROJECT'!E:E,'[1]ID PROJECT'!F:F)</f>
        <v xml:space="preserve">PRJ-KUT-KPU-TPED-2026-04-00071 </v>
      </c>
      <c r="AF847" s="39" t="s">
        <v>4165</v>
      </c>
      <c r="AG847" s="13" t="s">
        <v>4192</v>
      </c>
      <c r="AH847" s="65">
        <v>46286</v>
      </c>
      <c r="AI847" s="41" t="s">
        <v>967</v>
      </c>
    </row>
    <row r="848" spans="1:35" hidden="1">
      <c r="A848" s="13" t="s">
        <v>358</v>
      </c>
      <c r="B848" s="13" t="str">
        <f>_xlfn.XLOOKUP(J848,'Master Data 14-9-2026'!C:C,'Master Data 14-9-2026'!D:D)</f>
        <v>Rizky Aisyah Rahmawati wx1524116</v>
      </c>
      <c r="C848" s="13"/>
      <c r="D848" s="13" t="str">
        <f>_xlfn.XLOOKUP(J848,'Master Data 14-9-2026'!C:C,'Master Data 14-9-2026'!E:E)</f>
        <v>XLSMART</v>
      </c>
      <c r="E848" s="13"/>
      <c r="F848" s="13"/>
      <c r="G848" s="13" t="s">
        <v>22</v>
      </c>
      <c r="H848" s="13" t="str">
        <f>_xlfn.XLOOKUP(J848,'Master Data 14-9-2026'!C:C,'Master Data 14-9-2026'!H:H)</f>
        <v>2026-08-02 - 2026-09-01</v>
      </c>
      <c r="I848" s="13" t="str">
        <f t="shared" si="13"/>
        <v>August</v>
      </c>
      <c r="J848" s="13" t="s">
        <v>2171</v>
      </c>
      <c r="K848" s="13" t="s">
        <v>1606</v>
      </c>
      <c r="L848" s="13" t="s">
        <v>441</v>
      </c>
      <c r="M848" s="15">
        <v>200003233234020</v>
      </c>
      <c r="N848" s="13" t="s">
        <v>924</v>
      </c>
      <c r="O848" s="13">
        <v>1.09120260803002E+17</v>
      </c>
      <c r="P848" s="13" t="s">
        <v>2061</v>
      </c>
      <c r="Q848" s="18">
        <v>115</v>
      </c>
      <c r="R848" s="18">
        <v>1</v>
      </c>
      <c r="S848" s="13">
        <v>8828132633</v>
      </c>
      <c r="T848" s="13" t="s">
        <v>951</v>
      </c>
      <c r="U848" s="19">
        <v>28881900</v>
      </c>
      <c r="V848" s="18">
        <v>1</v>
      </c>
      <c r="W848" s="18">
        <f>_xlfn.XLOOKUP(J848,'Master Data 14-9-2026'!C:C,'Master Data 14-9-2026'!L:L)</f>
        <v>0.5</v>
      </c>
      <c r="X848" s="23">
        <v>28881900</v>
      </c>
      <c r="Y848" s="13" t="s">
        <v>2009</v>
      </c>
      <c r="Z848" s="24" t="s">
        <v>984</v>
      </c>
      <c r="AA848" s="4" t="s">
        <v>1288</v>
      </c>
      <c r="AB848" s="13" t="s">
        <v>1289</v>
      </c>
      <c r="AC848" s="13"/>
      <c r="AD848" s="13"/>
      <c r="AE848" s="13" t="str">
        <f>_xlfn.XLOOKUP(L848,'[1]ID PROJECT'!E:E,'[1]ID PROJECT'!F:F)</f>
        <v xml:space="preserve">PRJ-KUT-KPU-TPED-2026-04-00071 </v>
      </c>
      <c r="AF848" s="13"/>
      <c r="AG848" s="13"/>
      <c r="AH848" s="65"/>
      <c r="AI848" s="27"/>
    </row>
    <row r="849" spans="1:35" hidden="1">
      <c r="A849" s="13" t="s">
        <v>799</v>
      </c>
      <c r="B849" s="13" t="str">
        <f>_xlfn.XLOOKUP(J849,'Master Data 14-9-2026'!C:C,'Master Data 14-9-2026'!D:D)</f>
        <v>Ody Rifandi wx1524109</v>
      </c>
      <c r="C849" s="13"/>
      <c r="D849" s="13" t="str">
        <f>_xlfn.XLOOKUP(J849,'Master Data 14-9-2026'!C:C,'Master Data 14-9-2026'!E:E)</f>
        <v>XLSMART</v>
      </c>
      <c r="E849" s="13"/>
      <c r="F849" s="13"/>
      <c r="G849" s="13" t="s">
        <v>22</v>
      </c>
      <c r="H849" s="13" t="str">
        <f>_xlfn.XLOOKUP(J849,'Master Data 14-9-2026'!C:C,'Master Data 14-9-2026'!H:H)</f>
        <v>2026-08-02 - 2026-09-01</v>
      </c>
      <c r="I849" s="13" t="str">
        <f t="shared" si="13"/>
        <v>August</v>
      </c>
      <c r="J849" s="13" t="s">
        <v>2172</v>
      </c>
      <c r="K849" s="13" t="s">
        <v>1606</v>
      </c>
      <c r="L849" s="13" t="s">
        <v>461</v>
      </c>
      <c r="M849" s="15">
        <v>200003233238020</v>
      </c>
      <c r="N849" s="13" t="s">
        <v>924</v>
      </c>
      <c r="O849" s="13">
        <v>1.09120260803002E+17</v>
      </c>
      <c r="P849" s="13" t="s">
        <v>2061</v>
      </c>
      <c r="Q849" s="18">
        <v>116</v>
      </c>
      <c r="R849" s="18">
        <v>1</v>
      </c>
      <c r="S849" s="13">
        <v>8828132635</v>
      </c>
      <c r="T849" s="13" t="s">
        <v>926</v>
      </c>
      <c r="U849" s="19">
        <v>34220600</v>
      </c>
      <c r="V849" s="18">
        <v>1</v>
      </c>
      <c r="W849" s="18">
        <f>_xlfn.XLOOKUP(J849,'Master Data 14-9-2026'!C:C,'Master Data 14-9-2026'!L:L)</f>
        <v>1.48</v>
      </c>
      <c r="X849" s="23">
        <v>34220600</v>
      </c>
      <c r="Y849" s="13" t="s">
        <v>2009</v>
      </c>
      <c r="Z849" s="24" t="s">
        <v>33</v>
      </c>
      <c r="AA849" s="4" t="s">
        <v>1288</v>
      </c>
      <c r="AB849" s="13" t="s">
        <v>1600</v>
      </c>
      <c r="AC849" s="13"/>
      <c r="AD849" s="13"/>
      <c r="AE849" s="13" t="str">
        <f>_xlfn.XLOOKUP(L849,'[1]ID PROJECT'!E:E,'[1]ID PROJECT'!F:F)</f>
        <v>PRJ-KUT-KPU-TPED-2026-04-00078</v>
      </c>
      <c r="AF849" s="13"/>
      <c r="AG849" s="13"/>
      <c r="AH849" s="65"/>
      <c r="AI849" s="27"/>
    </row>
    <row r="850" spans="1:35">
      <c r="A850" s="13" t="s">
        <v>768</v>
      </c>
      <c r="B850" s="13" t="str">
        <f>_xlfn.XLOOKUP(J850,'Master Data 14-9-2026'!C:C,'Master Data 14-9-2026'!D:D)</f>
        <v>Ilham Yoga Pamungkas wx1524108</v>
      </c>
      <c r="C850" s="13"/>
      <c r="D850" s="13" t="str">
        <f>_xlfn.XLOOKUP(J850,'Master Data 14-9-2026'!C:C,'Master Data 14-9-2026'!E:E)</f>
        <v>XLSMART</v>
      </c>
      <c r="E850" s="13"/>
      <c r="F850" s="13"/>
      <c r="G850" s="13" t="s">
        <v>22</v>
      </c>
      <c r="H850" s="13" t="str">
        <f>_xlfn.XLOOKUP(J850,'Master Data 14-9-2026'!C:C,'Master Data 14-9-2026'!H:H)</f>
        <v>2026-08-02 - 2026-09-01</v>
      </c>
      <c r="I850" s="13" t="str">
        <f t="shared" si="13"/>
        <v>August</v>
      </c>
      <c r="J850" s="13" t="s">
        <v>2173</v>
      </c>
      <c r="K850" s="13" t="s">
        <v>1606</v>
      </c>
      <c r="L850" s="13" t="s">
        <v>461</v>
      </c>
      <c r="M850" s="15">
        <v>200003233242020</v>
      </c>
      <c r="N850" s="13" t="s">
        <v>924</v>
      </c>
      <c r="O850" s="13">
        <v>1.09120260803002E+17</v>
      </c>
      <c r="P850" s="13" t="s">
        <v>2061</v>
      </c>
      <c r="Q850" s="18">
        <v>117</v>
      </c>
      <c r="R850" s="18">
        <v>1</v>
      </c>
      <c r="S850" s="13">
        <v>8828132635</v>
      </c>
      <c r="T850" s="13" t="s">
        <v>926</v>
      </c>
      <c r="U850" s="19">
        <v>34220600</v>
      </c>
      <c r="V850" s="18">
        <v>1</v>
      </c>
      <c r="W850" s="18">
        <f>_xlfn.XLOOKUP(J850,'Master Data 14-9-2026'!C:C,'Master Data 14-9-2026'!L:L)</f>
        <v>1</v>
      </c>
      <c r="X850" s="23">
        <v>34220600</v>
      </c>
      <c r="Y850" s="13" t="s">
        <v>2009</v>
      </c>
      <c r="Z850" s="24" t="str">
        <f>_xlfn.XLOOKUP(J850,'Master Data 14-9-2026'!C:C,'Master Data 14-9-2026'!I:I)</f>
        <v>Ended</v>
      </c>
      <c r="AA850" s="39" t="s">
        <v>934</v>
      </c>
      <c r="AB850" s="40"/>
      <c r="AC850" s="13"/>
      <c r="AD850" s="40" t="s">
        <v>935</v>
      </c>
      <c r="AE850" s="13" t="str">
        <f>_xlfn.XLOOKUP(L850,'[1]ID PROJECT'!E:E,'[1]ID PROJECT'!F:F)</f>
        <v>PRJ-KUT-KPU-TPED-2026-04-00078</v>
      </c>
      <c r="AF850" s="39" t="s">
        <v>4165</v>
      </c>
      <c r="AG850" s="13" t="s">
        <v>4192</v>
      </c>
      <c r="AH850" s="65">
        <v>46286</v>
      </c>
      <c r="AI850" s="41" t="s">
        <v>967</v>
      </c>
    </row>
    <row r="851" spans="1:35" hidden="1">
      <c r="A851" s="13" t="s">
        <v>328</v>
      </c>
      <c r="B851" s="13" t="str">
        <f>_xlfn.XLOOKUP(J851,'Master Data 14-9-2026'!C:C,'Master Data 14-9-2026'!D:D)</f>
        <v>Erianty Rahma Witra wx1529071</v>
      </c>
      <c r="C851" s="13"/>
      <c r="D851" s="13" t="str">
        <f>_xlfn.XLOOKUP(J851,'Master Data 14-9-2026'!C:C,'Master Data 14-9-2026'!E:E)</f>
        <v>XLSMART</v>
      </c>
      <c r="E851" s="13"/>
      <c r="F851" s="13"/>
      <c r="G851" s="13" t="s">
        <v>18</v>
      </c>
      <c r="H851" s="13" t="str">
        <f>_xlfn.XLOOKUP(J851,'Master Data 14-9-2026'!C:C,'Master Data 14-9-2026'!H:H)</f>
        <v>2026-08-01 - 2026-08-31</v>
      </c>
      <c r="I851" s="13" t="str">
        <f t="shared" si="13"/>
        <v>August</v>
      </c>
      <c r="J851" s="13" t="s">
        <v>2174</v>
      </c>
      <c r="K851" s="13" t="s">
        <v>1606</v>
      </c>
      <c r="L851" s="13" t="s">
        <v>441</v>
      </c>
      <c r="M851" s="15">
        <v>200003233246020</v>
      </c>
      <c r="N851" s="13" t="s">
        <v>924</v>
      </c>
      <c r="O851" s="13">
        <v>1.09120260803002E+17</v>
      </c>
      <c r="P851" s="13" t="s">
        <v>2061</v>
      </c>
      <c r="Q851" s="18">
        <v>118</v>
      </c>
      <c r="R851" s="18">
        <v>1</v>
      </c>
      <c r="S851" s="13">
        <v>8828132633</v>
      </c>
      <c r="T851" s="13" t="s">
        <v>951</v>
      </c>
      <c r="U851" s="19">
        <v>28881900</v>
      </c>
      <c r="V851" s="18">
        <v>1</v>
      </c>
      <c r="W851" s="18">
        <f>_xlfn.XLOOKUP(J851,'Master Data 14-9-2026'!C:C,'Master Data 14-9-2026'!L:L)</f>
        <v>0</v>
      </c>
      <c r="X851" s="23">
        <v>28881900</v>
      </c>
      <c r="Y851" s="13" t="s">
        <v>2009</v>
      </c>
      <c r="Z851" s="24" t="s">
        <v>984</v>
      </c>
      <c r="AA851" s="4" t="s">
        <v>1288</v>
      </c>
      <c r="AB851" s="40" t="s">
        <v>44</v>
      </c>
      <c r="AC851" s="13"/>
      <c r="AD851" s="13"/>
      <c r="AE851" s="13" t="str">
        <f>_xlfn.XLOOKUP(L851,'[1]ID PROJECT'!E:E,'[1]ID PROJECT'!F:F)</f>
        <v xml:space="preserve">PRJ-KUT-KPU-TPED-2026-04-00071 </v>
      </c>
      <c r="AF851" s="13"/>
      <c r="AG851" s="13"/>
      <c r="AH851" s="65"/>
      <c r="AI851" s="27"/>
    </row>
    <row r="852" spans="1:35" hidden="1">
      <c r="A852" s="13" t="s">
        <v>564</v>
      </c>
      <c r="B852" s="13" t="str">
        <f>_xlfn.XLOOKUP(J852,'Master Data 14-9-2026'!C:C,'Master Data 14-9-2026'!D:D)</f>
        <v>Agung Nugraha WX1529434</v>
      </c>
      <c r="C852" s="13"/>
      <c r="D852" s="13" t="str">
        <f>_xlfn.XLOOKUP(J852,'Master Data 14-9-2026'!C:C,'Master Data 14-9-2026'!E:E)</f>
        <v>XLSMART</v>
      </c>
      <c r="E852" s="13"/>
      <c r="F852" s="13"/>
      <c r="G852" s="13" t="s">
        <v>22</v>
      </c>
      <c r="H852" s="13" t="str">
        <f>_xlfn.XLOOKUP(J852,'Master Data 14-9-2026'!C:C,'Master Data 14-9-2026'!H:H)</f>
        <v>2026-08-23 - 2026-09-22</v>
      </c>
      <c r="I852" s="13" t="str">
        <f t="shared" si="13"/>
        <v>August</v>
      </c>
      <c r="J852" s="13" t="s">
        <v>2175</v>
      </c>
      <c r="K852" s="13" t="s">
        <v>1004</v>
      </c>
      <c r="L852" s="13" t="s">
        <v>441</v>
      </c>
      <c r="M852" s="15">
        <v>200003233015020</v>
      </c>
      <c r="N852" s="13" t="s">
        <v>924</v>
      </c>
      <c r="O852" s="13">
        <v>1.09120260803002E+17</v>
      </c>
      <c r="P852" s="13" t="s">
        <v>2061</v>
      </c>
      <c r="Q852" s="18">
        <v>119</v>
      </c>
      <c r="R852" s="18">
        <v>1</v>
      </c>
      <c r="S852" s="13">
        <v>8828132634</v>
      </c>
      <c r="T852" s="13" t="s">
        <v>978</v>
      </c>
      <c r="U852" s="19">
        <v>32542400</v>
      </c>
      <c r="V852" s="18">
        <v>1</v>
      </c>
      <c r="W852" s="18">
        <f>_xlfn.XLOOKUP(J852,'Master Data 14-9-2026'!C:C,'Master Data 14-9-2026'!L:L)</f>
        <v>0.5</v>
      </c>
      <c r="X852" s="23">
        <v>32542400</v>
      </c>
      <c r="Y852" s="13" t="s">
        <v>2009</v>
      </c>
      <c r="Z852" s="24" t="s">
        <v>225</v>
      </c>
      <c r="AA852" s="4" t="s">
        <v>1288</v>
      </c>
      <c r="AB852" s="13"/>
      <c r="AC852" s="13"/>
      <c r="AD852" s="13"/>
      <c r="AE852" s="13" t="str">
        <f>_xlfn.XLOOKUP(L852,'[1]ID PROJECT'!E:E,'[1]ID PROJECT'!F:F)</f>
        <v xml:space="preserve">PRJ-KUT-KPU-TPED-2026-04-00071 </v>
      </c>
      <c r="AF852" s="13"/>
      <c r="AG852" s="13"/>
      <c r="AH852" s="65"/>
      <c r="AI852" s="27"/>
    </row>
    <row r="853" spans="1:35" hidden="1">
      <c r="A853" s="13" t="s">
        <v>548</v>
      </c>
      <c r="B853" s="13" t="str">
        <f>_xlfn.XLOOKUP(J853,'Master Data 14-9-2026'!C:C,'Master Data 14-9-2026'!D:D)</f>
        <v>Rifky Febrianto WX1529426</v>
      </c>
      <c r="C853" s="13"/>
      <c r="D853" s="13" t="str">
        <f>_xlfn.XLOOKUP(J853,'Master Data 14-9-2026'!C:C,'Master Data 14-9-2026'!E:E)</f>
        <v>XLSMART</v>
      </c>
      <c r="E853" s="13"/>
      <c r="F853" s="13"/>
      <c r="G853" s="13" t="s">
        <v>22</v>
      </c>
      <c r="H853" s="13" t="str">
        <f>_xlfn.XLOOKUP(J853,'Master Data 14-9-2026'!C:C,'Master Data 14-9-2026'!H:H)</f>
        <v>2026-08-23 - 2026-09-22</v>
      </c>
      <c r="I853" s="13" t="str">
        <f t="shared" si="13"/>
        <v>August</v>
      </c>
      <c r="J853" s="13" t="s">
        <v>2176</v>
      </c>
      <c r="K853" s="13" t="s">
        <v>1004</v>
      </c>
      <c r="L853" s="13" t="s">
        <v>441</v>
      </c>
      <c r="M853" s="15">
        <v>200003233016020</v>
      </c>
      <c r="N853" s="13" t="s">
        <v>924</v>
      </c>
      <c r="O853" s="13">
        <v>1.09120260803002E+17</v>
      </c>
      <c r="P853" s="13" t="s">
        <v>2061</v>
      </c>
      <c r="Q853" s="18">
        <v>120</v>
      </c>
      <c r="R853" s="18">
        <v>1</v>
      </c>
      <c r="S853" s="13">
        <v>8828132634</v>
      </c>
      <c r="T853" s="13" t="s">
        <v>978</v>
      </c>
      <c r="U853" s="19">
        <v>32542400</v>
      </c>
      <c r="V853" s="18">
        <v>1</v>
      </c>
      <c r="W853" s="18">
        <f>_xlfn.XLOOKUP(J853,'Master Data 14-9-2026'!C:C,'Master Data 14-9-2026'!L:L)</f>
        <v>0</v>
      </c>
      <c r="X853" s="23">
        <v>32542400</v>
      </c>
      <c r="Y853" s="13" t="s">
        <v>2009</v>
      </c>
      <c r="Z853" s="24" t="s">
        <v>225</v>
      </c>
      <c r="AA853" s="4" t="s">
        <v>1288</v>
      </c>
      <c r="AB853" s="40" t="s">
        <v>44</v>
      </c>
      <c r="AC853" s="13"/>
      <c r="AD853" s="13"/>
      <c r="AE853" s="13" t="str">
        <f>_xlfn.XLOOKUP(L853,'[1]ID PROJECT'!E:E,'[1]ID PROJECT'!F:F)</f>
        <v xml:space="preserve">PRJ-KUT-KPU-TPED-2026-04-00071 </v>
      </c>
      <c r="AF853" s="13"/>
      <c r="AG853" s="13"/>
      <c r="AH853" s="65"/>
      <c r="AI853" s="27"/>
    </row>
    <row r="854" spans="1:35" hidden="1">
      <c r="A854" s="13" t="s">
        <v>712</v>
      </c>
      <c r="B854" s="13" t="str">
        <f>_xlfn.XLOOKUP(J854,'Master Data 14-9-2026'!C:C,'Master Data 14-9-2026'!D:D)</f>
        <v>Yafet William B TaroreH WX1529431</v>
      </c>
      <c r="C854" s="13"/>
      <c r="D854" s="13" t="str">
        <f>_xlfn.XLOOKUP(J854,'Master Data 14-9-2026'!C:C,'Master Data 14-9-2026'!E:E)</f>
        <v>XLSMART</v>
      </c>
      <c r="E854" s="13"/>
      <c r="F854" s="13"/>
      <c r="G854" s="13" t="s">
        <v>22</v>
      </c>
      <c r="H854" s="13" t="str">
        <f>_xlfn.XLOOKUP(J854,'Master Data 14-9-2026'!C:C,'Master Data 14-9-2026'!H:H)</f>
        <v>2026-08-23 - 2026-09-22</v>
      </c>
      <c r="I854" s="13" t="str">
        <f t="shared" si="13"/>
        <v>August</v>
      </c>
      <c r="J854" s="13" t="s">
        <v>2177</v>
      </c>
      <c r="K854" s="13" t="s">
        <v>1004</v>
      </c>
      <c r="L854" s="13" t="s">
        <v>441</v>
      </c>
      <c r="M854" s="15">
        <v>200003233017020</v>
      </c>
      <c r="N854" s="13" t="s">
        <v>924</v>
      </c>
      <c r="O854" s="13">
        <v>1.09120260803002E+17</v>
      </c>
      <c r="P854" s="13" t="s">
        <v>2061</v>
      </c>
      <c r="Q854" s="18">
        <v>121</v>
      </c>
      <c r="R854" s="18">
        <v>1</v>
      </c>
      <c r="S854" s="13">
        <v>8828132634</v>
      </c>
      <c r="T854" s="13" t="s">
        <v>978</v>
      </c>
      <c r="U854" s="19">
        <v>32542400</v>
      </c>
      <c r="V854" s="18">
        <v>1</v>
      </c>
      <c r="W854" s="18">
        <f>_xlfn.XLOOKUP(J854,'Master Data 14-9-2026'!C:C,'Master Data 14-9-2026'!L:L)</f>
        <v>0</v>
      </c>
      <c r="X854" s="23">
        <v>32542400</v>
      </c>
      <c r="Y854" s="13" t="s">
        <v>2009</v>
      </c>
      <c r="Z854" s="24" t="s">
        <v>225</v>
      </c>
      <c r="AA854" s="4" t="s">
        <v>1288</v>
      </c>
      <c r="AB854" s="40" t="s">
        <v>44</v>
      </c>
      <c r="AC854" s="13"/>
      <c r="AD854" s="13"/>
      <c r="AE854" s="13" t="str">
        <f>_xlfn.XLOOKUP(L854,'[1]ID PROJECT'!E:E,'[1]ID PROJECT'!F:F)</f>
        <v xml:space="preserve">PRJ-KUT-KPU-TPED-2026-04-00071 </v>
      </c>
      <c r="AF854" s="13"/>
      <c r="AG854" s="13"/>
      <c r="AH854" s="65"/>
      <c r="AI854" s="27"/>
    </row>
    <row r="855" spans="1:35" hidden="1">
      <c r="A855" s="13" t="s">
        <v>706</v>
      </c>
      <c r="B855" s="13" t="str">
        <f>_xlfn.XLOOKUP(J855,'Master Data 14-9-2026'!C:C,'Master Data 14-9-2026'!D:D)</f>
        <v>Fajar Fabianto WX1529437</v>
      </c>
      <c r="C855" s="13"/>
      <c r="D855" s="13" t="str">
        <f>_xlfn.XLOOKUP(J855,'Master Data 14-9-2026'!C:C,'Master Data 14-9-2026'!E:E)</f>
        <v>XLSMART</v>
      </c>
      <c r="E855" s="13"/>
      <c r="F855" s="13"/>
      <c r="G855" s="13" t="s">
        <v>22</v>
      </c>
      <c r="H855" s="13" t="str">
        <f>_xlfn.XLOOKUP(J855,'Master Data 14-9-2026'!C:C,'Master Data 14-9-2026'!H:H)</f>
        <v>2026-08-23 - 2026-09-22</v>
      </c>
      <c r="I855" s="13" t="str">
        <f t="shared" si="13"/>
        <v>August</v>
      </c>
      <c r="J855" s="13" t="s">
        <v>2178</v>
      </c>
      <c r="K855" s="13" t="s">
        <v>1004</v>
      </c>
      <c r="L855" s="13" t="s">
        <v>441</v>
      </c>
      <c r="M855" s="15">
        <v>200003233018020</v>
      </c>
      <c r="N855" s="13" t="s">
        <v>924</v>
      </c>
      <c r="O855" s="13">
        <v>1.09120260803002E+17</v>
      </c>
      <c r="P855" s="13" t="s">
        <v>2061</v>
      </c>
      <c r="Q855" s="18">
        <v>122</v>
      </c>
      <c r="R855" s="18">
        <v>1</v>
      </c>
      <c r="S855" s="13">
        <v>8828132634</v>
      </c>
      <c r="T855" s="13" t="s">
        <v>978</v>
      </c>
      <c r="U855" s="19">
        <v>32542400</v>
      </c>
      <c r="V855" s="18">
        <v>1</v>
      </c>
      <c r="W855" s="18">
        <f>_xlfn.XLOOKUP(J855,'Master Data 14-9-2026'!C:C,'Master Data 14-9-2026'!L:L)</f>
        <v>0</v>
      </c>
      <c r="X855" s="23">
        <v>32542400</v>
      </c>
      <c r="Y855" s="13" t="s">
        <v>2009</v>
      </c>
      <c r="Z855" s="24" t="s">
        <v>225</v>
      </c>
      <c r="AA855" s="4" t="s">
        <v>1288</v>
      </c>
      <c r="AB855" s="40" t="s">
        <v>44</v>
      </c>
      <c r="AC855" s="13"/>
      <c r="AD855" s="13"/>
      <c r="AE855" s="13" t="str">
        <f>_xlfn.XLOOKUP(L855,'[1]ID PROJECT'!E:E,'[1]ID PROJECT'!F:F)</f>
        <v xml:space="preserve">PRJ-KUT-KPU-TPED-2026-04-00071 </v>
      </c>
      <c r="AF855" s="13"/>
      <c r="AG855" s="13"/>
      <c r="AH855" s="65"/>
      <c r="AI855" s="27"/>
    </row>
    <row r="856" spans="1:35" hidden="1">
      <c r="A856" s="13" t="s">
        <v>704</v>
      </c>
      <c r="B856" s="13" t="str">
        <f>_xlfn.XLOOKUP(J856,'Master Data 14-9-2026'!C:C,'Master Data 14-9-2026'!D:D)</f>
        <v>Bayu Putra Anggoro WX1529648</v>
      </c>
      <c r="C856" s="13"/>
      <c r="D856" s="13" t="str">
        <f>_xlfn.XLOOKUP(J856,'Master Data 14-9-2026'!C:C,'Master Data 14-9-2026'!E:E)</f>
        <v>XLSMART</v>
      </c>
      <c r="E856" s="13"/>
      <c r="F856" s="13"/>
      <c r="G856" s="13" t="s">
        <v>22</v>
      </c>
      <c r="H856" s="13" t="str">
        <f>_xlfn.XLOOKUP(J856,'Master Data 14-9-2026'!C:C,'Master Data 14-9-2026'!H:H)</f>
        <v>2026-08-23 - 2026-09-22</v>
      </c>
      <c r="I856" s="13" t="str">
        <f t="shared" si="13"/>
        <v>August</v>
      </c>
      <c r="J856" s="13" t="s">
        <v>2179</v>
      </c>
      <c r="K856" s="13" t="s">
        <v>1004</v>
      </c>
      <c r="L856" s="13" t="s">
        <v>441</v>
      </c>
      <c r="M856" s="15">
        <v>200003233019020</v>
      </c>
      <c r="N856" s="13" t="s">
        <v>924</v>
      </c>
      <c r="O856" s="13">
        <v>1.09120260803002E+17</v>
      </c>
      <c r="P856" s="13" t="s">
        <v>2061</v>
      </c>
      <c r="Q856" s="18">
        <v>123</v>
      </c>
      <c r="R856" s="18">
        <v>1</v>
      </c>
      <c r="S856" s="13">
        <v>8828132634</v>
      </c>
      <c r="T856" s="13" t="s">
        <v>978</v>
      </c>
      <c r="U856" s="19">
        <v>32542400</v>
      </c>
      <c r="V856" s="18">
        <v>1</v>
      </c>
      <c r="W856" s="18">
        <f>_xlfn.XLOOKUP(J856,'Master Data 14-9-2026'!C:C,'Master Data 14-9-2026'!L:L)</f>
        <v>0.5</v>
      </c>
      <c r="X856" s="23">
        <v>32542400</v>
      </c>
      <c r="Y856" s="13" t="s">
        <v>2009</v>
      </c>
      <c r="Z856" s="24" t="s">
        <v>225</v>
      </c>
      <c r="AA856" s="4" t="s">
        <v>1288</v>
      </c>
      <c r="AB856" s="13"/>
      <c r="AC856" s="13"/>
      <c r="AD856" s="13"/>
      <c r="AE856" s="13" t="str">
        <f>_xlfn.XLOOKUP(L856,'[1]ID PROJECT'!E:E,'[1]ID PROJECT'!F:F)</f>
        <v xml:space="preserve">PRJ-KUT-KPU-TPED-2026-04-00071 </v>
      </c>
      <c r="AF856" s="13"/>
      <c r="AG856" s="13"/>
      <c r="AH856" s="65"/>
      <c r="AI856" s="27"/>
    </row>
    <row r="857" spans="1:35" hidden="1">
      <c r="A857" s="13" t="s">
        <v>696</v>
      </c>
      <c r="B857" s="13" t="str">
        <f>_xlfn.XLOOKUP(J857,'Master Data 14-9-2026'!C:C,'Master Data 14-9-2026'!D:D)</f>
        <v>DAVIT WX1529645</v>
      </c>
      <c r="C857" s="13"/>
      <c r="D857" s="13" t="str">
        <f>_xlfn.XLOOKUP(J857,'Master Data 14-9-2026'!C:C,'Master Data 14-9-2026'!E:E)</f>
        <v>XLSMART</v>
      </c>
      <c r="E857" s="13"/>
      <c r="F857" s="13"/>
      <c r="G857" s="13" t="s">
        <v>22</v>
      </c>
      <c r="H857" s="13" t="str">
        <f>_xlfn.XLOOKUP(J857,'Master Data 14-9-2026'!C:C,'Master Data 14-9-2026'!H:H)</f>
        <v>2026-08-23 - 2026-09-22</v>
      </c>
      <c r="I857" s="13" t="str">
        <f t="shared" si="13"/>
        <v>August</v>
      </c>
      <c r="J857" s="13" t="s">
        <v>2180</v>
      </c>
      <c r="K857" s="13" t="s">
        <v>1004</v>
      </c>
      <c r="L857" s="13" t="s">
        <v>441</v>
      </c>
      <c r="M857" s="15">
        <v>200003233020020</v>
      </c>
      <c r="N857" s="13" t="s">
        <v>924</v>
      </c>
      <c r="O857" s="13">
        <v>1.09120260803002E+17</v>
      </c>
      <c r="P857" s="13" t="s">
        <v>2061</v>
      </c>
      <c r="Q857" s="18">
        <v>124</v>
      </c>
      <c r="R857" s="18">
        <v>1</v>
      </c>
      <c r="S857" s="13">
        <v>8828132634</v>
      </c>
      <c r="T857" s="13" t="s">
        <v>978</v>
      </c>
      <c r="U857" s="19">
        <v>32542400</v>
      </c>
      <c r="V857" s="18">
        <v>1</v>
      </c>
      <c r="W857" s="18">
        <f>_xlfn.XLOOKUP(J857,'Master Data 14-9-2026'!C:C,'Master Data 14-9-2026'!L:L)</f>
        <v>0</v>
      </c>
      <c r="X857" s="23">
        <v>32542400</v>
      </c>
      <c r="Y857" s="13" t="s">
        <v>2009</v>
      </c>
      <c r="Z857" s="24" t="s">
        <v>225</v>
      </c>
      <c r="AA857" s="4" t="s">
        <v>1288</v>
      </c>
      <c r="AB857" s="40" t="s">
        <v>44</v>
      </c>
      <c r="AC857" s="13"/>
      <c r="AD857" s="13"/>
      <c r="AE857" s="13" t="str">
        <f>_xlfn.XLOOKUP(L857,'[1]ID PROJECT'!E:E,'[1]ID PROJECT'!F:F)</f>
        <v xml:space="preserve">PRJ-KUT-KPU-TPED-2026-04-00071 </v>
      </c>
      <c r="AF857" s="13"/>
      <c r="AG857" s="13"/>
      <c r="AH857" s="65"/>
      <c r="AI857" s="27"/>
    </row>
    <row r="858" spans="1:35" hidden="1">
      <c r="A858" s="13" t="s">
        <v>680</v>
      </c>
      <c r="B858" s="13" t="str">
        <f>_xlfn.XLOOKUP(J858,'Master Data 14-9-2026'!C:C,'Master Data 14-9-2026'!D:D)</f>
        <v>Agung Priyono WX1529427</v>
      </c>
      <c r="C858" s="13"/>
      <c r="D858" s="13" t="str">
        <f>_xlfn.XLOOKUP(J858,'Master Data 14-9-2026'!C:C,'Master Data 14-9-2026'!E:E)</f>
        <v>XLSMART</v>
      </c>
      <c r="E858" s="13"/>
      <c r="F858" s="13"/>
      <c r="G858" s="13" t="s">
        <v>22</v>
      </c>
      <c r="H858" s="13" t="str">
        <f>_xlfn.XLOOKUP(J858,'Master Data 14-9-2026'!C:C,'Master Data 14-9-2026'!H:H)</f>
        <v>2026-08-24 - 2026-09-23</v>
      </c>
      <c r="I858" s="13" t="str">
        <f t="shared" si="13"/>
        <v>August</v>
      </c>
      <c r="J858" s="13" t="s">
        <v>2181</v>
      </c>
      <c r="K858" s="13" t="s">
        <v>1004</v>
      </c>
      <c r="L858" s="13" t="s">
        <v>441</v>
      </c>
      <c r="M858" s="15">
        <v>200003233021020</v>
      </c>
      <c r="N858" s="13" t="s">
        <v>924</v>
      </c>
      <c r="O858" s="13">
        <v>1.09120260803002E+17</v>
      </c>
      <c r="P858" s="13" t="s">
        <v>2061</v>
      </c>
      <c r="Q858" s="18">
        <v>125</v>
      </c>
      <c r="R858" s="18">
        <v>1</v>
      </c>
      <c r="S858" s="13">
        <v>8828132634</v>
      </c>
      <c r="T858" s="13" t="s">
        <v>978</v>
      </c>
      <c r="U858" s="19">
        <v>32542400</v>
      </c>
      <c r="V858" s="18">
        <v>1</v>
      </c>
      <c r="W858" s="18">
        <f>_xlfn.XLOOKUP(J858,'Master Data 14-9-2026'!C:C,'Master Data 14-9-2026'!L:L)</f>
        <v>0.5</v>
      </c>
      <c r="X858" s="23">
        <v>32542400</v>
      </c>
      <c r="Y858" s="13" t="s">
        <v>2009</v>
      </c>
      <c r="Z858" s="24" t="s">
        <v>225</v>
      </c>
      <c r="AA858" s="4" t="s">
        <v>1288</v>
      </c>
      <c r="AB858" s="13"/>
      <c r="AC858" s="13"/>
      <c r="AD858" s="13"/>
      <c r="AE858" s="13" t="str">
        <f>_xlfn.XLOOKUP(L858,'[1]ID PROJECT'!E:E,'[1]ID PROJECT'!F:F)</f>
        <v xml:space="preserve">PRJ-KUT-KPU-TPED-2026-04-00071 </v>
      </c>
      <c r="AF858" s="13"/>
      <c r="AG858" s="13"/>
      <c r="AH858" s="65"/>
      <c r="AI858" s="27"/>
    </row>
    <row r="859" spans="1:35" hidden="1">
      <c r="A859" s="13" t="s">
        <v>886</v>
      </c>
      <c r="B859" s="13" t="str">
        <f>_xlfn.XLOOKUP(J859,'Master Data 14-9-2026'!C:C,'Master Data 14-9-2026'!D:D)</f>
        <v>Hanafi Salim Siagian wx1529070</v>
      </c>
      <c r="C859" s="13"/>
      <c r="D859" s="13" t="str">
        <f>_xlfn.XLOOKUP(J859,'Master Data 14-9-2026'!C:C,'Master Data 14-9-2026'!E:E)</f>
        <v>XLSMART</v>
      </c>
      <c r="E859" s="13"/>
      <c r="F859" s="13"/>
      <c r="G859" s="13" t="s">
        <v>18</v>
      </c>
      <c r="H859" s="13" t="str">
        <f>_xlfn.XLOOKUP(J859,'Master Data 14-9-2026'!C:C,'Master Data 14-9-2026'!H:H)</f>
        <v>2026-08-01 - 2026-08-31</v>
      </c>
      <c r="I859" s="13" t="str">
        <f t="shared" si="13"/>
        <v>August</v>
      </c>
      <c r="J859" s="13" t="s">
        <v>2182</v>
      </c>
      <c r="K859" s="13" t="s">
        <v>1606</v>
      </c>
      <c r="L859" s="13" t="s">
        <v>461</v>
      </c>
      <c r="M859" s="15">
        <v>200003233247020</v>
      </c>
      <c r="N859" s="13" t="s">
        <v>924</v>
      </c>
      <c r="O859" s="13">
        <v>1.09120260803002E+17</v>
      </c>
      <c r="P859" s="13" t="s">
        <v>2061</v>
      </c>
      <c r="Q859" s="18">
        <v>126</v>
      </c>
      <c r="R859" s="18">
        <v>1</v>
      </c>
      <c r="S859" s="13">
        <v>8828132635</v>
      </c>
      <c r="T859" s="13" t="s">
        <v>926</v>
      </c>
      <c r="U859" s="19">
        <v>34220600</v>
      </c>
      <c r="V859" s="18">
        <v>1</v>
      </c>
      <c r="W859" s="18">
        <f>_xlfn.XLOOKUP(J859,'Master Data 14-9-2026'!C:C,'Master Data 14-9-2026'!L:L)</f>
        <v>0</v>
      </c>
      <c r="X859" s="23">
        <v>34220600</v>
      </c>
      <c r="Y859" s="13" t="s">
        <v>2009</v>
      </c>
      <c r="Z859" s="24" t="s">
        <v>33</v>
      </c>
      <c r="AA859" s="4" t="s">
        <v>1288</v>
      </c>
      <c r="AB859" s="40" t="s">
        <v>44</v>
      </c>
      <c r="AC859" s="13"/>
      <c r="AD859" s="13"/>
      <c r="AE859" s="13" t="str">
        <f>_xlfn.XLOOKUP(L859,'[1]ID PROJECT'!E:E,'[1]ID PROJECT'!F:F)</f>
        <v>PRJ-KUT-KPU-TPED-2026-04-00078</v>
      </c>
      <c r="AF859" s="13"/>
      <c r="AG859" s="13"/>
      <c r="AH859" s="65"/>
      <c r="AI859" s="27"/>
    </row>
    <row r="860" spans="1:35" hidden="1">
      <c r="A860" s="13" t="s">
        <v>825</v>
      </c>
      <c r="B860" s="13" t="str">
        <f>_xlfn.XLOOKUP(J860,'Master Data 14-9-2026'!C:C,'Master Data 14-9-2026'!D:D)</f>
        <v>Robby Anggara wx1529073</v>
      </c>
      <c r="C860" s="13"/>
      <c r="D860" s="13" t="str">
        <f>_xlfn.XLOOKUP(J860,'Master Data 14-9-2026'!C:C,'Master Data 14-9-2026'!E:E)</f>
        <v>XLSMART</v>
      </c>
      <c r="E860" s="13"/>
      <c r="F860" s="13"/>
      <c r="G860" s="13" t="s">
        <v>18</v>
      </c>
      <c r="H860" s="13" t="str">
        <f>_xlfn.XLOOKUP(J860,'Master Data 14-9-2026'!C:C,'Master Data 14-9-2026'!H:H)</f>
        <v>2026-08-01 - 2026-08-31</v>
      </c>
      <c r="I860" s="13" t="str">
        <f t="shared" si="13"/>
        <v>August</v>
      </c>
      <c r="J860" s="13" t="s">
        <v>2183</v>
      </c>
      <c r="K860" s="13" t="s">
        <v>1606</v>
      </c>
      <c r="L860" s="13" t="s">
        <v>461</v>
      </c>
      <c r="M860" s="15">
        <v>200003233248020</v>
      </c>
      <c r="N860" s="13" t="s">
        <v>924</v>
      </c>
      <c r="O860" s="13">
        <v>1.09120260803002E+17</v>
      </c>
      <c r="P860" s="13" t="s">
        <v>2061</v>
      </c>
      <c r="Q860" s="18">
        <v>127</v>
      </c>
      <c r="R860" s="18">
        <v>1</v>
      </c>
      <c r="S860" s="13">
        <v>8828132635</v>
      </c>
      <c r="T860" s="13" t="s">
        <v>926</v>
      </c>
      <c r="U860" s="19">
        <v>34220600</v>
      </c>
      <c r="V860" s="18">
        <v>1</v>
      </c>
      <c r="W860" s="18">
        <f>_xlfn.XLOOKUP(J860,'Master Data 14-9-2026'!C:C,'Master Data 14-9-2026'!L:L)</f>
        <v>0</v>
      </c>
      <c r="X860" s="23">
        <v>34220600</v>
      </c>
      <c r="Y860" s="13" t="s">
        <v>2009</v>
      </c>
      <c r="Z860" s="24" t="s">
        <v>33</v>
      </c>
      <c r="AA860" s="4" t="s">
        <v>1288</v>
      </c>
      <c r="AB860" s="40" t="s">
        <v>44</v>
      </c>
      <c r="AC860" s="13"/>
      <c r="AD860" s="13"/>
      <c r="AE860" s="13" t="str">
        <f>_xlfn.XLOOKUP(L860,'[1]ID PROJECT'!E:E,'[1]ID PROJECT'!F:F)</f>
        <v>PRJ-KUT-KPU-TPED-2026-04-00078</v>
      </c>
      <c r="AF860" s="13"/>
      <c r="AG860" s="13"/>
      <c r="AH860" s="65"/>
      <c r="AI860" s="27"/>
    </row>
    <row r="861" spans="1:35" hidden="1">
      <c r="A861" s="13" t="s">
        <v>476</v>
      </c>
      <c r="B861" s="13" t="str">
        <f>_xlfn.XLOOKUP(J861,'Master Data 14-9-2026'!C:C,'Master Data 14-9-2026'!D:D)</f>
        <v>Teguh Prasetya wx1529072</v>
      </c>
      <c r="C861" s="13"/>
      <c r="D861" s="13" t="str">
        <f>_xlfn.XLOOKUP(J861,'Master Data 14-9-2026'!C:C,'Master Data 14-9-2026'!E:E)</f>
        <v>XLSMART</v>
      </c>
      <c r="E861" s="13"/>
      <c r="F861" s="13"/>
      <c r="G861" s="13" t="s">
        <v>18</v>
      </c>
      <c r="H861" s="13" t="str">
        <f>_xlfn.XLOOKUP(J861,'Master Data 14-9-2026'!C:C,'Master Data 14-9-2026'!H:H)</f>
        <v>2026-08-01 - 2026-08-31</v>
      </c>
      <c r="I861" s="13" t="str">
        <f t="shared" si="13"/>
        <v>August</v>
      </c>
      <c r="J861" s="13" t="s">
        <v>2184</v>
      </c>
      <c r="K861" s="13" t="s">
        <v>1606</v>
      </c>
      <c r="L861" s="13" t="s">
        <v>461</v>
      </c>
      <c r="M861" s="15">
        <v>200003233249020</v>
      </c>
      <c r="N861" s="13" t="s">
        <v>924</v>
      </c>
      <c r="O861" s="13">
        <v>1.09120260803002E+17</v>
      </c>
      <c r="P861" s="13" t="s">
        <v>2061</v>
      </c>
      <c r="Q861" s="18">
        <v>128</v>
      </c>
      <c r="R861" s="18">
        <v>1</v>
      </c>
      <c r="S861" s="13">
        <v>8828132636</v>
      </c>
      <c r="T861" s="13" t="s">
        <v>933</v>
      </c>
      <c r="U861" s="19">
        <v>36992000</v>
      </c>
      <c r="V861" s="18">
        <v>1</v>
      </c>
      <c r="W861" s="18">
        <f>_xlfn.XLOOKUP(J861,'Master Data 14-9-2026'!C:C,'Master Data 14-9-2026'!L:L)</f>
        <v>1.5</v>
      </c>
      <c r="X861" s="23">
        <v>36992000</v>
      </c>
      <c r="Y861" s="13" t="s">
        <v>2009</v>
      </c>
      <c r="Z861" s="24" t="s">
        <v>33</v>
      </c>
      <c r="AA861" s="4" t="s">
        <v>1288</v>
      </c>
      <c r="AB861" s="13" t="s">
        <v>1289</v>
      </c>
      <c r="AC861" s="13"/>
      <c r="AD861" s="13"/>
      <c r="AE861" s="13" t="str">
        <f>_xlfn.XLOOKUP(L861,'[1]ID PROJECT'!E:E,'[1]ID PROJECT'!F:F)</f>
        <v>PRJ-KUT-KPU-TPED-2026-04-00078</v>
      </c>
      <c r="AF861" s="13"/>
      <c r="AG861" s="13"/>
      <c r="AH861" s="65"/>
      <c r="AI861" s="27"/>
    </row>
    <row r="862" spans="1:35" hidden="1">
      <c r="A862" s="13" t="s">
        <v>864</v>
      </c>
      <c r="B862" s="13" t="str">
        <f>_xlfn.XLOOKUP(J862,'Master Data 14-9-2026'!C:C,'Master Data 14-9-2026'!D:D)</f>
        <v>Abdurrasyid Malvin Nugraha wx1524073</v>
      </c>
      <c r="C862" s="13"/>
      <c r="D862" s="13" t="str">
        <f>_xlfn.XLOOKUP(J862,'Master Data 14-9-2026'!C:C,'Master Data 14-9-2026'!E:E)</f>
        <v>XLSMART</v>
      </c>
      <c r="E862" s="13"/>
      <c r="F862" s="13"/>
      <c r="G862" s="13" t="s">
        <v>22</v>
      </c>
      <c r="H862" s="13" t="str">
        <f>_xlfn.XLOOKUP(J862,'Master Data 14-9-2026'!C:C,'Master Data 14-9-2026'!H:H)</f>
        <v>2026-08-02 - 2026-09-01</v>
      </c>
      <c r="I862" s="13" t="str">
        <f t="shared" si="13"/>
        <v>August</v>
      </c>
      <c r="J862" s="13" t="s">
        <v>2185</v>
      </c>
      <c r="K862" s="13" t="s">
        <v>2186</v>
      </c>
      <c r="L862" s="13" t="s">
        <v>475</v>
      </c>
      <c r="M862" s="15">
        <v>200003233266020</v>
      </c>
      <c r="N862" s="13" t="s">
        <v>924</v>
      </c>
      <c r="O862" s="13">
        <v>1.09120260803002E+17</v>
      </c>
      <c r="P862" s="13" t="s">
        <v>2061</v>
      </c>
      <c r="Q862" s="18">
        <v>129</v>
      </c>
      <c r="R862" s="18">
        <v>1</v>
      </c>
      <c r="S862" s="13">
        <v>8828132635</v>
      </c>
      <c r="T862" s="13" t="s">
        <v>926</v>
      </c>
      <c r="U862" s="19">
        <v>34220600</v>
      </c>
      <c r="V862" s="18">
        <v>1</v>
      </c>
      <c r="W862" s="18">
        <f>_xlfn.XLOOKUP(J862,'Master Data 14-9-2026'!C:C,'Master Data 14-9-2026'!L:L)</f>
        <v>0</v>
      </c>
      <c r="X862" s="23">
        <v>34220600</v>
      </c>
      <c r="Y862" s="13" t="s">
        <v>2009</v>
      </c>
      <c r="Z862" s="24" t="s">
        <v>33</v>
      </c>
      <c r="AA862" s="4" t="s">
        <v>1288</v>
      </c>
      <c r="AB862" s="40" t="s">
        <v>44</v>
      </c>
      <c r="AC862" s="13"/>
      <c r="AD862" s="13"/>
      <c r="AE862" s="13" t="str">
        <f>_xlfn.XLOOKUP(L862,'[1]ID PROJECT'!E:E,'[1]ID PROJECT'!F:F)</f>
        <v>PRJ-KUT-KPU-TPED-2026-04-00074</v>
      </c>
      <c r="AF862" s="13"/>
      <c r="AG862" s="13"/>
      <c r="AH862" s="65"/>
      <c r="AI862" s="27"/>
    </row>
    <row r="863" spans="1:35" hidden="1">
      <c r="A863" s="13" t="s">
        <v>672</v>
      </c>
      <c r="B863" s="13" t="str">
        <f>_xlfn.XLOOKUP(J863,'Master Data 14-9-2026'!C:C,'Master Data 14-9-2026'!D:D)</f>
        <v>BAGUS PRAKOSO WX1529647</v>
      </c>
      <c r="C863" s="13"/>
      <c r="D863" s="13" t="str">
        <f>_xlfn.XLOOKUP(J863,'Master Data 14-9-2026'!C:C,'Master Data 14-9-2026'!E:E)</f>
        <v>XLSMART</v>
      </c>
      <c r="E863" s="13"/>
      <c r="F863" s="13"/>
      <c r="G863" s="13" t="s">
        <v>22</v>
      </c>
      <c r="H863" s="13" t="str">
        <f>_xlfn.XLOOKUP(J863,'Master Data 14-9-2026'!C:C,'Master Data 14-9-2026'!H:H)</f>
        <v>2026-08-24 - 2026-09-23</v>
      </c>
      <c r="I863" s="13" t="str">
        <f t="shared" si="13"/>
        <v>August</v>
      </c>
      <c r="J863" s="13" t="s">
        <v>2187</v>
      </c>
      <c r="K863" s="13" t="s">
        <v>1004</v>
      </c>
      <c r="L863" s="13" t="s">
        <v>441</v>
      </c>
      <c r="M863" s="15">
        <v>200003233022020</v>
      </c>
      <c r="N863" s="13" t="s">
        <v>924</v>
      </c>
      <c r="O863" s="13">
        <v>1.09120260803002E+17</v>
      </c>
      <c r="P863" s="13" t="s">
        <v>2061</v>
      </c>
      <c r="Q863" s="18">
        <v>130</v>
      </c>
      <c r="R863" s="18">
        <v>1</v>
      </c>
      <c r="S863" s="13">
        <v>8828132634</v>
      </c>
      <c r="T863" s="13" t="s">
        <v>978</v>
      </c>
      <c r="U863" s="19">
        <v>32542400</v>
      </c>
      <c r="V863" s="18">
        <v>1</v>
      </c>
      <c r="W863" s="18">
        <f>_xlfn.XLOOKUP(J863,'Master Data 14-9-2026'!C:C,'Master Data 14-9-2026'!L:L)</f>
        <v>0.5</v>
      </c>
      <c r="X863" s="23">
        <v>32542400</v>
      </c>
      <c r="Y863" s="13" t="s">
        <v>2009</v>
      </c>
      <c r="Z863" s="24" t="s">
        <v>225</v>
      </c>
      <c r="AA863" s="4" t="s">
        <v>1288</v>
      </c>
      <c r="AB863" s="13"/>
      <c r="AC863" s="13"/>
      <c r="AD863" s="13"/>
      <c r="AE863" s="13" t="str">
        <f>_xlfn.XLOOKUP(L863,'[1]ID PROJECT'!E:E,'[1]ID PROJECT'!F:F)</f>
        <v xml:space="preserve">PRJ-KUT-KPU-TPED-2026-04-00071 </v>
      </c>
      <c r="AF863" s="13"/>
      <c r="AG863" s="13"/>
      <c r="AH863" s="65"/>
      <c r="AI863" s="27"/>
    </row>
    <row r="864" spans="1:35" hidden="1">
      <c r="A864" s="13" t="s">
        <v>664</v>
      </c>
      <c r="B864" s="13" t="str">
        <f>_xlfn.XLOOKUP(J864,'Master Data 14-9-2026'!C:C,'Master Data 14-9-2026'!D:D)</f>
        <v>CESAR MANUEL WX1530061</v>
      </c>
      <c r="C864" s="13"/>
      <c r="D864" s="13" t="str">
        <f>_xlfn.XLOOKUP(J864,'Master Data 14-9-2026'!C:C,'Master Data 14-9-2026'!E:E)</f>
        <v>XLSMART</v>
      </c>
      <c r="E864" s="13"/>
      <c r="F864" s="13"/>
      <c r="G864" s="13" t="s">
        <v>22</v>
      </c>
      <c r="H864" s="13" t="str">
        <f>_xlfn.XLOOKUP(J864,'Master Data 14-9-2026'!C:C,'Master Data 14-9-2026'!H:H)</f>
        <v>2026-08-24 - 2026-09-23</v>
      </c>
      <c r="I864" s="13" t="str">
        <f t="shared" si="13"/>
        <v>August</v>
      </c>
      <c r="J864" s="13" t="s">
        <v>2188</v>
      </c>
      <c r="K864" s="13" t="s">
        <v>1004</v>
      </c>
      <c r="L864" s="13" t="s">
        <v>441</v>
      </c>
      <c r="M864" s="15">
        <v>200003233023020</v>
      </c>
      <c r="N864" s="13" t="s">
        <v>924</v>
      </c>
      <c r="O864" s="13">
        <v>1.09120260803002E+17</v>
      </c>
      <c r="P864" s="13" t="s">
        <v>2061</v>
      </c>
      <c r="Q864" s="18">
        <v>131</v>
      </c>
      <c r="R864" s="18">
        <v>1</v>
      </c>
      <c r="S864" s="13">
        <v>8828132634</v>
      </c>
      <c r="T864" s="13" t="s">
        <v>978</v>
      </c>
      <c r="U864" s="19">
        <v>32542400</v>
      </c>
      <c r="V864" s="18">
        <v>1</v>
      </c>
      <c r="W864" s="18">
        <f>_xlfn.XLOOKUP(J864,'Master Data 14-9-2026'!C:C,'Master Data 14-9-2026'!L:L)</f>
        <v>0</v>
      </c>
      <c r="X864" s="23">
        <v>32542400</v>
      </c>
      <c r="Y864" s="13" t="s">
        <v>2009</v>
      </c>
      <c r="Z864" s="24" t="s">
        <v>225</v>
      </c>
      <c r="AA864" s="4" t="s">
        <v>1288</v>
      </c>
      <c r="AB864" s="40" t="s">
        <v>44</v>
      </c>
      <c r="AC864" s="13"/>
      <c r="AD864" s="13"/>
      <c r="AE864" s="13" t="str">
        <f>_xlfn.XLOOKUP(L864,'[1]ID PROJECT'!E:E,'[1]ID PROJECT'!F:F)</f>
        <v xml:space="preserve">PRJ-KUT-KPU-TPED-2026-04-00071 </v>
      </c>
      <c r="AF864" s="13"/>
      <c r="AG864" s="13"/>
      <c r="AH864" s="65"/>
      <c r="AI864" s="27"/>
    </row>
    <row r="865" spans="1:35" hidden="1">
      <c r="A865" s="13" t="s">
        <v>656</v>
      </c>
      <c r="B865" s="13" t="str">
        <f>_xlfn.XLOOKUP(J865,'Master Data 14-9-2026'!C:C,'Master Data 14-9-2026'!D:D)</f>
        <v>Puad Maulana WX1530067</v>
      </c>
      <c r="C865" s="13"/>
      <c r="D865" s="13" t="str">
        <f>_xlfn.XLOOKUP(J865,'Master Data 14-9-2026'!C:C,'Master Data 14-9-2026'!E:E)</f>
        <v>XLSMART</v>
      </c>
      <c r="E865" s="13"/>
      <c r="F865" s="13"/>
      <c r="G865" s="13" t="s">
        <v>22</v>
      </c>
      <c r="H865" s="13" t="str">
        <f>_xlfn.XLOOKUP(J865,'Master Data 14-9-2026'!C:C,'Master Data 14-9-2026'!H:H)</f>
        <v>2026-08-24 - 2026-09-23</v>
      </c>
      <c r="I865" s="13" t="str">
        <f t="shared" si="13"/>
        <v>August</v>
      </c>
      <c r="J865" s="13" t="s">
        <v>2189</v>
      </c>
      <c r="K865" s="13" t="s">
        <v>1004</v>
      </c>
      <c r="L865" s="13" t="s">
        <v>441</v>
      </c>
      <c r="M865" s="15">
        <v>200003233024020</v>
      </c>
      <c r="N865" s="13" t="s">
        <v>924</v>
      </c>
      <c r="O865" s="13">
        <v>1.09120260803002E+17</v>
      </c>
      <c r="P865" s="13" t="s">
        <v>2061</v>
      </c>
      <c r="Q865" s="18">
        <v>132</v>
      </c>
      <c r="R865" s="18">
        <v>1</v>
      </c>
      <c r="S865" s="13">
        <v>8828132634</v>
      </c>
      <c r="T865" s="13" t="s">
        <v>978</v>
      </c>
      <c r="U865" s="19">
        <v>32542400</v>
      </c>
      <c r="V865" s="18">
        <v>1</v>
      </c>
      <c r="W865" s="18">
        <f>_xlfn.XLOOKUP(J865,'Master Data 14-9-2026'!C:C,'Master Data 14-9-2026'!L:L)</f>
        <v>0</v>
      </c>
      <c r="X865" s="23">
        <v>32542400</v>
      </c>
      <c r="Y865" s="13" t="s">
        <v>2009</v>
      </c>
      <c r="Z865" s="24" t="s">
        <v>225</v>
      </c>
      <c r="AA865" s="4" t="s">
        <v>1288</v>
      </c>
      <c r="AB865" s="40" t="s">
        <v>44</v>
      </c>
      <c r="AC865" s="13"/>
      <c r="AD865" s="13"/>
      <c r="AE865" s="13" t="str">
        <f>_xlfn.XLOOKUP(L865,'[1]ID PROJECT'!E:E,'[1]ID PROJECT'!F:F)</f>
        <v xml:space="preserve">PRJ-KUT-KPU-TPED-2026-04-00071 </v>
      </c>
      <c r="AF865" s="13"/>
      <c r="AG865" s="13"/>
      <c r="AH865" s="65"/>
      <c r="AI865" s="27"/>
    </row>
    <row r="866" spans="1:35" hidden="1">
      <c r="A866" s="13" t="s">
        <v>654</v>
      </c>
      <c r="B866" s="13" t="str">
        <f>_xlfn.XLOOKUP(J866,'Master Data 14-9-2026'!C:C,'Master Data 14-9-2026'!D:D)</f>
        <v>Susanto WX1530064</v>
      </c>
      <c r="C866" s="13"/>
      <c r="D866" s="13" t="str">
        <f>_xlfn.XLOOKUP(J866,'Master Data 14-9-2026'!C:C,'Master Data 14-9-2026'!E:E)</f>
        <v>XLSMART</v>
      </c>
      <c r="E866" s="13"/>
      <c r="F866" s="13"/>
      <c r="G866" s="13" t="s">
        <v>22</v>
      </c>
      <c r="H866" s="13" t="str">
        <f>_xlfn.XLOOKUP(J866,'Master Data 14-9-2026'!C:C,'Master Data 14-9-2026'!H:H)</f>
        <v>2026-08-25 - 2026-09-24</v>
      </c>
      <c r="I866" s="13" t="str">
        <f t="shared" si="13"/>
        <v>August</v>
      </c>
      <c r="J866" s="13" t="s">
        <v>2190</v>
      </c>
      <c r="K866" s="13" t="s">
        <v>1004</v>
      </c>
      <c r="L866" s="13" t="s">
        <v>441</v>
      </c>
      <c r="M866" s="15">
        <v>200003233025020</v>
      </c>
      <c r="N866" s="13" t="s">
        <v>924</v>
      </c>
      <c r="O866" s="13">
        <v>1.09120260803002E+17</v>
      </c>
      <c r="P866" s="13" t="s">
        <v>2061</v>
      </c>
      <c r="Q866" s="18">
        <v>133</v>
      </c>
      <c r="R866" s="18">
        <v>1</v>
      </c>
      <c r="S866" s="13">
        <v>8828132634</v>
      </c>
      <c r="T866" s="13" t="s">
        <v>978</v>
      </c>
      <c r="U866" s="19">
        <v>32542400</v>
      </c>
      <c r="V866" s="18">
        <v>1</v>
      </c>
      <c r="W866" s="18">
        <f>_xlfn.XLOOKUP(J866,'Master Data 14-9-2026'!C:C,'Master Data 14-9-2026'!L:L)</f>
        <v>0.5</v>
      </c>
      <c r="X866" s="23">
        <v>32542400</v>
      </c>
      <c r="Y866" s="13" t="s">
        <v>2009</v>
      </c>
      <c r="Z866" s="24" t="s">
        <v>225</v>
      </c>
      <c r="AA866" s="4" t="s">
        <v>1288</v>
      </c>
      <c r="AB866" s="13"/>
      <c r="AC866" s="13"/>
      <c r="AD866" s="13"/>
      <c r="AE866" s="13" t="str">
        <f>_xlfn.XLOOKUP(L866,'[1]ID PROJECT'!E:E,'[1]ID PROJECT'!F:F)</f>
        <v xml:space="preserve">PRJ-KUT-KPU-TPED-2026-04-00071 </v>
      </c>
      <c r="AF866" s="13"/>
      <c r="AG866" s="13"/>
      <c r="AH866" s="65"/>
      <c r="AI866" s="27"/>
    </row>
    <row r="867" spans="1:35" hidden="1">
      <c r="A867" s="13" t="s">
        <v>648</v>
      </c>
      <c r="B867" s="13" t="str">
        <f>_xlfn.XLOOKUP(J867,'Master Data 14-9-2026'!C:C,'Master Data 14-9-2026'!D:D)</f>
        <v>Aditya WX1530248</v>
      </c>
      <c r="C867" s="13"/>
      <c r="D867" s="13" t="str">
        <f>_xlfn.XLOOKUP(J867,'Master Data 14-9-2026'!C:C,'Master Data 14-9-2026'!E:E)</f>
        <v>XLSMART</v>
      </c>
      <c r="E867" s="13"/>
      <c r="F867" s="13"/>
      <c r="G867" s="13" t="s">
        <v>22</v>
      </c>
      <c r="H867" s="13" t="str">
        <f>_xlfn.XLOOKUP(J867,'Master Data 14-9-2026'!C:C,'Master Data 14-9-2026'!H:H)</f>
        <v>2026-08-25 - 2026-09-24</v>
      </c>
      <c r="I867" s="13" t="str">
        <f t="shared" si="13"/>
        <v>August</v>
      </c>
      <c r="J867" s="13" t="s">
        <v>2191</v>
      </c>
      <c r="K867" s="13" t="s">
        <v>1004</v>
      </c>
      <c r="L867" s="13" t="s">
        <v>441</v>
      </c>
      <c r="M867" s="15">
        <v>200003233026020</v>
      </c>
      <c r="N867" s="13" t="s">
        <v>924</v>
      </c>
      <c r="O867" s="13">
        <v>1.09120260803002E+17</v>
      </c>
      <c r="P867" s="13" t="s">
        <v>2061</v>
      </c>
      <c r="Q867" s="18">
        <v>134</v>
      </c>
      <c r="R867" s="18">
        <v>1</v>
      </c>
      <c r="S867" s="13">
        <v>8828132634</v>
      </c>
      <c r="T867" s="13" t="s">
        <v>978</v>
      </c>
      <c r="U867" s="19">
        <v>32542400</v>
      </c>
      <c r="V867" s="18">
        <v>1</v>
      </c>
      <c r="W867" s="18">
        <f>_xlfn.XLOOKUP(J867,'Master Data 14-9-2026'!C:C,'Master Data 14-9-2026'!L:L)</f>
        <v>0</v>
      </c>
      <c r="X867" s="23">
        <v>32542400</v>
      </c>
      <c r="Y867" s="13" t="s">
        <v>2009</v>
      </c>
      <c r="Z867" s="24" t="s">
        <v>225</v>
      </c>
      <c r="AA867" s="4" t="s">
        <v>1288</v>
      </c>
      <c r="AB867" s="40" t="s">
        <v>44</v>
      </c>
      <c r="AC867" s="13"/>
      <c r="AD867" s="13"/>
      <c r="AE867" s="13" t="str">
        <f>_xlfn.XLOOKUP(L867,'[1]ID PROJECT'!E:E,'[1]ID PROJECT'!F:F)</f>
        <v xml:space="preserve">PRJ-KUT-KPU-TPED-2026-04-00071 </v>
      </c>
      <c r="AF867" s="13"/>
      <c r="AG867" s="13"/>
      <c r="AH867" s="65"/>
      <c r="AI867" s="27"/>
    </row>
    <row r="868" spans="1:35" hidden="1">
      <c r="A868" s="13" t="s">
        <v>637</v>
      </c>
      <c r="B868" s="13" t="str">
        <f>_xlfn.XLOOKUP(J868,'Master Data 14-9-2026'!C:C,'Master Data 14-9-2026'!D:D)</f>
        <v>Cahyo Nirwono Agung WX1530245</v>
      </c>
      <c r="C868" s="13"/>
      <c r="D868" s="13" t="str">
        <f>_xlfn.XLOOKUP(J868,'Master Data 14-9-2026'!C:C,'Master Data 14-9-2026'!E:E)</f>
        <v>XLSMART</v>
      </c>
      <c r="E868" s="13"/>
      <c r="F868" s="13"/>
      <c r="G868" s="13" t="s">
        <v>22</v>
      </c>
      <c r="H868" s="13" t="str">
        <f>_xlfn.XLOOKUP(J868,'Master Data 14-9-2026'!C:C,'Master Data 14-9-2026'!H:H)</f>
        <v>2026-08-26 - 2026-09-25</v>
      </c>
      <c r="I868" s="13" t="str">
        <f t="shared" si="13"/>
        <v>August</v>
      </c>
      <c r="J868" s="13" t="s">
        <v>2192</v>
      </c>
      <c r="K868" s="13" t="s">
        <v>1004</v>
      </c>
      <c r="L868" s="13" t="s">
        <v>441</v>
      </c>
      <c r="M868" s="15">
        <v>200003233027020</v>
      </c>
      <c r="N868" s="13" t="s">
        <v>924</v>
      </c>
      <c r="O868" s="13">
        <v>1.09120260803002E+17</v>
      </c>
      <c r="P868" s="13" t="s">
        <v>2061</v>
      </c>
      <c r="Q868" s="18">
        <v>135</v>
      </c>
      <c r="R868" s="18">
        <v>1</v>
      </c>
      <c r="S868" s="13">
        <v>8828132634</v>
      </c>
      <c r="T868" s="13" t="s">
        <v>978</v>
      </c>
      <c r="U868" s="19">
        <v>32542400</v>
      </c>
      <c r="V868" s="18">
        <v>1</v>
      </c>
      <c r="W868" s="18">
        <f>_xlfn.XLOOKUP(J868,'Master Data 14-9-2026'!C:C,'Master Data 14-9-2026'!L:L)</f>
        <v>0</v>
      </c>
      <c r="X868" s="23">
        <v>32542400</v>
      </c>
      <c r="Y868" s="13" t="s">
        <v>2009</v>
      </c>
      <c r="Z868" s="24" t="s">
        <v>225</v>
      </c>
      <c r="AA868" s="4" t="s">
        <v>1288</v>
      </c>
      <c r="AB868" s="40" t="s">
        <v>44</v>
      </c>
      <c r="AC868" s="13"/>
      <c r="AD868" s="13"/>
      <c r="AE868" s="13" t="str">
        <f>_xlfn.XLOOKUP(L868,'[1]ID PROJECT'!E:E,'[1]ID PROJECT'!F:F)</f>
        <v xml:space="preserve">PRJ-KUT-KPU-TPED-2026-04-00071 </v>
      </c>
      <c r="AF868" s="13"/>
      <c r="AG868" s="13"/>
      <c r="AH868" s="65"/>
      <c r="AI868" s="27"/>
    </row>
    <row r="869" spans="1:35" hidden="1">
      <c r="A869" s="13" t="s">
        <v>633</v>
      </c>
      <c r="B869" s="13" t="str">
        <f>_xlfn.XLOOKUP(J869,'Master Data 14-9-2026'!C:C,'Master Data 14-9-2026'!D:D)</f>
        <v>Gigih Hadi WX1530065</v>
      </c>
      <c r="C869" s="13"/>
      <c r="D869" s="13" t="str">
        <f>_xlfn.XLOOKUP(J869,'Master Data 14-9-2026'!C:C,'Master Data 14-9-2026'!E:E)</f>
        <v>XLSMART</v>
      </c>
      <c r="E869" s="13"/>
      <c r="F869" s="13"/>
      <c r="G869" s="13" t="s">
        <v>22</v>
      </c>
      <c r="H869" s="13" t="str">
        <f>_xlfn.XLOOKUP(J869,'Master Data 14-9-2026'!C:C,'Master Data 14-9-2026'!H:H)</f>
        <v>2026-08-26 - 2026-09-25</v>
      </c>
      <c r="I869" s="13" t="str">
        <f t="shared" si="13"/>
        <v>August</v>
      </c>
      <c r="J869" s="13" t="s">
        <v>2193</v>
      </c>
      <c r="K869" s="13" t="s">
        <v>1004</v>
      </c>
      <c r="L869" s="13" t="s">
        <v>441</v>
      </c>
      <c r="M869" s="15">
        <v>200003233028020</v>
      </c>
      <c r="N869" s="13" t="s">
        <v>924</v>
      </c>
      <c r="O869" s="13">
        <v>1.09120260803002E+17</v>
      </c>
      <c r="P869" s="13" t="s">
        <v>2061</v>
      </c>
      <c r="Q869" s="18">
        <v>136</v>
      </c>
      <c r="R869" s="18">
        <v>1</v>
      </c>
      <c r="S869" s="13">
        <v>8828132634</v>
      </c>
      <c r="T869" s="13" t="s">
        <v>978</v>
      </c>
      <c r="U869" s="19">
        <v>32542400</v>
      </c>
      <c r="V869" s="18">
        <v>1</v>
      </c>
      <c r="W869" s="18">
        <f>_xlfn.XLOOKUP(J869,'Master Data 14-9-2026'!C:C,'Master Data 14-9-2026'!L:L)</f>
        <v>0</v>
      </c>
      <c r="X869" s="23">
        <v>32542400</v>
      </c>
      <c r="Y869" s="13" t="s">
        <v>2009</v>
      </c>
      <c r="Z869" s="24" t="s">
        <v>225</v>
      </c>
      <c r="AA869" s="4" t="s">
        <v>1288</v>
      </c>
      <c r="AB869" s="40" t="s">
        <v>44</v>
      </c>
      <c r="AC869" s="13"/>
      <c r="AD869" s="13"/>
      <c r="AE869" s="13" t="str">
        <f>_xlfn.XLOOKUP(L869,'[1]ID PROJECT'!E:E,'[1]ID PROJECT'!F:F)</f>
        <v xml:space="preserve">PRJ-KUT-KPU-TPED-2026-04-00071 </v>
      </c>
      <c r="AF869" s="13"/>
      <c r="AG869" s="13"/>
      <c r="AH869" s="65"/>
      <c r="AI869" s="27"/>
    </row>
    <row r="870" spans="1:35" hidden="1">
      <c r="A870" s="13" t="s">
        <v>514</v>
      </c>
      <c r="B870" s="13" t="str">
        <f>_xlfn.XLOOKUP(J870,'Master Data 14-9-2026'!C:C,'Master Data 14-9-2026'!D:D)</f>
        <v>Dedi Haryono wx1529258</v>
      </c>
      <c r="C870" s="13"/>
      <c r="D870" s="13" t="str">
        <f>_xlfn.XLOOKUP(J870,'Master Data 14-9-2026'!C:C,'Master Data 14-9-2026'!E:E)</f>
        <v>TDI Batam</v>
      </c>
      <c r="E870" s="13"/>
      <c r="F870" s="13"/>
      <c r="G870" s="13" t="s">
        <v>13</v>
      </c>
      <c r="H870" s="13" t="str">
        <f>_xlfn.XLOOKUP(J870,'Master Data 14-9-2026'!C:C,'Master Data 14-9-2026'!H:H)</f>
        <v>2026-06-22 - 2026-07-21</v>
      </c>
      <c r="I870" s="13" t="str">
        <f t="shared" si="13"/>
        <v>June</v>
      </c>
      <c r="J870" s="13" t="s">
        <v>2194</v>
      </c>
      <c r="K870" s="13" t="s">
        <v>2194</v>
      </c>
      <c r="L870" s="13" t="s">
        <v>488</v>
      </c>
      <c r="M870" s="15">
        <v>200003225843020</v>
      </c>
      <c r="N870" s="13" t="s">
        <v>924</v>
      </c>
      <c r="O870" s="13">
        <v>1.09120260803002E+17</v>
      </c>
      <c r="P870" s="13" t="s">
        <v>2195</v>
      </c>
      <c r="Q870" s="18">
        <v>1</v>
      </c>
      <c r="R870" s="18">
        <v>1</v>
      </c>
      <c r="S870" s="13">
        <v>8828132636</v>
      </c>
      <c r="T870" s="13" t="s">
        <v>933</v>
      </c>
      <c r="U870" s="19">
        <v>36992000</v>
      </c>
      <c r="V870" s="18">
        <v>1</v>
      </c>
      <c r="W870" s="18">
        <f>_xlfn.XLOOKUP(J870,'Master Data 14-9-2026'!C:C,'Master Data 14-9-2026'!L:L)</f>
        <v>0</v>
      </c>
      <c r="X870" s="23">
        <v>36992000</v>
      </c>
      <c r="Y870" s="13" t="s">
        <v>2196</v>
      </c>
      <c r="Z870" s="24" t="str">
        <f>_xlfn.XLOOKUP(J870,'Master Data 14-9-2026'!C:C,'Master Data 14-9-2026'!I:I)</f>
        <v>Ended</v>
      </c>
      <c r="AA870" s="4" t="s">
        <v>1288</v>
      </c>
      <c r="AB870" s="40" t="s">
        <v>44</v>
      </c>
      <c r="AC870" s="13"/>
      <c r="AD870" s="13"/>
      <c r="AE870" s="13" t="e">
        <f>_xlfn.XLOOKUP(L870,'[1]ID PROJECT'!E:E,'[1]ID PROJECT'!F:F)</f>
        <v>#N/A</v>
      </c>
      <c r="AF870" s="13"/>
      <c r="AG870" s="13"/>
      <c r="AH870" s="65"/>
      <c r="AI870" s="27"/>
    </row>
    <row r="871" spans="1:35" hidden="1">
      <c r="A871" s="13" t="s">
        <v>514</v>
      </c>
      <c r="B871" s="13" t="str">
        <f>_xlfn.XLOOKUP(J871,'Master Data 14-9-2026'!C:C,'Master Data 14-9-2026'!D:D)</f>
        <v>Dedi Haryono wx1529258</v>
      </c>
      <c r="C871" s="13"/>
      <c r="D871" s="13" t="str">
        <f>_xlfn.XLOOKUP(J871,'Master Data 14-9-2026'!C:C,'Master Data 14-9-2026'!E:E)</f>
        <v>TDI Batam</v>
      </c>
      <c r="E871" s="13"/>
      <c r="F871" s="13"/>
      <c r="G871" s="13" t="s">
        <v>18</v>
      </c>
      <c r="H871" s="13" t="str">
        <f>_xlfn.XLOOKUP(J871,'Master Data 14-9-2026'!C:C,'Master Data 14-9-2026'!H:H)</f>
        <v>2026-07-22 - 2026-08-21</v>
      </c>
      <c r="I871" s="13" t="str">
        <f t="shared" si="13"/>
        <v>July</v>
      </c>
      <c r="J871" s="13" t="s">
        <v>2197</v>
      </c>
      <c r="K871" s="13" t="s">
        <v>2197</v>
      </c>
      <c r="L871" s="13" t="s">
        <v>488</v>
      </c>
      <c r="M871" s="15">
        <v>200003231274020</v>
      </c>
      <c r="N871" s="13" t="s">
        <v>924</v>
      </c>
      <c r="O871" s="13">
        <v>1.09120260803002E+17</v>
      </c>
      <c r="P871" s="13" t="s">
        <v>2198</v>
      </c>
      <c r="Q871" s="18">
        <v>1</v>
      </c>
      <c r="R871" s="18">
        <v>1</v>
      </c>
      <c r="S871" s="13">
        <v>8828132636</v>
      </c>
      <c r="T871" s="13" t="s">
        <v>933</v>
      </c>
      <c r="U871" s="19">
        <v>36992000</v>
      </c>
      <c r="V871" s="18">
        <v>1</v>
      </c>
      <c r="W871" s="18">
        <f>_xlfn.XLOOKUP(J871,'Master Data 14-9-2026'!C:C,'Master Data 14-9-2026'!L:L)</f>
        <v>0</v>
      </c>
      <c r="X871" s="23">
        <v>36992000</v>
      </c>
      <c r="Y871" s="13" t="s">
        <v>2196</v>
      </c>
      <c r="Z871" s="24" t="s">
        <v>33</v>
      </c>
      <c r="AB871" s="13"/>
      <c r="AC871" s="13"/>
      <c r="AD871" s="13"/>
      <c r="AE871" s="13" t="e">
        <f>_xlfn.XLOOKUP(L871,'[1]ID PROJECT'!E:E,'[1]ID PROJECT'!F:F)</f>
        <v>#N/A</v>
      </c>
      <c r="AF871" s="13"/>
      <c r="AG871" s="13"/>
      <c r="AH871" s="65"/>
      <c r="AI871" s="27"/>
    </row>
    <row r="872" spans="1:35" hidden="1">
      <c r="A872" s="13" t="s">
        <v>845</v>
      </c>
      <c r="B872" s="13" t="str">
        <f>_xlfn.XLOOKUP(J872,'Master Data 14-9-2026'!C:C,'Master Data 14-9-2026'!D:D)</f>
        <v>Viona Yose Ariani wx1504713</v>
      </c>
      <c r="C872" s="13"/>
      <c r="D872" s="13" t="str">
        <f>_xlfn.XLOOKUP(J872,'Master Data 14-9-2026'!C:C,'Master Data 14-9-2026'!E:E)</f>
        <v>Enterprise</v>
      </c>
      <c r="E872" s="13"/>
      <c r="F872" s="13"/>
      <c r="G872" s="13" t="s">
        <v>31</v>
      </c>
      <c r="H872" s="13" t="str">
        <f>_xlfn.XLOOKUP(J872,'Master Data 14-9-2026'!C:C,'Master Data 14-9-2026'!H:H)</f>
        <v>2026-08-26 - 2026-09-25</v>
      </c>
      <c r="I872" s="13" t="str">
        <f t="shared" si="13"/>
        <v>August</v>
      </c>
      <c r="J872" s="13" t="s">
        <v>2199</v>
      </c>
      <c r="K872" s="13" t="s">
        <v>2199</v>
      </c>
      <c r="L872" s="13" t="s">
        <v>441</v>
      </c>
      <c r="M872" s="15">
        <v>200003135406020</v>
      </c>
      <c r="N872" s="13" t="s">
        <v>924</v>
      </c>
      <c r="O872" s="13">
        <v>1.09120260803002E+17</v>
      </c>
      <c r="P872" s="13" t="s">
        <v>2200</v>
      </c>
      <c r="Q872" s="18">
        <v>1</v>
      </c>
      <c r="R872" s="18">
        <v>1</v>
      </c>
      <c r="S872" s="13">
        <v>8828132635</v>
      </c>
      <c r="T872" s="13" t="s">
        <v>926</v>
      </c>
      <c r="U872" s="19">
        <v>34220600</v>
      </c>
      <c r="V872" s="18">
        <v>1</v>
      </c>
      <c r="W872" s="18">
        <f>_xlfn.XLOOKUP(J872,'Master Data 14-9-2026'!C:C,'Master Data 14-9-2026'!L:L)</f>
        <v>0</v>
      </c>
      <c r="X872" s="23">
        <v>34220600</v>
      </c>
      <c r="Y872" s="13" t="s">
        <v>2196</v>
      </c>
      <c r="Z872" s="24" t="s">
        <v>225</v>
      </c>
      <c r="AB872" s="13"/>
      <c r="AC872" s="13"/>
      <c r="AD872" s="13"/>
      <c r="AE872" s="13" t="str">
        <f>_xlfn.XLOOKUP(L872,'[1]ID PROJECT'!E:E,'[1]ID PROJECT'!F:F)</f>
        <v xml:space="preserve">PRJ-KUT-KPU-TPED-2026-04-00071 </v>
      </c>
      <c r="AF872" s="13"/>
      <c r="AG872" s="13"/>
      <c r="AH872" s="65"/>
      <c r="AI872" s="27"/>
    </row>
    <row r="873" spans="1:35" hidden="1">
      <c r="A873" s="13" t="s">
        <v>848</v>
      </c>
      <c r="B873" s="13" t="str">
        <f>_xlfn.XLOOKUP(J873,'Master Data 14-9-2026'!C:C,'Master Data 14-9-2026'!D:D)</f>
        <v>Benny Priyarto wx1506942</v>
      </c>
      <c r="C873" s="13" t="s">
        <v>2201</v>
      </c>
      <c r="D873" s="13" t="str">
        <f>_xlfn.XLOOKUP(J873,'Master Data 14-9-2026'!C:C,'Master Data 14-9-2026'!E:E)</f>
        <v>XLSMART-NWL</v>
      </c>
      <c r="E873" s="13"/>
      <c r="F873" s="13"/>
      <c r="G873" s="13" t="s">
        <v>18</v>
      </c>
      <c r="H873" s="13" t="str">
        <f>_xlfn.XLOOKUP(J873,'Master Data 14-9-2026'!C:C,'Master Data 14-9-2026'!H:H)</f>
        <v>2026-05-01 - 2026-05-31</v>
      </c>
      <c r="I873" s="13" t="str">
        <f t="shared" si="13"/>
        <v>May</v>
      </c>
      <c r="J873" s="13" t="s">
        <v>2202</v>
      </c>
      <c r="K873" s="13" t="s">
        <v>2202</v>
      </c>
      <c r="L873" s="13" t="s">
        <v>441</v>
      </c>
      <c r="M873" s="15">
        <v>200003188351020</v>
      </c>
      <c r="N873" s="13" t="s">
        <v>924</v>
      </c>
      <c r="O873" s="13">
        <v>1.0912026080400099E+17</v>
      </c>
      <c r="P873" s="13" t="s">
        <v>2203</v>
      </c>
      <c r="Q873" s="18">
        <v>1</v>
      </c>
      <c r="R873" s="18">
        <v>1</v>
      </c>
      <c r="S873" s="13">
        <v>8828132635</v>
      </c>
      <c r="T873" s="13" t="s">
        <v>926</v>
      </c>
      <c r="U873" s="19">
        <v>34220600</v>
      </c>
      <c r="V873" s="18">
        <v>1</v>
      </c>
      <c r="W873" s="18">
        <f>_xlfn.XLOOKUP(J873,'Master Data 14-9-2026'!C:C,'Master Data 14-9-2026'!L:L)</f>
        <v>0</v>
      </c>
      <c r="X873" s="23">
        <v>34220600</v>
      </c>
      <c r="Y873" s="13" t="s">
        <v>2204</v>
      </c>
      <c r="Z873" s="24" t="s">
        <v>15</v>
      </c>
      <c r="AB873" s="13"/>
      <c r="AC873" s="13"/>
      <c r="AD873" s="13"/>
      <c r="AE873" s="13" t="str">
        <f>_xlfn.XLOOKUP(L873,'[1]ID PROJECT'!E:E,'[1]ID PROJECT'!F:F)</f>
        <v xml:space="preserve">PRJ-KUT-KPU-TPED-2026-04-00071 </v>
      </c>
      <c r="AF873" s="13"/>
      <c r="AG873" s="13"/>
      <c r="AH873" s="65"/>
      <c r="AI873" s="27"/>
    </row>
    <row r="874" spans="1:35" hidden="1">
      <c r="A874" s="13" t="s">
        <v>850</v>
      </c>
      <c r="B874" s="13" t="str">
        <f>_xlfn.XLOOKUP(J874,'Master Data 14-9-2026'!C:C,'Master Data 14-9-2026'!D:D)</f>
        <v>Dwi Aprianita Hernata Agina Br Purba wx1506941</v>
      </c>
      <c r="C874" s="13" t="s">
        <v>2205</v>
      </c>
      <c r="D874" s="13" t="str">
        <f>_xlfn.XLOOKUP(J874,'Master Data 14-9-2026'!C:C,'Master Data 14-9-2026'!E:E)</f>
        <v>XLSMART-NWL</v>
      </c>
      <c r="E874" s="13"/>
      <c r="F874" s="13"/>
      <c r="G874" s="13" t="s">
        <v>22</v>
      </c>
      <c r="H874" s="13" t="str">
        <f>_xlfn.XLOOKUP(J874,'Master Data 14-9-2026'!C:C,'Master Data 14-9-2026'!H:H)</f>
        <v>2026-06-01 - 2026-06-30</v>
      </c>
      <c r="I874" s="13" t="str">
        <f t="shared" si="13"/>
        <v>June</v>
      </c>
      <c r="J874" s="13" t="s">
        <v>2206</v>
      </c>
      <c r="K874" s="13" t="s">
        <v>2206</v>
      </c>
      <c r="L874" s="13" t="s">
        <v>441</v>
      </c>
      <c r="M874" s="15">
        <v>200003188352020</v>
      </c>
      <c r="N874" s="13" t="s">
        <v>924</v>
      </c>
      <c r="O874" s="13">
        <v>1.0912026080400099E+17</v>
      </c>
      <c r="P874" s="13" t="s">
        <v>2203</v>
      </c>
      <c r="Q874" s="18">
        <v>2</v>
      </c>
      <c r="R874" s="18">
        <v>1</v>
      </c>
      <c r="S874" s="13">
        <v>8828132635</v>
      </c>
      <c r="T874" s="13" t="s">
        <v>926</v>
      </c>
      <c r="U874" s="19">
        <v>34220600</v>
      </c>
      <c r="V874" s="18">
        <v>1</v>
      </c>
      <c r="W874" s="18">
        <f>_xlfn.XLOOKUP(J874,'Master Data 14-9-2026'!C:C,'Master Data 14-9-2026'!L:L)</f>
        <v>0</v>
      </c>
      <c r="X874" s="23">
        <v>34220600</v>
      </c>
      <c r="Y874" s="13" t="s">
        <v>2204</v>
      </c>
      <c r="Z874" s="24" t="str">
        <f>_xlfn.XLOOKUP(J874,'Master Data 14-9-2026'!C:C,'Master Data 14-9-2026'!I:I)</f>
        <v>Ended</v>
      </c>
      <c r="AB874" s="13"/>
      <c r="AC874" s="13"/>
      <c r="AD874" s="13"/>
      <c r="AE874" s="13" t="str">
        <f>_xlfn.XLOOKUP(L874,'[1]ID PROJECT'!E:E,'[1]ID PROJECT'!F:F)</f>
        <v xml:space="preserve">PRJ-KUT-KPU-TPED-2026-04-00071 </v>
      </c>
      <c r="AF874" s="13"/>
      <c r="AG874" s="13"/>
      <c r="AH874" s="65"/>
      <c r="AI874" s="27"/>
    </row>
    <row r="875" spans="1:35" hidden="1">
      <c r="A875" s="13" t="s">
        <v>848</v>
      </c>
      <c r="B875" s="13" t="str">
        <f>_xlfn.XLOOKUP(J875,'Master Data 14-9-2026'!C:C,'Master Data 14-9-2026'!D:D)</f>
        <v>Benny Priyarto wx1506942</v>
      </c>
      <c r="C875" s="13" t="s">
        <v>2201</v>
      </c>
      <c r="D875" s="13" t="str">
        <f>_xlfn.XLOOKUP(J875,'Master Data 14-9-2026'!C:C,'Master Data 14-9-2026'!E:E)</f>
        <v>XLSMART-NWL</v>
      </c>
      <c r="E875" s="13"/>
      <c r="F875" s="13"/>
      <c r="G875" s="13" t="s">
        <v>22</v>
      </c>
      <c r="H875" s="13" t="str">
        <f>_xlfn.XLOOKUP(J875,'Master Data 14-9-2026'!C:C,'Master Data 14-9-2026'!H:H)</f>
        <v>2026-06-01 - 2026-06-30</v>
      </c>
      <c r="I875" s="13" t="str">
        <f t="shared" si="13"/>
        <v>June</v>
      </c>
      <c r="J875" s="13" t="s">
        <v>2207</v>
      </c>
      <c r="K875" s="13" t="s">
        <v>2207</v>
      </c>
      <c r="L875" s="13" t="s">
        <v>441</v>
      </c>
      <c r="M875" s="15">
        <v>200003188353020</v>
      </c>
      <c r="N875" s="13" t="s">
        <v>924</v>
      </c>
      <c r="O875" s="13">
        <v>1.0912026080400099E+17</v>
      </c>
      <c r="P875" s="13" t="s">
        <v>2203</v>
      </c>
      <c r="Q875" s="18">
        <v>3</v>
      </c>
      <c r="R875" s="18">
        <v>1</v>
      </c>
      <c r="S875" s="13">
        <v>8828132635</v>
      </c>
      <c r="T875" s="13" t="s">
        <v>926</v>
      </c>
      <c r="U875" s="19">
        <v>34220600</v>
      </c>
      <c r="V875" s="18">
        <v>1</v>
      </c>
      <c r="W875" s="18">
        <f>_xlfn.XLOOKUP(J875,'Master Data 14-9-2026'!C:C,'Master Data 14-9-2026'!L:L)</f>
        <v>0</v>
      </c>
      <c r="X875" s="23">
        <v>34220600</v>
      </c>
      <c r="Y875" s="13" t="s">
        <v>2204</v>
      </c>
      <c r="Z875" s="24" t="str">
        <f>_xlfn.XLOOKUP(J875,'Master Data 14-9-2026'!C:C,'Master Data 14-9-2026'!I:I)</f>
        <v>Ended</v>
      </c>
      <c r="AB875" s="13"/>
      <c r="AC875" s="13"/>
      <c r="AD875" s="13"/>
      <c r="AE875" s="13" t="str">
        <f>_xlfn.XLOOKUP(L875,'[1]ID PROJECT'!E:E,'[1]ID PROJECT'!F:F)</f>
        <v xml:space="preserve">PRJ-KUT-KPU-TPED-2026-04-00071 </v>
      </c>
      <c r="AF875" s="13"/>
      <c r="AG875" s="13"/>
      <c r="AH875" s="65"/>
      <c r="AI875" s="27"/>
    </row>
    <row r="876" spans="1:35" hidden="1">
      <c r="A876" s="13" t="s">
        <v>850</v>
      </c>
      <c r="B876" s="13" t="str">
        <f>_xlfn.XLOOKUP(J876,'Master Data 14-9-2026'!C:C,'Master Data 14-9-2026'!D:D)</f>
        <v>Dwi Aprianita Hernata Agina Br Purba wx1506941</v>
      </c>
      <c r="C876" s="13" t="s">
        <v>2205</v>
      </c>
      <c r="D876" s="13" t="str">
        <f>_xlfn.XLOOKUP(J876,'Master Data 14-9-2026'!C:C,'Master Data 14-9-2026'!E:E)</f>
        <v>XLSMART-NWL</v>
      </c>
      <c r="E876" s="13"/>
      <c r="F876" s="13"/>
      <c r="G876" s="13" t="s">
        <v>25</v>
      </c>
      <c r="H876" s="13" t="str">
        <f>_xlfn.XLOOKUP(J876,'Master Data 14-9-2026'!C:C,'Master Data 14-9-2026'!H:H)</f>
        <v>2026-07-01 - 2026-07-31</v>
      </c>
      <c r="I876" s="13" t="str">
        <f t="shared" si="13"/>
        <v>July</v>
      </c>
      <c r="J876" s="13" t="s">
        <v>2208</v>
      </c>
      <c r="K876" s="13" t="s">
        <v>2208</v>
      </c>
      <c r="L876" s="13" t="s">
        <v>441</v>
      </c>
      <c r="M876" s="15">
        <v>200003188354020</v>
      </c>
      <c r="N876" s="13" t="s">
        <v>924</v>
      </c>
      <c r="O876" s="13">
        <v>1.0912026080400099E+17</v>
      </c>
      <c r="P876" s="13" t="s">
        <v>2203</v>
      </c>
      <c r="Q876" s="18">
        <v>4</v>
      </c>
      <c r="R876" s="18">
        <v>1</v>
      </c>
      <c r="S876" s="13">
        <v>8828132635</v>
      </c>
      <c r="T876" s="13" t="s">
        <v>926</v>
      </c>
      <c r="U876" s="19">
        <v>34220600</v>
      </c>
      <c r="V876" s="18">
        <v>1</v>
      </c>
      <c r="W876" s="18">
        <f>_xlfn.XLOOKUP(J876,'Master Data 14-9-2026'!C:C,'Master Data 14-9-2026'!L:L)</f>
        <v>0</v>
      </c>
      <c r="X876" s="23">
        <v>34220600</v>
      </c>
      <c r="Y876" s="13" t="s">
        <v>2204</v>
      </c>
      <c r="Z876" s="24" t="s">
        <v>15</v>
      </c>
      <c r="AB876" s="13"/>
      <c r="AC876" s="13"/>
      <c r="AD876" s="13"/>
      <c r="AE876" s="13" t="str">
        <f>_xlfn.XLOOKUP(L876,'[1]ID PROJECT'!E:E,'[1]ID PROJECT'!F:F)</f>
        <v xml:space="preserve">PRJ-KUT-KPU-TPED-2026-04-00071 </v>
      </c>
      <c r="AF876" s="13"/>
      <c r="AG876" s="13"/>
      <c r="AH876" s="65"/>
      <c r="AI876" s="27"/>
    </row>
    <row r="877" spans="1:35" hidden="1">
      <c r="A877" s="13" t="s">
        <v>848</v>
      </c>
      <c r="B877" s="13" t="str">
        <f>_xlfn.XLOOKUP(J877,'Master Data 14-9-2026'!C:C,'Master Data 14-9-2026'!D:D)</f>
        <v>Benny Priyarto wx1506942</v>
      </c>
      <c r="C877" s="13" t="s">
        <v>2201</v>
      </c>
      <c r="D877" s="13" t="str">
        <f>_xlfn.XLOOKUP(J877,'Master Data 14-9-2026'!C:C,'Master Data 14-9-2026'!E:E)</f>
        <v>XLSMART-NWL</v>
      </c>
      <c r="E877" s="13"/>
      <c r="F877" s="13"/>
      <c r="G877" s="13" t="s">
        <v>25</v>
      </c>
      <c r="H877" s="13" t="str">
        <f>_xlfn.XLOOKUP(J877,'Master Data 14-9-2026'!C:C,'Master Data 14-9-2026'!H:H)</f>
        <v>2026-07-01 - 2026-07-31</v>
      </c>
      <c r="I877" s="13" t="str">
        <f t="shared" si="13"/>
        <v>July</v>
      </c>
      <c r="J877" s="13" t="s">
        <v>2209</v>
      </c>
      <c r="K877" s="13" t="s">
        <v>2209</v>
      </c>
      <c r="L877" s="13" t="s">
        <v>441</v>
      </c>
      <c r="M877" s="15">
        <v>200003188355020</v>
      </c>
      <c r="N877" s="13" t="s">
        <v>924</v>
      </c>
      <c r="O877" s="13">
        <v>1.0912026080400099E+17</v>
      </c>
      <c r="P877" s="13" t="s">
        <v>2203</v>
      </c>
      <c r="Q877" s="18">
        <v>5</v>
      </c>
      <c r="R877" s="18">
        <v>1</v>
      </c>
      <c r="S877" s="13">
        <v>8828132635</v>
      </c>
      <c r="T877" s="13" t="s">
        <v>926</v>
      </c>
      <c r="U877" s="19">
        <v>34220600</v>
      </c>
      <c r="V877" s="18">
        <v>1</v>
      </c>
      <c r="W877" s="18">
        <f>_xlfn.XLOOKUP(J877,'Master Data 14-9-2026'!C:C,'Master Data 14-9-2026'!L:L)</f>
        <v>0</v>
      </c>
      <c r="X877" s="23">
        <v>34220600</v>
      </c>
      <c r="Y877" s="13" t="s">
        <v>2204</v>
      </c>
      <c r="Z877" s="24" t="s">
        <v>15</v>
      </c>
      <c r="AB877" s="13"/>
      <c r="AC877" s="13"/>
      <c r="AD877" s="13"/>
      <c r="AE877" s="13" t="str">
        <f>_xlfn.XLOOKUP(L877,'[1]ID PROJECT'!E:E,'[1]ID PROJECT'!F:F)</f>
        <v xml:space="preserve">PRJ-KUT-KPU-TPED-2026-04-00071 </v>
      </c>
      <c r="AF877" s="13"/>
      <c r="AG877" s="13"/>
      <c r="AH877" s="65"/>
      <c r="AI877" s="27"/>
    </row>
    <row r="878" spans="1:35" hidden="1">
      <c r="A878" s="13" t="s">
        <v>538</v>
      </c>
      <c r="B878" s="13" t="str">
        <f>_xlfn.XLOOKUP(J878,'Master Data 14-9-2026'!C:C,'Master Data 14-9-2026'!D:D)</f>
        <v>Fian Affriansyah wx1530972</v>
      </c>
      <c r="C878" s="13"/>
      <c r="D878" s="13" t="str">
        <f>_xlfn.XLOOKUP(J878,'Master Data 14-9-2026'!C:C,'Master Data 14-9-2026'!E:E)</f>
        <v>XLSMART-NWL</v>
      </c>
      <c r="E878" s="13"/>
      <c r="F878" s="13"/>
      <c r="G878" s="13" t="s">
        <v>18</v>
      </c>
      <c r="H878" s="13" t="str">
        <f>_xlfn.XLOOKUP(J878,'Master Data 14-9-2026'!C:C,'Master Data 14-9-2026'!H:H)</f>
        <v>2026-08-01 - 2026-08-31</v>
      </c>
      <c r="I878" s="13" t="str">
        <f t="shared" si="13"/>
        <v>August</v>
      </c>
      <c r="J878" s="13" t="s">
        <v>2210</v>
      </c>
      <c r="K878" s="13" t="s">
        <v>2210</v>
      </c>
      <c r="L878" s="13" t="s">
        <v>441</v>
      </c>
      <c r="M878" s="15">
        <v>200003233304020</v>
      </c>
      <c r="N878" s="13" t="s">
        <v>924</v>
      </c>
      <c r="O878" s="13">
        <v>1.0912026080400099E+17</v>
      </c>
      <c r="P878" s="13" t="s">
        <v>2203</v>
      </c>
      <c r="Q878" s="18">
        <v>6</v>
      </c>
      <c r="R878" s="18">
        <v>1</v>
      </c>
      <c r="S878" s="13">
        <v>8828132636</v>
      </c>
      <c r="T878" s="13" t="s">
        <v>933</v>
      </c>
      <c r="U878" s="19">
        <v>36992000</v>
      </c>
      <c r="V878" s="18">
        <v>1</v>
      </c>
      <c r="W878" s="18">
        <f>_xlfn.XLOOKUP(J878,'Master Data 14-9-2026'!C:C,'Master Data 14-9-2026'!L:L)</f>
        <v>1.05</v>
      </c>
      <c r="X878" s="23">
        <v>36992000</v>
      </c>
      <c r="Y878" s="13" t="s">
        <v>2204</v>
      </c>
      <c r="Z878" s="24" t="s">
        <v>33</v>
      </c>
      <c r="AB878" s="13"/>
      <c r="AC878" s="13"/>
      <c r="AD878" s="13"/>
      <c r="AE878" s="13" t="str">
        <f>_xlfn.XLOOKUP(L878,'[1]ID PROJECT'!E:E,'[1]ID PROJECT'!F:F)</f>
        <v xml:space="preserve">PRJ-KUT-KPU-TPED-2026-04-00071 </v>
      </c>
      <c r="AF878" s="13"/>
      <c r="AG878" s="13"/>
      <c r="AH878" s="65"/>
      <c r="AI878" s="27"/>
    </row>
    <row r="879" spans="1:35" hidden="1">
      <c r="A879" s="13" t="s">
        <v>805</v>
      </c>
      <c r="B879" s="13" t="str">
        <f>_xlfn.XLOOKUP(J879,'Master Data 14-9-2026'!C:C,'Master Data 14-9-2026'!D:D)</f>
        <v>Thaffira Auli Putri Prasetio wx1527457</v>
      </c>
      <c r="C879" s="13"/>
      <c r="D879" s="13" t="str">
        <f>_xlfn.XLOOKUP(J879,'Master Data 14-9-2026'!C:C,'Master Data 14-9-2026'!E:E)</f>
        <v>XLSMART-NWL</v>
      </c>
      <c r="E879" s="13"/>
      <c r="F879" s="13"/>
      <c r="G879" s="13" t="s">
        <v>22</v>
      </c>
      <c r="H879" s="13" t="str">
        <f>_xlfn.XLOOKUP(J879,'Master Data 14-9-2026'!C:C,'Master Data 14-9-2026'!H:H)</f>
        <v>2026-08-12 - 2026-09-11</v>
      </c>
      <c r="I879" s="13" t="str">
        <f t="shared" si="13"/>
        <v>August</v>
      </c>
      <c r="J879" s="13" t="s">
        <v>2211</v>
      </c>
      <c r="K879" s="13" t="s">
        <v>2211</v>
      </c>
      <c r="L879" s="13" t="s">
        <v>441</v>
      </c>
      <c r="M879" s="15">
        <v>200003233305020</v>
      </c>
      <c r="N879" s="13" t="s">
        <v>924</v>
      </c>
      <c r="O879" s="13">
        <v>1.0912026080400099E+17</v>
      </c>
      <c r="P879" s="13" t="s">
        <v>2203</v>
      </c>
      <c r="Q879" s="18">
        <v>7</v>
      </c>
      <c r="R879" s="18">
        <v>1</v>
      </c>
      <c r="S879" s="13">
        <v>8828132635</v>
      </c>
      <c r="T879" s="13" t="s">
        <v>926</v>
      </c>
      <c r="U879" s="19">
        <v>34220600</v>
      </c>
      <c r="V879" s="18">
        <v>1</v>
      </c>
      <c r="W879" s="18">
        <f>_xlfn.XLOOKUP(J879,'Master Data 14-9-2026'!C:C,'Master Data 14-9-2026'!L:L)</f>
        <v>0</v>
      </c>
      <c r="X879" s="23">
        <v>34220600</v>
      </c>
      <c r="Y879" s="13" t="s">
        <v>2204</v>
      </c>
      <c r="Z879" s="24" t="s">
        <v>33</v>
      </c>
      <c r="AB879" s="13"/>
      <c r="AC879" s="13"/>
      <c r="AD879" s="13"/>
      <c r="AE879" s="13" t="str">
        <f>_xlfn.XLOOKUP(L879,'[1]ID PROJECT'!E:E,'[1]ID PROJECT'!F:F)</f>
        <v xml:space="preserve">PRJ-KUT-KPU-TPED-2026-04-00071 </v>
      </c>
      <c r="AF879" s="13"/>
      <c r="AG879" s="13"/>
      <c r="AH879" s="65"/>
      <c r="AI879" s="27"/>
    </row>
    <row r="880" spans="1:35" hidden="1">
      <c r="A880" s="13" t="s">
        <v>850</v>
      </c>
      <c r="B880" s="13" t="str">
        <f>_xlfn.XLOOKUP(J880,'Master Data 14-9-2026'!C:C,'Master Data 14-9-2026'!D:D)</f>
        <v>Dwi Aprianita Hernata Agina Br Purba wx1506941</v>
      </c>
      <c r="C880" s="13" t="s">
        <v>2205</v>
      </c>
      <c r="D880" s="13" t="str">
        <f>_xlfn.XLOOKUP(J880,'Master Data 14-9-2026'!C:C,'Master Data 14-9-2026'!E:E)</f>
        <v>XLSMART-NWL</v>
      </c>
      <c r="E880" s="13"/>
      <c r="F880" s="13"/>
      <c r="G880" s="13" t="s">
        <v>28</v>
      </c>
      <c r="H880" s="13" t="str">
        <f>_xlfn.XLOOKUP(J880,'Master Data 14-9-2026'!C:C,'Master Data 14-9-2026'!H:H)</f>
        <v>2026-08-01 - 2026-08-31</v>
      </c>
      <c r="I880" s="13" t="str">
        <f t="shared" si="13"/>
        <v>August</v>
      </c>
      <c r="J880" s="13" t="s">
        <v>2212</v>
      </c>
      <c r="K880" s="13" t="s">
        <v>2212</v>
      </c>
      <c r="L880" s="13" t="s">
        <v>441</v>
      </c>
      <c r="M880" s="15">
        <v>200003233306020</v>
      </c>
      <c r="N880" s="13" t="s">
        <v>924</v>
      </c>
      <c r="O880" s="13">
        <v>1.0912026080400099E+17</v>
      </c>
      <c r="P880" s="13" t="s">
        <v>2203</v>
      </c>
      <c r="Q880" s="18">
        <v>8</v>
      </c>
      <c r="R880" s="18">
        <v>1</v>
      </c>
      <c r="S880" s="13">
        <v>8828132635</v>
      </c>
      <c r="T880" s="13" t="s">
        <v>926</v>
      </c>
      <c r="U880" s="19">
        <v>34220600</v>
      </c>
      <c r="V880" s="18">
        <v>1</v>
      </c>
      <c r="W880" s="18">
        <f>_xlfn.XLOOKUP(J880,'Master Data 14-9-2026'!C:C,'Master Data 14-9-2026'!L:L)</f>
        <v>0</v>
      </c>
      <c r="X880" s="23">
        <v>34220600</v>
      </c>
      <c r="Y880" s="13" t="s">
        <v>2204</v>
      </c>
      <c r="Z880" s="24" t="s">
        <v>33</v>
      </c>
      <c r="AB880" s="13"/>
      <c r="AC880" s="13"/>
      <c r="AD880" s="13"/>
      <c r="AE880" s="13" t="str">
        <f>_xlfn.XLOOKUP(L880,'[1]ID PROJECT'!E:E,'[1]ID PROJECT'!F:F)</f>
        <v xml:space="preserve">PRJ-KUT-KPU-TPED-2026-04-00071 </v>
      </c>
      <c r="AF880" s="13"/>
      <c r="AG880" s="13"/>
      <c r="AH880" s="65"/>
      <c r="AI880" s="27"/>
    </row>
    <row r="881" spans="1:35" hidden="1">
      <c r="A881" s="13" t="s">
        <v>848</v>
      </c>
      <c r="B881" s="13" t="str">
        <f>_xlfn.XLOOKUP(J881,'Master Data 14-9-2026'!C:C,'Master Data 14-9-2026'!D:D)</f>
        <v>Benny Priyarto wx1506942</v>
      </c>
      <c r="C881" s="13" t="s">
        <v>2201</v>
      </c>
      <c r="D881" s="13" t="str">
        <f>_xlfn.XLOOKUP(J881,'Master Data 14-9-2026'!C:C,'Master Data 14-9-2026'!E:E)</f>
        <v>XLSMART-NWL</v>
      </c>
      <c r="E881" s="13"/>
      <c r="F881" s="13"/>
      <c r="G881" s="13" t="s">
        <v>28</v>
      </c>
      <c r="H881" s="13" t="str">
        <f>_xlfn.XLOOKUP(J881,'Master Data 14-9-2026'!C:C,'Master Data 14-9-2026'!H:H)</f>
        <v>2026-08-01 - 2026-08-31</v>
      </c>
      <c r="I881" s="13" t="str">
        <f t="shared" si="13"/>
        <v>August</v>
      </c>
      <c r="J881" s="13" t="s">
        <v>2213</v>
      </c>
      <c r="K881" s="13" t="s">
        <v>2213</v>
      </c>
      <c r="L881" s="13" t="s">
        <v>441</v>
      </c>
      <c r="M881" s="15">
        <v>200003233307020</v>
      </c>
      <c r="N881" s="13" t="s">
        <v>924</v>
      </c>
      <c r="O881" s="13">
        <v>1.0912026080400099E+17</v>
      </c>
      <c r="P881" s="13" t="s">
        <v>2203</v>
      </c>
      <c r="Q881" s="18">
        <v>9</v>
      </c>
      <c r="R881" s="18">
        <v>1</v>
      </c>
      <c r="S881" s="13">
        <v>8828132635</v>
      </c>
      <c r="T881" s="13" t="s">
        <v>926</v>
      </c>
      <c r="U881" s="19">
        <v>34220600</v>
      </c>
      <c r="V881" s="18">
        <v>1</v>
      </c>
      <c r="W881" s="18">
        <f>_xlfn.XLOOKUP(J881,'Master Data 14-9-2026'!C:C,'Master Data 14-9-2026'!L:L)</f>
        <v>0</v>
      </c>
      <c r="X881" s="23">
        <v>34220600</v>
      </c>
      <c r="Y881" s="13" t="s">
        <v>2204</v>
      </c>
      <c r="Z881" s="24" t="s">
        <v>33</v>
      </c>
      <c r="AB881" s="13"/>
      <c r="AC881" s="13"/>
      <c r="AD881" s="13"/>
      <c r="AE881" s="13" t="str">
        <f>_xlfn.XLOOKUP(L881,'[1]ID PROJECT'!E:E,'[1]ID PROJECT'!F:F)</f>
        <v xml:space="preserve">PRJ-KUT-KPU-TPED-2026-04-00071 </v>
      </c>
      <c r="AF881" s="13"/>
      <c r="AG881" s="13"/>
      <c r="AH881" s="65"/>
      <c r="AI881" s="27"/>
    </row>
    <row r="882" spans="1:35" hidden="1">
      <c r="A882" s="13" t="s">
        <v>770</v>
      </c>
      <c r="B882" s="13" t="str">
        <f>_xlfn.XLOOKUP(J882,'Master Data 14-9-2026'!C:C,'Master Data 14-9-2026'!D:D)</f>
        <v>Willy Kurniawan wx1506945</v>
      </c>
      <c r="C882" s="32" t="s">
        <v>2214</v>
      </c>
      <c r="D882" s="13" t="str">
        <f>_xlfn.XLOOKUP(J882,'Master Data 14-9-2026'!C:C,'Master Data 14-9-2026'!E:E)</f>
        <v>XLSMART-NWL</v>
      </c>
      <c r="F882" s="13"/>
      <c r="G882" s="13" t="s">
        <v>13</v>
      </c>
      <c r="H882" s="13" t="str">
        <f>_xlfn.XLOOKUP(J882,'Master Data 14-9-2026'!C:C,'Master Data 14-9-2026'!H:H)</f>
        <v>2026-04-01 - 2026-04-30</v>
      </c>
      <c r="I882" s="13" t="str">
        <f t="shared" si="13"/>
        <v>April</v>
      </c>
      <c r="J882" s="13" t="s">
        <v>2215</v>
      </c>
      <c r="K882" s="13" t="s">
        <v>2215</v>
      </c>
      <c r="L882" s="13" t="s">
        <v>441</v>
      </c>
      <c r="M882" s="15">
        <v>200003233308020</v>
      </c>
      <c r="N882" s="13" t="s">
        <v>924</v>
      </c>
      <c r="O882" s="13">
        <v>1.0912026080400099E+17</v>
      </c>
      <c r="P882" s="13" t="s">
        <v>2203</v>
      </c>
      <c r="Q882" s="18">
        <v>10</v>
      </c>
      <c r="R882" s="18">
        <v>1</v>
      </c>
      <c r="S882" s="13">
        <v>8828132635</v>
      </c>
      <c r="T882" s="13" t="s">
        <v>926</v>
      </c>
      <c r="U882" s="19">
        <v>34220600</v>
      </c>
      <c r="V882" s="18">
        <v>1</v>
      </c>
      <c r="W882" s="18">
        <f>_xlfn.XLOOKUP(J882,'Master Data 14-9-2026'!C:C,'Master Data 14-9-2026'!L:L)</f>
        <v>1</v>
      </c>
      <c r="X882" s="23">
        <v>34220600</v>
      </c>
      <c r="Y882" s="13" t="s">
        <v>2204</v>
      </c>
      <c r="Z882" s="24" t="str">
        <f>_xlfn.XLOOKUP(J882,'Master Data 14-9-2026'!C:C,'Master Data 14-9-2026'!I:I)</f>
        <v>Ended</v>
      </c>
      <c r="AA882" s="4" t="s">
        <v>934</v>
      </c>
      <c r="AB882" s="13"/>
      <c r="AC882" s="13" t="s">
        <v>965</v>
      </c>
      <c r="AD882" s="13" t="s">
        <v>935</v>
      </c>
      <c r="AE882" s="13" t="str">
        <f>_xlfn.XLOOKUP(L882,'[1]ID PROJECT'!E:E,'[1]ID PROJECT'!F:F)</f>
        <v xml:space="preserve">PRJ-KUT-KPU-TPED-2026-04-00071 </v>
      </c>
      <c r="AF882" s="4" t="s">
        <v>2216</v>
      </c>
      <c r="AG882" s="13" t="s">
        <v>2217</v>
      </c>
      <c r="AH882" s="65">
        <v>46265</v>
      </c>
      <c r="AI882" s="27" t="s">
        <v>1095</v>
      </c>
    </row>
    <row r="883" spans="1:35" hidden="1">
      <c r="A883" s="13" t="s">
        <v>770</v>
      </c>
      <c r="B883" s="13" t="str">
        <f>_xlfn.XLOOKUP(J883,'Master Data 14-9-2026'!C:C,'Master Data 14-9-2026'!D:D)</f>
        <v>Willy Kurniawan wx1506945</v>
      </c>
      <c r="C883" s="13"/>
      <c r="D883" s="13" t="str">
        <f>_xlfn.XLOOKUP(J883,'Master Data 14-9-2026'!C:C,'Master Data 14-9-2026'!E:E)</f>
        <v>XLSMART-NWL</v>
      </c>
      <c r="E883" s="13"/>
      <c r="F883" s="13"/>
      <c r="G883" s="13" t="s">
        <v>18</v>
      </c>
      <c r="H883" s="13" t="str">
        <f>_xlfn.XLOOKUP(J883,'Master Data 14-9-2026'!C:C,'Master Data 14-9-2026'!H:H)</f>
        <v>2026-05-01 - 2026-05-31</v>
      </c>
      <c r="I883" s="13" t="str">
        <f t="shared" si="13"/>
        <v>May</v>
      </c>
      <c r="J883" s="13" t="s">
        <v>2218</v>
      </c>
      <c r="K883" s="13" t="s">
        <v>2218</v>
      </c>
      <c r="L883" s="13" t="s">
        <v>441</v>
      </c>
      <c r="M883" s="15">
        <v>200003233309020</v>
      </c>
      <c r="N883" s="13" t="s">
        <v>924</v>
      </c>
      <c r="O883" s="13">
        <v>1.0912026080400099E+17</v>
      </c>
      <c r="P883" s="13" t="s">
        <v>2203</v>
      </c>
      <c r="Q883" s="18">
        <v>11</v>
      </c>
      <c r="R883" s="18">
        <v>1</v>
      </c>
      <c r="S883" s="13">
        <v>8828132635</v>
      </c>
      <c r="T883" s="13" t="s">
        <v>926</v>
      </c>
      <c r="U883" s="19">
        <v>34220600</v>
      </c>
      <c r="V883" s="18">
        <v>1</v>
      </c>
      <c r="W883" s="18">
        <f>_xlfn.XLOOKUP(J883,'Master Data 14-9-2026'!C:C,'Master Data 14-9-2026'!L:L)</f>
        <v>1</v>
      </c>
      <c r="X883" s="23">
        <v>34220600</v>
      </c>
      <c r="Y883" s="13" t="s">
        <v>2204</v>
      </c>
      <c r="Z883" s="24" t="str">
        <f>_xlfn.XLOOKUP(J883,'Master Data 14-9-2026'!C:C,'Master Data 14-9-2026'!I:I)</f>
        <v>Ended</v>
      </c>
      <c r="AA883" s="4" t="s">
        <v>934</v>
      </c>
      <c r="AB883" s="13"/>
      <c r="AC883" s="13"/>
      <c r="AD883" s="13" t="s">
        <v>935</v>
      </c>
      <c r="AE883" s="13" t="str">
        <f>_xlfn.XLOOKUP(L883,'[1]ID PROJECT'!E:E,'[1]ID PROJECT'!F:F)</f>
        <v xml:space="preserve">PRJ-KUT-KPU-TPED-2026-04-00071 </v>
      </c>
      <c r="AF883" s="4" t="s">
        <v>2216</v>
      </c>
      <c r="AG883" s="13" t="s">
        <v>2217</v>
      </c>
      <c r="AH883" s="65">
        <v>46265</v>
      </c>
      <c r="AI883" s="27" t="s">
        <v>1095</v>
      </c>
    </row>
    <row r="884" spans="1:35" hidden="1">
      <c r="A884" s="13" t="s">
        <v>770</v>
      </c>
      <c r="B884" s="13" t="str">
        <f>_xlfn.XLOOKUP(J884,'Master Data 14-9-2026'!C:C,'Master Data 14-9-2026'!D:D)</f>
        <v>Willy Kurniawan wx1506945</v>
      </c>
      <c r="C884" s="13"/>
      <c r="D884" s="13" t="str">
        <f>_xlfn.XLOOKUP(J884,'Master Data 14-9-2026'!C:C,'Master Data 14-9-2026'!E:E)</f>
        <v>XLSMART-NWL</v>
      </c>
      <c r="E884" s="13"/>
      <c r="F884" s="13"/>
      <c r="G884" s="13" t="s">
        <v>22</v>
      </c>
      <c r="H884" s="13" t="str">
        <f>_xlfn.XLOOKUP(J884,'Master Data 14-9-2026'!C:C,'Master Data 14-9-2026'!H:H)</f>
        <v>2026-06-01 - 2026-06-30</v>
      </c>
      <c r="I884" s="13" t="str">
        <f t="shared" si="13"/>
        <v>June</v>
      </c>
      <c r="J884" s="13" t="s">
        <v>2219</v>
      </c>
      <c r="K884" s="13" t="s">
        <v>2219</v>
      </c>
      <c r="L884" s="13" t="s">
        <v>441</v>
      </c>
      <c r="M884" s="15">
        <v>200003233310020</v>
      </c>
      <c r="N884" s="13" t="s">
        <v>924</v>
      </c>
      <c r="O884" s="13">
        <v>1.0912026080400099E+17</v>
      </c>
      <c r="P884" s="13" t="s">
        <v>2203</v>
      </c>
      <c r="Q884" s="18">
        <v>12</v>
      </c>
      <c r="R884" s="18">
        <v>1</v>
      </c>
      <c r="S884" s="13">
        <v>8828132635</v>
      </c>
      <c r="T884" s="13" t="s">
        <v>926</v>
      </c>
      <c r="U884" s="19">
        <v>34220600</v>
      </c>
      <c r="V884" s="18">
        <v>1</v>
      </c>
      <c r="W884" s="18">
        <f>_xlfn.XLOOKUP(J884,'Master Data 14-9-2026'!C:C,'Master Data 14-9-2026'!L:L)</f>
        <v>1</v>
      </c>
      <c r="X884" s="23">
        <v>34220600</v>
      </c>
      <c r="Y884" s="13" t="s">
        <v>2204</v>
      </c>
      <c r="Z884" s="24" t="str">
        <f>_xlfn.XLOOKUP(J884,'Master Data 14-9-2026'!C:C,'Master Data 14-9-2026'!I:I)</f>
        <v>Ended</v>
      </c>
      <c r="AA884" s="4" t="s">
        <v>934</v>
      </c>
      <c r="AB884" s="13"/>
      <c r="AC884" s="13"/>
      <c r="AD884" s="13" t="s">
        <v>935</v>
      </c>
      <c r="AE884" s="13" t="str">
        <f>_xlfn.XLOOKUP(L884,'[1]ID PROJECT'!E:E,'[1]ID PROJECT'!F:F)</f>
        <v xml:space="preserve">PRJ-KUT-KPU-TPED-2026-04-00071 </v>
      </c>
      <c r="AF884" s="4" t="s">
        <v>2216</v>
      </c>
      <c r="AG884" s="13" t="s">
        <v>2217</v>
      </c>
      <c r="AH884" s="65">
        <v>46265</v>
      </c>
      <c r="AI884" s="27" t="s">
        <v>1095</v>
      </c>
    </row>
    <row r="885" spans="1:35">
      <c r="A885" s="13" t="s">
        <v>770</v>
      </c>
      <c r="B885" s="13" t="str">
        <f>_xlfn.XLOOKUP(J885,'Master Data 14-9-2026'!C:C,'Master Data 14-9-2026'!D:D)</f>
        <v>Willy Kurniawan wx1506945</v>
      </c>
      <c r="C885" s="13"/>
      <c r="D885" s="13" t="str">
        <f>_xlfn.XLOOKUP(J885,'Master Data 14-9-2026'!C:C,'Master Data 14-9-2026'!E:E)</f>
        <v>XLSMART-NWL</v>
      </c>
      <c r="E885" s="13"/>
      <c r="F885" s="13"/>
      <c r="G885" s="13" t="s">
        <v>25</v>
      </c>
      <c r="H885" s="13" t="str">
        <f>_xlfn.XLOOKUP(J885,'Master Data 14-9-2026'!C:C,'Master Data 14-9-2026'!H:H)</f>
        <v>2026-07-01 - 2026-07-31</v>
      </c>
      <c r="I885" s="13" t="str">
        <f t="shared" si="13"/>
        <v>July</v>
      </c>
      <c r="J885" s="13" t="s">
        <v>2220</v>
      </c>
      <c r="K885" s="13" t="s">
        <v>2220</v>
      </c>
      <c r="L885" s="13" t="s">
        <v>441</v>
      </c>
      <c r="M885" s="15">
        <v>200003233311020</v>
      </c>
      <c r="N885" s="13" t="s">
        <v>924</v>
      </c>
      <c r="O885" s="13">
        <v>1.0912026080400099E+17</v>
      </c>
      <c r="P885" s="13" t="s">
        <v>2203</v>
      </c>
      <c r="Q885" s="18">
        <v>13</v>
      </c>
      <c r="R885" s="18">
        <v>1</v>
      </c>
      <c r="S885" s="13">
        <v>8828132635</v>
      </c>
      <c r="T885" s="13" t="s">
        <v>926</v>
      </c>
      <c r="U885" s="19">
        <v>34220600</v>
      </c>
      <c r="V885" s="18">
        <v>1</v>
      </c>
      <c r="W885" s="18">
        <f>_xlfn.XLOOKUP(J885,'Master Data 14-9-2026'!C:C,'Master Data 14-9-2026'!L:L)</f>
        <v>1</v>
      </c>
      <c r="X885" s="23">
        <v>34220600</v>
      </c>
      <c r="Y885" s="13" t="s">
        <v>2204</v>
      </c>
      <c r="Z885" s="24" t="str">
        <f>_xlfn.XLOOKUP(J885,'Master Data 14-9-2026'!C:C,'Master Data 14-9-2026'!I:I)</f>
        <v>Ended</v>
      </c>
      <c r="AA885" s="4" t="s">
        <v>934</v>
      </c>
      <c r="AB885" s="30"/>
      <c r="AC885" s="13"/>
      <c r="AD885" s="40" t="s">
        <v>935</v>
      </c>
      <c r="AE885" s="13" t="str">
        <f>_xlfn.XLOOKUP(L885,'[1]ID PROJECT'!E:E,'[1]ID PROJECT'!F:F)</f>
        <v xml:space="preserve">PRJ-KUT-KPU-TPED-2026-04-00071 </v>
      </c>
      <c r="AF885" s="39" t="s">
        <v>3373</v>
      </c>
      <c r="AG885" s="40" t="s">
        <v>3400</v>
      </c>
      <c r="AH885" s="65">
        <v>46269</v>
      </c>
      <c r="AI885" s="41" t="s">
        <v>967</v>
      </c>
    </row>
    <row r="886" spans="1:35">
      <c r="A886" s="13" t="s">
        <v>770</v>
      </c>
      <c r="B886" s="13" t="str">
        <f>_xlfn.XLOOKUP(J886,'Master Data 14-9-2026'!C:C,'Master Data 14-9-2026'!D:D)</f>
        <v>Willy Kurniawan wx1506945</v>
      </c>
      <c r="C886" s="13"/>
      <c r="D886" s="13" t="str">
        <f>_xlfn.XLOOKUP(J886,'Master Data 14-9-2026'!C:C,'Master Data 14-9-2026'!E:E)</f>
        <v>XLSMART-NWL</v>
      </c>
      <c r="E886" s="13"/>
      <c r="F886" s="13"/>
      <c r="G886" s="13" t="s">
        <v>28</v>
      </c>
      <c r="H886" s="13" t="str">
        <f>_xlfn.XLOOKUP(J886,'Master Data 14-9-2026'!C:C,'Master Data 14-9-2026'!H:H)</f>
        <v>2026-08-01 - 2026-08-31</v>
      </c>
      <c r="I886" s="13" t="str">
        <f t="shared" si="13"/>
        <v>August</v>
      </c>
      <c r="J886" s="13" t="s">
        <v>2221</v>
      </c>
      <c r="K886" s="16" t="s">
        <v>2221</v>
      </c>
      <c r="L886" s="13" t="s">
        <v>441</v>
      </c>
      <c r="M886" s="15">
        <v>200003233312020</v>
      </c>
      <c r="N886" s="13" t="s">
        <v>924</v>
      </c>
      <c r="O886" s="13">
        <v>1.0912026080400099E+17</v>
      </c>
      <c r="P886" s="13" t="s">
        <v>2203</v>
      </c>
      <c r="Q886" s="18">
        <v>14</v>
      </c>
      <c r="R886" s="18">
        <v>1</v>
      </c>
      <c r="S886" s="13">
        <v>8828132635</v>
      </c>
      <c r="T886" s="13" t="s">
        <v>926</v>
      </c>
      <c r="U886" s="19">
        <v>34220600</v>
      </c>
      <c r="V886" s="18">
        <v>1</v>
      </c>
      <c r="W886" s="18">
        <f>_xlfn.XLOOKUP(J886,'Master Data 14-9-2026'!C:C,'Master Data 14-9-2026'!L:L)</f>
        <v>1</v>
      </c>
      <c r="X886" s="23">
        <v>34220600</v>
      </c>
      <c r="Y886" s="13" t="s">
        <v>2204</v>
      </c>
      <c r="Z886" s="24" t="str">
        <f>_xlfn.XLOOKUP(J886,'Master Data 14-9-2026'!C:C,'Master Data 14-9-2026'!I:I)</f>
        <v>Ended</v>
      </c>
      <c r="AA886" s="39" t="s">
        <v>934</v>
      </c>
      <c r="AB886" s="13"/>
      <c r="AC886" s="13"/>
      <c r="AD886" s="40" t="s">
        <v>935</v>
      </c>
      <c r="AE886" s="13" t="str">
        <f>_xlfn.XLOOKUP(L886,'[1]ID PROJECT'!E:E,'[1]ID PROJECT'!F:F)</f>
        <v xml:space="preserve">PRJ-KUT-KPU-TPED-2026-04-00071 </v>
      </c>
      <c r="AF886" s="39" t="s">
        <v>4134</v>
      </c>
      <c r="AG886" s="13" t="s">
        <v>4141</v>
      </c>
      <c r="AH886" s="65">
        <v>46276</v>
      </c>
      <c r="AI886" s="41" t="s">
        <v>967</v>
      </c>
    </row>
    <row r="887" spans="1:35" hidden="1">
      <c r="A887" s="13" t="s">
        <v>770</v>
      </c>
      <c r="B887" s="13" t="str">
        <f>_xlfn.XLOOKUP(J887,'Master Data 14-9-2026'!C:C,'Master Data 14-9-2026'!D:D)</f>
        <v>Willy Kurniawan wx1506945</v>
      </c>
      <c r="C887" s="13"/>
      <c r="D887" s="13" t="str">
        <f>_xlfn.XLOOKUP(J887,'Master Data 14-9-2026'!C:C,'Master Data 14-9-2026'!E:E)</f>
        <v>XLSMART-NWL</v>
      </c>
      <c r="E887" s="13"/>
      <c r="F887" s="13"/>
      <c r="G887" s="13" t="s">
        <v>31</v>
      </c>
      <c r="H887" s="13" t="str">
        <f>_xlfn.XLOOKUP(J887,'Master Data 14-9-2026'!C:C,'Master Data 14-9-2026'!H:H)</f>
        <v>2026-09-01 - 2026-09-30</v>
      </c>
      <c r="I887" s="13" t="str">
        <f t="shared" si="13"/>
        <v>September</v>
      </c>
      <c r="J887" s="13" t="s">
        <v>2222</v>
      </c>
      <c r="K887" s="13" t="s">
        <v>2222</v>
      </c>
      <c r="L887" s="13" t="s">
        <v>441</v>
      </c>
      <c r="M887" s="15">
        <v>200003233313020</v>
      </c>
      <c r="N887" s="13" t="s">
        <v>924</v>
      </c>
      <c r="O887" s="13">
        <v>1.0912026080400099E+17</v>
      </c>
      <c r="P887" s="13" t="s">
        <v>2203</v>
      </c>
      <c r="Q887" s="18">
        <v>15</v>
      </c>
      <c r="R887" s="18">
        <v>1</v>
      </c>
      <c r="S887" s="13">
        <v>8828132635</v>
      </c>
      <c r="T887" s="13" t="s">
        <v>926</v>
      </c>
      <c r="U887" s="19">
        <v>34220600</v>
      </c>
      <c r="V887" s="18">
        <v>1</v>
      </c>
      <c r="W887" s="18">
        <f>_xlfn.XLOOKUP(J887,'Master Data 14-9-2026'!C:C,'Master Data 14-9-2026'!L:L)</f>
        <v>0</v>
      </c>
      <c r="X887" s="23">
        <v>34220600</v>
      </c>
      <c r="Y887" s="13" t="s">
        <v>2204</v>
      </c>
      <c r="Z887" s="24" t="s">
        <v>44</v>
      </c>
      <c r="AB887" s="13"/>
      <c r="AC887" s="13"/>
      <c r="AD887" s="13"/>
      <c r="AE887" s="13" t="str">
        <f>_xlfn.XLOOKUP(L887,'[1]ID PROJECT'!E:E,'[1]ID PROJECT'!F:F)</f>
        <v xml:space="preserve">PRJ-KUT-KPU-TPED-2026-04-00071 </v>
      </c>
      <c r="AF887" s="13"/>
      <c r="AG887" s="13"/>
      <c r="AH887" s="65"/>
      <c r="AI887" s="27"/>
    </row>
    <row r="888" spans="1:35" hidden="1">
      <c r="A888" s="13" t="s">
        <v>805</v>
      </c>
      <c r="B888" s="13" t="str">
        <f>_xlfn.XLOOKUP(J888,'Master Data 14-9-2026'!C:C,'Master Data 14-9-2026'!D:D)</f>
        <v>Thaffira Auli Putri Prasetio wx1527457</v>
      </c>
      <c r="C888" s="13"/>
      <c r="D888" s="13" t="str">
        <f>_xlfn.XLOOKUP(J888,'Master Data 14-9-2026'!C:C,'Master Data 14-9-2026'!E:E)</f>
        <v>XLSMART-NWL</v>
      </c>
      <c r="E888" s="13"/>
      <c r="F888" s="13"/>
      <c r="G888" s="13" t="s">
        <v>13</v>
      </c>
      <c r="H888" s="13" t="str">
        <f>_xlfn.XLOOKUP(J888,'Master Data 14-9-2026'!C:C,'Master Data 14-9-2026'!H:H)</f>
        <v>2026-06-12 - 2026-07-11</v>
      </c>
      <c r="I888" s="13" t="str">
        <f t="shared" si="13"/>
        <v>June</v>
      </c>
      <c r="J888" s="13" t="s">
        <v>2223</v>
      </c>
      <c r="K888" s="13" t="s">
        <v>2223</v>
      </c>
      <c r="L888" s="13" t="s">
        <v>441</v>
      </c>
      <c r="M888" s="15">
        <v>200003188344020</v>
      </c>
      <c r="N888" s="13" t="s">
        <v>924</v>
      </c>
      <c r="O888" s="13">
        <v>1.0912026080400099E+17</v>
      </c>
      <c r="P888" s="13" t="s">
        <v>2203</v>
      </c>
      <c r="Q888" s="18">
        <v>16</v>
      </c>
      <c r="R888" s="18">
        <v>1</v>
      </c>
      <c r="S888" s="13">
        <v>8828132635</v>
      </c>
      <c r="T888" s="13" t="s">
        <v>926</v>
      </c>
      <c r="U888" s="19">
        <v>34220600</v>
      </c>
      <c r="V888" s="18">
        <v>1</v>
      </c>
      <c r="W888" s="18">
        <f>_xlfn.XLOOKUP(J888,'Master Data 14-9-2026'!C:C,'Master Data 14-9-2026'!L:L)</f>
        <v>0</v>
      </c>
      <c r="X888" s="23">
        <v>34220600</v>
      </c>
      <c r="Y888" s="13" t="s">
        <v>2204</v>
      </c>
      <c r="Z888" s="24" t="str">
        <f>_xlfn.XLOOKUP(J888,'Master Data 14-9-2026'!C:C,'Master Data 14-9-2026'!I:I)</f>
        <v>Ended</v>
      </c>
      <c r="AA888" s="4" t="s">
        <v>1288</v>
      </c>
      <c r="AB888" s="40" t="s">
        <v>44</v>
      </c>
      <c r="AC888" s="13"/>
      <c r="AD888" s="13"/>
      <c r="AE888" s="13" t="str">
        <f>_xlfn.XLOOKUP(L888,'[1]ID PROJECT'!E:E,'[1]ID PROJECT'!F:F)</f>
        <v xml:space="preserve">PRJ-KUT-KPU-TPED-2026-04-00071 </v>
      </c>
      <c r="AF888" s="13"/>
      <c r="AG888" s="13"/>
      <c r="AH888" s="65"/>
      <c r="AI888" s="27"/>
    </row>
    <row r="889" spans="1:35" hidden="1">
      <c r="A889" s="13" t="s">
        <v>848</v>
      </c>
      <c r="B889" s="13" t="str">
        <f>_xlfn.XLOOKUP(J889,'Master Data 14-9-2026'!C:C,'Master Data 14-9-2026'!D:D)</f>
        <v>Benny Priyarto wx1506942</v>
      </c>
      <c r="C889" s="13" t="s">
        <v>2201</v>
      </c>
      <c r="D889" s="13" t="str">
        <f>_xlfn.XLOOKUP(J889,'Master Data 14-9-2026'!C:C,'Master Data 14-9-2026'!E:E)</f>
        <v>XLSMART-NWL</v>
      </c>
      <c r="E889" s="13"/>
      <c r="F889" s="13"/>
      <c r="G889" s="13" t="s">
        <v>13</v>
      </c>
      <c r="H889" s="13" t="str">
        <f>_xlfn.XLOOKUP(J889,'Master Data 14-9-2026'!C:C,'Master Data 14-9-2026'!H:H)</f>
        <v>2026-04-01 - 2026-04-30</v>
      </c>
      <c r="I889" s="13" t="str">
        <f t="shared" si="13"/>
        <v>April</v>
      </c>
      <c r="J889" s="13" t="s">
        <v>2224</v>
      </c>
      <c r="K889" s="13" t="s">
        <v>2224</v>
      </c>
      <c r="L889" s="13" t="s">
        <v>441</v>
      </c>
      <c r="M889" s="15">
        <v>200003188346020</v>
      </c>
      <c r="N889" s="13" t="s">
        <v>924</v>
      </c>
      <c r="O889" s="13">
        <v>1.0912026080400099E+17</v>
      </c>
      <c r="P889" s="13" t="s">
        <v>2203</v>
      </c>
      <c r="Q889" s="18">
        <v>18</v>
      </c>
      <c r="R889" s="18">
        <v>1</v>
      </c>
      <c r="S889" s="13">
        <v>8828132635</v>
      </c>
      <c r="T889" s="13" t="s">
        <v>926</v>
      </c>
      <c r="U889" s="19">
        <v>34220600</v>
      </c>
      <c r="V889" s="18">
        <v>1</v>
      </c>
      <c r="W889" s="18">
        <f>_xlfn.XLOOKUP(J889,'Master Data 14-9-2026'!C:C,'Master Data 14-9-2026'!L:L)</f>
        <v>0</v>
      </c>
      <c r="X889" s="23">
        <v>34220600</v>
      </c>
      <c r="Y889" s="13" t="s">
        <v>2204</v>
      </c>
      <c r="Z889" s="24" t="s">
        <v>15</v>
      </c>
      <c r="AA889" s="4" t="s">
        <v>934</v>
      </c>
      <c r="AB889" s="13"/>
      <c r="AC889" s="13"/>
      <c r="AD889" s="13" t="s">
        <v>935</v>
      </c>
      <c r="AE889" s="13" t="str">
        <f>_xlfn.XLOOKUP(L889,'[1]ID PROJECT'!E:E,'[1]ID PROJECT'!F:F)</f>
        <v xml:space="preserve">PRJ-KUT-KPU-TPED-2026-04-00071 </v>
      </c>
      <c r="AF889" s="4" t="s">
        <v>2225</v>
      </c>
      <c r="AG889" s="13" t="s">
        <v>2226</v>
      </c>
      <c r="AH889" s="65">
        <v>46255</v>
      </c>
      <c r="AI889" s="27" t="s">
        <v>1175</v>
      </c>
    </row>
    <row r="890" spans="1:35" hidden="1">
      <c r="A890" s="13" t="s">
        <v>538</v>
      </c>
      <c r="B890" s="13" t="str">
        <f>_xlfn.XLOOKUP(J890,'Master Data 14-9-2026'!C:C,'Master Data 14-9-2026'!D:D)</f>
        <v>Fian Affriansyah wx1530972</v>
      </c>
      <c r="C890" s="13"/>
      <c r="D890" s="13" t="str">
        <f>_xlfn.XLOOKUP(J890,'Master Data 14-9-2026'!C:C,'Master Data 14-9-2026'!E:E)</f>
        <v>XLSMART-NWL</v>
      </c>
      <c r="E890" s="13"/>
      <c r="F890" s="13"/>
      <c r="G890" s="13" t="s">
        <v>13</v>
      </c>
      <c r="H890" s="13" t="str">
        <f>_xlfn.XLOOKUP(J890,'Master Data 14-9-2026'!C:C,'Master Data 14-9-2026'!H:H)</f>
        <v>2026-07-01 - 2026-07-31</v>
      </c>
      <c r="I890" s="13" t="str">
        <f t="shared" si="13"/>
        <v>July</v>
      </c>
      <c r="J890" s="13" t="s">
        <v>2227</v>
      </c>
      <c r="K890" s="13" t="s">
        <v>2227</v>
      </c>
      <c r="L890" s="13" t="s">
        <v>441</v>
      </c>
      <c r="M890" s="15">
        <v>200003188348020</v>
      </c>
      <c r="N890" s="13" t="s">
        <v>924</v>
      </c>
      <c r="O890" s="13">
        <v>1.0912026080400099E+17</v>
      </c>
      <c r="P890" s="13" t="s">
        <v>2203</v>
      </c>
      <c r="Q890" s="18">
        <v>19</v>
      </c>
      <c r="R890" s="18">
        <v>1</v>
      </c>
      <c r="S890" s="13">
        <v>8828132636</v>
      </c>
      <c r="T890" s="13" t="s">
        <v>933</v>
      </c>
      <c r="U890" s="19">
        <v>36992000</v>
      </c>
      <c r="V890" s="18">
        <v>1</v>
      </c>
      <c r="W890" s="18">
        <f>_xlfn.XLOOKUP(J890,'Master Data 14-9-2026'!C:C,'Master Data 14-9-2026'!L:L)</f>
        <v>0.9</v>
      </c>
      <c r="X890" s="23">
        <v>36992000</v>
      </c>
      <c r="Y890" s="13" t="s">
        <v>2204</v>
      </c>
      <c r="Z890" s="24" t="s">
        <v>15</v>
      </c>
      <c r="AA890" s="4" t="s">
        <v>1288</v>
      </c>
      <c r="AB890" s="13" t="s">
        <v>1289</v>
      </c>
      <c r="AC890" s="13"/>
      <c r="AD890" s="13"/>
      <c r="AE890" s="13" t="str">
        <f>_xlfn.XLOOKUP(L890,'[1]ID PROJECT'!E:E,'[1]ID PROJECT'!F:F)</f>
        <v xml:space="preserve">PRJ-KUT-KPU-TPED-2026-04-00071 </v>
      </c>
      <c r="AF890" s="13"/>
      <c r="AG890" s="13"/>
      <c r="AH890" s="65"/>
      <c r="AI890" s="27"/>
    </row>
    <row r="891" spans="1:35" hidden="1">
      <c r="A891" s="13" t="s">
        <v>805</v>
      </c>
      <c r="B891" s="13" t="str">
        <f>_xlfn.XLOOKUP(J891,'Master Data 14-9-2026'!C:C,'Master Data 14-9-2026'!D:D)</f>
        <v>Thaffira Auli Putri Prasetio wx1527457</v>
      </c>
      <c r="C891" s="13"/>
      <c r="D891" s="13" t="str">
        <f>_xlfn.XLOOKUP(J891,'Master Data 14-9-2026'!C:C,'Master Data 14-9-2026'!E:E)</f>
        <v>XLSMART-NWL</v>
      </c>
      <c r="E891" s="13"/>
      <c r="F891" s="13"/>
      <c r="G891" s="13" t="s">
        <v>18</v>
      </c>
      <c r="H891" s="13" t="str">
        <f>_xlfn.XLOOKUP(J891,'Master Data 14-9-2026'!C:C,'Master Data 14-9-2026'!H:H)</f>
        <v>2026-07-12 - 2026-08-11</v>
      </c>
      <c r="I891" s="13" t="str">
        <f t="shared" si="13"/>
        <v>July</v>
      </c>
      <c r="J891" s="13" t="s">
        <v>2228</v>
      </c>
      <c r="K891" s="13" t="s">
        <v>2228</v>
      </c>
      <c r="L891" s="13" t="s">
        <v>441</v>
      </c>
      <c r="M891" s="15">
        <v>200003188349020</v>
      </c>
      <c r="N891" s="13" t="s">
        <v>924</v>
      </c>
      <c r="O891" s="13">
        <v>1.0912026080400099E+17</v>
      </c>
      <c r="P891" s="13" t="s">
        <v>2203</v>
      </c>
      <c r="Q891" s="18">
        <v>20</v>
      </c>
      <c r="R891" s="18">
        <v>1</v>
      </c>
      <c r="S891" s="13">
        <v>8828132635</v>
      </c>
      <c r="T891" s="13" t="s">
        <v>926</v>
      </c>
      <c r="U891" s="19">
        <v>34220600</v>
      </c>
      <c r="V891" s="18">
        <v>1</v>
      </c>
      <c r="W891" s="18">
        <f>_xlfn.XLOOKUP(J891,'Master Data 14-9-2026'!C:C,'Master Data 14-9-2026'!L:L)</f>
        <v>0</v>
      </c>
      <c r="X891" s="23">
        <v>34220600</v>
      </c>
      <c r="Y891" s="13" t="s">
        <v>2204</v>
      </c>
      <c r="Z891" s="24" t="s">
        <v>15</v>
      </c>
      <c r="AA891" s="4" t="s">
        <v>1288</v>
      </c>
      <c r="AB891" s="40" t="s">
        <v>44</v>
      </c>
      <c r="AC891" s="13"/>
      <c r="AD891" s="13"/>
      <c r="AE891" s="13" t="str">
        <f>_xlfn.XLOOKUP(L891,'[1]ID PROJECT'!E:E,'[1]ID PROJECT'!F:F)</f>
        <v xml:space="preserve">PRJ-KUT-KPU-TPED-2026-04-00071 </v>
      </c>
      <c r="AF891" s="13"/>
      <c r="AG891" s="13"/>
      <c r="AH891" s="65"/>
      <c r="AI891" s="27"/>
    </row>
    <row r="892" spans="1:35">
      <c r="A892" s="13" t="s">
        <v>850</v>
      </c>
      <c r="B892" s="13" t="str">
        <f>_xlfn.XLOOKUP(J892,'Master Data 14-9-2026'!C:C,'Master Data 14-9-2026'!D:D)</f>
        <v>Dwi Aprianita Hernata Agina Br Purba wx1506941</v>
      </c>
      <c r="C892" s="13" t="s">
        <v>2205</v>
      </c>
      <c r="D892" s="13" t="str">
        <f>_xlfn.XLOOKUP(J892,'Master Data 14-9-2026'!C:C,'Master Data 14-9-2026'!E:E)</f>
        <v>XLSMART-NWL</v>
      </c>
      <c r="E892" s="13"/>
      <c r="F892" s="13"/>
      <c r="G892" s="13" t="s">
        <v>18</v>
      </c>
      <c r="H892" s="13" t="str">
        <f>_xlfn.XLOOKUP(J892,'Master Data 14-9-2026'!C:C,'Master Data 14-9-2026'!H:H)</f>
        <v>2026-05-01 - 2026-05-31</v>
      </c>
      <c r="I892" s="13" t="str">
        <f t="shared" si="13"/>
        <v>May</v>
      </c>
      <c r="J892" s="13" t="s">
        <v>2229</v>
      </c>
      <c r="K892" s="13" t="s">
        <v>2229</v>
      </c>
      <c r="L892" s="13" t="s">
        <v>441</v>
      </c>
      <c r="M892" s="15">
        <v>200003188350020</v>
      </c>
      <c r="N892" s="13" t="s">
        <v>924</v>
      </c>
      <c r="O892" s="13">
        <v>1.0912026080400099E+17</v>
      </c>
      <c r="P892" s="13" t="s">
        <v>2203</v>
      </c>
      <c r="Q892" s="18">
        <v>21</v>
      </c>
      <c r="R892" s="18">
        <v>1</v>
      </c>
      <c r="S892" s="13">
        <v>8828132635</v>
      </c>
      <c r="T892" s="13" t="s">
        <v>926</v>
      </c>
      <c r="U892" s="19">
        <v>34220600</v>
      </c>
      <c r="V892" s="18">
        <v>1</v>
      </c>
      <c r="W892" s="18">
        <f>_xlfn.XLOOKUP(J892,'Master Data 14-9-2026'!C:C,'Master Data 14-9-2026'!L:L)</f>
        <v>0</v>
      </c>
      <c r="X892" s="23">
        <v>34220600</v>
      </c>
      <c r="Y892" s="13" t="s">
        <v>2204</v>
      </c>
      <c r="Z892" s="24" t="s">
        <v>15</v>
      </c>
      <c r="AA892" s="39" t="s">
        <v>934</v>
      </c>
      <c r="AB892" s="40"/>
      <c r="AC892" s="13"/>
      <c r="AD892" s="40" t="s">
        <v>935</v>
      </c>
      <c r="AE892" s="13" t="str">
        <f>_xlfn.XLOOKUP(L892,'[1]ID PROJECT'!E:E,'[1]ID PROJECT'!F:F)</f>
        <v xml:space="preserve">PRJ-KUT-KPU-TPED-2026-04-00071 </v>
      </c>
      <c r="AF892" s="39" t="s">
        <v>4159</v>
      </c>
      <c r="AG892" s="40" t="s">
        <v>4191</v>
      </c>
      <c r="AH892" s="64">
        <v>46281</v>
      </c>
      <c r="AI892" s="51" t="s">
        <v>967</v>
      </c>
    </row>
    <row r="893" spans="1:35" hidden="1">
      <c r="A893" s="4" t="s">
        <v>9</v>
      </c>
      <c r="B893" s="13" t="str">
        <f>_xlfn.XLOOKUP(J893,'Master Data 14-9-2026'!C:C,'Master Data 14-9-2026'!D:D)</f>
        <v>Winarsih wx1503649</v>
      </c>
      <c r="D893" s="13" t="str">
        <f>_xlfn.XLOOKUP(J893,'Master Data 14-9-2026'!C:C,'Master Data 14-9-2026'!E:E)</f>
        <v>TELKOMSEL</v>
      </c>
      <c r="F893" s="13"/>
      <c r="G893" s="4" t="s">
        <v>28</v>
      </c>
      <c r="H893" s="13" t="str">
        <f>_xlfn.XLOOKUP(J893,'Master Data 14-9-2026'!C:C,'Master Data 14-9-2026'!H:H)</f>
        <v>2026-08-01 - 2026-08-31</v>
      </c>
      <c r="I893" s="13" t="str">
        <f t="shared" si="13"/>
        <v>August</v>
      </c>
      <c r="J893" s="36" t="s">
        <v>1975</v>
      </c>
      <c r="K893" s="36" t="s">
        <v>1975</v>
      </c>
      <c r="M893" s="36" t="s">
        <v>2230</v>
      </c>
      <c r="N893" s="36" t="s">
        <v>924</v>
      </c>
      <c r="O893" s="36" t="s">
        <v>2231</v>
      </c>
      <c r="P893" s="36" t="s">
        <v>2232</v>
      </c>
      <c r="Q893" s="6">
        <v>1</v>
      </c>
      <c r="R893" s="6">
        <v>1</v>
      </c>
      <c r="S893" s="36" t="s">
        <v>2233</v>
      </c>
      <c r="T893" s="36" t="s">
        <v>951</v>
      </c>
      <c r="U893" s="8">
        <v>28881900</v>
      </c>
      <c r="V893" s="6">
        <v>1</v>
      </c>
      <c r="W893" s="18">
        <f>_xlfn.XLOOKUP(J893,'Master Data 14-9-2026'!C:C,'Master Data 14-9-2026'!L:L)</f>
        <v>1.0900000000000001</v>
      </c>
      <c r="X893" s="20">
        <f t="shared" ref="X893:X947" si="14">V893*U893</f>
        <v>28881900</v>
      </c>
      <c r="Y893" s="36" t="s">
        <v>2204</v>
      </c>
      <c r="Z893" s="36" t="s">
        <v>984</v>
      </c>
      <c r="AA893" s="4" t="s">
        <v>1288</v>
      </c>
      <c r="AB893" s="4" t="s">
        <v>1600</v>
      </c>
      <c r="AC893" s="4"/>
      <c r="AD893" s="10"/>
      <c r="AE893" s="13">
        <f>_xlfn.XLOOKUP(L893,'[1]ID PROJECT'!E:E,'[1]ID PROJECT'!F:F)</f>
        <v>0</v>
      </c>
      <c r="AF893" s="4"/>
      <c r="AG893" s="11"/>
    </row>
    <row r="894" spans="1:35">
      <c r="A894" s="4" t="s">
        <v>35</v>
      </c>
      <c r="B894" s="13" t="str">
        <f>_xlfn.XLOOKUP(J894,'Master Data 14-9-2026'!C:C,'Master Data 14-9-2026'!D:D)</f>
        <v>Nancy Febrila Eko wx1524066</v>
      </c>
      <c r="D894" s="13" t="str">
        <f>_xlfn.XLOOKUP(J894,'Master Data 14-9-2026'!C:C,'Master Data 14-9-2026'!E:E)</f>
        <v>TELKOMSEL</v>
      </c>
      <c r="F894" s="13"/>
      <c r="G894" s="4" t="s">
        <v>22</v>
      </c>
      <c r="H894" s="13" t="str">
        <f>_xlfn.XLOOKUP(J894,'Master Data 14-9-2026'!C:C,'Master Data 14-9-2026'!H:H)</f>
        <v>2026-08-02 - 2026-09-01</v>
      </c>
      <c r="I894" s="13" t="str">
        <f t="shared" si="13"/>
        <v>August</v>
      </c>
      <c r="J894" s="36" t="s">
        <v>1997</v>
      </c>
      <c r="K894" s="37" t="s">
        <v>1997</v>
      </c>
      <c r="L894" s="49" t="s">
        <v>441</v>
      </c>
      <c r="M894" s="36" t="s">
        <v>2234</v>
      </c>
      <c r="N894" s="36" t="s">
        <v>924</v>
      </c>
      <c r="O894" s="36" t="s">
        <v>2235</v>
      </c>
      <c r="P894" s="36" t="s">
        <v>2236</v>
      </c>
      <c r="Q894" s="6">
        <v>1</v>
      </c>
      <c r="R894" s="6">
        <v>1</v>
      </c>
      <c r="S894" s="36" t="s">
        <v>2233</v>
      </c>
      <c r="T894" s="36" t="s">
        <v>951</v>
      </c>
      <c r="U894" s="8">
        <v>28881900</v>
      </c>
      <c r="V894" s="6">
        <v>1</v>
      </c>
      <c r="W894" s="18">
        <f>_xlfn.XLOOKUP(J894,'Master Data 14-9-2026'!C:C,'Master Data 14-9-2026'!L:L)</f>
        <v>1</v>
      </c>
      <c r="X894" s="20">
        <f t="shared" si="14"/>
        <v>28881900</v>
      </c>
      <c r="Y894" s="36" t="s">
        <v>2204</v>
      </c>
      <c r="Z894" s="24" t="str">
        <f>_xlfn.XLOOKUP(J894,'Master Data 14-9-2026'!C:C,'Master Data 14-9-2026'!I:I)</f>
        <v>Ended</v>
      </c>
      <c r="AA894" s="39" t="s">
        <v>934</v>
      </c>
      <c r="AB894" s="13"/>
      <c r="AC894" s="4"/>
      <c r="AD894" s="40" t="s">
        <v>935</v>
      </c>
      <c r="AE894" s="13" t="str">
        <f>_xlfn.XLOOKUP(L894,'[1]ID PROJECT'!E:E,'[1]ID PROJECT'!F:F)</f>
        <v xml:space="preserve">PRJ-KUT-KPU-TPED-2026-04-00071 </v>
      </c>
      <c r="AF894" s="39" t="s">
        <v>4169</v>
      </c>
      <c r="AG894" s="11" t="s">
        <v>4196</v>
      </c>
      <c r="AH894" s="64">
        <v>46286</v>
      </c>
      <c r="AI894" s="51" t="s">
        <v>967</v>
      </c>
    </row>
    <row r="895" spans="1:35" hidden="1">
      <c r="A895" s="4" t="s">
        <v>240</v>
      </c>
      <c r="B895" s="13" t="str">
        <f>_xlfn.XLOOKUP(J895,'Master Data 14-9-2026'!C:C,'Master Data 14-9-2026'!D:D)</f>
        <v>Gigih Dharma Sulistya wx1503511</v>
      </c>
      <c r="D895" s="13" t="str">
        <f>_xlfn.XLOOKUP(J895,'Master Data 14-9-2026'!C:C,'Master Data 14-9-2026'!E:E)</f>
        <v>TELKOMSEL</v>
      </c>
      <c r="F895" s="13"/>
      <c r="G895" s="4" t="s">
        <v>31</v>
      </c>
      <c r="H895" s="13" t="str">
        <f>_xlfn.XLOOKUP(J895,'Master Data 14-9-2026'!C:C,'Master Data 14-9-2026'!H:H)</f>
        <v>2026-08-23 - 2026-09-22</v>
      </c>
      <c r="I895" s="13" t="str">
        <f t="shared" si="13"/>
        <v>August</v>
      </c>
      <c r="J895" s="36" t="s">
        <v>1983</v>
      </c>
      <c r="K895" s="36" t="s">
        <v>1983</v>
      </c>
      <c r="M895" s="36" t="s">
        <v>2237</v>
      </c>
      <c r="N895" s="36" t="s">
        <v>924</v>
      </c>
      <c r="O895" s="36" t="s">
        <v>2238</v>
      </c>
      <c r="P895" s="36" t="s">
        <v>2239</v>
      </c>
      <c r="Q895" s="6">
        <v>1</v>
      </c>
      <c r="R895" s="6">
        <v>1</v>
      </c>
      <c r="S895" s="36" t="s">
        <v>2233</v>
      </c>
      <c r="T895" s="36" t="s">
        <v>951</v>
      </c>
      <c r="U895" s="8">
        <v>28881900</v>
      </c>
      <c r="V895" s="6">
        <v>1</v>
      </c>
      <c r="W895" s="18">
        <f>_xlfn.XLOOKUP(J895,'Master Data 14-9-2026'!C:C,'Master Data 14-9-2026'!L:L)</f>
        <v>1.5</v>
      </c>
      <c r="X895" s="20">
        <f t="shared" si="14"/>
        <v>28881900</v>
      </c>
      <c r="Y895" s="36" t="s">
        <v>2204</v>
      </c>
      <c r="Z895" s="36" t="s">
        <v>984</v>
      </c>
      <c r="AA895" s="4" t="s">
        <v>1288</v>
      </c>
      <c r="AB895" s="13"/>
      <c r="AC895" s="4"/>
      <c r="AD895" s="10"/>
      <c r="AE895" s="13">
        <f>_xlfn.XLOOKUP(L895,'[1]ID PROJECT'!E:E,'[1]ID PROJECT'!F:F)</f>
        <v>0</v>
      </c>
      <c r="AF895" s="4"/>
      <c r="AG895" s="11"/>
    </row>
    <row r="896" spans="1:35" hidden="1">
      <c r="A896" s="4" t="s">
        <v>81</v>
      </c>
      <c r="B896" s="13" t="str">
        <f>_xlfn.XLOOKUP(J896,'Master Data 14-9-2026'!C:C,'Master Data 14-9-2026'!D:D)</f>
        <v>Putri Mawaring Wening wx1524101</v>
      </c>
      <c r="D896" s="13" t="str">
        <f>_xlfn.XLOOKUP(J896,'Master Data 14-9-2026'!C:C,'Master Data 14-9-2026'!E:E)</f>
        <v>TELKOMSEL</v>
      </c>
      <c r="F896" s="13"/>
      <c r="G896" s="4" t="s">
        <v>22</v>
      </c>
      <c r="H896" s="13" t="str">
        <f>_xlfn.XLOOKUP(J896,'Master Data 14-9-2026'!C:C,'Master Data 14-9-2026'!H:H)</f>
        <v>2026-08-02 - 2026-09-01</v>
      </c>
      <c r="I896" s="13" t="str">
        <f t="shared" si="13"/>
        <v>August</v>
      </c>
      <c r="J896" s="36" t="s">
        <v>1987</v>
      </c>
      <c r="K896" s="36" t="s">
        <v>1987</v>
      </c>
      <c r="M896" s="36" t="s">
        <v>2240</v>
      </c>
      <c r="N896" s="36" t="s">
        <v>924</v>
      </c>
      <c r="O896" s="36" t="s">
        <v>2241</v>
      </c>
      <c r="P896" s="36" t="s">
        <v>2242</v>
      </c>
      <c r="Q896" s="6">
        <v>1</v>
      </c>
      <c r="R896" s="6">
        <v>1</v>
      </c>
      <c r="S896" s="36" t="s">
        <v>2233</v>
      </c>
      <c r="T896" s="36" t="s">
        <v>951</v>
      </c>
      <c r="U896" s="8">
        <v>28881900</v>
      </c>
      <c r="V896" s="6">
        <v>1</v>
      </c>
      <c r="W896" s="18">
        <f>_xlfn.XLOOKUP(J896,'Master Data 14-9-2026'!C:C,'Master Data 14-9-2026'!L:L)</f>
        <v>1.5</v>
      </c>
      <c r="X896" s="20">
        <f t="shared" si="14"/>
        <v>28881900</v>
      </c>
      <c r="Y896" s="36" t="s">
        <v>2204</v>
      </c>
      <c r="Z896" s="36" t="s">
        <v>33</v>
      </c>
      <c r="AA896" s="4" t="s">
        <v>1288</v>
      </c>
      <c r="AB896" s="4" t="s">
        <v>1600</v>
      </c>
      <c r="AC896" s="4"/>
      <c r="AD896" s="10"/>
      <c r="AE896" s="13">
        <f>_xlfn.XLOOKUP(L896,'[1]ID PROJECT'!E:E,'[1]ID PROJECT'!F:F)</f>
        <v>0</v>
      </c>
      <c r="AF896" s="4"/>
      <c r="AG896" s="11"/>
    </row>
    <row r="897" spans="1:33" hidden="1">
      <c r="A897" s="4" t="s">
        <v>58</v>
      </c>
      <c r="B897" s="13" t="str">
        <f>_xlfn.XLOOKUP(J897,'Master Data 14-9-2026'!C:C,'Master Data 14-9-2026'!D:D)</f>
        <v>Sri Hardianti Purnamasari wx1503627</v>
      </c>
      <c r="D897" s="13" t="str">
        <f>_xlfn.XLOOKUP(J897,'Master Data 14-9-2026'!C:C,'Master Data 14-9-2026'!E:E)</f>
        <v>TELKOMSEL</v>
      </c>
      <c r="F897" s="13"/>
      <c r="G897" s="4" t="s">
        <v>31</v>
      </c>
      <c r="H897" s="13" t="str">
        <f>_xlfn.XLOOKUP(J897,'Master Data 14-9-2026'!C:C,'Master Data 14-9-2026'!H:H)</f>
        <v>2026-08-23 - 2026-09-22</v>
      </c>
      <c r="I897" s="13" t="str">
        <f t="shared" si="13"/>
        <v>August</v>
      </c>
      <c r="J897" s="36" t="s">
        <v>1973</v>
      </c>
      <c r="K897" s="36" t="s">
        <v>1973</v>
      </c>
      <c r="M897" s="36" t="s">
        <v>2243</v>
      </c>
      <c r="N897" s="36" t="s">
        <v>924</v>
      </c>
      <c r="O897" s="36" t="s">
        <v>2244</v>
      </c>
      <c r="P897" s="36" t="s">
        <v>2245</v>
      </c>
      <c r="Q897" s="6">
        <v>1</v>
      </c>
      <c r="R897" s="6">
        <v>1</v>
      </c>
      <c r="S897" s="36" t="s">
        <v>2233</v>
      </c>
      <c r="T897" s="36" t="s">
        <v>951</v>
      </c>
      <c r="U897" s="8">
        <v>28881900</v>
      </c>
      <c r="V897" s="6">
        <v>1</v>
      </c>
      <c r="W897" s="18">
        <f>_xlfn.XLOOKUP(J897,'Master Data 14-9-2026'!C:C,'Master Data 14-9-2026'!L:L)</f>
        <v>0.53</v>
      </c>
      <c r="X897" s="20">
        <f t="shared" si="14"/>
        <v>28881900</v>
      </c>
      <c r="Y897" s="36" t="s">
        <v>2204</v>
      </c>
      <c r="Z897" s="36" t="s">
        <v>984</v>
      </c>
      <c r="AA897" s="4" t="s">
        <v>1288</v>
      </c>
      <c r="AB897" s="13"/>
      <c r="AC897" s="4"/>
      <c r="AD897" s="10"/>
      <c r="AE897" s="13">
        <f>_xlfn.XLOOKUP(L897,'[1]ID PROJECT'!E:E,'[1]ID PROJECT'!F:F)</f>
        <v>0</v>
      </c>
      <c r="AF897" s="4"/>
      <c r="AG897" s="11"/>
    </row>
    <row r="898" spans="1:33" hidden="1">
      <c r="A898" s="4" t="s">
        <v>170</v>
      </c>
      <c r="B898" s="13" t="str">
        <f>_xlfn.XLOOKUP(J898,'Master Data 14-9-2026'!C:C,'Master Data 14-9-2026'!D:D)</f>
        <v>Yosephine Yudianto wx1503656</v>
      </c>
      <c r="D898" s="13" t="str">
        <f>_xlfn.XLOOKUP(J898,'Master Data 14-9-2026'!C:C,'Master Data 14-9-2026'!E:E)</f>
        <v>TELKOMSEL</v>
      </c>
      <c r="F898" s="13"/>
      <c r="G898" s="4" t="s">
        <v>31</v>
      </c>
      <c r="H898" s="13" t="str">
        <f>_xlfn.XLOOKUP(J898,'Master Data 14-9-2026'!C:C,'Master Data 14-9-2026'!H:H)</f>
        <v>2026-08-30 - 2026-09-29</v>
      </c>
      <c r="I898" s="13" t="str">
        <f t="shared" si="13"/>
        <v>August</v>
      </c>
      <c r="J898" s="36" t="s">
        <v>1999</v>
      </c>
      <c r="K898" s="36" t="s">
        <v>1999</v>
      </c>
      <c r="L898" s="13" t="s">
        <v>441</v>
      </c>
      <c r="M898" s="36" t="s">
        <v>2246</v>
      </c>
      <c r="N898" s="36" t="s">
        <v>924</v>
      </c>
      <c r="O898" s="36" t="s">
        <v>2247</v>
      </c>
      <c r="P898" s="36" t="s">
        <v>2248</v>
      </c>
      <c r="Q898" s="6">
        <v>1</v>
      </c>
      <c r="R898" s="6">
        <v>1</v>
      </c>
      <c r="S898" s="36" t="s">
        <v>2233</v>
      </c>
      <c r="T898" s="36" t="s">
        <v>951</v>
      </c>
      <c r="U898" s="8">
        <v>28881900</v>
      </c>
      <c r="V898" s="6">
        <v>1</v>
      </c>
      <c r="W898" s="18">
        <f>_xlfn.XLOOKUP(J898,'Master Data 14-9-2026'!C:C,'Master Data 14-9-2026'!L:L)</f>
        <v>1</v>
      </c>
      <c r="X898" s="20">
        <f t="shared" si="14"/>
        <v>28881900</v>
      </c>
      <c r="Y898" s="36" t="s">
        <v>2204</v>
      </c>
      <c r="Z898" s="24" t="str">
        <f>_xlfn.XLOOKUP(J898,'Master Data 14-9-2026'!C:C,'Master Data 14-9-2026'!I:I)</f>
        <v>Ongoing</v>
      </c>
      <c r="AA898" s="4" t="s">
        <v>1288</v>
      </c>
      <c r="AB898" s="13"/>
      <c r="AC898" s="4"/>
      <c r="AD898" s="10"/>
      <c r="AE898" s="13" t="str">
        <f>_xlfn.XLOOKUP(L898,'[1]ID PROJECT'!E:E,'[1]ID PROJECT'!F:F)</f>
        <v xml:space="preserve">PRJ-KUT-KPU-TPED-2026-04-00071 </v>
      </c>
      <c r="AF898" s="4"/>
      <c r="AG898" s="11"/>
    </row>
    <row r="899" spans="1:33" hidden="1">
      <c r="A899" s="4" t="s">
        <v>162</v>
      </c>
      <c r="B899" s="13" t="str">
        <f>_xlfn.XLOOKUP(J899,'Master Data 14-9-2026'!C:C,'Master Data 14-9-2026'!D:D)</f>
        <v>Mona Margaretha Tobing wx1507282</v>
      </c>
      <c r="D899" s="13" t="str">
        <f>_xlfn.XLOOKUP(J899,'Master Data 14-9-2026'!C:C,'Master Data 14-9-2026'!E:E)</f>
        <v>TELKOMSEL</v>
      </c>
      <c r="F899" s="13"/>
      <c r="G899" s="4" t="s">
        <v>28</v>
      </c>
      <c r="H899" s="13" t="str">
        <f>_xlfn.XLOOKUP(J899,'Master Data 14-9-2026'!C:C,'Master Data 14-9-2026'!H:H)</f>
        <v>2026-08-01 - 2026-08-31</v>
      </c>
      <c r="I899" s="13" t="str">
        <f t="shared" ref="I899:I962" si="15">TEXT(DATEVALUE(LEFT(H899,10)),"mmmm")</f>
        <v>August</v>
      </c>
      <c r="J899" s="36" t="s">
        <v>1981</v>
      </c>
      <c r="K899" s="36" t="s">
        <v>1981</v>
      </c>
      <c r="M899" s="36" t="s">
        <v>2249</v>
      </c>
      <c r="N899" s="36" t="s">
        <v>924</v>
      </c>
      <c r="O899" s="36" t="s">
        <v>2250</v>
      </c>
      <c r="P899" s="36" t="s">
        <v>2251</v>
      </c>
      <c r="Q899" s="6">
        <v>1</v>
      </c>
      <c r="R899" s="6">
        <v>1</v>
      </c>
      <c r="S899" s="36" t="s">
        <v>2233</v>
      </c>
      <c r="T899" s="36" t="s">
        <v>951</v>
      </c>
      <c r="U899" s="8">
        <v>28881900</v>
      </c>
      <c r="V899" s="6">
        <v>1</v>
      </c>
      <c r="W899" s="18">
        <f>_xlfn.XLOOKUP(J899,'Master Data 14-9-2026'!C:C,'Master Data 14-9-2026'!L:L)</f>
        <v>1.5</v>
      </c>
      <c r="X899" s="20">
        <f t="shared" si="14"/>
        <v>28881900</v>
      </c>
      <c r="Y899" s="36" t="s">
        <v>2204</v>
      </c>
      <c r="Z899" s="36" t="s">
        <v>984</v>
      </c>
      <c r="AA899" s="4" t="s">
        <v>1288</v>
      </c>
      <c r="AB899" s="4" t="s">
        <v>1600</v>
      </c>
      <c r="AC899" s="4"/>
      <c r="AD899" s="10"/>
      <c r="AE899" s="13">
        <f>_xlfn.XLOOKUP(L899,'[1]ID PROJECT'!E:E,'[1]ID PROJECT'!F:F)</f>
        <v>0</v>
      </c>
      <c r="AF899" s="4"/>
      <c r="AG899" s="11"/>
    </row>
    <row r="900" spans="1:33" hidden="1">
      <c r="A900" s="4" t="s">
        <v>258</v>
      </c>
      <c r="B900" s="13" t="str">
        <f>_xlfn.XLOOKUP(J900,'Master Data 14-9-2026'!C:C,'Master Data 14-9-2026'!D:D)</f>
        <v>F Albert Jacob wx1504717</v>
      </c>
      <c r="D900" s="13" t="str">
        <f>_xlfn.XLOOKUP(J900,'Master Data 14-9-2026'!C:C,'Master Data 14-9-2026'!E:E)</f>
        <v>TELKOMSEL</v>
      </c>
      <c r="F900" s="13"/>
      <c r="G900" s="4" t="s">
        <v>31</v>
      </c>
      <c r="H900" s="13" t="str">
        <f>_xlfn.XLOOKUP(J900,'Master Data 14-9-2026'!C:C,'Master Data 14-9-2026'!H:H)</f>
        <v>2026-08-23 - 2026-09-22</v>
      </c>
      <c r="I900" s="13" t="str">
        <f t="shared" si="15"/>
        <v>August</v>
      </c>
      <c r="J900" s="36" t="s">
        <v>1989</v>
      </c>
      <c r="K900" s="36" t="s">
        <v>1989</v>
      </c>
      <c r="M900" s="36" t="s">
        <v>2252</v>
      </c>
      <c r="N900" s="36" t="s">
        <v>924</v>
      </c>
      <c r="O900" s="36" t="s">
        <v>2253</v>
      </c>
      <c r="P900" s="36" t="s">
        <v>2254</v>
      </c>
      <c r="Q900" s="6">
        <v>1</v>
      </c>
      <c r="R900" s="6">
        <v>1</v>
      </c>
      <c r="S900" s="36" t="s">
        <v>2233</v>
      </c>
      <c r="T900" s="36" t="s">
        <v>951</v>
      </c>
      <c r="U900" s="8">
        <v>28881900</v>
      </c>
      <c r="V900" s="6">
        <v>1</v>
      </c>
      <c r="W900" s="18">
        <f>_xlfn.XLOOKUP(J900,'Master Data 14-9-2026'!C:C,'Master Data 14-9-2026'!L:L)</f>
        <v>1</v>
      </c>
      <c r="X900" s="20">
        <f t="shared" si="14"/>
        <v>28881900</v>
      </c>
      <c r="Y900" s="36" t="s">
        <v>2204</v>
      </c>
      <c r="Z900" s="24" t="str">
        <f>_xlfn.XLOOKUP(J900,'Master Data 14-9-2026'!C:C,'Master Data 14-9-2026'!I:I)</f>
        <v>Ongoing</v>
      </c>
      <c r="AA900" s="4" t="s">
        <v>1288</v>
      </c>
      <c r="AB900" s="13"/>
      <c r="AC900" s="4"/>
      <c r="AD900" s="10"/>
      <c r="AE900" s="13">
        <f>_xlfn.XLOOKUP(L900,'[1]ID PROJECT'!E:E,'[1]ID PROJECT'!F:F)</f>
        <v>0</v>
      </c>
      <c r="AF900" s="4"/>
      <c r="AG900" s="11"/>
    </row>
    <row r="901" spans="1:33" hidden="1">
      <c r="A901" s="4" t="s">
        <v>120</v>
      </c>
      <c r="B901" s="13" t="str">
        <f>_xlfn.XLOOKUP(J901,'Master Data 14-9-2026'!C:C,'Master Data 14-9-2026'!D:D)</f>
        <v>Febryyanti Nawang Wulan wx1503626</v>
      </c>
      <c r="D901" s="13" t="str">
        <f>_xlfn.XLOOKUP(J901,'Master Data 14-9-2026'!C:C,'Master Data 14-9-2026'!E:E)</f>
        <v>TELKOMSEL</v>
      </c>
      <c r="F901" s="13"/>
      <c r="G901" s="4" t="s">
        <v>31</v>
      </c>
      <c r="H901" s="13" t="str">
        <f>_xlfn.XLOOKUP(J901,'Master Data 14-9-2026'!C:C,'Master Data 14-9-2026'!H:H)</f>
        <v>2026-08-30 - 2026-09-29</v>
      </c>
      <c r="I901" s="13" t="str">
        <f t="shared" si="15"/>
        <v>August</v>
      </c>
      <c r="J901" s="36" t="s">
        <v>2003</v>
      </c>
      <c r="K901" s="36" t="s">
        <v>2003</v>
      </c>
      <c r="M901" s="36" t="s">
        <v>2255</v>
      </c>
      <c r="N901" s="36" t="s">
        <v>924</v>
      </c>
      <c r="O901" s="36" t="s">
        <v>2256</v>
      </c>
      <c r="P901" s="36" t="s">
        <v>2257</v>
      </c>
      <c r="Q901" s="6">
        <v>1</v>
      </c>
      <c r="R901" s="6">
        <v>1</v>
      </c>
      <c r="S901" s="36" t="s">
        <v>2233</v>
      </c>
      <c r="T901" s="36" t="s">
        <v>951</v>
      </c>
      <c r="U901" s="8">
        <v>28881900</v>
      </c>
      <c r="V901" s="6">
        <v>1</v>
      </c>
      <c r="W901" s="18">
        <f>_xlfn.XLOOKUP(J901,'Master Data 14-9-2026'!C:C,'Master Data 14-9-2026'!L:L)</f>
        <v>0.51</v>
      </c>
      <c r="X901" s="20">
        <f t="shared" si="14"/>
        <v>28881900</v>
      </c>
      <c r="Y901" s="36" t="s">
        <v>2204</v>
      </c>
      <c r="Z901" s="36" t="s">
        <v>984</v>
      </c>
      <c r="AA901" s="4" t="s">
        <v>1288</v>
      </c>
      <c r="AB901" s="13"/>
      <c r="AC901" s="4"/>
      <c r="AD901" s="10"/>
      <c r="AE901" s="13">
        <f>_xlfn.XLOOKUP(L901,'[1]ID PROJECT'!E:E,'[1]ID PROJECT'!F:F)</f>
        <v>0</v>
      </c>
      <c r="AF901" s="4"/>
      <c r="AG901" s="11"/>
    </row>
    <row r="902" spans="1:33" hidden="1">
      <c r="A902" s="4" t="s">
        <v>750</v>
      </c>
      <c r="B902" s="13" t="str">
        <f>_xlfn.XLOOKUP(J902,'Master Data 14-9-2026'!C:C,'Master Data 14-9-2026'!D:D)</f>
        <v>Muhammad Suprijanto wx1503655</v>
      </c>
      <c r="D902" s="13" t="str">
        <f>_xlfn.XLOOKUP(J902,'Master Data 14-9-2026'!C:C,'Master Data 14-9-2026'!E:E)</f>
        <v>IOH</v>
      </c>
      <c r="F902" s="13"/>
      <c r="G902" s="4" t="s">
        <v>31</v>
      </c>
      <c r="H902" s="13" t="str">
        <f>_xlfn.XLOOKUP(J902,'Master Data 14-9-2026'!C:C,'Master Data 14-9-2026'!H:H)</f>
        <v>2026-09-01 - 2026-09-30</v>
      </c>
      <c r="I902" s="13" t="str">
        <f t="shared" si="15"/>
        <v>September</v>
      </c>
      <c r="J902" s="36" t="s">
        <v>2258</v>
      </c>
      <c r="K902" s="36" t="s">
        <v>2258</v>
      </c>
      <c r="M902" s="36" t="s">
        <v>2259</v>
      </c>
      <c r="N902" s="36" t="s">
        <v>924</v>
      </c>
      <c r="O902" s="36" t="s">
        <v>2260</v>
      </c>
      <c r="P902" s="36" t="s">
        <v>2261</v>
      </c>
      <c r="Q902" s="6">
        <v>1</v>
      </c>
      <c r="R902" s="6">
        <v>1</v>
      </c>
      <c r="S902" s="36" t="s">
        <v>2262</v>
      </c>
      <c r="T902" s="36" t="s">
        <v>926</v>
      </c>
      <c r="U902" s="8">
        <v>34220600</v>
      </c>
      <c r="V902" s="6">
        <v>1</v>
      </c>
      <c r="W902" s="18">
        <f>_xlfn.XLOOKUP(J902,'Master Data 14-9-2026'!C:C,'Master Data 14-9-2026'!L:L)</f>
        <v>0</v>
      </c>
      <c r="X902" s="20">
        <f t="shared" si="14"/>
        <v>34220600</v>
      </c>
      <c r="Y902" s="36" t="s">
        <v>2263</v>
      </c>
      <c r="Z902" s="36" t="s">
        <v>984</v>
      </c>
      <c r="AA902" s="4" t="s">
        <v>1288</v>
      </c>
      <c r="AB902" s="40" t="s">
        <v>44</v>
      </c>
      <c r="AC902" s="4"/>
      <c r="AD902" s="10"/>
      <c r="AE902" s="13">
        <f>_xlfn.XLOOKUP(L902,'[1]ID PROJECT'!E:E,'[1]ID PROJECT'!F:F)</f>
        <v>0</v>
      </c>
      <c r="AF902" s="4"/>
      <c r="AG902" s="11"/>
    </row>
    <row r="903" spans="1:33" hidden="1">
      <c r="A903" s="4" t="s">
        <v>1470</v>
      </c>
      <c r="B903" s="13" t="e">
        <f>_xlfn.XLOOKUP(J903,'Master Data 14-9-2026'!C:C,'Master Data 14-9-2026'!D:D)</f>
        <v>#N/A</v>
      </c>
      <c r="D903" s="13" t="e">
        <f>_xlfn.XLOOKUP(J903,'Master Data 14-9-2026'!C:C,'Master Data 14-9-2026'!E:E)</f>
        <v>#N/A</v>
      </c>
      <c r="F903" s="13"/>
      <c r="G903" s="4" t="s">
        <v>25</v>
      </c>
      <c r="H903" s="13" t="e">
        <f>_xlfn.XLOOKUP(J903,'Master Data 14-9-2026'!C:C,'Master Data 14-9-2026'!H:H)</f>
        <v>#N/A</v>
      </c>
      <c r="I903" s="13" t="e">
        <f t="shared" si="15"/>
        <v>#N/A</v>
      </c>
      <c r="J903" s="36" t="s">
        <v>2264</v>
      </c>
      <c r="K903" s="36" t="s">
        <v>2264</v>
      </c>
      <c r="M903" s="36" t="s">
        <v>2265</v>
      </c>
      <c r="N903" s="36" t="s">
        <v>924</v>
      </c>
      <c r="O903" s="36" t="s">
        <v>2260</v>
      </c>
      <c r="P903" s="36" t="s">
        <v>2261</v>
      </c>
      <c r="Q903" s="6">
        <v>2</v>
      </c>
      <c r="R903" s="6">
        <v>1</v>
      </c>
      <c r="S903" s="36" t="s">
        <v>2266</v>
      </c>
      <c r="T903" s="36" t="s">
        <v>978</v>
      </c>
      <c r="U903" s="8">
        <v>32542400</v>
      </c>
      <c r="V903" s="6">
        <v>1</v>
      </c>
      <c r="W903" s="18" t="e">
        <f>_xlfn.XLOOKUP(J903,'Master Data 14-9-2026'!C:C,'Master Data 14-9-2026'!L:L)</f>
        <v>#N/A</v>
      </c>
      <c r="X903" s="20">
        <f t="shared" si="14"/>
        <v>32542400</v>
      </c>
      <c r="Y903" s="36" t="s">
        <v>2263</v>
      </c>
      <c r="Z903" s="36" t="s">
        <v>984</v>
      </c>
      <c r="AA903" s="4" t="s">
        <v>1288</v>
      </c>
      <c r="AB903" s="13"/>
      <c r="AC903" s="4"/>
      <c r="AD903" s="10"/>
      <c r="AE903" s="13">
        <f>_xlfn.XLOOKUP(L903,'[1]ID PROJECT'!E:E,'[1]ID PROJECT'!F:F)</f>
        <v>0</v>
      </c>
      <c r="AF903" s="4"/>
      <c r="AG903" s="11"/>
    </row>
    <row r="904" spans="1:33" hidden="1">
      <c r="A904" s="4" t="s">
        <v>678</v>
      </c>
      <c r="B904" s="13" t="str">
        <f>_xlfn.XLOOKUP(J904,'Master Data 14-9-2026'!C:C,'Master Data 14-9-2026'!D:D)</f>
        <v>Dwi Prasetyo wx1530060</v>
      </c>
      <c r="D904" s="13" t="str">
        <f>_xlfn.XLOOKUP(J904,'Master Data 14-9-2026'!C:C,'Master Data 14-9-2026'!E:E)</f>
        <v>IOH</v>
      </c>
      <c r="F904" s="13"/>
      <c r="G904" s="4" t="s">
        <v>22</v>
      </c>
      <c r="H904" s="13" t="str">
        <f>_xlfn.XLOOKUP(J904,'Master Data 14-9-2026'!C:C,'Master Data 14-9-2026'!H:H)</f>
        <v>2026-09-03 - 2026-10-02</v>
      </c>
      <c r="I904" s="13" t="str">
        <f t="shared" si="15"/>
        <v>September</v>
      </c>
      <c r="J904" s="36" t="s">
        <v>2267</v>
      </c>
      <c r="K904" s="36" t="s">
        <v>2267</v>
      </c>
      <c r="M904" s="36" t="s">
        <v>2268</v>
      </c>
      <c r="N904" s="36" t="s">
        <v>924</v>
      </c>
      <c r="O904" s="36" t="s">
        <v>2260</v>
      </c>
      <c r="P904" s="36" t="s">
        <v>2261</v>
      </c>
      <c r="Q904" s="6">
        <v>3</v>
      </c>
      <c r="R904" s="6">
        <v>1</v>
      </c>
      <c r="S904" s="36" t="s">
        <v>2266</v>
      </c>
      <c r="T904" s="36" t="s">
        <v>978</v>
      </c>
      <c r="U904" s="8">
        <v>32542400</v>
      </c>
      <c r="V904" s="6">
        <v>1</v>
      </c>
      <c r="W904" s="18">
        <f>_xlfn.XLOOKUP(J904,'Master Data 14-9-2026'!C:C,'Master Data 14-9-2026'!L:L)</f>
        <v>0.5</v>
      </c>
      <c r="X904" s="20">
        <f t="shared" si="14"/>
        <v>32542400</v>
      </c>
      <c r="Y904" s="36" t="s">
        <v>2263</v>
      </c>
      <c r="Z904" s="36" t="s">
        <v>984</v>
      </c>
      <c r="AA904" s="4" t="s">
        <v>1288</v>
      </c>
      <c r="AB904" s="13"/>
      <c r="AC904" s="4"/>
      <c r="AD904" s="10"/>
      <c r="AE904" s="13">
        <f>_xlfn.XLOOKUP(L904,'[1]ID PROJECT'!E:E,'[1]ID PROJECT'!F:F)</f>
        <v>0</v>
      </c>
      <c r="AF904" s="4"/>
      <c r="AG904" s="11"/>
    </row>
    <row r="905" spans="1:33" hidden="1">
      <c r="A905" s="4" t="s">
        <v>827</v>
      </c>
      <c r="B905" s="13" t="str">
        <f>_xlfn.XLOOKUP(J905,'Master Data 14-9-2026'!C:C,'Master Data 14-9-2026'!D:D)</f>
        <v>Abdul Dedi Halik wx1522830</v>
      </c>
      <c r="D905" s="13" t="str">
        <f>_xlfn.XLOOKUP(J905,'Master Data 14-9-2026'!C:C,'Master Data 14-9-2026'!E:E)</f>
        <v>IOH</v>
      </c>
      <c r="F905" s="13"/>
      <c r="G905" s="4" t="s">
        <v>25</v>
      </c>
      <c r="H905" s="13" t="str">
        <f>_xlfn.XLOOKUP(J905,'Master Data 14-9-2026'!C:C,'Master Data 14-9-2026'!H:H)</f>
        <v>2026-08-25 - 2026-09-24</v>
      </c>
      <c r="I905" s="13" t="str">
        <f t="shared" si="15"/>
        <v>August</v>
      </c>
      <c r="J905" s="36" t="s">
        <v>2269</v>
      </c>
      <c r="K905" s="36" t="s">
        <v>2269</v>
      </c>
      <c r="M905" s="36" t="s">
        <v>2270</v>
      </c>
      <c r="N905" s="36" t="s">
        <v>924</v>
      </c>
      <c r="O905" s="36" t="s">
        <v>2260</v>
      </c>
      <c r="P905" s="36" t="s">
        <v>2261</v>
      </c>
      <c r="Q905" s="6">
        <v>4</v>
      </c>
      <c r="R905" s="6">
        <v>1</v>
      </c>
      <c r="S905" s="36" t="s">
        <v>2262</v>
      </c>
      <c r="T905" s="36" t="s">
        <v>926</v>
      </c>
      <c r="U905" s="8">
        <v>34220600</v>
      </c>
      <c r="V905" s="6">
        <v>1</v>
      </c>
      <c r="W905" s="18">
        <f>_xlfn.XLOOKUP(J905,'Master Data 14-9-2026'!C:C,'Master Data 14-9-2026'!L:L)</f>
        <v>0</v>
      </c>
      <c r="X905" s="20">
        <f t="shared" si="14"/>
        <v>34220600</v>
      </c>
      <c r="Y905" s="36" t="s">
        <v>2263</v>
      </c>
      <c r="Z905" s="36" t="s">
        <v>225</v>
      </c>
      <c r="AA905" s="4" t="s">
        <v>1288</v>
      </c>
      <c r="AB905" s="40" t="s">
        <v>44</v>
      </c>
      <c r="AC905" s="4"/>
      <c r="AD905" s="10"/>
      <c r="AE905" s="13">
        <f>_xlfn.XLOOKUP(L905,'[1]ID PROJECT'!E:E,'[1]ID PROJECT'!F:F)</f>
        <v>0</v>
      </c>
      <c r="AF905" s="4"/>
      <c r="AG905" s="11"/>
    </row>
    <row r="906" spans="1:33" hidden="1">
      <c r="A906" s="4" t="s">
        <v>738</v>
      </c>
      <c r="B906" s="13" t="str">
        <f>_xlfn.XLOOKUP(J906,'Master Data 14-9-2026'!C:C,'Master Data 14-9-2026'!D:D)</f>
        <v>Kharis Nugraha wx1506943</v>
      </c>
      <c r="D906" s="13" t="str">
        <f>_xlfn.XLOOKUP(J906,'Master Data 14-9-2026'!C:C,'Master Data 14-9-2026'!E:E)</f>
        <v>IOH</v>
      </c>
      <c r="F906" s="13"/>
      <c r="G906" s="4" t="s">
        <v>31</v>
      </c>
      <c r="H906" s="13" t="str">
        <f>_xlfn.XLOOKUP(J906,'Master Data 14-9-2026'!C:C,'Master Data 14-9-2026'!H:H)</f>
        <v>2026-09-01 - 2026-09-30</v>
      </c>
      <c r="I906" s="13" t="str">
        <f t="shared" si="15"/>
        <v>September</v>
      </c>
      <c r="J906" s="36" t="s">
        <v>2271</v>
      </c>
      <c r="K906" s="36" t="s">
        <v>2271</v>
      </c>
      <c r="M906" s="36" t="s">
        <v>2272</v>
      </c>
      <c r="N906" s="36" t="s">
        <v>924</v>
      </c>
      <c r="O906" s="36" t="s">
        <v>2260</v>
      </c>
      <c r="P906" s="36" t="s">
        <v>2261</v>
      </c>
      <c r="Q906" s="6">
        <v>5</v>
      </c>
      <c r="R906" s="6">
        <v>1</v>
      </c>
      <c r="S906" s="36" t="s">
        <v>2262</v>
      </c>
      <c r="T906" s="36" t="s">
        <v>926</v>
      </c>
      <c r="U906" s="8">
        <v>34220600</v>
      </c>
      <c r="V906" s="6">
        <v>1</v>
      </c>
      <c r="W906" s="18">
        <f>_xlfn.XLOOKUP(J906,'Master Data 14-9-2026'!C:C,'Master Data 14-9-2026'!L:L)</f>
        <v>0</v>
      </c>
      <c r="X906" s="20">
        <f t="shared" si="14"/>
        <v>34220600</v>
      </c>
      <c r="Y906" s="36" t="s">
        <v>2263</v>
      </c>
      <c r="Z906" s="36" t="s">
        <v>984</v>
      </c>
      <c r="AA906" s="4" t="s">
        <v>1288</v>
      </c>
      <c r="AB906" s="40" t="s">
        <v>44</v>
      </c>
      <c r="AC906" s="4"/>
      <c r="AD906" s="10"/>
      <c r="AE906" s="13">
        <f>_xlfn.XLOOKUP(L906,'[1]ID PROJECT'!E:E,'[1]ID PROJECT'!F:F)</f>
        <v>0</v>
      </c>
      <c r="AF906" s="4"/>
      <c r="AG906" s="11"/>
    </row>
    <row r="907" spans="1:33" hidden="1">
      <c r="A907" s="4" t="s">
        <v>878</v>
      </c>
      <c r="B907" s="13" t="str">
        <f>_xlfn.XLOOKUP(J907,'Master Data 14-9-2026'!C:C,'Master Data 14-9-2026'!D:D)</f>
        <v>Farid Aulia Erdianda wx1507365</v>
      </c>
      <c r="D907" s="13" t="str">
        <f>_xlfn.XLOOKUP(J907,'Master Data 14-9-2026'!C:C,'Master Data 14-9-2026'!E:E)</f>
        <v>IOH</v>
      </c>
      <c r="F907" s="13"/>
      <c r="G907" s="4" t="s">
        <v>31</v>
      </c>
      <c r="H907" s="13" t="str">
        <f>_xlfn.XLOOKUP(J907,'Master Data 14-9-2026'!C:C,'Master Data 14-9-2026'!H:H)</f>
        <v>2026-09-01 - 2026-09-30</v>
      </c>
      <c r="I907" s="13" t="str">
        <f t="shared" si="15"/>
        <v>September</v>
      </c>
      <c r="J907" s="36" t="s">
        <v>2273</v>
      </c>
      <c r="K907" s="36" t="s">
        <v>2273</v>
      </c>
      <c r="M907" s="36" t="s">
        <v>2274</v>
      </c>
      <c r="N907" s="36" t="s">
        <v>924</v>
      </c>
      <c r="O907" s="36" t="s">
        <v>2260</v>
      </c>
      <c r="P907" s="36" t="s">
        <v>2261</v>
      </c>
      <c r="Q907" s="6">
        <v>6</v>
      </c>
      <c r="R907" s="6">
        <v>1</v>
      </c>
      <c r="S907" s="36" t="s">
        <v>2262</v>
      </c>
      <c r="T907" s="36" t="s">
        <v>926</v>
      </c>
      <c r="U907" s="8">
        <v>34220600</v>
      </c>
      <c r="V907" s="6">
        <v>1</v>
      </c>
      <c r="W907" s="18">
        <f>_xlfn.XLOOKUP(J907,'Master Data 14-9-2026'!C:C,'Master Data 14-9-2026'!L:L)</f>
        <v>0</v>
      </c>
      <c r="X907" s="20">
        <f t="shared" si="14"/>
        <v>34220600</v>
      </c>
      <c r="Y907" s="36" t="s">
        <v>2263</v>
      </c>
      <c r="Z907" s="36" t="s">
        <v>984</v>
      </c>
      <c r="AA907" s="4" t="s">
        <v>1288</v>
      </c>
      <c r="AB907" s="40" t="s">
        <v>44</v>
      </c>
      <c r="AC907" s="4"/>
      <c r="AD907" s="10"/>
      <c r="AE907" s="13">
        <f>_xlfn.XLOOKUP(L907,'[1]ID PROJECT'!E:E,'[1]ID PROJECT'!F:F)</f>
        <v>0</v>
      </c>
      <c r="AF907" s="4"/>
      <c r="AG907" s="11"/>
    </row>
    <row r="908" spans="1:33" hidden="1">
      <c r="A908" s="4" t="s">
        <v>198</v>
      </c>
      <c r="B908" s="13" t="str">
        <f>_xlfn.XLOOKUP(J908,'Master Data 14-9-2026'!C:C,'Master Data 14-9-2026'!D:D)</f>
        <v>Adisty Citra wx1504664</v>
      </c>
      <c r="D908" s="13" t="str">
        <f>_xlfn.XLOOKUP(J908,'Master Data 14-9-2026'!C:C,'Master Data 14-9-2026'!E:E)</f>
        <v>IOH</v>
      </c>
      <c r="F908" s="13"/>
      <c r="G908" s="4" t="s">
        <v>31</v>
      </c>
      <c r="H908" s="13" t="str">
        <f>_xlfn.XLOOKUP(J908,'Master Data 14-9-2026'!C:C,'Master Data 14-9-2026'!H:H)</f>
        <v>2026-08-31 - 2026-09-29</v>
      </c>
      <c r="I908" s="13" t="str">
        <f t="shared" si="15"/>
        <v>August</v>
      </c>
      <c r="J908" s="36" t="s">
        <v>2275</v>
      </c>
      <c r="K908" s="36" t="s">
        <v>2275</v>
      </c>
      <c r="M908" s="36" t="s">
        <v>2276</v>
      </c>
      <c r="N908" s="36" t="s">
        <v>924</v>
      </c>
      <c r="O908" s="36" t="s">
        <v>2260</v>
      </c>
      <c r="P908" s="36" t="s">
        <v>2261</v>
      </c>
      <c r="Q908" s="6">
        <v>7</v>
      </c>
      <c r="R908" s="6">
        <v>1</v>
      </c>
      <c r="S908" s="36" t="s">
        <v>2233</v>
      </c>
      <c r="T908" s="36" t="s">
        <v>951</v>
      </c>
      <c r="U908" s="8">
        <v>28881900</v>
      </c>
      <c r="V908" s="6">
        <v>1</v>
      </c>
      <c r="W908" s="18">
        <f>_xlfn.XLOOKUP(J908,'Master Data 14-9-2026'!C:C,'Master Data 14-9-2026'!L:L)</f>
        <v>1.5</v>
      </c>
      <c r="X908" s="20">
        <f t="shared" si="14"/>
        <v>28881900</v>
      </c>
      <c r="Y908" s="36" t="s">
        <v>2263</v>
      </c>
      <c r="Z908" s="36" t="s">
        <v>984</v>
      </c>
      <c r="AA908" s="4" t="s">
        <v>1288</v>
      </c>
      <c r="AB908" s="13"/>
      <c r="AC908" s="4"/>
      <c r="AD908" s="10"/>
      <c r="AE908" s="13">
        <f>_xlfn.XLOOKUP(L908,'[1]ID PROJECT'!E:E,'[1]ID PROJECT'!F:F)</f>
        <v>0</v>
      </c>
      <c r="AF908" s="4"/>
      <c r="AG908" s="11"/>
    </row>
    <row r="909" spans="1:33" hidden="1">
      <c r="A909" s="4" t="s">
        <v>837</v>
      </c>
      <c r="B909" s="13" t="str">
        <f>_xlfn.XLOOKUP(J909,'Master Data 14-9-2026'!C:C,'Master Data 14-9-2026'!D:D)</f>
        <v>Dian Rahmanda wx1522831</v>
      </c>
      <c r="D909" s="13" t="str">
        <f>_xlfn.XLOOKUP(J909,'Master Data 14-9-2026'!C:C,'Master Data 14-9-2026'!E:E)</f>
        <v>IOH</v>
      </c>
      <c r="F909" s="13"/>
      <c r="G909" s="4" t="s">
        <v>25</v>
      </c>
      <c r="H909" s="13" t="str">
        <f>_xlfn.XLOOKUP(J909,'Master Data 14-9-2026'!C:C,'Master Data 14-9-2026'!H:H)</f>
        <v>2026-09-02 - 2026-10-01</v>
      </c>
      <c r="I909" s="13" t="str">
        <f t="shared" si="15"/>
        <v>September</v>
      </c>
      <c r="J909" s="36" t="s">
        <v>2277</v>
      </c>
      <c r="K909" s="36" t="s">
        <v>2277</v>
      </c>
      <c r="M909" s="36" t="s">
        <v>2278</v>
      </c>
      <c r="N909" s="36" t="s">
        <v>924</v>
      </c>
      <c r="O909" s="36" t="s">
        <v>2260</v>
      </c>
      <c r="P909" s="36" t="s">
        <v>2261</v>
      </c>
      <c r="Q909" s="6">
        <v>8</v>
      </c>
      <c r="R909" s="6">
        <v>1</v>
      </c>
      <c r="S909" s="36" t="s">
        <v>2262</v>
      </c>
      <c r="T909" s="36" t="s">
        <v>926</v>
      </c>
      <c r="U909" s="8">
        <v>34220600</v>
      </c>
      <c r="V909" s="6">
        <v>1</v>
      </c>
      <c r="W909" s="18">
        <f>_xlfn.XLOOKUP(J909,'Master Data 14-9-2026'!C:C,'Master Data 14-9-2026'!L:L)</f>
        <v>0</v>
      </c>
      <c r="X909" s="20">
        <f t="shared" si="14"/>
        <v>34220600</v>
      </c>
      <c r="Y909" s="36" t="s">
        <v>2263</v>
      </c>
      <c r="Z909" s="36" t="s">
        <v>984</v>
      </c>
      <c r="AA909" s="4" t="s">
        <v>1288</v>
      </c>
      <c r="AB909" s="40" t="s">
        <v>44</v>
      </c>
      <c r="AC909" s="4"/>
      <c r="AD909" s="10"/>
      <c r="AE909" s="13">
        <f>_xlfn.XLOOKUP(L909,'[1]ID PROJECT'!E:E,'[1]ID PROJECT'!F:F)</f>
        <v>0</v>
      </c>
      <c r="AF909" s="4"/>
      <c r="AG909" s="11"/>
    </row>
    <row r="910" spans="1:33" hidden="1">
      <c r="A910" s="4" t="s">
        <v>275</v>
      </c>
      <c r="B910" s="13" t="str">
        <f>_xlfn.XLOOKUP(J910,'Master Data 14-9-2026'!C:C,'Master Data 14-9-2026'!D:D)</f>
        <v>Silvana Anindya wx1504712</v>
      </c>
      <c r="D910" s="13" t="str">
        <f>_xlfn.XLOOKUP(J910,'Master Data 14-9-2026'!C:C,'Master Data 14-9-2026'!E:E)</f>
        <v>IOH</v>
      </c>
      <c r="F910" s="13"/>
      <c r="G910" s="4" t="s">
        <v>31</v>
      </c>
      <c r="H910" s="13" t="str">
        <f>_xlfn.XLOOKUP(J910,'Master Data 14-9-2026'!C:C,'Master Data 14-9-2026'!H:H)</f>
        <v>2026-08-31 - 2026-09-29</v>
      </c>
      <c r="I910" s="13" t="str">
        <f t="shared" si="15"/>
        <v>August</v>
      </c>
      <c r="J910" s="36" t="s">
        <v>2279</v>
      </c>
      <c r="K910" s="36" t="s">
        <v>2279</v>
      </c>
      <c r="M910" s="36" t="s">
        <v>2280</v>
      </c>
      <c r="N910" s="36" t="s">
        <v>924</v>
      </c>
      <c r="O910" s="36" t="s">
        <v>2260</v>
      </c>
      <c r="P910" s="36" t="s">
        <v>2261</v>
      </c>
      <c r="Q910" s="6">
        <v>9</v>
      </c>
      <c r="R910" s="6">
        <v>1</v>
      </c>
      <c r="S910" s="36" t="s">
        <v>2233</v>
      </c>
      <c r="T910" s="36" t="s">
        <v>951</v>
      </c>
      <c r="U910" s="8">
        <v>28881900</v>
      </c>
      <c r="V910" s="6">
        <v>1</v>
      </c>
      <c r="W910" s="18">
        <f>_xlfn.XLOOKUP(J910,'Master Data 14-9-2026'!C:C,'Master Data 14-9-2026'!L:L)</f>
        <v>0</v>
      </c>
      <c r="X910" s="20">
        <f t="shared" si="14"/>
        <v>28881900</v>
      </c>
      <c r="Y910" s="36" t="s">
        <v>2263</v>
      </c>
      <c r="Z910" s="36" t="s">
        <v>984</v>
      </c>
      <c r="AA910" s="4" t="s">
        <v>1288</v>
      </c>
      <c r="AB910" s="40" t="s">
        <v>44</v>
      </c>
      <c r="AC910" s="4"/>
      <c r="AD910" s="10"/>
      <c r="AE910" s="13">
        <f>_xlfn.XLOOKUP(L910,'[1]ID PROJECT'!E:E,'[1]ID PROJECT'!F:F)</f>
        <v>0</v>
      </c>
      <c r="AF910" s="4"/>
      <c r="AG910" s="11"/>
    </row>
    <row r="911" spans="1:33" hidden="1">
      <c r="A911" s="4" t="s">
        <v>568</v>
      </c>
      <c r="B911" s="13" t="str">
        <f>_xlfn.XLOOKUP(J911,'Master Data 14-9-2026'!C:C,'Master Data 14-9-2026'!D:D)</f>
        <v>Indra Setianto Nugroho wx1531572</v>
      </c>
      <c r="D911" s="13" t="str">
        <f>_xlfn.XLOOKUP(J911,'Master Data 14-9-2026'!C:C,'Master Data 14-9-2026'!E:E)</f>
        <v>IOH</v>
      </c>
      <c r="F911" s="13"/>
      <c r="G911" s="4" t="s">
        <v>18</v>
      </c>
      <c r="H911" s="13" t="str">
        <f>_xlfn.XLOOKUP(J911,'Master Data 14-9-2026'!C:C,'Master Data 14-9-2026'!H:H)</f>
        <v>2026-08-01 - 2026-08-31</v>
      </c>
      <c r="I911" s="13" t="str">
        <f t="shared" si="15"/>
        <v>August</v>
      </c>
      <c r="J911" s="36" t="s">
        <v>2281</v>
      </c>
      <c r="K911" s="36" t="s">
        <v>2281</v>
      </c>
      <c r="M911" s="36" t="s">
        <v>2282</v>
      </c>
      <c r="N911" s="36" t="s">
        <v>924</v>
      </c>
      <c r="O911" s="36" t="s">
        <v>2260</v>
      </c>
      <c r="P911" s="36" t="s">
        <v>2261</v>
      </c>
      <c r="Q911" s="6">
        <v>10</v>
      </c>
      <c r="R911" s="6">
        <v>1</v>
      </c>
      <c r="S911" s="36" t="s">
        <v>2266</v>
      </c>
      <c r="T911" s="36" t="s">
        <v>978</v>
      </c>
      <c r="U911" s="8">
        <v>32542400</v>
      </c>
      <c r="V911" s="6">
        <v>1</v>
      </c>
      <c r="W911" s="18">
        <f>_xlfn.XLOOKUP(J911,'Master Data 14-9-2026'!C:C,'Master Data 14-9-2026'!L:L)</f>
        <v>0.5</v>
      </c>
      <c r="X911" s="20">
        <f t="shared" si="14"/>
        <v>32542400</v>
      </c>
      <c r="Y911" s="36" t="s">
        <v>2263</v>
      </c>
      <c r="Z911" s="36" t="s">
        <v>33</v>
      </c>
      <c r="AA911" s="4" t="s">
        <v>1288</v>
      </c>
      <c r="AB911" s="13"/>
      <c r="AC911" s="4"/>
      <c r="AD911" s="10"/>
      <c r="AE911" s="13">
        <f>_xlfn.XLOOKUP(L911,'[1]ID PROJECT'!E:E,'[1]ID PROJECT'!F:F)</f>
        <v>0</v>
      </c>
      <c r="AF911" s="4"/>
      <c r="AG911" s="11"/>
    </row>
    <row r="912" spans="1:33" hidden="1">
      <c r="A912" s="4" t="s">
        <v>211</v>
      </c>
      <c r="B912" s="13" t="str">
        <f>_xlfn.XLOOKUP(J912,'Master Data 14-9-2026'!C:C,'Master Data 14-9-2026'!D:D)</f>
        <v>Lidya Juwita Apriliani wx1504642</v>
      </c>
      <c r="D912" s="13" t="str">
        <f>_xlfn.XLOOKUP(J912,'Master Data 14-9-2026'!C:C,'Master Data 14-9-2026'!E:E)</f>
        <v>IOH</v>
      </c>
      <c r="F912" s="13"/>
      <c r="G912" s="4" t="s">
        <v>31</v>
      </c>
      <c r="H912" s="13" t="str">
        <f>_xlfn.XLOOKUP(J912,'Master Data 14-9-2026'!C:C,'Master Data 14-9-2026'!H:H)</f>
        <v>2026-08-31 - 2026-09-29</v>
      </c>
      <c r="I912" s="13" t="str">
        <f t="shared" si="15"/>
        <v>August</v>
      </c>
      <c r="J912" s="36" t="s">
        <v>2283</v>
      </c>
      <c r="K912" s="36" t="s">
        <v>2283</v>
      </c>
      <c r="M912" s="36" t="s">
        <v>2284</v>
      </c>
      <c r="N912" s="36" t="s">
        <v>924</v>
      </c>
      <c r="O912" s="36" t="s">
        <v>2260</v>
      </c>
      <c r="P912" s="36" t="s">
        <v>2261</v>
      </c>
      <c r="Q912" s="6">
        <v>11</v>
      </c>
      <c r="R912" s="6">
        <v>1</v>
      </c>
      <c r="S912" s="36" t="s">
        <v>2233</v>
      </c>
      <c r="T912" s="36" t="s">
        <v>951</v>
      </c>
      <c r="U912" s="8">
        <v>28881900</v>
      </c>
      <c r="V912" s="6">
        <v>1</v>
      </c>
      <c r="W912" s="18">
        <f>_xlfn.XLOOKUP(J912,'Master Data 14-9-2026'!C:C,'Master Data 14-9-2026'!L:L)</f>
        <v>0.5</v>
      </c>
      <c r="X912" s="20">
        <f t="shared" si="14"/>
        <v>28881900</v>
      </c>
      <c r="Y912" s="36" t="s">
        <v>2263</v>
      </c>
      <c r="Z912" s="36" t="s">
        <v>984</v>
      </c>
      <c r="AA912" s="4" t="s">
        <v>1288</v>
      </c>
      <c r="AB912" s="13"/>
      <c r="AC912" s="4"/>
      <c r="AD912" s="10"/>
      <c r="AE912" s="13">
        <f>_xlfn.XLOOKUP(L912,'[1]ID PROJECT'!E:E,'[1]ID PROJECT'!F:F)</f>
        <v>0</v>
      </c>
      <c r="AF912" s="4"/>
      <c r="AG912" s="11"/>
    </row>
    <row r="913" spans="1:33" hidden="1">
      <c r="A913" s="4" t="s">
        <v>606</v>
      </c>
      <c r="B913" s="13" t="str">
        <f>_xlfn.XLOOKUP(J913,'Master Data 14-9-2026'!C:C,'Master Data 14-9-2026'!D:D)</f>
        <v>Asep Yuliar Nugraha wx1526245</v>
      </c>
      <c r="D913" s="13" t="str">
        <f>_xlfn.XLOOKUP(J913,'Master Data 14-9-2026'!C:C,'Master Data 14-9-2026'!E:E)</f>
        <v>IOH</v>
      </c>
      <c r="F913" s="13"/>
      <c r="G913" s="13" t="s">
        <v>13</v>
      </c>
      <c r="H913" s="13" t="str">
        <f>_xlfn.XLOOKUP(J913,'Master Data 14-9-2026'!C:C,'Master Data 14-9-2026'!H:H)</f>
        <v>2026-06-05 - 2026-07-04</v>
      </c>
      <c r="I913" s="13" t="str">
        <f t="shared" si="15"/>
        <v>June</v>
      </c>
      <c r="J913" s="36" t="s">
        <v>2285</v>
      </c>
      <c r="K913" s="36" t="s">
        <v>2285</v>
      </c>
      <c r="M913" s="36" t="s">
        <v>2286</v>
      </c>
      <c r="N913" s="36" t="s">
        <v>924</v>
      </c>
      <c r="O913" s="36" t="s">
        <v>2260</v>
      </c>
      <c r="P913" s="36" t="s">
        <v>2261</v>
      </c>
      <c r="Q913" s="6">
        <v>12</v>
      </c>
      <c r="R913" s="6">
        <v>1</v>
      </c>
      <c r="S913" s="36" t="s">
        <v>2266</v>
      </c>
      <c r="T913" s="36" t="s">
        <v>978</v>
      </c>
      <c r="U913" s="8">
        <v>32542400</v>
      </c>
      <c r="V913" s="6">
        <v>1</v>
      </c>
      <c r="W913" s="18">
        <f>_xlfn.XLOOKUP(J913,'Master Data 14-9-2026'!C:C,'Master Data 14-9-2026'!L:L)</f>
        <v>0</v>
      </c>
      <c r="X913" s="20">
        <f t="shared" si="14"/>
        <v>32542400</v>
      </c>
      <c r="Y913" s="36" t="s">
        <v>2263</v>
      </c>
      <c r="Z913" s="24" t="str">
        <f>_xlfn.XLOOKUP(J913,'Master Data 14-9-2026'!C:C,'Master Data 14-9-2026'!I:I)</f>
        <v>Ended</v>
      </c>
      <c r="AA913" s="4" t="s">
        <v>1288</v>
      </c>
      <c r="AB913" s="40" t="s">
        <v>44</v>
      </c>
      <c r="AC913" s="4"/>
      <c r="AD913" s="10"/>
      <c r="AE913" s="13">
        <f>_xlfn.XLOOKUP(L913,'[1]ID PROJECT'!E:E,'[1]ID PROJECT'!F:F)</f>
        <v>0</v>
      </c>
      <c r="AF913" s="4"/>
      <c r="AG913" s="11"/>
    </row>
    <row r="914" spans="1:33" hidden="1">
      <c r="A914" s="4" t="s">
        <v>471</v>
      </c>
      <c r="B914" s="13" t="str">
        <f>_xlfn.XLOOKUP(J914,'Master Data 14-9-2026'!C:C,'Master Data 14-9-2026'!D:D)</f>
        <v>Ivan Arfianto wx1503653</v>
      </c>
      <c r="D914" s="13" t="str">
        <f>_xlfn.XLOOKUP(J914,'Master Data 14-9-2026'!C:C,'Master Data 14-9-2026'!E:E)</f>
        <v>IOH</v>
      </c>
      <c r="F914" s="13"/>
      <c r="G914" s="4" t="s">
        <v>31</v>
      </c>
      <c r="H914" s="13" t="str">
        <f>_xlfn.XLOOKUP(J914,'Master Data 14-9-2026'!C:C,'Master Data 14-9-2026'!H:H)</f>
        <v>2026-09-01 - 2026-09-30</v>
      </c>
      <c r="I914" s="13" t="str">
        <f t="shared" si="15"/>
        <v>September</v>
      </c>
      <c r="J914" s="36" t="s">
        <v>2287</v>
      </c>
      <c r="K914" s="36" t="s">
        <v>2287</v>
      </c>
      <c r="M914" s="36" t="s">
        <v>2288</v>
      </c>
      <c r="N914" s="36" t="s">
        <v>924</v>
      </c>
      <c r="O914" s="36" t="s">
        <v>2260</v>
      </c>
      <c r="P914" s="36" t="s">
        <v>2261</v>
      </c>
      <c r="Q914" s="6">
        <v>13</v>
      </c>
      <c r="R914" s="6">
        <v>1</v>
      </c>
      <c r="S914" s="36" t="s">
        <v>2289</v>
      </c>
      <c r="T914" s="36" t="s">
        <v>933</v>
      </c>
      <c r="U914" s="8">
        <v>36992000</v>
      </c>
      <c r="V914" s="6">
        <v>1</v>
      </c>
      <c r="W914" s="18">
        <f>_xlfn.XLOOKUP(J914,'Master Data 14-9-2026'!C:C,'Master Data 14-9-2026'!L:L)</f>
        <v>1.18</v>
      </c>
      <c r="X914" s="20">
        <f t="shared" si="14"/>
        <v>36992000</v>
      </c>
      <c r="Y914" s="36" t="s">
        <v>2263</v>
      </c>
      <c r="Z914" s="36" t="s">
        <v>984</v>
      </c>
      <c r="AA914" s="4" t="s">
        <v>1288</v>
      </c>
      <c r="AB914" s="13"/>
      <c r="AC914" s="4"/>
      <c r="AD914" s="10"/>
      <c r="AE914" s="13">
        <f>_xlfn.XLOOKUP(L914,'[1]ID PROJECT'!E:E,'[1]ID PROJECT'!F:F)</f>
        <v>0</v>
      </c>
      <c r="AF914" s="4"/>
      <c r="AG914" s="11"/>
    </row>
    <row r="915" spans="1:33" hidden="1">
      <c r="A915" s="4" t="s">
        <v>606</v>
      </c>
      <c r="B915" s="13" t="str">
        <f>_xlfn.XLOOKUP(J915,'Master Data 14-9-2026'!C:C,'Master Data 14-9-2026'!D:D)</f>
        <v>Asep Yuliar Nugraha wx1526245</v>
      </c>
      <c r="D915" s="13" t="str">
        <f>_xlfn.XLOOKUP(J915,'Master Data 14-9-2026'!C:C,'Master Data 14-9-2026'!E:E)</f>
        <v>IOH</v>
      </c>
      <c r="F915" s="13"/>
      <c r="G915" s="4" t="s">
        <v>18</v>
      </c>
      <c r="H915" s="13" t="str">
        <f>_xlfn.XLOOKUP(J915,'Master Data 14-9-2026'!C:C,'Master Data 14-9-2026'!H:H)</f>
        <v>2026-07-05 - 2026-08-04</v>
      </c>
      <c r="I915" s="13" t="str">
        <f t="shared" si="15"/>
        <v>July</v>
      </c>
      <c r="J915" s="36" t="s">
        <v>2290</v>
      </c>
      <c r="K915" s="36" t="s">
        <v>2290</v>
      </c>
      <c r="M915" s="36" t="s">
        <v>2291</v>
      </c>
      <c r="N915" s="36" t="s">
        <v>924</v>
      </c>
      <c r="O915" s="36" t="s">
        <v>2260</v>
      </c>
      <c r="P915" s="36" t="s">
        <v>2261</v>
      </c>
      <c r="Q915" s="6">
        <v>14</v>
      </c>
      <c r="R915" s="6">
        <v>1</v>
      </c>
      <c r="S915" s="36" t="s">
        <v>2266</v>
      </c>
      <c r="T915" s="36" t="s">
        <v>978</v>
      </c>
      <c r="U915" s="8">
        <v>32542400</v>
      </c>
      <c r="V915" s="6">
        <v>1</v>
      </c>
      <c r="W915" s="18">
        <f>_xlfn.XLOOKUP(J915,'Master Data 14-9-2026'!C:C,'Master Data 14-9-2026'!L:L)</f>
        <v>0.5</v>
      </c>
      <c r="X915" s="20">
        <f t="shared" si="14"/>
        <v>32542400</v>
      </c>
      <c r="Y915" s="36" t="s">
        <v>2263</v>
      </c>
      <c r="Z915" s="36" t="s">
        <v>15</v>
      </c>
      <c r="AA915" s="4" t="s">
        <v>1288</v>
      </c>
      <c r="AB915" s="13"/>
      <c r="AC915" s="4"/>
      <c r="AD915" s="10"/>
      <c r="AE915" s="13">
        <f>_xlfn.XLOOKUP(L915,'[1]ID PROJECT'!E:E,'[1]ID PROJECT'!F:F)</f>
        <v>0</v>
      </c>
      <c r="AF915" s="4"/>
      <c r="AG915" s="11"/>
    </row>
    <row r="916" spans="1:33" hidden="1">
      <c r="A916" s="4" t="s">
        <v>662</v>
      </c>
      <c r="B916" s="13" t="str">
        <f>_xlfn.XLOOKUP(J916,'Master Data 14-9-2026'!C:C,'Master Data 14-9-2026'!D:D)</f>
        <v>MUHAMAD GILANG WX1530062</v>
      </c>
      <c r="D916" s="13" t="str">
        <f>_xlfn.XLOOKUP(J916,'Master Data 14-9-2026'!C:C,'Master Data 14-9-2026'!E:E)</f>
        <v>IOH</v>
      </c>
      <c r="F916" s="13"/>
      <c r="G916" s="4" t="s">
        <v>22</v>
      </c>
      <c r="H916" s="13" t="str">
        <f>_xlfn.XLOOKUP(J916,'Master Data 14-9-2026'!C:C,'Master Data 14-9-2026'!H:H)</f>
        <v>2026-08-24 - 2026-09-23</v>
      </c>
      <c r="I916" s="13" t="str">
        <f t="shared" si="15"/>
        <v>August</v>
      </c>
      <c r="J916" s="36" t="s">
        <v>2292</v>
      </c>
      <c r="K916" s="36" t="s">
        <v>2292</v>
      </c>
      <c r="M916" s="36" t="s">
        <v>2293</v>
      </c>
      <c r="N916" s="36" t="s">
        <v>924</v>
      </c>
      <c r="O916" s="36" t="s">
        <v>2260</v>
      </c>
      <c r="P916" s="36" t="s">
        <v>2261</v>
      </c>
      <c r="Q916" s="6">
        <v>15</v>
      </c>
      <c r="R916" s="6">
        <v>1</v>
      </c>
      <c r="S916" s="36" t="s">
        <v>2266</v>
      </c>
      <c r="T916" s="36" t="s">
        <v>978</v>
      </c>
      <c r="U916" s="8">
        <v>32542400</v>
      </c>
      <c r="V916" s="6">
        <v>1</v>
      </c>
      <c r="W916" s="18">
        <f>_xlfn.XLOOKUP(J916,'Master Data 14-9-2026'!C:C,'Master Data 14-9-2026'!L:L)</f>
        <v>0.5</v>
      </c>
      <c r="X916" s="20">
        <f t="shared" si="14"/>
        <v>32542400</v>
      </c>
      <c r="Y916" s="36" t="s">
        <v>2263</v>
      </c>
      <c r="Z916" s="36" t="s">
        <v>225</v>
      </c>
      <c r="AA916" s="4" t="s">
        <v>1288</v>
      </c>
      <c r="AB916" s="13"/>
      <c r="AC916" s="4"/>
      <c r="AD916" s="10"/>
      <c r="AE916" s="13">
        <f>_xlfn.XLOOKUP(L916,'[1]ID PROJECT'!E:E,'[1]ID PROJECT'!F:F)</f>
        <v>0</v>
      </c>
      <c r="AF916" s="4"/>
      <c r="AG916" s="11"/>
    </row>
    <row r="917" spans="1:33" hidden="1">
      <c r="A917" s="4" t="s">
        <v>554</v>
      </c>
      <c r="B917" s="13" t="str">
        <f>_xlfn.XLOOKUP(J917,'Master Data 14-9-2026'!C:C,'Master Data 14-9-2026'!D:D)</f>
        <v>Mulut Supriyadi WX1529436</v>
      </c>
      <c r="D917" s="13" t="str">
        <f>_xlfn.XLOOKUP(J917,'Master Data 14-9-2026'!C:C,'Master Data 14-9-2026'!E:E)</f>
        <v>IOH</v>
      </c>
      <c r="F917" s="13"/>
      <c r="G917" s="4" t="s">
        <v>22</v>
      </c>
      <c r="H917" s="13" t="str">
        <f>_xlfn.XLOOKUP(J917,'Master Data 14-9-2026'!C:C,'Master Data 14-9-2026'!H:H)</f>
        <v>2026-08-23 - 2026-09-22</v>
      </c>
      <c r="I917" s="13" t="str">
        <f t="shared" si="15"/>
        <v>August</v>
      </c>
      <c r="J917" s="36" t="s">
        <v>2294</v>
      </c>
      <c r="K917" s="36" t="s">
        <v>2294</v>
      </c>
      <c r="M917" s="36" t="s">
        <v>2295</v>
      </c>
      <c r="N917" s="36" t="s">
        <v>924</v>
      </c>
      <c r="O917" s="36" t="s">
        <v>2260</v>
      </c>
      <c r="P917" s="36" t="s">
        <v>2261</v>
      </c>
      <c r="Q917" s="6">
        <v>16</v>
      </c>
      <c r="R917" s="6">
        <v>1</v>
      </c>
      <c r="S917" s="36" t="s">
        <v>2266</v>
      </c>
      <c r="T917" s="36" t="s">
        <v>978</v>
      </c>
      <c r="U917" s="8">
        <v>32542400</v>
      </c>
      <c r="V917" s="6">
        <v>1</v>
      </c>
      <c r="W917" s="18">
        <f>_xlfn.XLOOKUP(J917,'Master Data 14-9-2026'!C:C,'Master Data 14-9-2026'!L:L)</f>
        <v>0.5</v>
      </c>
      <c r="X917" s="20">
        <f t="shared" si="14"/>
        <v>32542400</v>
      </c>
      <c r="Y917" s="36" t="s">
        <v>2263</v>
      </c>
      <c r="Z917" s="36" t="s">
        <v>225</v>
      </c>
      <c r="AA917" s="4" t="s">
        <v>1288</v>
      </c>
      <c r="AB917" s="13"/>
      <c r="AC917" s="4"/>
      <c r="AD917" s="10"/>
      <c r="AE917" s="13">
        <f>_xlfn.XLOOKUP(L917,'[1]ID PROJECT'!E:E,'[1]ID PROJECT'!F:F)</f>
        <v>0</v>
      </c>
      <c r="AF917" s="4"/>
      <c r="AG917" s="11"/>
    </row>
    <row r="918" spans="1:33" hidden="1">
      <c r="A918" s="4" t="s">
        <v>868</v>
      </c>
      <c r="B918" s="13" t="str">
        <f>_xlfn.XLOOKUP(J918,'Master Data 14-9-2026'!C:C,'Master Data 14-9-2026'!D:D)</f>
        <v>Oki Triagung wx1529665</v>
      </c>
      <c r="D918" s="13" t="str">
        <f>_xlfn.XLOOKUP(J918,'Master Data 14-9-2026'!C:C,'Master Data 14-9-2026'!E:E)</f>
        <v>IOH</v>
      </c>
      <c r="F918" s="13"/>
      <c r="G918" s="4" t="s">
        <v>22</v>
      </c>
      <c r="H918" s="13" t="str">
        <f>_xlfn.XLOOKUP(J918,'Master Data 14-9-2026'!C:C,'Master Data 14-9-2026'!H:H)</f>
        <v>2026-08-23 - 2026-09-22</v>
      </c>
      <c r="I918" s="13" t="str">
        <f t="shared" si="15"/>
        <v>August</v>
      </c>
      <c r="J918" s="36" t="s">
        <v>2296</v>
      </c>
      <c r="K918" s="36" t="s">
        <v>2296</v>
      </c>
      <c r="M918" s="36" t="s">
        <v>2297</v>
      </c>
      <c r="N918" s="36" t="s">
        <v>924</v>
      </c>
      <c r="O918" s="36" t="s">
        <v>2260</v>
      </c>
      <c r="P918" s="36" t="s">
        <v>2261</v>
      </c>
      <c r="Q918" s="6">
        <v>17</v>
      </c>
      <c r="R918" s="6">
        <v>1</v>
      </c>
      <c r="S918" s="36" t="s">
        <v>2262</v>
      </c>
      <c r="T918" s="36" t="s">
        <v>926</v>
      </c>
      <c r="U918" s="8">
        <v>34220600</v>
      </c>
      <c r="V918" s="6">
        <v>1</v>
      </c>
      <c r="W918" s="18">
        <f>_xlfn.XLOOKUP(J918,'Master Data 14-9-2026'!C:C,'Master Data 14-9-2026'!L:L)</f>
        <v>0</v>
      </c>
      <c r="X918" s="20">
        <f t="shared" si="14"/>
        <v>34220600</v>
      </c>
      <c r="Y918" s="36" t="s">
        <v>2263</v>
      </c>
      <c r="Z918" s="36" t="s">
        <v>225</v>
      </c>
      <c r="AA918" s="4" t="s">
        <v>1288</v>
      </c>
      <c r="AB918" s="40" t="s">
        <v>44</v>
      </c>
      <c r="AC918" s="4"/>
      <c r="AD918" s="10"/>
      <c r="AE918" s="13">
        <f>_xlfn.XLOOKUP(L918,'[1]ID PROJECT'!E:E,'[1]ID PROJECT'!F:F)</f>
        <v>0</v>
      </c>
      <c r="AF918" s="4"/>
      <c r="AG918" s="11"/>
    </row>
    <row r="919" spans="1:33" hidden="1">
      <c r="A919" s="4" t="s">
        <v>639</v>
      </c>
      <c r="B919" s="13" t="str">
        <f>_xlfn.XLOOKUP(J919,'Master Data 14-9-2026'!C:C,'Master Data 14-9-2026'!D:D)</f>
        <v>Rezka Rifka Rezkia WX1530246</v>
      </c>
      <c r="D919" s="13" t="str">
        <f>_xlfn.XLOOKUP(J919,'Master Data 14-9-2026'!C:C,'Master Data 14-9-2026'!E:E)</f>
        <v>IOH</v>
      </c>
      <c r="F919" s="13"/>
      <c r="G919" s="4" t="s">
        <v>22</v>
      </c>
      <c r="H919" s="13" t="str">
        <f>_xlfn.XLOOKUP(J919,'Master Data 14-9-2026'!C:C,'Master Data 14-9-2026'!H:H)</f>
        <v>2026-08-26 - 2026-09-25</v>
      </c>
      <c r="I919" s="13" t="str">
        <f t="shared" si="15"/>
        <v>August</v>
      </c>
      <c r="J919" s="36" t="s">
        <v>2298</v>
      </c>
      <c r="K919" s="36" t="s">
        <v>2298</v>
      </c>
      <c r="M919" s="36" t="s">
        <v>2299</v>
      </c>
      <c r="N919" s="36" t="s">
        <v>924</v>
      </c>
      <c r="O919" s="36" t="s">
        <v>2260</v>
      </c>
      <c r="P919" s="36" t="s">
        <v>2261</v>
      </c>
      <c r="Q919" s="6">
        <v>18</v>
      </c>
      <c r="R919" s="6">
        <v>1</v>
      </c>
      <c r="S919" s="36" t="s">
        <v>2266</v>
      </c>
      <c r="T919" s="36" t="s">
        <v>978</v>
      </c>
      <c r="U919" s="8">
        <v>32542400</v>
      </c>
      <c r="V919" s="6">
        <v>1</v>
      </c>
      <c r="W919" s="18">
        <f>_xlfn.XLOOKUP(J919,'Master Data 14-9-2026'!C:C,'Master Data 14-9-2026'!L:L)</f>
        <v>0.5</v>
      </c>
      <c r="X919" s="20">
        <f t="shared" si="14"/>
        <v>32542400</v>
      </c>
      <c r="Y919" s="36" t="s">
        <v>2263</v>
      </c>
      <c r="Z919" s="36" t="s">
        <v>225</v>
      </c>
      <c r="AA919" s="4" t="s">
        <v>1288</v>
      </c>
      <c r="AB919" s="13"/>
      <c r="AC919" s="4"/>
      <c r="AD919" s="10"/>
      <c r="AE919" s="13">
        <f>_xlfn.XLOOKUP(L919,'[1]ID PROJECT'!E:E,'[1]ID PROJECT'!F:F)</f>
        <v>0</v>
      </c>
      <c r="AF919" s="4"/>
      <c r="AG919" s="11"/>
    </row>
    <row r="920" spans="1:33" hidden="1">
      <c r="A920" s="4" t="s">
        <v>562</v>
      </c>
      <c r="B920" s="13" t="str">
        <f>_xlfn.XLOOKUP(J920,'Master Data 14-9-2026'!C:C,'Master Data 14-9-2026'!D:D)</f>
        <v>Muhammad Hamidullah Akbar WX1529435</v>
      </c>
      <c r="D920" s="13" t="str">
        <f>_xlfn.XLOOKUP(J920,'Master Data 14-9-2026'!C:C,'Master Data 14-9-2026'!E:E)</f>
        <v>IOH</v>
      </c>
      <c r="F920" s="13"/>
      <c r="G920" s="4" t="s">
        <v>22</v>
      </c>
      <c r="H920" s="13" t="str">
        <f>_xlfn.XLOOKUP(J920,'Master Data 14-9-2026'!C:C,'Master Data 14-9-2026'!H:H)</f>
        <v>2026-08-23 - 2026-09-22</v>
      </c>
      <c r="I920" s="13" t="str">
        <f t="shared" si="15"/>
        <v>August</v>
      </c>
      <c r="J920" s="36" t="s">
        <v>2300</v>
      </c>
      <c r="K920" s="36" t="s">
        <v>2300</v>
      </c>
      <c r="M920" s="36" t="s">
        <v>2301</v>
      </c>
      <c r="N920" s="36" t="s">
        <v>924</v>
      </c>
      <c r="O920" s="36" t="s">
        <v>2260</v>
      </c>
      <c r="P920" s="36" t="s">
        <v>2261</v>
      </c>
      <c r="Q920" s="6">
        <v>19</v>
      </c>
      <c r="R920" s="6">
        <v>1</v>
      </c>
      <c r="S920" s="36" t="s">
        <v>2266</v>
      </c>
      <c r="T920" s="36" t="s">
        <v>978</v>
      </c>
      <c r="U920" s="8">
        <v>32542400</v>
      </c>
      <c r="V920" s="6">
        <v>1</v>
      </c>
      <c r="W920" s="18">
        <f>_xlfn.XLOOKUP(J920,'Master Data 14-9-2026'!C:C,'Master Data 14-9-2026'!L:L)</f>
        <v>0.5</v>
      </c>
      <c r="X920" s="20">
        <f t="shared" si="14"/>
        <v>32542400</v>
      </c>
      <c r="Y920" s="36" t="s">
        <v>2263</v>
      </c>
      <c r="Z920" s="36" t="s">
        <v>225</v>
      </c>
      <c r="AA920" s="4" t="s">
        <v>1288</v>
      </c>
      <c r="AB920" s="13"/>
      <c r="AC920" s="4"/>
      <c r="AD920" s="10"/>
      <c r="AE920" s="13">
        <f>_xlfn.XLOOKUP(L920,'[1]ID PROJECT'!E:E,'[1]ID PROJECT'!F:F)</f>
        <v>0</v>
      </c>
      <c r="AF920" s="4"/>
      <c r="AG920" s="11"/>
    </row>
    <row r="921" spans="1:33" hidden="1">
      <c r="A921" s="4" t="s">
        <v>570</v>
      </c>
      <c r="B921" s="13" t="str">
        <f>_xlfn.XLOOKUP(J921,'Master Data 14-9-2026'!C:C,'Master Data 14-9-2026'!D:D)</f>
        <v>MUHAMMAD KHAIRUL AKBAR WX1529433</v>
      </c>
      <c r="D921" s="13" t="str">
        <f>_xlfn.XLOOKUP(J921,'Master Data 14-9-2026'!C:C,'Master Data 14-9-2026'!E:E)</f>
        <v>IOH</v>
      </c>
      <c r="F921" s="13"/>
      <c r="G921" s="4" t="s">
        <v>22</v>
      </c>
      <c r="H921" s="13" t="str">
        <f>_xlfn.XLOOKUP(J921,'Master Data 14-9-2026'!C:C,'Master Data 14-9-2026'!H:H)</f>
        <v>2026-08-23 - 2026-09-22</v>
      </c>
      <c r="I921" s="13" t="str">
        <f t="shared" si="15"/>
        <v>August</v>
      </c>
      <c r="J921" s="36" t="s">
        <v>2302</v>
      </c>
      <c r="K921" s="36" t="s">
        <v>2302</v>
      </c>
      <c r="M921" s="36" t="s">
        <v>2303</v>
      </c>
      <c r="N921" s="36" t="s">
        <v>924</v>
      </c>
      <c r="O921" s="36" t="s">
        <v>2260</v>
      </c>
      <c r="P921" s="36" t="s">
        <v>2261</v>
      </c>
      <c r="Q921" s="6">
        <v>20</v>
      </c>
      <c r="R921" s="6">
        <v>1</v>
      </c>
      <c r="S921" s="36" t="s">
        <v>2266</v>
      </c>
      <c r="T921" s="36" t="s">
        <v>978</v>
      </c>
      <c r="U921" s="8">
        <v>32542400</v>
      </c>
      <c r="V921" s="6">
        <v>1</v>
      </c>
      <c r="W921" s="18">
        <f>_xlfn.XLOOKUP(J921,'Master Data 14-9-2026'!C:C,'Master Data 14-9-2026'!L:L)</f>
        <v>0</v>
      </c>
      <c r="X921" s="20">
        <f t="shared" si="14"/>
        <v>32542400</v>
      </c>
      <c r="Y921" s="36" t="s">
        <v>2263</v>
      </c>
      <c r="Z921" s="36" t="s">
        <v>225</v>
      </c>
      <c r="AA921" s="4" t="s">
        <v>1288</v>
      </c>
      <c r="AB921" s="40" t="s">
        <v>44</v>
      </c>
      <c r="AC921" s="4"/>
      <c r="AD921" s="10"/>
      <c r="AE921" s="13">
        <f>_xlfn.XLOOKUP(L921,'[1]ID PROJECT'!E:E,'[1]ID PROJECT'!F:F)</f>
        <v>0</v>
      </c>
      <c r="AF921" s="4"/>
      <c r="AG921" s="11"/>
    </row>
    <row r="922" spans="1:33" hidden="1">
      <c r="A922" s="4" t="s">
        <v>568</v>
      </c>
      <c r="B922" s="13" t="str">
        <f>_xlfn.XLOOKUP(J922,'Master Data 14-9-2026'!C:C,'Master Data 14-9-2026'!D:D)</f>
        <v>Indra Setianto Nugroho wx1531572</v>
      </c>
      <c r="D922" s="13" t="str">
        <f>_xlfn.XLOOKUP(J922,'Master Data 14-9-2026'!C:C,'Master Data 14-9-2026'!E:E)</f>
        <v>IOH</v>
      </c>
      <c r="F922" s="13"/>
      <c r="G922" s="13" t="s">
        <v>13</v>
      </c>
      <c r="H922" s="13" t="str">
        <f>_xlfn.XLOOKUP(J922,'Master Data 14-9-2026'!C:C,'Master Data 14-9-2026'!H:H)</f>
        <v>2026-07-01 - 2026-07-31</v>
      </c>
      <c r="I922" s="13" t="str">
        <f t="shared" si="15"/>
        <v>July</v>
      </c>
      <c r="J922" s="36" t="s">
        <v>2304</v>
      </c>
      <c r="K922" s="36" t="s">
        <v>2304</v>
      </c>
      <c r="M922" s="36" t="s">
        <v>2305</v>
      </c>
      <c r="N922" s="36" t="s">
        <v>924</v>
      </c>
      <c r="O922" s="36" t="s">
        <v>2260</v>
      </c>
      <c r="P922" s="36" t="s">
        <v>2261</v>
      </c>
      <c r="Q922" s="6">
        <v>21</v>
      </c>
      <c r="R922" s="6">
        <v>1</v>
      </c>
      <c r="S922" s="36" t="s">
        <v>2266</v>
      </c>
      <c r="T922" s="36" t="s">
        <v>978</v>
      </c>
      <c r="U922" s="8">
        <v>32542400</v>
      </c>
      <c r="V922" s="6">
        <v>1</v>
      </c>
      <c r="W922" s="18">
        <f>_xlfn.XLOOKUP(J922,'Master Data 14-9-2026'!C:C,'Master Data 14-9-2026'!L:L)</f>
        <v>0.5</v>
      </c>
      <c r="X922" s="20">
        <f t="shared" si="14"/>
        <v>32542400</v>
      </c>
      <c r="Y922" s="36" t="s">
        <v>2263</v>
      </c>
      <c r="Z922" s="36" t="s">
        <v>15</v>
      </c>
      <c r="AA922" s="4" t="s">
        <v>1288</v>
      </c>
      <c r="AB922" s="13"/>
      <c r="AC922" s="4"/>
      <c r="AD922" s="10"/>
      <c r="AE922" s="13">
        <f>_xlfn.XLOOKUP(L922,'[1]ID PROJECT'!E:E,'[1]ID PROJECT'!F:F)</f>
        <v>0</v>
      </c>
      <c r="AF922" s="4"/>
      <c r="AG922" s="11"/>
    </row>
    <row r="923" spans="1:33" hidden="1">
      <c r="A923" s="4" t="s">
        <v>678</v>
      </c>
      <c r="B923" s="13" t="str">
        <f>_xlfn.XLOOKUP(J923,'Master Data 14-9-2026'!C:C,'Master Data 14-9-2026'!D:D)</f>
        <v>Dwi Prasetyo wx1530060</v>
      </c>
      <c r="D923" s="13" t="str">
        <f>_xlfn.XLOOKUP(J923,'Master Data 14-9-2026'!C:C,'Master Data 14-9-2026'!E:E)</f>
        <v>IOH</v>
      </c>
      <c r="F923" s="13"/>
      <c r="G923" s="13" t="s">
        <v>13</v>
      </c>
      <c r="H923" s="13" t="str">
        <f>_xlfn.XLOOKUP(J923,'Master Data 14-9-2026'!C:C,'Master Data 14-9-2026'!H:H)</f>
        <v>2026-07-03 - 2026-08-02</v>
      </c>
      <c r="I923" s="13" t="str">
        <f t="shared" si="15"/>
        <v>July</v>
      </c>
      <c r="J923" s="36" t="s">
        <v>2306</v>
      </c>
      <c r="K923" s="36" t="s">
        <v>2306</v>
      </c>
      <c r="M923" s="36" t="s">
        <v>2307</v>
      </c>
      <c r="N923" s="36" t="s">
        <v>924</v>
      </c>
      <c r="O923" s="36" t="s">
        <v>2260</v>
      </c>
      <c r="P923" s="36" t="s">
        <v>2261</v>
      </c>
      <c r="Q923" s="6">
        <v>22</v>
      </c>
      <c r="R923" s="6">
        <v>1</v>
      </c>
      <c r="S923" s="36" t="s">
        <v>2266</v>
      </c>
      <c r="T923" s="36" t="s">
        <v>978</v>
      </c>
      <c r="U923" s="8">
        <v>32542400</v>
      </c>
      <c r="V923" s="6">
        <v>1</v>
      </c>
      <c r="W923" s="18">
        <f>_xlfn.XLOOKUP(J923,'Master Data 14-9-2026'!C:C,'Master Data 14-9-2026'!L:L)</f>
        <v>0.5</v>
      </c>
      <c r="X923" s="20">
        <f t="shared" si="14"/>
        <v>32542400</v>
      </c>
      <c r="Y923" s="36" t="s">
        <v>2263</v>
      </c>
      <c r="Z923" s="36" t="s">
        <v>15</v>
      </c>
      <c r="AA923" s="4" t="s">
        <v>1288</v>
      </c>
      <c r="AB923" s="13"/>
      <c r="AC923" s="4"/>
      <c r="AD923" s="10"/>
      <c r="AE923" s="13">
        <f>_xlfn.XLOOKUP(L923,'[1]ID PROJECT'!E:E,'[1]ID PROJECT'!F:F)</f>
        <v>0</v>
      </c>
      <c r="AF923" s="4"/>
      <c r="AG923" s="11"/>
    </row>
    <row r="924" spans="1:33" hidden="1">
      <c r="A924" s="4" t="s">
        <v>812</v>
      </c>
      <c r="B924" s="13" t="str">
        <f>_xlfn.XLOOKUP(J924,'Master Data 14-9-2026'!C:C,'Master Data 14-9-2026'!D:D)</f>
        <v>Muh Noer Fajar wx1526961</v>
      </c>
      <c r="D924" s="13" t="str">
        <f>_xlfn.XLOOKUP(J924,'Master Data 14-9-2026'!C:C,'Master Data 14-9-2026'!E:E)</f>
        <v>IOH</v>
      </c>
      <c r="F924" s="13"/>
      <c r="G924" s="4" t="s">
        <v>25</v>
      </c>
      <c r="H924" s="13" t="str">
        <f>_xlfn.XLOOKUP(J924,'Master Data 14-9-2026'!C:C,'Master Data 14-9-2026'!H:H)</f>
        <v>2026-09-10 - 2026-10-09</v>
      </c>
      <c r="I924" s="13" t="str">
        <f t="shared" si="15"/>
        <v>September</v>
      </c>
      <c r="J924" s="36" t="s">
        <v>2308</v>
      </c>
      <c r="K924" s="36" t="s">
        <v>2308</v>
      </c>
      <c r="M924" s="36" t="s">
        <v>2309</v>
      </c>
      <c r="N924" s="36" t="s">
        <v>924</v>
      </c>
      <c r="O924" s="36" t="s">
        <v>2260</v>
      </c>
      <c r="P924" s="36" t="s">
        <v>2261</v>
      </c>
      <c r="Q924" s="6">
        <v>23</v>
      </c>
      <c r="R924" s="6">
        <v>1</v>
      </c>
      <c r="S924" s="36" t="s">
        <v>2262</v>
      </c>
      <c r="T924" s="36" t="s">
        <v>926</v>
      </c>
      <c r="U924" s="8">
        <v>34220600</v>
      </c>
      <c r="V924" s="6">
        <v>1</v>
      </c>
      <c r="W924" s="18">
        <f>_xlfn.XLOOKUP(J924,'Master Data 14-9-2026'!C:C,'Master Data 14-9-2026'!L:L)</f>
        <v>0</v>
      </c>
      <c r="X924" s="20">
        <f t="shared" si="14"/>
        <v>34220600</v>
      </c>
      <c r="Y924" s="36" t="s">
        <v>2263</v>
      </c>
      <c r="Z924" s="36" t="s">
        <v>984</v>
      </c>
      <c r="AC924" s="4"/>
      <c r="AD924" s="10"/>
      <c r="AE924" s="13">
        <f>_xlfn.XLOOKUP(L924,'[1]ID PROJECT'!E:E,'[1]ID PROJECT'!F:F)</f>
        <v>0</v>
      </c>
      <c r="AF924" s="4"/>
      <c r="AG924" s="11"/>
    </row>
    <row r="925" spans="1:33" hidden="1">
      <c r="A925" s="4" t="s">
        <v>678</v>
      </c>
      <c r="B925" s="13" t="str">
        <f>_xlfn.XLOOKUP(J925,'Master Data 14-9-2026'!C:C,'Master Data 14-9-2026'!D:D)</f>
        <v>Dwi Prasetyo wx1530060</v>
      </c>
      <c r="D925" s="13" t="str">
        <f>_xlfn.XLOOKUP(J925,'Master Data 14-9-2026'!C:C,'Master Data 14-9-2026'!E:E)</f>
        <v>IOH</v>
      </c>
      <c r="F925" s="13"/>
      <c r="G925" s="4" t="s">
        <v>18</v>
      </c>
      <c r="H925" s="13" t="str">
        <f>_xlfn.XLOOKUP(J925,'Master Data 14-9-2026'!C:C,'Master Data 14-9-2026'!H:H)</f>
        <v>2026-08-03 - 2026-09-02</v>
      </c>
      <c r="I925" s="13" t="str">
        <f t="shared" si="15"/>
        <v>August</v>
      </c>
      <c r="J925" s="36" t="s">
        <v>2310</v>
      </c>
      <c r="K925" s="36" t="s">
        <v>2310</v>
      </c>
      <c r="M925" s="36" t="s">
        <v>2311</v>
      </c>
      <c r="N925" s="36" t="s">
        <v>924</v>
      </c>
      <c r="O925" s="36" t="s">
        <v>2260</v>
      </c>
      <c r="P925" s="36" t="s">
        <v>2261</v>
      </c>
      <c r="Q925" s="6">
        <v>24</v>
      </c>
      <c r="R925" s="6">
        <v>1</v>
      </c>
      <c r="S925" s="36" t="s">
        <v>2266</v>
      </c>
      <c r="T925" s="36" t="s">
        <v>978</v>
      </c>
      <c r="U925" s="8">
        <v>32542400</v>
      </c>
      <c r="V925" s="6">
        <v>1</v>
      </c>
      <c r="W925" s="18">
        <f>_xlfn.XLOOKUP(J925,'Master Data 14-9-2026'!C:C,'Master Data 14-9-2026'!L:L)</f>
        <v>0.5</v>
      </c>
      <c r="X925" s="20">
        <f t="shared" si="14"/>
        <v>32542400</v>
      </c>
      <c r="Y925" s="36" t="s">
        <v>2263</v>
      </c>
      <c r="Z925" s="36" t="s">
        <v>33</v>
      </c>
      <c r="AC925" s="4"/>
      <c r="AD925" s="10"/>
      <c r="AE925" s="13">
        <f>_xlfn.XLOOKUP(L925,'[1]ID PROJECT'!E:E,'[1]ID PROJECT'!F:F)</f>
        <v>0</v>
      </c>
      <c r="AF925" s="4"/>
      <c r="AG925" s="11"/>
    </row>
    <row r="926" spans="1:33" hidden="1">
      <c r="A926" s="4" t="s">
        <v>606</v>
      </c>
      <c r="B926" s="13" t="str">
        <f>_xlfn.XLOOKUP(J926,'Master Data 14-9-2026'!C:C,'Master Data 14-9-2026'!D:D)</f>
        <v>Asep Yuliar Nugraha wx1526245</v>
      </c>
      <c r="D926" s="13" t="str">
        <f>_xlfn.XLOOKUP(J926,'Master Data 14-9-2026'!C:C,'Master Data 14-9-2026'!E:E)</f>
        <v>IOH</v>
      </c>
      <c r="F926" s="13"/>
      <c r="G926" s="4" t="s">
        <v>22</v>
      </c>
      <c r="H926" s="13" t="str">
        <f>_xlfn.XLOOKUP(J926,'Master Data 14-9-2026'!C:C,'Master Data 14-9-2026'!H:H)</f>
        <v>2026-08-05 - 2026-09-04</v>
      </c>
      <c r="I926" s="13" t="str">
        <f t="shared" si="15"/>
        <v>August</v>
      </c>
      <c r="J926" s="36" t="s">
        <v>2312</v>
      </c>
      <c r="K926" s="36" t="s">
        <v>2312</v>
      </c>
      <c r="M926" s="36" t="s">
        <v>2313</v>
      </c>
      <c r="N926" s="36" t="s">
        <v>924</v>
      </c>
      <c r="O926" s="36" t="s">
        <v>2260</v>
      </c>
      <c r="P926" s="36" t="s">
        <v>2261</v>
      </c>
      <c r="Q926" s="6">
        <v>25</v>
      </c>
      <c r="R926" s="6">
        <v>1</v>
      </c>
      <c r="S926" s="36" t="s">
        <v>2266</v>
      </c>
      <c r="T926" s="36" t="s">
        <v>978</v>
      </c>
      <c r="U926" s="8">
        <v>32542400</v>
      </c>
      <c r="V926" s="6">
        <v>1</v>
      </c>
      <c r="W926" s="18">
        <f>_xlfn.XLOOKUP(J926,'Master Data 14-9-2026'!C:C,'Master Data 14-9-2026'!L:L)</f>
        <v>0.5</v>
      </c>
      <c r="X926" s="20">
        <f t="shared" si="14"/>
        <v>32542400</v>
      </c>
      <c r="Y926" s="36" t="s">
        <v>2263</v>
      </c>
      <c r="Z926" s="36" t="s">
        <v>33</v>
      </c>
      <c r="AC926" s="4"/>
      <c r="AD926" s="10"/>
      <c r="AE926" s="13">
        <f>_xlfn.XLOOKUP(L926,'[1]ID PROJECT'!E:E,'[1]ID PROJECT'!F:F)</f>
        <v>0</v>
      </c>
      <c r="AF926" s="4"/>
      <c r="AG926" s="11"/>
    </row>
    <row r="927" spans="1:33" hidden="1">
      <c r="A927" s="4" t="s">
        <v>384</v>
      </c>
      <c r="B927" s="13" t="str">
        <f>_xlfn.XLOOKUP(J927,'Master Data 14-9-2026'!C:C,'Master Data 14-9-2026'!D:D)</f>
        <v>Andi Tenri Bali wx1507141</v>
      </c>
      <c r="D927" s="13" t="str">
        <f>_xlfn.XLOOKUP(J927,'Master Data 14-9-2026'!C:C,'Master Data 14-9-2026'!E:E)</f>
        <v>IOH</v>
      </c>
      <c r="F927" s="13"/>
      <c r="G927" s="4" t="s">
        <v>31</v>
      </c>
      <c r="H927" s="13" t="str">
        <f>_xlfn.XLOOKUP(J927,'Master Data 14-9-2026'!C:C,'Master Data 14-9-2026'!H:H)</f>
        <v>2026-09-01 - 2026-09-30</v>
      </c>
      <c r="I927" s="13" t="str">
        <f t="shared" si="15"/>
        <v>September</v>
      </c>
      <c r="J927" s="36" t="s">
        <v>2314</v>
      </c>
      <c r="K927" s="36" t="s">
        <v>2314</v>
      </c>
      <c r="M927" s="36" t="s">
        <v>2315</v>
      </c>
      <c r="N927" s="36" t="s">
        <v>924</v>
      </c>
      <c r="O927" s="36" t="s">
        <v>2260</v>
      </c>
      <c r="P927" s="36" t="s">
        <v>2261</v>
      </c>
      <c r="Q927" s="6">
        <v>26</v>
      </c>
      <c r="R927" s="6">
        <v>1</v>
      </c>
      <c r="S927" s="36" t="s">
        <v>2233</v>
      </c>
      <c r="T927" s="36" t="s">
        <v>951</v>
      </c>
      <c r="U927" s="8">
        <v>28881900</v>
      </c>
      <c r="V927" s="6">
        <v>1</v>
      </c>
      <c r="W927" s="18">
        <f>_xlfn.XLOOKUP(J927,'Master Data 14-9-2026'!C:C,'Master Data 14-9-2026'!L:L)</f>
        <v>0</v>
      </c>
      <c r="X927" s="20">
        <f t="shared" si="14"/>
        <v>28881900</v>
      </c>
      <c r="Y927" s="36" t="s">
        <v>2263</v>
      </c>
      <c r="Z927" s="36" t="s">
        <v>984</v>
      </c>
      <c r="AC927" s="4"/>
      <c r="AD927" s="10"/>
      <c r="AE927" s="13">
        <f>_xlfn.XLOOKUP(L927,'[1]ID PROJECT'!E:E,'[1]ID PROJECT'!F:F)</f>
        <v>0</v>
      </c>
      <c r="AF927" s="4"/>
      <c r="AG927" s="11"/>
    </row>
    <row r="928" spans="1:33" hidden="1">
      <c r="A928" s="4" t="s">
        <v>581</v>
      </c>
      <c r="B928" s="13" t="str">
        <f>_xlfn.XLOOKUP(J928,'Master Data 14-9-2026'!C:C,'Master Data 14-9-2026'!D:D)</f>
        <v>Tangguh Prihantoro wx1524147</v>
      </c>
      <c r="D928" s="13" t="str">
        <f>_xlfn.XLOOKUP(J928,'Master Data 14-9-2026'!C:C,'Master Data 14-9-2026'!E:E)</f>
        <v>IOH</v>
      </c>
      <c r="F928" s="13"/>
      <c r="G928" s="4" t="s">
        <v>25</v>
      </c>
      <c r="H928" s="13" t="str">
        <f>_xlfn.XLOOKUP(J928,'Master Data 14-9-2026'!C:C,'Master Data 14-9-2026'!H:H)</f>
        <v>2026-09-04 - 2026-10-03</v>
      </c>
      <c r="I928" s="13" t="str">
        <f t="shared" si="15"/>
        <v>September</v>
      </c>
      <c r="J928" s="36" t="s">
        <v>2316</v>
      </c>
      <c r="K928" s="36" t="s">
        <v>2316</v>
      </c>
      <c r="M928" s="36" t="s">
        <v>2317</v>
      </c>
      <c r="N928" s="36" t="s">
        <v>924</v>
      </c>
      <c r="O928" s="36" t="s">
        <v>2260</v>
      </c>
      <c r="P928" s="36" t="s">
        <v>2261</v>
      </c>
      <c r="Q928" s="6">
        <v>27</v>
      </c>
      <c r="R928" s="6">
        <v>1</v>
      </c>
      <c r="S928" s="36" t="s">
        <v>2266</v>
      </c>
      <c r="T928" s="36" t="s">
        <v>978</v>
      </c>
      <c r="U928" s="8">
        <v>32542400</v>
      </c>
      <c r="V928" s="6">
        <v>1</v>
      </c>
      <c r="W928" s="18">
        <f>_xlfn.XLOOKUP(J928,'Master Data 14-9-2026'!C:C,'Master Data 14-9-2026'!L:L)</f>
        <v>0.5</v>
      </c>
      <c r="X928" s="20">
        <f t="shared" si="14"/>
        <v>32542400</v>
      </c>
      <c r="Y928" s="36" t="s">
        <v>2263</v>
      </c>
      <c r="Z928" s="36" t="s">
        <v>984</v>
      </c>
      <c r="AC928" s="4"/>
      <c r="AD928" s="10"/>
      <c r="AE928" s="13">
        <f>_xlfn.XLOOKUP(L928,'[1]ID PROJECT'!E:E,'[1]ID PROJECT'!F:F)</f>
        <v>0</v>
      </c>
      <c r="AF928" s="4"/>
      <c r="AG928" s="11"/>
    </row>
    <row r="929" spans="1:35" hidden="1">
      <c r="A929" s="4" t="s">
        <v>568</v>
      </c>
      <c r="B929" s="13" t="str">
        <f>_xlfn.XLOOKUP(J929,'Master Data 14-9-2026'!C:C,'Master Data 14-9-2026'!D:D)</f>
        <v>Indra Setianto Nugroho wx1531572</v>
      </c>
      <c r="D929" s="13" t="str">
        <f>_xlfn.XLOOKUP(J929,'Master Data 14-9-2026'!C:C,'Master Data 14-9-2026'!E:E)</f>
        <v>IOH</v>
      </c>
      <c r="F929" s="13"/>
      <c r="G929" s="4" t="s">
        <v>22</v>
      </c>
      <c r="H929" s="13" t="str">
        <f>_xlfn.XLOOKUP(J929,'Master Data 14-9-2026'!C:C,'Master Data 14-9-2026'!H:H)</f>
        <v>2026-09-01 - 2026-09-30</v>
      </c>
      <c r="I929" s="13" t="str">
        <f t="shared" si="15"/>
        <v>September</v>
      </c>
      <c r="J929" s="36" t="s">
        <v>2318</v>
      </c>
      <c r="K929" s="36" t="s">
        <v>2318</v>
      </c>
      <c r="M929" s="36" t="s">
        <v>2319</v>
      </c>
      <c r="N929" s="36" t="s">
        <v>924</v>
      </c>
      <c r="O929" s="36" t="s">
        <v>2260</v>
      </c>
      <c r="P929" s="36" t="s">
        <v>2261</v>
      </c>
      <c r="Q929" s="6">
        <v>28</v>
      </c>
      <c r="R929" s="6">
        <v>1</v>
      </c>
      <c r="S929" s="36" t="s">
        <v>2266</v>
      </c>
      <c r="T929" s="36" t="s">
        <v>978</v>
      </c>
      <c r="U929" s="8">
        <v>32542400</v>
      </c>
      <c r="V929" s="6">
        <v>1</v>
      </c>
      <c r="W929" s="18">
        <f>_xlfn.XLOOKUP(J929,'Master Data 14-9-2026'!C:C,'Master Data 14-9-2026'!L:L)</f>
        <v>0.5</v>
      </c>
      <c r="X929" s="20">
        <f t="shared" si="14"/>
        <v>32542400</v>
      </c>
      <c r="Y929" s="36" t="s">
        <v>2263</v>
      </c>
      <c r="Z929" s="36" t="s">
        <v>984</v>
      </c>
      <c r="AC929" s="4"/>
      <c r="AD929" s="10"/>
      <c r="AE929" s="13">
        <f>_xlfn.XLOOKUP(L929,'[1]ID PROJECT'!E:E,'[1]ID PROJECT'!F:F)</f>
        <v>0</v>
      </c>
      <c r="AF929" s="4"/>
      <c r="AG929" s="11"/>
    </row>
    <row r="930" spans="1:35" hidden="1">
      <c r="A930" s="4" t="s">
        <v>153</v>
      </c>
      <c r="B930" s="13" t="str">
        <f>_xlfn.XLOOKUP(J930,'Master Data 14-9-2026'!C:C,'Master Data 14-9-2026'!D:D)</f>
        <v>Zamilah Maulidiana wx1503509</v>
      </c>
      <c r="D930" s="13" t="str">
        <f>_xlfn.XLOOKUP(J930,'Master Data 14-9-2026'!C:C,'Master Data 14-9-2026'!E:E)</f>
        <v>Platform Region</v>
      </c>
      <c r="F930" s="13"/>
      <c r="G930" s="4" t="s">
        <v>31</v>
      </c>
      <c r="H930" s="13" t="str">
        <f>_xlfn.XLOOKUP(J930,'Master Data 14-9-2026'!C:C,'Master Data 14-9-2026'!H:H)</f>
        <v>2026-09-01 - 2026-09-30</v>
      </c>
      <c r="I930" s="13" t="str">
        <f t="shared" si="15"/>
        <v>September</v>
      </c>
      <c r="J930" s="36" t="s">
        <v>2320</v>
      </c>
      <c r="K930" s="36" t="s">
        <v>2320</v>
      </c>
      <c r="M930" s="36" t="s">
        <v>2321</v>
      </c>
      <c r="N930" s="36" t="s">
        <v>924</v>
      </c>
      <c r="O930" s="36" t="s">
        <v>2260</v>
      </c>
      <c r="P930" s="36" t="s">
        <v>2261</v>
      </c>
      <c r="Q930" s="6">
        <v>29</v>
      </c>
      <c r="R930" s="6">
        <v>1</v>
      </c>
      <c r="S930" s="36" t="s">
        <v>2233</v>
      </c>
      <c r="T930" s="36" t="s">
        <v>951</v>
      </c>
      <c r="U930" s="8">
        <v>28881900</v>
      </c>
      <c r="V930" s="6">
        <v>1</v>
      </c>
      <c r="W930" s="18">
        <f>_xlfn.XLOOKUP(J930,'Master Data 14-9-2026'!C:C,'Master Data 14-9-2026'!L:L)</f>
        <v>0.5</v>
      </c>
      <c r="X930" s="20">
        <f t="shared" si="14"/>
        <v>28881900</v>
      </c>
      <c r="Y930" s="36" t="s">
        <v>2263</v>
      </c>
      <c r="Z930" s="36" t="s">
        <v>984</v>
      </c>
      <c r="AC930" s="4"/>
      <c r="AD930" s="10"/>
      <c r="AE930" s="13">
        <f>_xlfn.XLOOKUP(L930,'[1]ID PROJECT'!E:E,'[1]ID PROJECT'!F:F)</f>
        <v>0</v>
      </c>
      <c r="AF930" s="4"/>
      <c r="AG930" s="11"/>
    </row>
    <row r="931" spans="1:35" hidden="1">
      <c r="A931" s="4" t="s">
        <v>606</v>
      </c>
      <c r="B931" s="13" t="str">
        <f>_xlfn.XLOOKUP(J931,'Master Data 14-9-2026'!C:C,'Master Data 14-9-2026'!D:D)</f>
        <v>Asep Yuliar Nugraha wx1526245</v>
      </c>
      <c r="D931" s="13" t="str">
        <f>_xlfn.XLOOKUP(J931,'Master Data 14-9-2026'!C:C,'Master Data 14-9-2026'!E:E)</f>
        <v>IOH</v>
      </c>
      <c r="F931" s="13"/>
      <c r="G931" s="4" t="s">
        <v>25</v>
      </c>
      <c r="H931" s="13" t="str">
        <f>_xlfn.XLOOKUP(J931,'Master Data 14-9-2026'!C:C,'Master Data 14-9-2026'!H:H)</f>
        <v>2026-09-05 - 2026-10-04</v>
      </c>
      <c r="I931" s="13" t="str">
        <f t="shared" si="15"/>
        <v>September</v>
      </c>
      <c r="J931" s="36" t="s">
        <v>2322</v>
      </c>
      <c r="K931" s="36" t="s">
        <v>2322</v>
      </c>
      <c r="M931" s="36" t="s">
        <v>2323</v>
      </c>
      <c r="N931" s="36" t="s">
        <v>924</v>
      </c>
      <c r="O931" s="36" t="s">
        <v>2260</v>
      </c>
      <c r="P931" s="36" t="s">
        <v>2261</v>
      </c>
      <c r="Q931" s="6">
        <v>30</v>
      </c>
      <c r="R931" s="6">
        <v>1</v>
      </c>
      <c r="S931" s="36" t="s">
        <v>2266</v>
      </c>
      <c r="T931" s="36" t="s">
        <v>978</v>
      </c>
      <c r="U931" s="8">
        <v>32542400</v>
      </c>
      <c r="V931" s="6">
        <v>1</v>
      </c>
      <c r="W931" s="18">
        <f>_xlfn.XLOOKUP(J931,'Master Data 14-9-2026'!C:C,'Master Data 14-9-2026'!L:L)</f>
        <v>0.5</v>
      </c>
      <c r="X931" s="20">
        <f t="shared" si="14"/>
        <v>32542400</v>
      </c>
      <c r="Y931" s="36" t="s">
        <v>2263</v>
      </c>
      <c r="Z931" s="36" t="s">
        <v>984</v>
      </c>
      <c r="AC931" s="4"/>
      <c r="AD931" s="10"/>
      <c r="AE931" s="13">
        <f>_xlfn.XLOOKUP(L931,'[1]ID PROJECT'!E:E,'[1]ID PROJECT'!F:F)</f>
        <v>0</v>
      </c>
      <c r="AF931" s="4"/>
      <c r="AG931" s="11"/>
    </row>
    <row r="932" spans="1:35" hidden="1">
      <c r="A932" s="4" t="s">
        <v>627</v>
      </c>
      <c r="B932" s="13" t="str">
        <f>_xlfn.XLOOKUP(J932,'Master Data 14-9-2026'!C:C,'Master Data 14-9-2026'!D:D)</f>
        <v>Irawan WX1530063</v>
      </c>
      <c r="D932" s="13" t="str">
        <f>_xlfn.XLOOKUP(J932,'Master Data 14-9-2026'!C:C,'Master Data 14-9-2026'!E:E)</f>
        <v>IOH</v>
      </c>
      <c r="F932" s="13"/>
      <c r="G932" s="4" t="s">
        <v>22</v>
      </c>
      <c r="H932" s="13" t="str">
        <f>_xlfn.XLOOKUP(J932,'Master Data 14-9-2026'!C:C,'Master Data 14-9-2026'!H:H)</f>
        <v>2026-08-26 - 2026-09-25</v>
      </c>
      <c r="I932" s="13" t="str">
        <f t="shared" si="15"/>
        <v>August</v>
      </c>
      <c r="J932" s="36" t="s">
        <v>2324</v>
      </c>
      <c r="K932" s="36" t="s">
        <v>2324</v>
      </c>
      <c r="M932" s="36" t="s">
        <v>2325</v>
      </c>
      <c r="N932" s="36" t="s">
        <v>924</v>
      </c>
      <c r="O932" s="36" t="s">
        <v>2260</v>
      </c>
      <c r="P932" s="36" t="s">
        <v>2261</v>
      </c>
      <c r="Q932" s="6">
        <v>31</v>
      </c>
      <c r="R932" s="6">
        <v>1</v>
      </c>
      <c r="S932" s="36" t="s">
        <v>2266</v>
      </c>
      <c r="T932" s="36" t="s">
        <v>978</v>
      </c>
      <c r="U932" s="8">
        <v>32542400</v>
      </c>
      <c r="V932" s="6">
        <v>1</v>
      </c>
      <c r="W932" s="18">
        <f>_xlfn.XLOOKUP(J932,'Master Data 14-9-2026'!C:C,'Master Data 14-9-2026'!L:L)</f>
        <v>0.5</v>
      </c>
      <c r="X932" s="20">
        <f t="shared" si="14"/>
        <v>32542400</v>
      </c>
      <c r="Y932" s="36" t="s">
        <v>2263</v>
      </c>
      <c r="Z932" s="36" t="s">
        <v>225</v>
      </c>
      <c r="AC932" s="4"/>
      <c r="AD932" s="10"/>
      <c r="AE932" s="13">
        <f>_xlfn.XLOOKUP(L932,'[1]ID PROJECT'!E:E,'[1]ID PROJECT'!F:F)</f>
        <v>0</v>
      </c>
      <c r="AF932" s="4"/>
      <c r="AG932" s="11"/>
    </row>
    <row r="933" spans="1:35" hidden="1">
      <c r="A933" s="4" t="s">
        <v>884</v>
      </c>
      <c r="B933" s="13" t="str">
        <f>_xlfn.XLOOKUP(J933,'Master Data 14-9-2026'!C:C,'Master Data 14-9-2026'!D:D)</f>
        <v>Kurnia Rahmawati wx1507140</v>
      </c>
      <c r="D933" s="13" t="str">
        <f>_xlfn.XLOOKUP(J933,'Master Data 14-9-2026'!C:C,'Master Data 14-9-2026'!E:E)</f>
        <v>IOH</v>
      </c>
      <c r="F933" s="13"/>
      <c r="G933" s="4" t="s">
        <v>31</v>
      </c>
      <c r="H933" s="13" t="str">
        <f>_xlfn.XLOOKUP(J933,'Master Data 14-9-2026'!C:C,'Master Data 14-9-2026'!H:H)</f>
        <v>2026-09-01 - 2026-09-30</v>
      </c>
      <c r="I933" s="13" t="str">
        <f t="shared" si="15"/>
        <v>September</v>
      </c>
      <c r="J933" s="36" t="s">
        <v>2326</v>
      </c>
      <c r="K933" s="36" t="s">
        <v>2326</v>
      </c>
      <c r="M933" s="36" t="s">
        <v>2327</v>
      </c>
      <c r="N933" s="36" t="s">
        <v>924</v>
      </c>
      <c r="O933" s="36" t="s">
        <v>2260</v>
      </c>
      <c r="P933" s="36" t="s">
        <v>2261</v>
      </c>
      <c r="Q933" s="6">
        <v>32</v>
      </c>
      <c r="R933" s="6">
        <v>1</v>
      </c>
      <c r="S933" s="36" t="s">
        <v>2262</v>
      </c>
      <c r="T933" s="36" t="s">
        <v>926</v>
      </c>
      <c r="U933" s="8">
        <v>34220600</v>
      </c>
      <c r="V933" s="6">
        <v>1</v>
      </c>
      <c r="W933" s="18">
        <f>_xlfn.XLOOKUP(J933,'Master Data 14-9-2026'!C:C,'Master Data 14-9-2026'!L:L)</f>
        <v>0</v>
      </c>
      <c r="X933" s="20">
        <f t="shared" si="14"/>
        <v>34220600</v>
      </c>
      <c r="Y933" s="36" t="s">
        <v>2263</v>
      </c>
      <c r="Z933" s="36" t="s">
        <v>984</v>
      </c>
      <c r="AC933" s="4"/>
      <c r="AD933" s="10"/>
      <c r="AE933" s="13">
        <f>_xlfn.XLOOKUP(L933,'[1]ID PROJECT'!E:E,'[1]ID PROJECT'!F:F)</f>
        <v>0</v>
      </c>
      <c r="AF933" s="4"/>
      <c r="AG933" s="11"/>
    </row>
    <row r="934" spans="1:35" hidden="1">
      <c r="A934" s="4" t="s">
        <v>572</v>
      </c>
      <c r="B934" s="13" t="str">
        <f>_xlfn.XLOOKUP(J934,'Master Data 14-9-2026'!C:C,'Master Data 14-9-2026'!D:D)</f>
        <v>SUHERDI HERI HERTANTO WX1529425</v>
      </c>
      <c r="D934" s="13" t="str">
        <f>_xlfn.XLOOKUP(J934,'Master Data 14-9-2026'!C:C,'Master Data 14-9-2026'!E:E)</f>
        <v>IOH</v>
      </c>
      <c r="F934" s="13"/>
      <c r="G934" s="4" t="s">
        <v>22</v>
      </c>
      <c r="H934" s="13" t="str">
        <f>_xlfn.XLOOKUP(J934,'Master Data 14-9-2026'!C:C,'Master Data 14-9-2026'!H:H)</f>
        <v>2026-08-23 - 2026-09-22</v>
      </c>
      <c r="I934" s="13" t="str">
        <f t="shared" si="15"/>
        <v>August</v>
      </c>
      <c r="J934" s="36" t="s">
        <v>2328</v>
      </c>
      <c r="K934" s="36" t="s">
        <v>2328</v>
      </c>
      <c r="M934" s="36" t="s">
        <v>2329</v>
      </c>
      <c r="N934" s="36" t="s">
        <v>924</v>
      </c>
      <c r="O934" s="36" t="s">
        <v>2260</v>
      </c>
      <c r="P934" s="36" t="s">
        <v>2261</v>
      </c>
      <c r="Q934" s="6">
        <v>33</v>
      </c>
      <c r="R934" s="6">
        <v>1</v>
      </c>
      <c r="S934" s="36" t="s">
        <v>2266</v>
      </c>
      <c r="T934" s="36" t="s">
        <v>978</v>
      </c>
      <c r="U934" s="8">
        <v>32542400</v>
      </c>
      <c r="V934" s="6">
        <v>1</v>
      </c>
      <c r="W934" s="18">
        <f>_xlfn.XLOOKUP(J934,'Master Data 14-9-2026'!C:C,'Master Data 14-9-2026'!L:L)</f>
        <v>0</v>
      </c>
      <c r="X934" s="20">
        <f t="shared" si="14"/>
        <v>32542400</v>
      </c>
      <c r="Y934" s="36" t="s">
        <v>2263</v>
      </c>
      <c r="Z934" s="36" t="s">
        <v>225</v>
      </c>
      <c r="AC934" s="4"/>
      <c r="AD934" s="10"/>
      <c r="AE934" s="13">
        <f>_xlfn.XLOOKUP(L934,'[1]ID PROJECT'!E:E,'[1]ID PROJECT'!F:F)</f>
        <v>0</v>
      </c>
      <c r="AF934" s="4"/>
      <c r="AG934" s="11"/>
    </row>
    <row r="935" spans="1:35" hidden="1">
      <c r="A935" s="4" t="s">
        <v>534</v>
      </c>
      <c r="B935" s="13" t="str">
        <f>_xlfn.XLOOKUP(J935,'Master Data 14-9-2026'!C:C,'Master Data 14-9-2026'!D:D)</f>
        <v>Risky Septiadi Hartono wx1503496</v>
      </c>
      <c r="D935" s="13" t="str">
        <f>_xlfn.XLOOKUP(J935,'Master Data 14-9-2026'!C:C,'Master Data 14-9-2026'!E:E)</f>
        <v>TELKOMSEL</v>
      </c>
      <c r="F935" s="13"/>
      <c r="G935" s="4" t="s">
        <v>31</v>
      </c>
      <c r="H935" s="13" t="str">
        <f>_xlfn.XLOOKUP(J935,'Master Data 14-9-2026'!C:C,'Master Data 14-9-2026'!H:H)</f>
        <v>2026-08-23 - 2026-09-22</v>
      </c>
      <c r="I935" s="13" t="str">
        <f t="shared" si="15"/>
        <v>August</v>
      </c>
      <c r="J935" s="36" t="s">
        <v>1993</v>
      </c>
      <c r="K935" s="36" t="s">
        <v>1993</v>
      </c>
      <c r="M935" s="36" t="s">
        <v>2330</v>
      </c>
      <c r="N935" s="36" t="s">
        <v>924</v>
      </c>
      <c r="O935" s="36" t="s">
        <v>2331</v>
      </c>
      <c r="P935" s="36" t="s">
        <v>2332</v>
      </c>
      <c r="Q935" s="6">
        <v>1</v>
      </c>
      <c r="R935" s="6">
        <v>1</v>
      </c>
      <c r="S935" s="36" t="s">
        <v>2289</v>
      </c>
      <c r="T935" s="36" t="s">
        <v>933</v>
      </c>
      <c r="U935" s="8">
        <v>36992000</v>
      </c>
      <c r="V935" s="6">
        <v>1</v>
      </c>
      <c r="W935" s="18">
        <f>_xlfn.XLOOKUP(J935,'Master Data 14-9-2026'!C:C,'Master Data 14-9-2026'!L:L)</f>
        <v>0.5</v>
      </c>
      <c r="X935" s="20">
        <f t="shared" si="14"/>
        <v>36992000</v>
      </c>
      <c r="Y935" s="36" t="s">
        <v>2263</v>
      </c>
      <c r="Z935" s="36" t="s">
        <v>225</v>
      </c>
      <c r="AC935" s="4"/>
      <c r="AD935" s="10"/>
      <c r="AE935" s="13">
        <f>_xlfn.XLOOKUP(L935,'[1]ID PROJECT'!E:E,'[1]ID PROJECT'!F:F)</f>
        <v>0</v>
      </c>
      <c r="AF935" s="4"/>
      <c r="AG935" s="11"/>
    </row>
    <row r="936" spans="1:35" hidden="1">
      <c r="A936" s="4" t="s">
        <v>439</v>
      </c>
      <c r="B936" s="13" t="str">
        <f>_xlfn.XLOOKUP(J936,'Master Data 14-9-2026'!C:C,'Master Data 14-9-2026'!D:D)</f>
        <v>Farizqi Anisah Nudhar wx1503972</v>
      </c>
      <c r="D936" s="13" t="str">
        <f>_xlfn.XLOOKUP(J936,'Master Data 14-9-2026'!C:C,'Master Data 14-9-2026'!E:E)</f>
        <v>TELKOMSEL</v>
      </c>
      <c r="F936" s="13"/>
      <c r="G936" s="4" t="s">
        <v>31</v>
      </c>
      <c r="H936" s="13" t="str">
        <f>_xlfn.XLOOKUP(J936,'Master Data 14-9-2026'!C:C,'Master Data 14-9-2026'!H:H)</f>
        <v>2026-08-30 - 2026-09-29</v>
      </c>
      <c r="I936" s="13" t="str">
        <f t="shared" si="15"/>
        <v>August</v>
      </c>
      <c r="J936" s="36" t="s">
        <v>2001</v>
      </c>
      <c r="K936" s="36" t="s">
        <v>2001</v>
      </c>
      <c r="M936" s="36" t="s">
        <v>2333</v>
      </c>
      <c r="N936" s="36" t="s">
        <v>924</v>
      </c>
      <c r="O936" s="36" t="s">
        <v>2334</v>
      </c>
      <c r="P936" s="36" t="s">
        <v>2335</v>
      </c>
      <c r="Q936" s="6">
        <v>1</v>
      </c>
      <c r="R936" s="6">
        <v>1</v>
      </c>
      <c r="S936" s="36" t="s">
        <v>2289</v>
      </c>
      <c r="T936" s="36" t="s">
        <v>933</v>
      </c>
      <c r="U936" s="8">
        <v>36992000</v>
      </c>
      <c r="V936" s="6">
        <v>1</v>
      </c>
      <c r="W936" s="18">
        <f>_xlfn.XLOOKUP(J936,'Master Data 14-9-2026'!C:C,'Master Data 14-9-2026'!L:L)</f>
        <v>0.78</v>
      </c>
      <c r="X936" s="20">
        <f t="shared" si="14"/>
        <v>36992000</v>
      </c>
      <c r="Y936" s="36" t="s">
        <v>2263</v>
      </c>
      <c r="Z936" s="36" t="s">
        <v>984</v>
      </c>
      <c r="AC936" s="4"/>
      <c r="AD936" s="10"/>
      <c r="AE936" s="13">
        <f>_xlfn.XLOOKUP(L936,'[1]ID PROJECT'!E:E,'[1]ID PROJECT'!F:F)</f>
        <v>0</v>
      </c>
      <c r="AF936" s="4"/>
      <c r="AG936" s="11"/>
    </row>
    <row r="937" spans="1:35" hidden="1">
      <c r="A937" s="4" t="s">
        <v>756</v>
      </c>
      <c r="B937" s="13" t="str">
        <f>_xlfn.XLOOKUP(J937,'Master Data 14-9-2026'!C:C,'Master Data 14-9-2026'!D:D)</f>
        <v>Triana Sukeci wx1503625</v>
      </c>
      <c r="D937" s="13" t="str">
        <f>_xlfn.XLOOKUP(J937,'Master Data 14-9-2026'!C:C,'Master Data 14-9-2026'!E:E)</f>
        <v>TELKOMSEL</v>
      </c>
      <c r="F937" s="13"/>
      <c r="G937" s="4" t="s">
        <v>31</v>
      </c>
      <c r="H937" s="13" t="str">
        <f>_xlfn.XLOOKUP(J937,'Master Data 14-9-2026'!C:C,'Master Data 14-9-2026'!H:H)</f>
        <v>2026-08-27 - 2026-09-26</v>
      </c>
      <c r="I937" s="13" t="str">
        <f t="shared" si="15"/>
        <v>August</v>
      </c>
      <c r="J937" s="36" t="s">
        <v>1985</v>
      </c>
      <c r="K937" s="36" t="s">
        <v>1985</v>
      </c>
      <c r="M937" s="36" t="s">
        <v>2336</v>
      </c>
      <c r="N937" s="36" t="s">
        <v>924</v>
      </c>
      <c r="O937" s="36" t="s">
        <v>2337</v>
      </c>
      <c r="P937" s="36" t="s">
        <v>2338</v>
      </c>
      <c r="Q937" s="6">
        <v>1</v>
      </c>
      <c r="R937" s="6">
        <v>1</v>
      </c>
      <c r="S937" s="36" t="s">
        <v>2262</v>
      </c>
      <c r="T937" s="36" t="s">
        <v>926</v>
      </c>
      <c r="U937" s="8">
        <v>34220600</v>
      </c>
      <c r="V937" s="6">
        <v>1</v>
      </c>
      <c r="W937" s="18">
        <f>_xlfn.XLOOKUP(J937,'Master Data 14-9-2026'!C:C,'Master Data 14-9-2026'!L:L)</f>
        <v>0</v>
      </c>
      <c r="X937" s="20">
        <f t="shared" si="14"/>
        <v>34220600</v>
      </c>
      <c r="Y937" s="36" t="s">
        <v>2263</v>
      </c>
      <c r="Z937" s="36" t="s">
        <v>225</v>
      </c>
      <c r="AC937" s="4"/>
      <c r="AD937" s="10"/>
      <c r="AE937" s="13">
        <f>_xlfn.XLOOKUP(L937,'[1]ID PROJECT'!E:E,'[1]ID PROJECT'!F:F)</f>
        <v>0</v>
      </c>
      <c r="AF937" s="4"/>
      <c r="AG937" s="11"/>
    </row>
    <row r="938" spans="1:35" hidden="1">
      <c r="A938" s="4" t="s">
        <v>625</v>
      </c>
      <c r="B938" s="13" t="str">
        <f>_xlfn.XLOOKUP(J938,'Master Data 14-9-2026'!C:C,'Master Data 14-9-2026'!D:D)</f>
        <v>Iwan Syafaat WX1531019</v>
      </c>
      <c r="D938" s="13" t="str">
        <f>_xlfn.XLOOKUP(J938,'Master Data 14-9-2026'!C:C,'Master Data 14-9-2026'!E:E)</f>
        <v>TELKOMSEL</v>
      </c>
      <c r="F938" s="13"/>
      <c r="G938" s="4" t="s">
        <v>22</v>
      </c>
      <c r="H938" s="13" t="str">
        <f>_xlfn.XLOOKUP(J938,'Master Data 14-9-2026'!C:C,'Master Data 14-9-2026'!H:H)</f>
        <v>2026-08-29 - 2026-09-28</v>
      </c>
      <c r="I938" s="13" t="str">
        <f t="shared" si="15"/>
        <v>August</v>
      </c>
      <c r="J938" s="36" t="s">
        <v>1977</v>
      </c>
      <c r="K938" s="36" t="s">
        <v>1977</v>
      </c>
      <c r="M938" s="36" t="s">
        <v>2339</v>
      </c>
      <c r="N938" s="36" t="s">
        <v>924</v>
      </c>
      <c r="O938" s="36" t="s">
        <v>2340</v>
      </c>
      <c r="P938" s="36" t="s">
        <v>2341</v>
      </c>
      <c r="Q938" s="6">
        <v>1</v>
      </c>
      <c r="R938" s="6">
        <v>1</v>
      </c>
      <c r="S938" s="36" t="s">
        <v>2266</v>
      </c>
      <c r="T938" s="36" t="s">
        <v>978</v>
      </c>
      <c r="U938" s="8">
        <v>32542400</v>
      </c>
      <c r="V938" s="6">
        <v>1</v>
      </c>
      <c r="W938" s="18">
        <f>_xlfn.XLOOKUP(J938,'Master Data 14-9-2026'!C:C,'Master Data 14-9-2026'!L:L)</f>
        <v>0.5</v>
      </c>
      <c r="X938" s="20">
        <f t="shared" si="14"/>
        <v>32542400</v>
      </c>
      <c r="Y938" s="36" t="s">
        <v>2263</v>
      </c>
      <c r="Z938" s="36" t="s">
        <v>984</v>
      </c>
      <c r="AC938" s="4"/>
      <c r="AD938" s="10"/>
      <c r="AE938" s="13">
        <f>_xlfn.XLOOKUP(L938,'[1]ID PROJECT'!E:E,'[1]ID PROJECT'!F:F)</f>
        <v>0</v>
      </c>
      <c r="AF938" s="4"/>
      <c r="AG938" s="11"/>
    </row>
    <row r="939" spans="1:35" hidden="1">
      <c r="A939" s="4" t="s">
        <v>466</v>
      </c>
      <c r="B939" s="13" t="str">
        <f>_xlfn.XLOOKUP(J939,'Master Data 14-9-2026'!C:C,'Master Data 14-9-2026'!D:D)</f>
        <v>Makarias Lindon Sihombing wx1503643</v>
      </c>
      <c r="D939" s="13" t="str">
        <f>_xlfn.XLOOKUP(J939,'Master Data 14-9-2026'!C:C,'Master Data 14-9-2026'!E:E)</f>
        <v>TELKOMSEL</v>
      </c>
      <c r="F939" s="13"/>
      <c r="G939" s="4" t="s">
        <v>28</v>
      </c>
      <c r="H939" s="13" t="str">
        <f>_xlfn.XLOOKUP(J939,'Master Data 14-9-2026'!C:C,'Master Data 14-9-2026'!H:H)</f>
        <v>2026-08-01 - 2026-08-31</v>
      </c>
      <c r="I939" s="13" t="str">
        <f t="shared" si="15"/>
        <v>August</v>
      </c>
      <c r="J939" s="36" t="s">
        <v>1971</v>
      </c>
      <c r="K939" s="36" t="s">
        <v>1971</v>
      </c>
      <c r="M939" s="36" t="s">
        <v>2342</v>
      </c>
      <c r="N939" s="36" t="s">
        <v>924</v>
      </c>
      <c r="O939" s="36" t="s">
        <v>2343</v>
      </c>
      <c r="P939" s="36" t="s">
        <v>2344</v>
      </c>
      <c r="Q939" s="6">
        <v>1</v>
      </c>
      <c r="R939" s="6">
        <v>1</v>
      </c>
      <c r="S939" s="36" t="s">
        <v>2289</v>
      </c>
      <c r="T939" s="36" t="s">
        <v>933</v>
      </c>
      <c r="U939" s="8">
        <v>36992000</v>
      </c>
      <c r="V939" s="6">
        <v>1</v>
      </c>
      <c r="W939" s="18">
        <f>_xlfn.XLOOKUP(J939,'Master Data 14-9-2026'!C:C,'Master Data 14-9-2026'!L:L)</f>
        <v>1.5</v>
      </c>
      <c r="X939" s="20">
        <f t="shared" si="14"/>
        <v>36992000</v>
      </c>
      <c r="Y939" s="36" t="s">
        <v>2263</v>
      </c>
      <c r="Z939" s="36" t="s">
        <v>33</v>
      </c>
      <c r="AC939" s="4"/>
      <c r="AD939" s="10"/>
      <c r="AE939" s="13">
        <f>_xlfn.XLOOKUP(L939,'[1]ID PROJECT'!E:E,'[1]ID PROJECT'!F:F)</f>
        <v>0</v>
      </c>
      <c r="AF939" s="4"/>
      <c r="AG939" s="11"/>
    </row>
    <row r="940" spans="1:35">
      <c r="A940" s="4" t="s">
        <v>766</v>
      </c>
      <c r="B940" s="13" t="str">
        <f>_xlfn.XLOOKUP(J940,'Master Data 14-9-2026'!C:C,'Master Data 14-9-2026'!D:D)</f>
        <v>Slamet Riyanto wx1503652</v>
      </c>
      <c r="D940" s="13" t="str">
        <f>_xlfn.XLOOKUP(J940,'Master Data 14-9-2026'!C:C,'Master Data 14-9-2026'!E:E)</f>
        <v>TELKOMSEL</v>
      </c>
      <c r="F940" s="13"/>
      <c r="G940" s="4" t="s">
        <v>28</v>
      </c>
      <c r="H940" s="13" t="str">
        <f>_xlfn.XLOOKUP(J940,'Master Data 14-9-2026'!C:C,'Master Data 14-9-2026'!H:H)</f>
        <v>2026-08-01 - 2026-08-31</v>
      </c>
      <c r="I940" s="13" t="str">
        <f t="shared" si="15"/>
        <v>August</v>
      </c>
      <c r="J940" s="36" t="s">
        <v>1991</v>
      </c>
      <c r="K940" s="37" t="s">
        <v>1991</v>
      </c>
      <c r="L940" s="13" t="s">
        <v>468</v>
      </c>
      <c r="M940" s="36" t="s">
        <v>2345</v>
      </c>
      <c r="N940" s="36" t="s">
        <v>924</v>
      </c>
      <c r="O940" s="36" t="s">
        <v>2346</v>
      </c>
      <c r="P940" s="36" t="s">
        <v>2347</v>
      </c>
      <c r="Q940" s="6">
        <v>1</v>
      </c>
      <c r="R940" s="6">
        <v>1</v>
      </c>
      <c r="S940" s="36" t="s">
        <v>2262</v>
      </c>
      <c r="T940" s="36" t="s">
        <v>926</v>
      </c>
      <c r="U940" s="8">
        <v>34220600</v>
      </c>
      <c r="V940" s="6">
        <v>1</v>
      </c>
      <c r="W940" s="18">
        <f>_xlfn.XLOOKUP(J940,'Master Data 14-9-2026'!C:C,'Master Data 14-9-2026'!L:L)</f>
        <v>1</v>
      </c>
      <c r="X940" s="20">
        <f t="shared" si="14"/>
        <v>34220600</v>
      </c>
      <c r="Y940" s="36" t="s">
        <v>2263</v>
      </c>
      <c r="Z940" s="24" t="str">
        <f>_xlfn.XLOOKUP(J940,'Master Data 14-9-2026'!C:C,'Master Data 14-9-2026'!I:I)</f>
        <v>Ended</v>
      </c>
      <c r="AA940" s="39" t="s">
        <v>934</v>
      </c>
      <c r="AC940" s="4"/>
      <c r="AD940" s="42" t="s">
        <v>935</v>
      </c>
      <c r="AE940" s="13" t="str">
        <f>_xlfn.XLOOKUP(L940,'[1]ID PROJECT'!E:E,'[1]ID PROJECT'!F:F)</f>
        <v>PRJ-KUT-KPU-TPED-2026-04-00075</v>
      </c>
      <c r="AF940" s="39" t="s">
        <v>3389</v>
      </c>
      <c r="AG940" s="11" t="s">
        <v>4127</v>
      </c>
      <c r="AH940" s="66">
        <v>46275</v>
      </c>
      <c r="AI940" s="39" t="s">
        <v>967</v>
      </c>
    </row>
    <row r="941" spans="1:35" hidden="1">
      <c r="A941" s="4" t="s">
        <v>489</v>
      </c>
      <c r="B941" s="13" t="str">
        <f>_xlfn.XLOOKUP(J941,'Master Data 14-9-2026'!C:C,'Master Data 14-9-2026'!D:D)</f>
        <v>Alvin Ramadhan wx1507288</v>
      </c>
      <c r="D941" s="13" t="str">
        <f>_xlfn.XLOOKUP(J941,'Master Data 14-9-2026'!C:C,'Master Data 14-9-2026'!E:E)</f>
        <v>TELKOMSEL</v>
      </c>
      <c r="F941" s="13"/>
      <c r="G941" s="4" t="s">
        <v>28</v>
      </c>
      <c r="H941" s="13" t="str">
        <f>_xlfn.XLOOKUP(J941,'Master Data 14-9-2026'!C:C,'Master Data 14-9-2026'!H:H)</f>
        <v>2026-08-01 - 2026-08-31</v>
      </c>
      <c r="I941" s="13" t="str">
        <f t="shared" si="15"/>
        <v>August</v>
      </c>
      <c r="J941" s="36" t="s">
        <v>1969</v>
      </c>
      <c r="K941" s="36" t="s">
        <v>1969</v>
      </c>
      <c r="M941" s="36" t="s">
        <v>2348</v>
      </c>
      <c r="N941" s="36" t="s">
        <v>924</v>
      </c>
      <c r="O941" s="36" t="s">
        <v>2349</v>
      </c>
      <c r="P941" s="36" t="s">
        <v>2350</v>
      </c>
      <c r="Q941" s="6">
        <v>1</v>
      </c>
      <c r="R941" s="6">
        <v>1</v>
      </c>
      <c r="S941" s="36" t="s">
        <v>2289</v>
      </c>
      <c r="T941" s="36" t="s">
        <v>933</v>
      </c>
      <c r="U941" s="8">
        <v>36992000</v>
      </c>
      <c r="V941" s="6">
        <v>1</v>
      </c>
      <c r="W941" s="18">
        <f>_xlfn.XLOOKUP(J941,'Master Data 14-9-2026'!C:C,'Master Data 14-9-2026'!L:L)</f>
        <v>1.5</v>
      </c>
      <c r="X941" s="20">
        <f t="shared" si="14"/>
        <v>36992000</v>
      </c>
      <c r="Y941" s="36" t="s">
        <v>2263</v>
      </c>
      <c r="Z941" s="36" t="s">
        <v>33</v>
      </c>
      <c r="AC941" s="4"/>
      <c r="AD941" s="10"/>
      <c r="AE941" s="13">
        <f>_xlfn.XLOOKUP(L941,'[1]ID PROJECT'!E:E,'[1]ID PROJECT'!F:F)</f>
        <v>0</v>
      </c>
      <c r="AF941" s="4"/>
      <c r="AG941" s="11"/>
    </row>
    <row r="942" spans="1:35" hidden="1">
      <c r="A942" s="4" t="s">
        <v>788</v>
      </c>
      <c r="B942" s="13" t="str">
        <f>_xlfn.XLOOKUP(J942,'Master Data 14-9-2026'!C:C,'Master Data 14-9-2026'!D:D)</f>
        <v>Andrew Ardella Abdullah wx1503970</v>
      </c>
      <c r="D942" s="13" t="str">
        <f>_xlfn.XLOOKUP(J942,'Master Data 14-9-2026'!C:C,'Master Data 14-9-2026'!E:E)</f>
        <v>TELKOMSEL</v>
      </c>
      <c r="F942" s="13"/>
      <c r="G942" s="4" t="s">
        <v>31</v>
      </c>
      <c r="H942" s="13" t="str">
        <f>_xlfn.XLOOKUP(J942,'Master Data 14-9-2026'!C:C,'Master Data 14-9-2026'!H:H)</f>
        <v>2026-08-26 - 2026-09-25</v>
      </c>
      <c r="I942" s="13" t="str">
        <f t="shared" si="15"/>
        <v>August</v>
      </c>
      <c r="J942" s="36" t="s">
        <v>1967</v>
      </c>
      <c r="K942" s="36" t="s">
        <v>1967</v>
      </c>
      <c r="M942" s="36" t="s">
        <v>2351</v>
      </c>
      <c r="N942" s="36" t="s">
        <v>924</v>
      </c>
      <c r="O942" s="36" t="s">
        <v>2352</v>
      </c>
      <c r="P942" s="36" t="s">
        <v>2353</v>
      </c>
      <c r="Q942" s="6">
        <v>1</v>
      </c>
      <c r="R942" s="6">
        <v>1</v>
      </c>
      <c r="S942" s="36" t="s">
        <v>2262</v>
      </c>
      <c r="T942" s="36" t="s">
        <v>926</v>
      </c>
      <c r="U942" s="8">
        <v>34220600</v>
      </c>
      <c r="V942" s="6">
        <v>1</v>
      </c>
      <c r="W942" s="18">
        <f>_xlfn.XLOOKUP(J942,'Master Data 14-9-2026'!C:C,'Master Data 14-9-2026'!L:L)</f>
        <v>0</v>
      </c>
      <c r="X942" s="20">
        <f t="shared" si="14"/>
        <v>34220600</v>
      </c>
      <c r="Y942" s="36" t="s">
        <v>2263</v>
      </c>
      <c r="Z942" s="36" t="s">
        <v>225</v>
      </c>
      <c r="AC942" s="4"/>
      <c r="AD942" s="10"/>
      <c r="AE942" s="13">
        <f>_xlfn.XLOOKUP(L942,'[1]ID PROJECT'!E:E,'[1]ID PROJECT'!F:F)</f>
        <v>0</v>
      </c>
      <c r="AF942" s="4"/>
      <c r="AG942" s="11"/>
    </row>
    <row r="943" spans="1:35" hidden="1">
      <c r="A943" s="4" t="s">
        <v>482</v>
      </c>
      <c r="B943" s="13" t="str">
        <f>_xlfn.XLOOKUP(J943,'Master Data 14-9-2026'!C:C,'Master Data 14-9-2026'!D:D)</f>
        <v>Adhelina Zulfiana wx1505386</v>
      </c>
      <c r="D943" s="13" t="str">
        <f>_xlfn.XLOOKUP(J943,'Master Data 14-9-2026'!C:C,'Master Data 14-9-2026'!E:E)</f>
        <v>Platform DMD</v>
      </c>
      <c r="F943" s="13"/>
      <c r="G943" s="4" t="s">
        <v>25</v>
      </c>
      <c r="H943" s="13" t="str">
        <f>_xlfn.XLOOKUP(J943,'Master Data 14-9-2026'!C:C,'Master Data 14-9-2026'!H:H)</f>
        <v>2026-06-30 - 2026-07-29</v>
      </c>
      <c r="I943" s="13" t="str">
        <f t="shared" si="15"/>
        <v>June</v>
      </c>
      <c r="J943" s="36" t="s">
        <v>1995</v>
      </c>
      <c r="K943" s="36" t="s">
        <v>1995</v>
      </c>
      <c r="M943" s="36" t="s">
        <v>2354</v>
      </c>
      <c r="N943" s="36" t="s">
        <v>924</v>
      </c>
      <c r="O943" s="36" t="s">
        <v>2355</v>
      </c>
      <c r="P943" s="36" t="s">
        <v>2356</v>
      </c>
      <c r="Q943" s="6">
        <v>1</v>
      </c>
      <c r="R943" s="6">
        <v>1</v>
      </c>
      <c r="S943" s="36" t="s">
        <v>2289</v>
      </c>
      <c r="T943" s="36" t="s">
        <v>933</v>
      </c>
      <c r="U943" s="8">
        <v>36992000</v>
      </c>
      <c r="V943" s="6">
        <v>1</v>
      </c>
      <c r="W943" s="18">
        <f>_xlfn.XLOOKUP(J943,'Master Data 14-9-2026'!C:C,'Master Data 14-9-2026'!L:L)</f>
        <v>1.1000000000000001</v>
      </c>
      <c r="X943" s="20">
        <f t="shared" si="14"/>
        <v>36992000</v>
      </c>
      <c r="Y943" s="36" t="s">
        <v>2263</v>
      </c>
      <c r="Z943" s="24" t="str">
        <f>_xlfn.XLOOKUP(J943,'Master Data 14-9-2026'!C:C,'Master Data 14-9-2026'!I:I)</f>
        <v>Ended</v>
      </c>
      <c r="AC943" s="4"/>
      <c r="AD943" s="10"/>
      <c r="AE943" s="13">
        <f>_xlfn.XLOOKUP(L943,'[1]ID PROJECT'!E:E,'[1]ID PROJECT'!F:F)</f>
        <v>0</v>
      </c>
      <c r="AF943" s="4"/>
      <c r="AG943" s="11"/>
    </row>
    <row r="944" spans="1:35" hidden="1">
      <c r="A944" s="4" t="s">
        <v>888</v>
      </c>
      <c r="B944" s="13" t="str">
        <f>_xlfn.XLOOKUP(J944,'Master Data 14-9-2026'!C:C,'Master Data 14-9-2026'!D:D)</f>
        <v>Fikri Fanani Lubis wx1539345</v>
      </c>
      <c r="D944" s="13" t="str">
        <f>_xlfn.XLOOKUP(J944,'Master Data 14-9-2026'!C:C,'Master Data 14-9-2026'!E:E)</f>
        <v>TELKOMSEL</v>
      </c>
      <c r="F944" s="13"/>
      <c r="G944" s="4" t="s">
        <v>13</v>
      </c>
      <c r="H944" s="13" t="str">
        <f>_xlfn.XLOOKUP(J944,'Master Data 14-9-2026'!C:C,'Master Data 14-9-2026'!H:H)</f>
        <v>2026-08-03 - 2026-09-02</v>
      </c>
      <c r="I944" s="13" t="str">
        <f t="shared" si="15"/>
        <v>August</v>
      </c>
      <c r="J944" s="36" t="s">
        <v>2005</v>
      </c>
      <c r="K944" s="36" t="s">
        <v>2005</v>
      </c>
      <c r="L944" s="13" t="s">
        <v>441</v>
      </c>
      <c r="M944" s="36" t="s">
        <v>2357</v>
      </c>
      <c r="N944" s="36" t="s">
        <v>924</v>
      </c>
      <c r="O944" s="36" t="s">
        <v>2358</v>
      </c>
      <c r="P944" s="36" t="s">
        <v>2359</v>
      </c>
      <c r="Q944" s="6">
        <v>1</v>
      </c>
      <c r="R944" s="6">
        <v>1</v>
      </c>
      <c r="S944" s="36" t="s">
        <v>2262</v>
      </c>
      <c r="T944" s="36" t="s">
        <v>926</v>
      </c>
      <c r="U944" s="8">
        <v>34220600</v>
      </c>
      <c r="V944" s="6">
        <v>1</v>
      </c>
      <c r="W944" s="18">
        <f>_xlfn.XLOOKUP(J944,'Master Data 14-9-2026'!C:C,'Master Data 14-9-2026'!L:L)</f>
        <v>0</v>
      </c>
      <c r="X944" s="20">
        <f t="shared" si="14"/>
        <v>34220600</v>
      </c>
      <c r="Y944" s="36" t="s">
        <v>2263</v>
      </c>
      <c r="Z944" s="36" t="s">
        <v>33</v>
      </c>
      <c r="AB944" s="13" t="s">
        <v>1116</v>
      </c>
      <c r="AC944" s="4"/>
      <c r="AD944" s="10"/>
      <c r="AE944" s="13" t="str">
        <f>_xlfn.XLOOKUP(L944,'[1]ID PROJECT'!E:E,'[1]ID PROJECT'!F:F)</f>
        <v xml:space="preserve">PRJ-KUT-KPU-TPED-2026-04-00071 </v>
      </c>
      <c r="AF944" s="4"/>
      <c r="AG944" s="11"/>
    </row>
    <row r="945" spans="1:35">
      <c r="A945" s="4" t="s">
        <v>779</v>
      </c>
      <c r="B945" s="13" t="str">
        <f>_xlfn.XLOOKUP(J945,'Master Data 14-9-2026'!C:C,'Master Data 14-9-2026'!D:D)</f>
        <v>Kristina Tambunan wx1517408</v>
      </c>
      <c r="D945" s="13" t="str">
        <f>_xlfn.XLOOKUP(J945,'Master Data 14-9-2026'!C:C,'Master Data 14-9-2026'!E:E)</f>
        <v>TELKOMSEL</v>
      </c>
      <c r="F945" s="13"/>
      <c r="G945" s="4" t="s">
        <v>25</v>
      </c>
      <c r="H945" s="13" t="str">
        <f>_xlfn.XLOOKUP(J945,'Master Data 14-9-2026'!C:C,'Master Data 14-9-2026'!H:H)</f>
        <v>2026-08-05 - 2026-09-04</v>
      </c>
      <c r="I945" s="13" t="str">
        <f t="shared" si="15"/>
        <v>August</v>
      </c>
      <c r="J945" s="36" t="s">
        <v>1979</v>
      </c>
      <c r="K945" s="36" t="s">
        <v>1979</v>
      </c>
      <c r="L945" s="49" t="s">
        <v>441</v>
      </c>
      <c r="M945" s="36" t="s">
        <v>2360</v>
      </c>
      <c r="N945" s="36" t="s">
        <v>924</v>
      </c>
      <c r="O945" s="36" t="s">
        <v>2361</v>
      </c>
      <c r="P945" s="36" t="s">
        <v>2362</v>
      </c>
      <c r="Q945" s="6">
        <v>1</v>
      </c>
      <c r="R945" s="6">
        <v>1</v>
      </c>
      <c r="S945" s="36" t="s">
        <v>2262</v>
      </c>
      <c r="T945" s="36" t="s">
        <v>926</v>
      </c>
      <c r="U945" s="8">
        <v>34220600</v>
      </c>
      <c r="V945" s="6">
        <v>1</v>
      </c>
      <c r="W945" s="18">
        <f>_xlfn.XLOOKUP(J945,'Master Data 14-9-2026'!C:C,'Master Data 14-9-2026'!L:L)</f>
        <v>1</v>
      </c>
      <c r="X945" s="20">
        <f t="shared" si="14"/>
        <v>34220600</v>
      </c>
      <c r="Y945" s="36" t="s">
        <v>2263</v>
      </c>
      <c r="Z945" s="24" t="str">
        <f>_xlfn.XLOOKUP(J945,'Master Data 14-9-2026'!C:C,'Master Data 14-9-2026'!I:I)</f>
        <v>Ended</v>
      </c>
      <c r="AA945" s="39" t="s">
        <v>934</v>
      </c>
      <c r="AC945" s="4"/>
      <c r="AD945" s="42" t="s">
        <v>935</v>
      </c>
      <c r="AE945" s="13" t="str">
        <f>_xlfn.XLOOKUP(L945,'[1]ID PROJECT'!E:E,'[1]ID PROJECT'!F:F)</f>
        <v xml:space="preserve">PRJ-KUT-KPU-TPED-2026-04-00071 </v>
      </c>
      <c r="AF945" s="39" t="s">
        <v>4137</v>
      </c>
      <c r="AG945" s="11" t="s">
        <v>4166</v>
      </c>
      <c r="AH945" s="65">
        <v>46279</v>
      </c>
      <c r="AI945" s="41" t="s">
        <v>967</v>
      </c>
    </row>
    <row r="946" spans="1:35" hidden="1">
      <c r="A946" s="4" t="s">
        <v>644</v>
      </c>
      <c r="B946" s="13" t="str">
        <f>_xlfn.XLOOKUP(J946,'Master Data 14-9-2026'!C:C,'Master Data 14-9-2026'!D:D)</f>
        <v>Dzakiy Dzakwan wx1532899</v>
      </c>
      <c r="D946" s="13" t="str">
        <f>_xlfn.XLOOKUP(J946,'Master Data 14-9-2026'!C:C,'Master Data 14-9-2026'!E:E)</f>
        <v>TELKOMSEL</v>
      </c>
      <c r="F946" s="13"/>
      <c r="G946" s="13" t="s">
        <v>13</v>
      </c>
      <c r="H946" s="13" t="str">
        <f>_xlfn.XLOOKUP(J946,'Master Data 14-9-2026'!C:C,'Master Data 14-9-2026'!H:H)</f>
        <v>2026-07-06 - 2026-08-05</v>
      </c>
      <c r="I946" s="13" t="str">
        <f t="shared" si="15"/>
        <v>July</v>
      </c>
      <c r="J946" s="36" t="s">
        <v>1963</v>
      </c>
      <c r="K946" s="36" t="s">
        <v>1963</v>
      </c>
      <c r="M946" s="36" t="s">
        <v>2363</v>
      </c>
      <c r="N946" s="36" t="s">
        <v>924</v>
      </c>
      <c r="O946" s="36" t="s">
        <v>2364</v>
      </c>
      <c r="P946" s="36" t="s">
        <v>2365</v>
      </c>
      <c r="Q946" s="6">
        <v>1</v>
      </c>
      <c r="R946" s="6">
        <v>1</v>
      </c>
      <c r="S946" s="36" t="s">
        <v>2266</v>
      </c>
      <c r="T946" s="36" t="s">
        <v>978</v>
      </c>
      <c r="U946" s="8">
        <v>32542400</v>
      </c>
      <c r="V946" s="6">
        <v>1</v>
      </c>
      <c r="W946" s="18">
        <f>_xlfn.XLOOKUP(J946,'Master Data 14-9-2026'!C:C,'Master Data 14-9-2026'!L:L)</f>
        <v>0.5</v>
      </c>
      <c r="X946" s="20">
        <f t="shared" si="14"/>
        <v>32542400</v>
      </c>
      <c r="Y946" s="36" t="s">
        <v>2263</v>
      </c>
      <c r="Z946" s="36" t="s">
        <v>15</v>
      </c>
      <c r="AA946" s="4" t="s">
        <v>1288</v>
      </c>
      <c r="AB946" s="13" t="s">
        <v>1289</v>
      </c>
      <c r="AC946" s="4"/>
      <c r="AD946" s="10"/>
      <c r="AE946" s="13">
        <f>_xlfn.XLOOKUP(L946,'[1]ID PROJECT'!E:E,'[1]ID PROJECT'!F:F)</f>
        <v>0</v>
      </c>
      <c r="AF946" s="4"/>
      <c r="AG946" s="11"/>
    </row>
    <row r="947" spans="1:35" hidden="1">
      <c r="A947" s="4" t="s">
        <v>644</v>
      </c>
      <c r="B947" s="13" t="str">
        <f>_xlfn.XLOOKUP(J947,'Master Data 14-9-2026'!C:C,'Master Data 14-9-2026'!D:D)</f>
        <v>Dzakiy Dzakwan wx1532899</v>
      </c>
      <c r="D947" s="13" t="str">
        <f>_xlfn.XLOOKUP(J947,'Master Data 14-9-2026'!C:C,'Master Data 14-9-2026'!E:E)</f>
        <v>TELKOMSEL</v>
      </c>
      <c r="F947" s="13"/>
      <c r="G947" s="4" t="s">
        <v>18</v>
      </c>
      <c r="H947" s="13" t="str">
        <f>_xlfn.XLOOKUP(J947,'Master Data 14-9-2026'!C:C,'Master Data 14-9-2026'!H:H)</f>
        <v>2026-08-06 - 2026-09-05</v>
      </c>
      <c r="I947" s="13" t="str">
        <f t="shared" si="15"/>
        <v>August</v>
      </c>
      <c r="J947" s="36" t="s">
        <v>1965</v>
      </c>
      <c r="K947" s="36" t="s">
        <v>1965</v>
      </c>
      <c r="M947" s="36" t="s">
        <v>2366</v>
      </c>
      <c r="N947" s="36" t="s">
        <v>924</v>
      </c>
      <c r="O947" s="36" t="s">
        <v>2367</v>
      </c>
      <c r="P947" s="36" t="s">
        <v>2368</v>
      </c>
      <c r="Q947" s="6">
        <v>1</v>
      </c>
      <c r="R947" s="6">
        <v>1</v>
      </c>
      <c r="S947" s="36" t="s">
        <v>2266</v>
      </c>
      <c r="T947" s="36" t="s">
        <v>978</v>
      </c>
      <c r="U947" s="8">
        <v>32542400</v>
      </c>
      <c r="V947" s="6">
        <v>1</v>
      </c>
      <c r="W947" s="18">
        <f>_xlfn.XLOOKUP(J947,'Master Data 14-9-2026'!C:C,'Master Data 14-9-2026'!L:L)</f>
        <v>0.5</v>
      </c>
      <c r="X947" s="20">
        <f t="shared" si="14"/>
        <v>32542400</v>
      </c>
      <c r="Y947" s="36" t="s">
        <v>2263</v>
      </c>
      <c r="Z947" s="36" t="s">
        <v>33</v>
      </c>
      <c r="AC947" s="4"/>
      <c r="AD947" s="10"/>
      <c r="AE947" s="13">
        <f>_xlfn.XLOOKUP(L947,'[1]ID PROJECT'!E:E,'[1]ID PROJECT'!F:F)</f>
        <v>0</v>
      </c>
      <c r="AF947" s="4"/>
      <c r="AG947" s="11"/>
    </row>
    <row r="948" spans="1:35" hidden="1">
      <c r="A948" s="4" t="s">
        <v>754</v>
      </c>
      <c r="B948" s="13" t="str">
        <f>_xlfn.XLOOKUP(J948,'Master Data 14-9-2026'!C:C,'Master Data 14-9-2026'!D:D)</f>
        <v>Hasbi Arbi Nugroho wx1524103</v>
      </c>
      <c r="D948" s="13" t="str">
        <f>_xlfn.XLOOKUP(J948,'Master Data 14-9-2026'!C:C,'Master Data 14-9-2026'!E:E)</f>
        <v>XLSMART</v>
      </c>
      <c r="F948" s="13"/>
      <c r="G948" s="4" t="s">
        <v>22</v>
      </c>
      <c r="H948" s="13" t="str">
        <f>_xlfn.XLOOKUP(J948,'Master Data 14-9-2026'!C:C,'Master Data 14-9-2026'!H:H)</f>
        <v>2026-08-02 - 2026-09-01</v>
      </c>
      <c r="I948" s="13" t="str">
        <f t="shared" si="15"/>
        <v>August</v>
      </c>
      <c r="J948" s="36" t="s">
        <v>2369</v>
      </c>
      <c r="K948" s="36" t="s">
        <v>2370</v>
      </c>
      <c r="L948" s="49" t="s">
        <v>468</v>
      </c>
      <c r="M948" s="36" t="s">
        <v>2371</v>
      </c>
      <c r="N948" s="36" t="s">
        <v>924</v>
      </c>
      <c r="O948" s="36" t="s">
        <v>2372</v>
      </c>
      <c r="P948" s="36" t="s">
        <v>2373</v>
      </c>
      <c r="Q948" s="6">
        <v>1</v>
      </c>
      <c r="R948" s="6">
        <v>1</v>
      </c>
      <c r="S948" s="36" t="s">
        <v>2262</v>
      </c>
      <c r="T948" s="36" t="s">
        <v>926</v>
      </c>
      <c r="U948" s="8">
        <v>34220600</v>
      </c>
      <c r="V948" s="6">
        <v>1</v>
      </c>
      <c r="W948" s="18">
        <f>_xlfn.XLOOKUP(J948,'Master Data 14-9-2026'!C:C,'Master Data 14-9-2026'!L:L)</f>
        <v>1</v>
      </c>
      <c r="X948" s="20">
        <v>34220600</v>
      </c>
      <c r="Y948" s="36" t="s">
        <v>2374</v>
      </c>
      <c r="Z948" s="24" t="str">
        <f>_xlfn.XLOOKUP(J948,'Master Data 14-9-2026'!C:C,'Master Data 14-9-2026'!I:I)</f>
        <v>Ended</v>
      </c>
      <c r="AB948" s="39" t="s">
        <v>3402</v>
      </c>
      <c r="AD948" s="13"/>
      <c r="AG948" s="4"/>
    </row>
    <row r="949" spans="1:35" hidden="1">
      <c r="A949" s="4" t="s">
        <v>754</v>
      </c>
      <c r="B949" s="13" t="str">
        <f>_xlfn.XLOOKUP(J949,'Master Data 14-9-2026'!C:C,'Master Data 14-9-2026'!D:D)</f>
        <v>Hasbi Arbi Nugroho wx1524103</v>
      </c>
      <c r="D949" s="13" t="str">
        <f>_xlfn.XLOOKUP(J949,'Master Data 14-9-2026'!C:C,'Master Data 14-9-2026'!E:E)</f>
        <v>XLSMART</v>
      </c>
      <c r="F949" s="13"/>
      <c r="G949" s="4" t="s">
        <v>25</v>
      </c>
      <c r="H949" s="13" t="str">
        <f>_xlfn.XLOOKUP(J949,'Master Data 14-9-2026'!C:C,'Master Data 14-9-2026'!H:H)</f>
        <v>2026-09-02 - 2026-10-01</v>
      </c>
      <c r="I949" s="13" t="str">
        <f t="shared" si="15"/>
        <v>September</v>
      </c>
      <c r="J949" s="36" t="s">
        <v>2375</v>
      </c>
      <c r="K949" s="36" t="s">
        <v>2370</v>
      </c>
      <c r="M949" s="36" t="s">
        <v>2376</v>
      </c>
      <c r="N949" s="36" t="s">
        <v>924</v>
      </c>
      <c r="O949" s="36" t="s">
        <v>2372</v>
      </c>
      <c r="P949" s="36" t="s">
        <v>2373</v>
      </c>
      <c r="Q949" s="6">
        <v>2</v>
      </c>
      <c r="R949" s="6">
        <v>1</v>
      </c>
      <c r="S949" s="36" t="s">
        <v>2262</v>
      </c>
      <c r="T949" s="36" t="s">
        <v>926</v>
      </c>
      <c r="U949" s="8">
        <v>34220600</v>
      </c>
      <c r="V949" s="6">
        <v>1</v>
      </c>
      <c r="W949" s="18">
        <f>_xlfn.XLOOKUP(J949,'Master Data 14-9-2026'!C:C,'Master Data 14-9-2026'!L:L)</f>
        <v>0.57999999999999996</v>
      </c>
      <c r="X949" s="20">
        <v>34220600</v>
      </c>
      <c r="Y949" s="36" t="s">
        <v>2374</v>
      </c>
      <c r="Z949" s="36" t="s">
        <v>984</v>
      </c>
      <c r="AD949" s="13"/>
      <c r="AG949" s="4"/>
    </row>
    <row r="950" spans="1:35" hidden="1">
      <c r="A950" s="35" t="s">
        <v>2377</v>
      </c>
      <c r="B950" s="13" t="str">
        <f>_xlfn.XLOOKUP(J950,'Master Data 14-9-2026'!C:C,'Master Data 14-9-2026'!D:D)</f>
        <v>Arsetyo wx1507094</v>
      </c>
      <c r="D950" s="13" t="str">
        <f>_xlfn.XLOOKUP(J950,'Master Data 14-9-2026'!C:C,'Master Data 14-9-2026'!E:E)</f>
        <v>TELKOM</v>
      </c>
      <c r="F950" s="13"/>
      <c r="H950" s="13" t="str">
        <f>_xlfn.XLOOKUP(J950,'Master Data 14-9-2026'!C:C,'Master Data 14-9-2026'!H:H)</f>
        <v>2026-07-01 - 2026-07-31</v>
      </c>
      <c r="I950" s="13" t="str">
        <f t="shared" si="15"/>
        <v>July</v>
      </c>
      <c r="J950" s="35" t="s">
        <v>2377</v>
      </c>
      <c r="K950" s="35" t="s">
        <v>931</v>
      </c>
      <c r="M950" s="35" t="s">
        <v>2378</v>
      </c>
      <c r="N950" s="35" t="s">
        <v>924</v>
      </c>
      <c r="O950" s="35" t="s">
        <v>2379</v>
      </c>
      <c r="P950" s="35" t="s">
        <v>2380</v>
      </c>
      <c r="Q950" s="38">
        <v>1</v>
      </c>
      <c r="R950" s="38">
        <v>1</v>
      </c>
      <c r="S950" s="35" t="s">
        <v>2289</v>
      </c>
      <c r="T950" s="35" t="s">
        <v>933</v>
      </c>
      <c r="U950" s="38">
        <v>36992000</v>
      </c>
      <c r="V950" s="38">
        <v>1</v>
      </c>
      <c r="W950" s="18">
        <f>_xlfn.XLOOKUP(J950,'Master Data 14-9-2026'!C:C,'Master Data 14-9-2026'!L:L)</f>
        <v>0</v>
      </c>
      <c r="X950" s="20">
        <f t="shared" ref="X950:X1013" si="16">V950*U950</f>
        <v>36992000</v>
      </c>
      <c r="Y950" s="35" t="s">
        <v>2381</v>
      </c>
      <c r="AG950" s="4"/>
    </row>
    <row r="951" spans="1:35" hidden="1">
      <c r="A951" s="35" t="s">
        <v>2382</v>
      </c>
      <c r="B951" s="13" t="str">
        <f>_xlfn.XLOOKUP(J951,'Master Data 14-9-2026'!C:C,'Master Data 14-9-2026'!D:D)</f>
        <v>Rifqi Adytia Fauzan wx1507719</v>
      </c>
      <c r="D951" s="13" t="str">
        <f>_xlfn.XLOOKUP(J951,'Master Data 14-9-2026'!C:C,'Master Data 14-9-2026'!E:E)</f>
        <v>TELKOM</v>
      </c>
      <c r="F951" s="13"/>
      <c r="G951" s="39" t="s">
        <v>25</v>
      </c>
      <c r="H951" s="13" t="str">
        <f>_xlfn.XLOOKUP(J951,'Master Data 14-9-2026'!C:C,'Master Data 14-9-2026'!H:H)</f>
        <v>2026-07-01 - 2026-07-31</v>
      </c>
      <c r="I951" s="13" t="str">
        <f t="shared" si="15"/>
        <v>July</v>
      </c>
      <c r="J951" s="35" t="s">
        <v>2382</v>
      </c>
      <c r="K951" s="35" t="s">
        <v>931</v>
      </c>
      <c r="L951" s="13" t="str">
        <f>_xlfn.XLOOKUP(J951,'Master Data 14-9-2026'!C:C,'Master Data 14-9-2026'!F:F)</f>
        <v>HQ</v>
      </c>
      <c r="M951" s="35" t="s">
        <v>2383</v>
      </c>
      <c r="N951" s="35" t="s">
        <v>924</v>
      </c>
      <c r="O951" s="35" t="s">
        <v>2379</v>
      </c>
      <c r="P951" s="35" t="s">
        <v>2380</v>
      </c>
      <c r="Q951" s="38">
        <v>2</v>
      </c>
      <c r="R951" s="38">
        <v>1</v>
      </c>
      <c r="S951" s="35" t="s">
        <v>2289</v>
      </c>
      <c r="T951" s="35" t="s">
        <v>933</v>
      </c>
      <c r="U951" s="38">
        <v>36992000</v>
      </c>
      <c r="V951" s="38">
        <v>1</v>
      </c>
      <c r="W951" s="18">
        <f>_xlfn.XLOOKUP(J951,'Master Data 14-9-2026'!C:C,'Master Data 14-9-2026'!L:L)</f>
        <v>1</v>
      </c>
      <c r="X951" s="20">
        <f t="shared" si="16"/>
        <v>36992000</v>
      </c>
      <c r="Y951" s="35" t="s">
        <v>2381</v>
      </c>
      <c r="Z951" s="24" t="str">
        <f>_xlfn.XLOOKUP(J951,Master_Data_Productivity[Kolom1],Master_Data_Productivity[Period Status])</f>
        <v>Ended</v>
      </c>
      <c r="AB951" s="39" t="s">
        <v>1502</v>
      </c>
      <c r="AG951" s="4"/>
    </row>
    <row r="952" spans="1:35" hidden="1">
      <c r="A952" s="35" t="s">
        <v>2384</v>
      </c>
      <c r="B952" s="13" t="e">
        <f>_xlfn.XLOOKUP(J952,'Master Data 14-9-2026'!C:C,'Master Data 14-9-2026'!D:D)</f>
        <v>#N/A</v>
      </c>
      <c r="D952" s="13" t="e">
        <f>_xlfn.XLOOKUP(J952,'Master Data 14-9-2026'!C:C,'Master Data 14-9-2026'!E:E)</f>
        <v>#N/A</v>
      </c>
      <c r="F952" s="13"/>
      <c r="H952" s="13" t="e">
        <f>_xlfn.XLOOKUP(J952,'Master Data 14-9-2026'!C:C,'Master Data 14-9-2026'!H:H)</f>
        <v>#N/A</v>
      </c>
      <c r="I952" s="13" t="e">
        <f t="shared" si="15"/>
        <v>#N/A</v>
      </c>
      <c r="J952" s="35" t="s">
        <v>2384</v>
      </c>
      <c r="K952" s="35" t="s">
        <v>931</v>
      </c>
      <c r="M952" s="35" t="s">
        <v>2385</v>
      </c>
      <c r="N952" s="35" t="s">
        <v>924</v>
      </c>
      <c r="O952" s="35" t="s">
        <v>2379</v>
      </c>
      <c r="P952" s="35" t="s">
        <v>2380</v>
      </c>
      <c r="Q952" s="38">
        <v>3</v>
      </c>
      <c r="R952" s="38">
        <v>1</v>
      </c>
      <c r="S952" s="35" t="s">
        <v>2289</v>
      </c>
      <c r="T952" s="35" t="s">
        <v>933</v>
      </c>
      <c r="U952" s="38">
        <v>36992000</v>
      </c>
      <c r="V952" s="38">
        <v>1</v>
      </c>
      <c r="W952" s="18" t="e">
        <f>_xlfn.XLOOKUP(J952,'Master Data 14-9-2026'!C:C,'Master Data 14-9-2026'!L:L)</f>
        <v>#N/A</v>
      </c>
      <c r="X952" s="20">
        <f t="shared" si="16"/>
        <v>36992000</v>
      </c>
      <c r="Y952" s="35" t="s">
        <v>2381</v>
      </c>
      <c r="AG952" s="4"/>
    </row>
    <row r="953" spans="1:35" hidden="1">
      <c r="A953" s="35" t="s">
        <v>2386</v>
      </c>
      <c r="B953" s="13" t="str">
        <f>_xlfn.XLOOKUP(J953,'Master Data 14-9-2026'!C:C,'Master Data 14-9-2026'!D:D)</f>
        <v>Qotrunada Alam Cendaki wx1535691</v>
      </c>
      <c r="D953" s="13" t="str">
        <f>_xlfn.XLOOKUP(J953,'Master Data 14-9-2026'!C:C,'Master Data 14-9-2026'!E:E)</f>
        <v>TDE Cikarang</v>
      </c>
      <c r="F953" s="13"/>
      <c r="H953" s="13" t="str">
        <f>_xlfn.XLOOKUP(J953,'Master Data 14-9-2026'!C:C,'Master Data 14-9-2026'!H:H)</f>
        <v>2026-07-15 - 2026-08-14</v>
      </c>
      <c r="I953" s="13" t="str">
        <f t="shared" si="15"/>
        <v>July</v>
      </c>
      <c r="J953" s="35" t="s">
        <v>2386</v>
      </c>
      <c r="K953" s="35" t="s">
        <v>2386</v>
      </c>
      <c r="M953" s="35" t="s">
        <v>2387</v>
      </c>
      <c r="N953" s="35" t="s">
        <v>924</v>
      </c>
      <c r="O953" s="35" t="s">
        <v>2388</v>
      </c>
      <c r="P953" s="35" t="s">
        <v>2389</v>
      </c>
      <c r="Q953" s="38">
        <v>1</v>
      </c>
      <c r="R953" s="38">
        <v>1</v>
      </c>
      <c r="S953" s="35" t="s">
        <v>2289</v>
      </c>
      <c r="T953" s="35" t="s">
        <v>933</v>
      </c>
      <c r="U953" s="38">
        <v>36992000</v>
      </c>
      <c r="V953" s="38">
        <v>1</v>
      </c>
      <c r="W953" s="18">
        <f>_xlfn.XLOOKUP(J953,'Master Data 14-9-2026'!C:C,'Master Data 14-9-2026'!L:L)</f>
        <v>0</v>
      </c>
      <c r="X953" s="20">
        <f t="shared" si="16"/>
        <v>36992000</v>
      </c>
      <c r="Y953" s="35" t="s">
        <v>2390</v>
      </c>
      <c r="AG953" s="4"/>
    </row>
    <row r="954" spans="1:35" hidden="1">
      <c r="A954" s="35" t="s">
        <v>2391</v>
      </c>
      <c r="B954" s="13" t="str">
        <f>_xlfn.XLOOKUP(J954,'Master Data 14-9-2026'!C:C,'Master Data 14-9-2026'!D:D)</f>
        <v>Nita Widyastuti wx1533451</v>
      </c>
      <c r="D954" s="13" t="str">
        <f>_xlfn.XLOOKUP(J954,'Master Data 14-9-2026'!C:C,'Master Data 14-9-2026'!E:E)</f>
        <v>Indodata</v>
      </c>
      <c r="F954" s="13"/>
      <c r="H954" s="13" t="str">
        <f>_xlfn.XLOOKUP(J954,'Master Data 14-9-2026'!C:C,'Master Data 14-9-2026'!H:H)</f>
        <v>2026-07-06 - 2026-08-05</v>
      </c>
      <c r="I954" s="13" t="str">
        <f t="shared" si="15"/>
        <v>July</v>
      </c>
      <c r="J954" s="35" t="s">
        <v>2391</v>
      </c>
      <c r="K954" s="35" t="s">
        <v>2391</v>
      </c>
      <c r="M954" s="35" t="s">
        <v>2392</v>
      </c>
      <c r="N954" s="35" t="s">
        <v>924</v>
      </c>
      <c r="O954" s="35" t="s">
        <v>2393</v>
      </c>
      <c r="P954" s="35" t="s">
        <v>2394</v>
      </c>
      <c r="Q954" s="38">
        <v>1</v>
      </c>
      <c r="R954" s="38">
        <v>1</v>
      </c>
      <c r="S954" s="35" t="s">
        <v>2289</v>
      </c>
      <c r="T954" s="35" t="s">
        <v>933</v>
      </c>
      <c r="U954" s="38">
        <v>36992000</v>
      </c>
      <c r="V954" s="38">
        <v>1</v>
      </c>
      <c r="W954" s="18">
        <f>_xlfn.XLOOKUP(J954,'Master Data 14-9-2026'!C:C,'Master Data 14-9-2026'!L:L)</f>
        <v>0</v>
      </c>
      <c r="X954" s="20">
        <f t="shared" si="16"/>
        <v>36992000</v>
      </c>
      <c r="Y954" s="35" t="s">
        <v>2390</v>
      </c>
      <c r="AG954" s="4"/>
    </row>
    <row r="955" spans="1:35" hidden="1">
      <c r="A955" s="35" t="s">
        <v>2395</v>
      </c>
      <c r="B955" s="13" t="str">
        <f>_xlfn.XLOOKUP(J955,'Master Data 14-9-2026'!C:C,'Master Data 14-9-2026'!D:D)</f>
        <v>Titis Purwasari wx1541083</v>
      </c>
      <c r="D955" s="13" t="str">
        <f>_xlfn.XLOOKUP(J955,'Master Data 14-9-2026'!C:C,'Master Data 14-9-2026'!E:E)</f>
        <v>INP Data Center</v>
      </c>
      <c r="F955" s="13"/>
      <c r="H955" s="13" t="str">
        <f>_xlfn.XLOOKUP(J955,'Master Data 14-9-2026'!C:C,'Master Data 14-9-2026'!H:H)</f>
        <v>2026-09-06 - 2026-10-05</v>
      </c>
      <c r="I955" s="13" t="str">
        <f t="shared" si="15"/>
        <v>September</v>
      </c>
      <c r="J955" s="35" t="s">
        <v>2395</v>
      </c>
      <c r="K955" s="35" t="s">
        <v>2395</v>
      </c>
      <c r="M955" s="35" t="s">
        <v>2396</v>
      </c>
      <c r="N955" s="35" t="s">
        <v>924</v>
      </c>
      <c r="O955" s="35" t="s">
        <v>2397</v>
      </c>
      <c r="P955" s="35" t="s">
        <v>2398</v>
      </c>
      <c r="Q955" s="38">
        <v>1</v>
      </c>
      <c r="R955" s="38">
        <v>1</v>
      </c>
      <c r="S955" s="35" t="s">
        <v>2233</v>
      </c>
      <c r="T955" s="35" t="s">
        <v>951</v>
      </c>
      <c r="U955" s="38">
        <v>28881900</v>
      </c>
      <c r="V955" s="38">
        <v>1</v>
      </c>
      <c r="W955" s="18">
        <f>_xlfn.XLOOKUP(J955,'Master Data 14-9-2026'!C:C,'Master Data 14-9-2026'!L:L)</f>
        <v>0</v>
      </c>
      <c r="X955" s="20">
        <f t="shared" si="16"/>
        <v>28881900</v>
      </c>
      <c r="Y955" s="35" t="s">
        <v>2390</v>
      </c>
      <c r="AE955" s="4" t="s">
        <v>2399</v>
      </c>
      <c r="AG955" s="4"/>
    </row>
    <row r="956" spans="1:35" hidden="1">
      <c r="A956" s="35" t="s">
        <v>2400</v>
      </c>
      <c r="B956" s="13" t="str">
        <f>_xlfn.XLOOKUP(J956,'Master Data 14-9-2026'!C:C,'Master Data 14-9-2026'!D:D)</f>
        <v>Qotrunada Alam Cendaki wx1535691</v>
      </c>
      <c r="D956" s="13" t="str">
        <f>_xlfn.XLOOKUP(J956,'Master Data 14-9-2026'!C:C,'Master Data 14-9-2026'!E:E)</f>
        <v>TDE Cikarang</v>
      </c>
      <c r="F956" s="13"/>
      <c r="H956" s="13" t="str">
        <f>_xlfn.XLOOKUP(J956,'Master Data 14-9-2026'!C:C,'Master Data 14-9-2026'!H:H)</f>
        <v>2026-08-15 - 2026-09-14</v>
      </c>
      <c r="I956" s="13" t="str">
        <f t="shared" si="15"/>
        <v>August</v>
      </c>
      <c r="J956" s="35" t="s">
        <v>2400</v>
      </c>
      <c r="K956" s="35" t="s">
        <v>2400</v>
      </c>
      <c r="M956" s="35" t="s">
        <v>2401</v>
      </c>
      <c r="N956" s="35" t="s">
        <v>924</v>
      </c>
      <c r="O956" s="35" t="s">
        <v>2402</v>
      </c>
      <c r="P956" s="35" t="s">
        <v>2403</v>
      </c>
      <c r="Q956" s="38">
        <v>1</v>
      </c>
      <c r="R956" s="38">
        <v>1</v>
      </c>
      <c r="S956" s="35" t="s">
        <v>2289</v>
      </c>
      <c r="T956" s="35" t="s">
        <v>933</v>
      </c>
      <c r="U956" s="38">
        <v>36992000</v>
      </c>
      <c r="V956" s="38">
        <v>1</v>
      </c>
      <c r="W956" s="18">
        <f>_xlfn.XLOOKUP(J956,'Master Data 14-9-2026'!C:C,'Master Data 14-9-2026'!L:L)</f>
        <v>0</v>
      </c>
      <c r="X956" s="20">
        <f t="shared" si="16"/>
        <v>36992000</v>
      </c>
      <c r="Y956" s="35" t="s">
        <v>2390</v>
      </c>
      <c r="AG956" s="4"/>
    </row>
    <row r="957" spans="1:35" hidden="1">
      <c r="A957" s="35" t="s">
        <v>2404</v>
      </c>
      <c r="B957" s="13" t="str">
        <f>_xlfn.XLOOKUP(J957,'Master Data 14-9-2026'!C:C,'Master Data 14-9-2026'!D:D)</f>
        <v>Nita Widyastuti wx1533451</v>
      </c>
      <c r="D957" s="13" t="str">
        <f>_xlfn.XLOOKUP(J957,'Master Data 14-9-2026'!C:C,'Master Data 14-9-2026'!E:E)</f>
        <v>Indodata</v>
      </c>
      <c r="F957" s="13"/>
      <c r="H957" s="13" t="str">
        <f>_xlfn.XLOOKUP(J957,'Master Data 14-9-2026'!C:C,'Master Data 14-9-2026'!H:H)</f>
        <v>2026-08-06 - 2026-09-05</v>
      </c>
      <c r="I957" s="13" t="str">
        <f t="shared" si="15"/>
        <v>August</v>
      </c>
      <c r="J957" s="35" t="s">
        <v>2404</v>
      </c>
      <c r="K957" s="35" t="s">
        <v>2404</v>
      </c>
      <c r="M957" s="35" t="s">
        <v>2405</v>
      </c>
      <c r="N957" s="35" t="s">
        <v>924</v>
      </c>
      <c r="O957" s="35" t="s">
        <v>2406</v>
      </c>
      <c r="P957" s="35" t="s">
        <v>2407</v>
      </c>
      <c r="Q957" s="38">
        <v>1</v>
      </c>
      <c r="R957" s="38">
        <v>1</v>
      </c>
      <c r="S957" s="35" t="s">
        <v>2289</v>
      </c>
      <c r="T957" s="35" t="s">
        <v>933</v>
      </c>
      <c r="U957" s="38">
        <v>36992000</v>
      </c>
      <c r="V957" s="38">
        <v>1</v>
      </c>
      <c r="W957" s="18">
        <f>_xlfn.XLOOKUP(J957,'Master Data 14-9-2026'!C:C,'Master Data 14-9-2026'!L:L)</f>
        <v>0</v>
      </c>
      <c r="X957" s="20">
        <f t="shared" si="16"/>
        <v>36992000</v>
      </c>
      <c r="Y957" s="35" t="s">
        <v>2390</v>
      </c>
      <c r="AG957" s="4"/>
    </row>
    <row r="958" spans="1:35" hidden="1">
      <c r="A958" s="35" t="s">
        <v>2408</v>
      </c>
      <c r="B958" s="13" t="str">
        <f>_xlfn.XLOOKUP(J958,'Master Data 14-9-2026'!C:C,'Master Data 14-9-2026'!D:D)</f>
        <v>Titis Purwasari wx1541083</v>
      </c>
      <c r="D958" s="13" t="str">
        <f>_xlfn.XLOOKUP(J958,'Master Data 14-9-2026'!C:C,'Master Data 14-9-2026'!E:E)</f>
        <v>INP Data Center</v>
      </c>
      <c r="F958" s="13"/>
      <c r="H958" s="13" t="str">
        <f>_xlfn.XLOOKUP(J958,'Master Data 14-9-2026'!C:C,'Master Data 14-9-2026'!H:H)</f>
        <v>2026-08-06 - 2026-09-05</v>
      </c>
      <c r="I958" s="13" t="str">
        <f t="shared" si="15"/>
        <v>August</v>
      </c>
      <c r="J958" s="35" t="s">
        <v>2408</v>
      </c>
      <c r="K958" s="35" t="s">
        <v>2408</v>
      </c>
      <c r="M958" s="35" t="s">
        <v>2409</v>
      </c>
      <c r="N958" s="35" t="s">
        <v>924</v>
      </c>
      <c r="O958" s="35" t="s">
        <v>2410</v>
      </c>
      <c r="P958" s="35" t="s">
        <v>2411</v>
      </c>
      <c r="Q958" s="38">
        <v>1</v>
      </c>
      <c r="R958" s="38">
        <v>1</v>
      </c>
      <c r="S958" s="35" t="s">
        <v>2233</v>
      </c>
      <c r="T958" s="35" t="s">
        <v>951</v>
      </c>
      <c r="U958" s="38">
        <v>28881900</v>
      </c>
      <c r="V958" s="38">
        <v>1</v>
      </c>
      <c r="W958" s="18">
        <f>_xlfn.XLOOKUP(J958,'Master Data 14-9-2026'!C:C,'Master Data 14-9-2026'!L:L)</f>
        <v>0</v>
      </c>
      <c r="X958" s="20">
        <f t="shared" si="16"/>
        <v>28881900</v>
      </c>
      <c r="Y958" s="35" t="s">
        <v>2390</v>
      </c>
      <c r="AG958" s="4"/>
    </row>
    <row r="959" spans="1:35" hidden="1">
      <c r="A959" s="35" t="s">
        <v>2412</v>
      </c>
      <c r="B959" s="13" t="str">
        <f>_xlfn.XLOOKUP(J959,'Master Data 14-9-2026'!C:C,'Master Data 14-9-2026'!D:D)</f>
        <v>Ajis Alamsyah WX1530244</v>
      </c>
      <c r="D959" s="13" t="str">
        <f>_xlfn.XLOOKUP(J959,'Master Data 14-9-2026'!C:C,'Master Data 14-9-2026'!E:E)</f>
        <v>Surge</v>
      </c>
      <c r="F959" s="13"/>
      <c r="H959" s="13" t="str">
        <f>_xlfn.XLOOKUP(J959,'Master Data 14-9-2026'!C:C,'Master Data 14-9-2026'!H:H)</f>
        <v>2026-06-29 - 2026-07-28</v>
      </c>
      <c r="I959" s="13" t="str">
        <f t="shared" si="15"/>
        <v>June</v>
      </c>
      <c r="J959" s="35" t="s">
        <v>2412</v>
      </c>
      <c r="K959" s="35" t="s">
        <v>2412</v>
      </c>
      <c r="M959" s="35" t="s">
        <v>2413</v>
      </c>
      <c r="N959" s="35" t="s">
        <v>924</v>
      </c>
      <c r="O959" s="35" t="s">
        <v>2414</v>
      </c>
      <c r="P959" s="35" t="s">
        <v>2415</v>
      </c>
      <c r="Q959" s="38">
        <v>1</v>
      </c>
      <c r="R959" s="38">
        <v>1</v>
      </c>
      <c r="S959" s="35" t="s">
        <v>2266</v>
      </c>
      <c r="T959" s="35" t="s">
        <v>978</v>
      </c>
      <c r="U959" s="38">
        <v>32542400</v>
      </c>
      <c r="V959" s="38">
        <v>1</v>
      </c>
      <c r="W959" s="18">
        <f>_xlfn.XLOOKUP(J959,'Master Data 14-9-2026'!C:C,'Master Data 14-9-2026'!L:L)</f>
        <v>0</v>
      </c>
      <c r="X959" s="20">
        <f t="shared" si="16"/>
        <v>32542400</v>
      </c>
      <c r="Y959" s="35" t="s">
        <v>2390</v>
      </c>
      <c r="AG959" s="4"/>
    </row>
    <row r="960" spans="1:35" hidden="1">
      <c r="A960" s="35" t="s">
        <v>2416</v>
      </c>
      <c r="B960" s="13" t="str">
        <f>_xlfn.XLOOKUP(J960,'Master Data 14-9-2026'!C:C,'Master Data 14-9-2026'!D:D)</f>
        <v>Ajis Alamsyah WX1530244</v>
      </c>
      <c r="D960" s="13" t="str">
        <f>_xlfn.XLOOKUP(J960,'Master Data 14-9-2026'!C:C,'Master Data 14-9-2026'!E:E)</f>
        <v>Surge</v>
      </c>
      <c r="F960" s="13"/>
      <c r="H960" s="13" t="str">
        <f>_xlfn.XLOOKUP(J960,'Master Data 14-9-2026'!C:C,'Master Data 14-9-2026'!H:H)</f>
        <v>2026-07-29 - 2026-08-28</v>
      </c>
      <c r="I960" s="13" t="str">
        <f t="shared" si="15"/>
        <v>July</v>
      </c>
      <c r="J960" s="35" t="s">
        <v>2416</v>
      </c>
      <c r="K960" s="35" t="s">
        <v>2416</v>
      </c>
      <c r="M960" s="35" t="s">
        <v>2417</v>
      </c>
      <c r="N960" s="35" t="s">
        <v>924</v>
      </c>
      <c r="O960" s="35" t="s">
        <v>2414</v>
      </c>
      <c r="P960" s="35" t="s">
        <v>2415</v>
      </c>
      <c r="Q960" s="38">
        <v>2</v>
      </c>
      <c r="R960" s="38">
        <v>1</v>
      </c>
      <c r="S960" s="35" t="s">
        <v>2266</v>
      </c>
      <c r="T960" s="35" t="s">
        <v>978</v>
      </c>
      <c r="U960" s="38">
        <v>32542400</v>
      </c>
      <c r="V960" s="38">
        <v>1</v>
      </c>
      <c r="W960" s="18">
        <f>_xlfn.XLOOKUP(J960,'Master Data 14-9-2026'!C:C,'Master Data 14-9-2026'!L:L)</f>
        <v>0</v>
      </c>
      <c r="X960" s="20">
        <f t="shared" si="16"/>
        <v>32542400</v>
      </c>
      <c r="Y960" s="35" t="s">
        <v>2390</v>
      </c>
      <c r="AG960" s="4"/>
    </row>
    <row r="961" spans="1:33" hidden="1">
      <c r="A961" s="35" t="s">
        <v>2418</v>
      </c>
      <c r="B961" s="13" t="str">
        <f>_xlfn.XLOOKUP(J961,'Master Data 14-9-2026'!C:C,'Master Data 14-9-2026'!D:D)</f>
        <v>Ajis Alamsyah WX1530244</v>
      </c>
      <c r="D961" s="13" t="str">
        <f>_xlfn.XLOOKUP(J961,'Master Data 14-9-2026'!C:C,'Master Data 14-9-2026'!E:E)</f>
        <v>Surge</v>
      </c>
      <c r="F961" s="13"/>
      <c r="H961" s="13" t="str">
        <f>_xlfn.XLOOKUP(J961,'Master Data 14-9-2026'!C:C,'Master Data 14-9-2026'!H:H)</f>
        <v>2026-08-29 - 2026-09-28</v>
      </c>
      <c r="I961" s="13" t="str">
        <f t="shared" si="15"/>
        <v>August</v>
      </c>
      <c r="J961" s="35" t="s">
        <v>2418</v>
      </c>
      <c r="K961" s="35" t="s">
        <v>2418</v>
      </c>
      <c r="M961" s="35" t="s">
        <v>2419</v>
      </c>
      <c r="N961" s="35" t="s">
        <v>924</v>
      </c>
      <c r="O961" s="35" t="s">
        <v>2414</v>
      </c>
      <c r="P961" s="35" t="s">
        <v>2415</v>
      </c>
      <c r="Q961" s="38">
        <v>3</v>
      </c>
      <c r="R961" s="38">
        <v>1</v>
      </c>
      <c r="S961" s="35" t="s">
        <v>2266</v>
      </c>
      <c r="T961" s="35" t="s">
        <v>978</v>
      </c>
      <c r="U961" s="38">
        <v>32542400</v>
      </c>
      <c r="V961" s="38">
        <v>1</v>
      </c>
      <c r="W961" s="18">
        <f>_xlfn.XLOOKUP(J961,'Master Data 14-9-2026'!C:C,'Master Data 14-9-2026'!L:L)</f>
        <v>0.5</v>
      </c>
      <c r="X961" s="20">
        <f t="shared" si="16"/>
        <v>32542400</v>
      </c>
      <c r="Y961" s="35" t="s">
        <v>2390</v>
      </c>
      <c r="AG961" s="4"/>
    </row>
    <row r="962" spans="1:33" hidden="1">
      <c r="A962" s="35" t="s">
        <v>2420</v>
      </c>
      <c r="B962" s="13" t="str">
        <f>_xlfn.XLOOKUP(J962,'Master Data 14-9-2026'!C:C,'Master Data 14-9-2026'!D:D)</f>
        <v>Alifya Rahma Asy Syaffa wx1504637</v>
      </c>
      <c r="D962" s="13" t="str">
        <f>_xlfn.XLOOKUP(J962,'Master Data 14-9-2026'!C:C,'Master Data 14-9-2026'!E:E)</f>
        <v>Surge</v>
      </c>
      <c r="F962" s="13"/>
      <c r="H962" s="13" t="str">
        <f>_xlfn.XLOOKUP(J962,'Master Data 14-9-2026'!C:C,'Master Data 14-9-2026'!H:H)</f>
        <v>2026-07-01 - 2026-07-31</v>
      </c>
      <c r="I962" s="13" t="str">
        <f t="shared" si="15"/>
        <v>July</v>
      </c>
      <c r="J962" s="35" t="s">
        <v>2420</v>
      </c>
      <c r="K962" s="35" t="s">
        <v>2420</v>
      </c>
      <c r="M962" s="35" t="s">
        <v>2421</v>
      </c>
      <c r="N962" s="35" t="s">
        <v>924</v>
      </c>
      <c r="O962" s="35" t="s">
        <v>2422</v>
      </c>
      <c r="P962" s="35" t="s">
        <v>2423</v>
      </c>
      <c r="Q962" s="38">
        <v>1</v>
      </c>
      <c r="R962" s="38">
        <v>1</v>
      </c>
      <c r="S962" s="35" t="s">
        <v>2233</v>
      </c>
      <c r="T962" s="35" t="s">
        <v>951</v>
      </c>
      <c r="U962" s="38">
        <v>28881900</v>
      </c>
      <c r="V962" s="38">
        <v>1</v>
      </c>
      <c r="W962" s="18">
        <f>_xlfn.XLOOKUP(J962,'Master Data 14-9-2026'!C:C,'Master Data 14-9-2026'!L:L)</f>
        <v>1.5</v>
      </c>
      <c r="X962" s="20">
        <f t="shared" si="16"/>
        <v>28881900</v>
      </c>
      <c r="Y962" s="35" t="s">
        <v>2424</v>
      </c>
      <c r="AG962" s="4"/>
    </row>
    <row r="963" spans="1:33" hidden="1">
      <c r="A963" s="35" t="s">
        <v>2425</v>
      </c>
      <c r="B963" s="13" t="str">
        <f>_xlfn.XLOOKUP(J963,'Master Data 14-9-2026'!C:C,'Master Data 14-9-2026'!D:D)</f>
        <v>Alifya Rahma Asy Syaffa wx1504637</v>
      </c>
      <c r="D963" s="13" t="str">
        <f>_xlfn.XLOOKUP(J963,'Master Data 14-9-2026'!C:C,'Master Data 14-9-2026'!E:E)</f>
        <v>Surge</v>
      </c>
      <c r="F963" s="13"/>
      <c r="H963" s="13" t="str">
        <f>_xlfn.XLOOKUP(J963,'Master Data 14-9-2026'!C:C,'Master Data 14-9-2026'!H:H)</f>
        <v>2026-08-01 - 2026-08-31</v>
      </c>
      <c r="I963" s="13" t="str">
        <f t="shared" ref="I963:I1026" si="17">TEXT(DATEVALUE(LEFT(H963,10)),"mmmm")</f>
        <v>August</v>
      </c>
      <c r="J963" s="35" t="s">
        <v>2425</v>
      </c>
      <c r="K963" s="35" t="s">
        <v>2425</v>
      </c>
      <c r="M963" s="35" t="s">
        <v>2426</v>
      </c>
      <c r="N963" s="35" t="s">
        <v>924</v>
      </c>
      <c r="O963" s="35" t="s">
        <v>2422</v>
      </c>
      <c r="P963" s="35" t="s">
        <v>2423</v>
      </c>
      <c r="Q963" s="38">
        <v>2</v>
      </c>
      <c r="R963" s="38">
        <v>1</v>
      </c>
      <c r="S963" s="35" t="s">
        <v>2233</v>
      </c>
      <c r="T963" s="35" t="s">
        <v>951</v>
      </c>
      <c r="U963" s="38">
        <v>28881900</v>
      </c>
      <c r="V963" s="38">
        <v>1</v>
      </c>
      <c r="W963" s="18">
        <f>_xlfn.XLOOKUP(J963,'Master Data 14-9-2026'!C:C,'Master Data 14-9-2026'!L:L)</f>
        <v>0</v>
      </c>
      <c r="X963" s="20">
        <f t="shared" si="16"/>
        <v>28881900</v>
      </c>
      <c r="Y963" s="35" t="s">
        <v>2424</v>
      </c>
      <c r="AG963" s="4"/>
    </row>
    <row r="964" spans="1:33" hidden="1">
      <c r="A964" s="35" t="s">
        <v>2427</v>
      </c>
      <c r="B964" s="13" t="str">
        <f>_xlfn.XLOOKUP(J964,'Master Data 14-9-2026'!C:C,'Master Data 14-9-2026'!D:D)</f>
        <v>Alifya Rahma Asy Syaffa wx1504637</v>
      </c>
      <c r="D964" s="13" t="str">
        <f>_xlfn.XLOOKUP(J964,'Master Data 14-9-2026'!C:C,'Master Data 14-9-2026'!E:E)</f>
        <v>Surge</v>
      </c>
      <c r="F964" s="13"/>
      <c r="H964" s="13" t="str">
        <f>_xlfn.XLOOKUP(J964,'Master Data 14-9-2026'!C:C,'Master Data 14-9-2026'!H:H)</f>
        <v>2026-09-01 - 2026-09-30</v>
      </c>
      <c r="I964" s="13" t="str">
        <f t="shared" si="17"/>
        <v>September</v>
      </c>
      <c r="J964" s="35" t="s">
        <v>2427</v>
      </c>
      <c r="K964" s="35" t="s">
        <v>2427</v>
      </c>
      <c r="M964" s="35" t="s">
        <v>2428</v>
      </c>
      <c r="N964" s="35" t="s">
        <v>924</v>
      </c>
      <c r="O964" s="35" t="s">
        <v>2422</v>
      </c>
      <c r="P964" s="35" t="s">
        <v>2423</v>
      </c>
      <c r="Q964" s="38">
        <v>3</v>
      </c>
      <c r="R964" s="38">
        <v>1</v>
      </c>
      <c r="S964" s="35" t="s">
        <v>2233</v>
      </c>
      <c r="T964" s="35" t="s">
        <v>951</v>
      </c>
      <c r="U964" s="38">
        <v>28881900</v>
      </c>
      <c r="V964" s="38">
        <v>1</v>
      </c>
      <c r="W964" s="18">
        <f>_xlfn.XLOOKUP(J964,'Master Data 14-9-2026'!C:C,'Master Data 14-9-2026'!L:L)</f>
        <v>0</v>
      </c>
      <c r="X964" s="20">
        <f t="shared" si="16"/>
        <v>28881900</v>
      </c>
      <c r="Y964" s="35" t="s">
        <v>2424</v>
      </c>
      <c r="AG964" s="4"/>
    </row>
    <row r="965" spans="1:33" hidden="1">
      <c r="A965" s="35" t="s">
        <v>2429</v>
      </c>
      <c r="B965" s="13" t="str">
        <f>_xlfn.XLOOKUP(J965,'Master Data 14-9-2026'!C:C,'Master Data 14-9-2026'!D:D)</f>
        <v>Amara Auliya Dewanti wx1521185</v>
      </c>
      <c r="D965" s="13" t="str">
        <f>_xlfn.XLOOKUP(J965,'Master Data 14-9-2026'!C:C,'Master Data 14-9-2026'!E:E)</f>
        <v>Surge</v>
      </c>
      <c r="F965" s="13"/>
      <c r="H965" s="13" t="str">
        <f>_xlfn.XLOOKUP(J965,'Master Data 14-9-2026'!C:C,'Master Data 14-9-2026'!H:H)</f>
        <v>2026-08-24 - 2026-09-23</v>
      </c>
      <c r="I965" s="13" t="str">
        <f t="shared" si="17"/>
        <v>August</v>
      </c>
      <c r="J965" s="35" t="s">
        <v>2429</v>
      </c>
      <c r="K965" s="35" t="s">
        <v>2429</v>
      </c>
      <c r="M965" s="35" t="s">
        <v>2430</v>
      </c>
      <c r="N965" s="35" t="s">
        <v>924</v>
      </c>
      <c r="O965" s="35" t="s">
        <v>2422</v>
      </c>
      <c r="P965" s="35" t="s">
        <v>2423</v>
      </c>
      <c r="Q965" s="38">
        <v>4</v>
      </c>
      <c r="R965" s="38">
        <v>1</v>
      </c>
      <c r="S965" s="35" t="s">
        <v>2233</v>
      </c>
      <c r="T965" s="35" t="s">
        <v>951</v>
      </c>
      <c r="U965" s="38">
        <v>28881900</v>
      </c>
      <c r="V965" s="38">
        <v>1</v>
      </c>
      <c r="W965" s="18">
        <f>_xlfn.XLOOKUP(J965,'Master Data 14-9-2026'!C:C,'Master Data 14-9-2026'!L:L)</f>
        <v>0</v>
      </c>
      <c r="X965" s="20">
        <f t="shared" si="16"/>
        <v>28881900</v>
      </c>
      <c r="Y965" s="35" t="s">
        <v>2424</v>
      </c>
      <c r="AG965" s="4"/>
    </row>
    <row r="966" spans="1:33" hidden="1">
      <c r="A966" s="35" t="s">
        <v>2431</v>
      </c>
      <c r="B966" s="13" t="e">
        <f>_xlfn.XLOOKUP(J966,'Master Data 14-9-2026'!C:C,'Master Data 14-9-2026'!D:D)</f>
        <v>#N/A</v>
      </c>
      <c r="D966" s="13" t="e">
        <f>_xlfn.XLOOKUP(J966,'Master Data 14-9-2026'!C:C,'Master Data 14-9-2026'!E:E)</f>
        <v>#N/A</v>
      </c>
      <c r="F966" s="13"/>
      <c r="H966" s="13" t="e">
        <f>_xlfn.XLOOKUP(J966,'Master Data 14-9-2026'!C:C,'Master Data 14-9-2026'!H:H)</f>
        <v>#N/A</v>
      </c>
      <c r="I966" s="13" t="e">
        <f t="shared" si="17"/>
        <v>#N/A</v>
      </c>
      <c r="J966" s="35" t="s">
        <v>2431</v>
      </c>
      <c r="K966" s="35" t="s">
        <v>2431</v>
      </c>
      <c r="M966" s="35" t="s">
        <v>2432</v>
      </c>
      <c r="N966" s="35" t="s">
        <v>924</v>
      </c>
      <c r="O966" s="35" t="s">
        <v>2422</v>
      </c>
      <c r="P966" s="35" t="s">
        <v>2423</v>
      </c>
      <c r="Q966" s="38">
        <v>5</v>
      </c>
      <c r="R966" s="38">
        <v>1</v>
      </c>
      <c r="S966" s="35" t="s">
        <v>2233</v>
      </c>
      <c r="T966" s="35" t="s">
        <v>951</v>
      </c>
      <c r="U966" s="38">
        <v>28881900</v>
      </c>
      <c r="V966" s="38">
        <v>1</v>
      </c>
      <c r="W966" s="18" t="e">
        <f>_xlfn.XLOOKUP(J966,'Master Data 14-9-2026'!C:C,'Master Data 14-9-2026'!L:L)</f>
        <v>#N/A</v>
      </c>
      <c r="X966" s="20">
        <f t="shared" si="16"/>
        <v>28881900</v>
      </c>
      <c r="Y966" s="35" t="s">
        <v>2424</v>
      </c>
      <c r="AG966" s="4"/>
    </row>
    <row r="967" spans="1:33" hidden="1">
      <c r="A967" s="35" t="s">
        <v>2433</v>
      </c>
      <c r="B967" s="13" t="e">
        <f>_xlfn.XLOOKUP(J967,'Master Data 14-9-2026'!C:C,'Master Data 14-9-2026'!D:D)</f>
        <v>#N/A</v>
      </c>
      <c r="D967" s="13" t="e">
        <f>_xlfn.XLOOKUP(J967,'Master Data 14-9-2026'!C:C,'Master Data 14-9-2026'!E:E)</f>
        <v>#N/A</v>
      </c>
      <c r="F967" s="13"/>
      <c r="H967" s="13" t="e">
        <f>_xlfn.XLOOKUP(J967,'Master Data 14-9-2026'!C:C,'Master Data 14-9-2026'!H:H)</f>
        <v>#N/A</v>
      </c>
      <c r="I967" s="13" t="e">
        <f t="shared" si="17"/>
        <v>#N/A</v>
      </c>
      <c r="J967" s="35" t="s">
        <v>2433</v>
      </c>
      <c r="K967" s="35" t="s">
        <v>2433</v>
      </c>
      <c r="M967" s="35" t="s">
        <v>2434</v>
      </c>
      <c r="N967" s="35" t="s">
        <v>924</v>
      </c>
      <c r="O967" s="35" t="s">
        <v>2422</v>
      </c>
      <c r="P967" s="35" t="s">
        <v>2423</v>
      </c>
      <c r="Q967" s="38">
        <v>6</v>
      </c>
      <c r="R967" s="38">
        <v>1</v>
      </c>
      <c r="S967" s="35" t="s">
        <v>2233</v>
      </c>
      <c r="T967" s="35" t="s">
        <v>951</v>
      </c>
      <c r="U967" s="38">
        <v>28881900</v>
      </c>
      <c r="V967" s="38">
        <v>1</v>
      </c>
      <c r="W967" s="18" t="e">
        <f>_xlfn.XLOOKUP(J967,'Master Data 14-9-2026'!C:C,'Master Data 14-9-2026'!L:L)</f>
        <v>#N/A</v>
      </c>
      <c r="X967" s="20">
        <f t="shared" si="16"/>
        <v>28881900</v>
      </c>
      <c r="Y967" s="35" t="s">
        <v>2424</v>
      </c>
      <c r="AG967" s="4"/>
    </row>
    <row r="968" spans="1:33" hidden="1">
      <c r="A968" s="35" t="s">
        <v>2435</v>
      </c>
      <c r="B968" s="13" t="str">
        <f>_xlfn.XLOOKUP(J968,'Master Data 14-9-2026'!C:C,'Master Data 14-9-2026'!D:D)</f>
        <v>Wayan Gde Krisna wx1516087</v>
      </c>
      <c r="D968" s="13" t="str">
        <f>_xlfn.XLOOKUP(J968,'Master Data 14-9-2026'!C:C,'Master Data 14-9-2026'!E:E)</f>
        <v>Surge</v>
      </c>
      <c r="F968" s="13"/>
      <c r="G968" s="39" t="s">
        <v>25</v>
      </c>
      <c r="H968" s="13" t="str">
        <f>_xlfn.XLOOKUP(J968,'Master Data 14-9-2026'!C:C,'Master Data 14-9-2026'!H:H)</f>
        <v>2026-07-27 - 2026-08-26</v>
      </c>
      <c r="I968" s="13" t="str">
        <f t="shared" si="17"/>
        <v>July</v>
      </c>
      <c r="J968" s="35" t="s">
        <v>2435</v>
      </c>
      <c r="K968" s="35" t="s">
        <v>2435</v>
      </c>
      <c r="L968" s="13" t="str">
        <f>_xlfn.XLOOKUP(J968,'Master Data 14-9-2026'!C:C,'Master Data 14-9-2026'!F:F)</f>
        <v>HQ</v>
      </c>
      <c r="M968" s="35" t="s">
        <v>2436</v>
      </c>
      <c r="N968" s="35" t="s">
        <v>924</v>
      </c>
      <c r="O968" s="35" t="s">
        <v>2422</v>
      </c>
      <c r="P968" s="35" t="s">
        <v>2423</v>
      </c>
      <c r="Q968" s="38">
        <v>7</v>
      </c>
      <c r="R968" s="38">
        <v>1</v>
      </c>
      <c r="S968" s="35" t="s">
        <v>2262</v>
      </c>
      <c r="T968" s="35" t="s">
        <v>926</v>
      </c>
      <c r="U968" s="38">
        <v>34220600</v>
      </c>
      <c r="V968" s="38">
        <v>1</v>
      </c>
      <c r="W968" s="18">
        <f>_xlfn.XLOOKUP(J968,'Master Data 14-9-2026'!C:C,'Master Data 14-9-2026'!L:L)</f>
        <v>1</v>
      </c>
      <c r="X968" s="20">
        <f t="shared" si="16"/>
        <v>34220600</v>
      </c>
      <c r="Y968" s="35" t="s">
        <v>2424</v>
      </c>
      <c r="Z968" s="24" t="str">
        <f>_xlfn.XLOOKUP(J968,Master_Data_Productivity[Kolom1],Master_Data_Productivity[Period Status])</f>
        <v>Ended</v>
      </c>
      <c r="AB968" s="39" t="s">
        <v>1502</v>
      </c>
      <c r="AG968" s="4"/>
    </row>
    <row r="969" spans="1:33" hidden="1">
      <c r="A969" s="35" t="s">
        <v>2437</v>
      </c>
      <c r="B969" s="13" t="str">
        <f>_xlfn.XLOOKUP(J969,'Master Data 14-9-2026'!C:C,'Master Data 14-9-2026'!D:D)</f>
        <v>Wayan Gde Krisna wx1516087</v>
      </c>
      <c r="D969" s="13" t="str">
        <f>_xlfn.XLOOKUP(J969,'Master Data 14-9-2026'!C:C,'Master Data 14-9-2026'!E:E)</f>
        <v>Surge</v>
      </c>
      <c r="F969" s="13"/>
      <c r="H969" s="13" t="str">
        <f>_xlfn.XLOOKUP(J969,'Master Data 14-9-2026'!C:C,'Master Data 14-9-2026'!H:H)</f>
        <v>2026-08-27 - 2026-09-26</v>
      </c>
      <c r="I969" s="13" t="str">
        <f t="shared" si="17"/>
        <v>August</v>
      </c>
      <c r="J969" s="35" t="s">
        <v>2437</v>
      </c>
      <c r="K969" s="35" t="s">
        <v>2437</v>
      </c>
      <c r="M969" s="35" t="s">
        <v>2438</v>
      </c>
      <c r="N969" s="35" t="s">
        <v>924</v>
      </c>
      <c r="O969" s="35" t="s">
        <v>2422</v>
      </c>
      <c r="P969" s="35" t="s">
        <v>2423</v>
      </c>
      <c r="Q969" s="38">
        <v>8</v>
      </c>
      <c r="R969" s="38">
        <v>1</v>
      </c>
      <c r="S969" s="35" t="s">
        <v>2262</v>
      </c>
      <c r="T969" s="35" t="s">
        <v>926</v>
      </c>
      <c r="U969" s="38">
        <v>34220600</v>
      </c>
      <c r="V969" s="38">
        <v>1</v>
      </c>
      <c r="W969" s="18">
        <f>_xlfn.XLOOKUP(J969,'Master Data 14-9-2026'!C:C,'Master Data 14-9-2026'!L:L)</f>
        <v>1</v>
      </c>
      <c r="X969" s="20">
        <f t="shared" si="16"/>
        <v>34220600</v>
      </c>
      <c r="Y969" s="35" t="s">
        <v>2424</v>
      </c>
      <c r="Z969" s="24" t="str">
        <f>_xlfn.XLOOKUP(J969,Master_Data_Productivity[Kolom1],Master_Data_Productivity[Period Status])</f>
        <v>Ongoing</v>
      </c>
      <c r="AG969" s="4"/>
    </row>
    <row r="970" spans="1:33" hidden="1">
      <c r="A970" s="35" t="s">
        <v>2439</v>
      </c>
      <c r="B970" s="13" t="e">
        <f>_xlfn.XLOOKUP(J970,'Master Data 14-9-2026'!C:C,'Master Data 14-9-2026'!D:D)</f>
        <v>#N/A</v>
      </c>
      <c r="D970" s="13" t="e">
        <f>_xlfn.XLOOKUP(J970,'Master Data 14-9-2026'!C:C,'Master Data 14-9-2026'!E:E)</f>
        <v>#N/A</v>
      </c>
      <c r="F970" s="13"/>
      <c r="H970" s="13" t="e">
        <f>_xlfn.XLOOKUP(J970,'Master Data 14-9-2026'!C:C,'Master Data 14-9-2026'!H:H)</f>
        <v>#N/A</v>
      </c>
      <c r="I970" s="13" t="e">
        <f t="shared" si="17"/>
        <v>#N/A</v>
      </c>
      <c r="J970" s="35" t="s">
        <v>2439</v>
      </c>
      <c r="K970" s="35" t="s">
        <v>2439</v>
      </c>
      <c r="M970" s="35" t="s">
        <v>2440</v>
      </c>
      <c r="N970" s="35" t="s">
        <v>924</v>
      </c>
      <c r="O970" s="35" t="s">
        <v>2422</v>
      </c>
      <c r="P970" s="35" t="s">
        <v>2423</v>
      </c>
      <c r="Q970" s="38">
        <v>9</v>
      </c>
      <c r="R970" s="38">
        <v>1</v>
      </c>
      <c r="S970" s="35" t="s">
        <v>2262</v>
      </c>
      <c r="T970" s="35" t="s">
        <v>926</v>
      </c>
      <c r="U970" s="38">
        <v>34220600</v>
      </c>
      <c r="V970" s="38">
        <v>1</v>
      </c>
      <c r="W970" s="18" t="e">
        <f>_xlfn.XLOOKUP(J970,'Master Data 14-9-2026'!C:C,'Master Data 14-9-2026'!L:L)</f>
        <v>#N/A</v>
      </c>
      <c r="X970" s="20">
        <f t="shared" si="16"/>
        <v>34220600</v>
      </c>
      <c r="Y970" s="35" t="s">
        <v>2424</v>
      </c>
      <c r="AG970" s="4"/>
    </row>
    <row r="971" spans="1:33" hidden="1">
      <c r="A971" s="35" t="s">
        <v>2441</v>
      </c>
      <c r="B971" s="13" t="str">
        <f>_xlfn.XLOOKUP(J971,'Master Data 14-9-2026'!C:C,'Master Data 14-9-2026'!D:D)</f>
        <v>Andrean Eka Wahyudi wx1521186</v>
      </c>
      <c r="D971" s="13" t="str">
        <f>_xlfn.XLOOKUP(J971,'Master Data 14-9-2026'!C:C,'Master Data 14-9-2026'!E:E)</f>
        <v>Surge</v>
      </c>
      <c r="F971" s="13"/>
      <c r="H971" s="13" t="str">
        <f>_xlfn.XLOOKUP(J971,'Master Data 14-9-2026'!C:C,'Master Data 14-9-2026'!H:H)</f>
        <v>2026-08-26 - 2026-09-25</v>
      </c>
      <c r="I971" s="13" t="str">
        <f t="shared" si="17"/>
        <v>August</v>
      </c>
      <c r="J971" s="35" t="s">
        <v>2441</v>
      </c>
      <c r="K971" s="35" t="s">
        <v>2441</v>
      </c>
      <c r="M971" s="35" t="s">
        <v>2442</v>
      </c>
      <c r="N971" s="35" t="s">
        <v>924</v>
      </c>
      <c r="O971" s="35" t="s">
        <v>2422</v>
      </c>
      <c r="P971" s="35" t="s">
        <v>2423</v>
      </c>
      <c r="Q971" s="38">
        <v>10</v>
      </c>
      <c r="R971" s="38">
        <v>1</v>
      </c>
      <c r="S971" s="35" t="s">
        <v>2262</v>
      </c>
      <c r="T971" s="35" t="s">
        <v>926</v>
      </c>
      <c r="U971" s="38">
        <v>34220600</v>
      </c>
      <c r="V971" s="38">
        <v>1</v>
      </c>
      <c r="W971" s="18">
        <f>_xlfn.XLOOKUP(J971,'Master Data 14-9-2026'!C:C,'Master Data 14-9-2026'!L:L)</f>
        <v>0.95</v>
      </c>
      <c r="X971" s="20">
        <f t="shared" si="16"/>
        <v>34220600</v>
      </c>
      <c r="Y971" s="35" t="s">
        <v>2424</v>
      </c>
      <c r="AG971" s="4"/>
    </row>
    <row r="972" spans="1:33" hidden="1">
      <c r="A972" s="35" t="s">
        <v>2443</v>
      </c>
      <c r="B972" s="13" t="e">
        <f>_xlfn.XLOOKUP(J972,'Master Data 14-9-2026'!C:C,'Master Data 14-9-2026'!D:D)</f>
        <v>#N/A</v>
      </c>
      <c r="D972" s="13" t="e">
        <f>_xlfn.XLOOKUP(J972,'Master Data 14-9-2026'!C:C,'Master Data 14-9-2026'!E:E)</f>
        <v>#N/A</v>
      </c>
      <c r="F972" s="13"/>
      <c r="H972" s="13" t="e">
        <f>_xlfn.XLOOKUP(J972,'Master Data 14-9-2026'!C:C,'Master Data 14-9-2026'!H:H)</f>
        <v>#N/A</v>
      </c>
      <c r="I972" s="13" t="e">
        <f t="shared" si="17"/>
        <v>#N/A</v>
      </c>
      <c r="J972" s="35" t="s">
        <v>2443</v>
      </c>
      <c r="K972" s="35" t="s">
        <v>2443</v>
      </c>
      <c r="M972" s="35" t="s">
        <v>2444</v>
      </c>
      <c r="N972" s="35" t="s">
        <v>924</v>
      </c>
      <c r="O972" s="35" t="s">
        <v>2422</v>
      </c>
      <c r="P972" s="35" t="s">
        <v>2423</v>
      </c>
      <c r="Q972" s="38">
        <v>11</v>
      </c>
      <c r="R972" s="38">
        <v>1</v>
      </c>
      <c r="S972" s="35" t="s">
        <v>2262</v>
      </c>
      <c r="T972" s="35" t="s">
        <v>926</v>
      </c>
      <c r="U972" s="38">
        <v>34220600</v>
      </c>
      <c r="V972" s="38">
        <v>1</v>
      </c>
      <c r="W972" s="18" t="e">
        <f>_xlfn.XLOOKUP(J972,'Master Data 14-9-2026'!C:C,'Master Data 14-9-2026'!L:L)</f>
        <v>#N/A</v>
      </c>
      <c r="X972" s="20">
        <f t="shared" si="16"/>
        <v>34220600</v>
      </c>
      <c r="Y972" s="35" t="s">
        <v>2424</v>
      </c>
      <c r="AG972" s="4"/>
    </row>
    <row r="973" spans="1:33" hidden="1">
      <c r="A973" s="35" t="s">
        <v>2445</v>
      </c>
      <c r="B973" s="13" t="e">
        <f>_xlfn.XLOOKUP(J973,'Master Data 14-9-2026'!C:C,'Master Data 14-9-2026'!D:D)</f>
        <v>#N/A</v>
      </c>
      <c r="D973" s="13" t="e">
        <f>_xlfn.XLOOKUP(J973,'Master Data 14-9-2026'!C:C,'Master Data 14-9-2026'!E:E)</f>
        <v>#N/A</v>
      </c>
      <c r="F973" s="13"/>
      <c r="H973" s="13" t="e">
        <f>_xlfn.XLOOKUP(J973,'Master Data 14-9-2026'!C:C,'Master Data 14-9-2026'!H:H)</f>
        <v>#N/A</v>
      </c>
      <c r="I973" s="13" t="e">
        <f t="shared" si="17"/>
        <v>#N/A</v>
      </c>
      <c r="J973" s="35" t="s">
        <v>2445</v>
      </c>
      <c r="K973" s="35" t="s">
        <v>2445</v>
      </c>
      <c r="M973" s="35" t="s">
        <v>2446</v>
      </c>
      <c r="N973" s="35" t="s">
        <v>924</v>
      </c>
      <c r="O973" s="35" t="s">
        <v>2422</v>
      </c>
      <c r="P973" s="35" t="s">
        <v>2423</v>
      </c>
      <c r="Q973" s="38">
        <v>12</v>
      </c>
      <c r="R973" s="38">
        <v>1</v>
      </c>
      <c r="S973" s="35" t="s">
        <v>2262</v>
      </c>
      <c r="T973" s="35" t="s">
        <v>926</v>
      </c>
      <c r="U973" s="38">
        <v>34220600</v>
      </c>
      <c r="V973" s="38">
        <v>1</v>
      </c>
      <c r="W973" s="18" t="e">
        <f>_xlfn.XLOOKUP(J973,'Master Data 14-9-2026'!C:C,'Master Data 14-9-2026'!L:L)</f>
        <v>#N/A</v>
      </c>
      <c r="X973" s="20">
        <f t="shared" si="16"/>
        <v>34220600</v>
      </c>
      <c r="Y973" s="35" t="s">
        <v>2424</v>
      </c>
      <c r="AG973" s="4"/>
    </row>
    <row r="974" spans="1:33" hidden="1">
      <c r="A974" s="35" t="s">
        <v>2447</v>
      </c>
      <c r="B974" s="13" t="str">
        <f>_xlfn.XLOOKUP(J974,'Master Data 14-9-2026'!C:C,'Master Data 14-9-2026'!D:D)</f>
        <v>Abdul Latif Priyadi wx1521188</v>
      </c>
      <c r="D974" s="13" t="str">
        <f>_xlfn.XLOOKUP(J974,'Master Data 14-9-2026'!C:C,'Master Data 14-9-2026'!E:E)</f>
        <v>Surge</v>
      </c>
      <c r="F974" s="13"/>
      <c r="H974" s="13" t="str">
        <f>_xlfn.XLOOKUP(J974,'Master Data 14-9-2026'!C:C,'Master Data 14-9-2026'!H:H)</f>
        <v>2026-08-27 - 2026-09-26</v>
      </c>
      <c r="I974" s="13" t="str">
        <f t="shared" si="17"/>
        <v>August</v>
      </c>
      <c r="J974" s="35" t="s">
        <v>2447</v>
      </c>
      <c r="K974" s="35" t="s">
        <v>2447</v>
      </c>
      <c r="M974" s="35" t="s">
        <v>2448</v>
      </c>
      <c r="N974" s="35" t="s">
        <v>924</v>
      </c>
      <c r="O974" s="35" t="s">
        <v>2422</v>
      </c>
      <c r="P974" s="35" t="s">
        <v>2423</v>
      </c>
      <c r="Q974" s="38">
        <v>13</v>
      </c>
      <c r="R974" s="38">
        <v>1</v>
      </c>
      <c r="S974" s="35" t="s">
        <v>2262</v>
      </c>
      <c r="T974" s="35" t="s">
        <v>926</v>
      </c>
      <c r="U974" s="38">
        <v>34220600</v>
      </c>
      <c r="V974" s="38">
        <v>1</v>
      </c>
      <c r="W974" s="18">
        <f>_xlfn.XLOOKUP(J974,'Master Data 14-9-2026'!C:C,'Master Data 14-9-2026'!L:L)</f>
        <v>0.84</v>
      </c>
      <c r="X974" s="20">
        <f t="shared" si="16"/>
        <v>34220600</v>
      </c>
      <c r="Y974" s="35" t="s">
        <v>2424</v>
      </c>
      <c r="AG974" s="4"/>
    </row>
    <row r="975" spans="1:33" hidden="1">
      <c r="A975" s="35" t="s">
        <v>2449</v>
      </c>
      <c r="B975" s="13" t="e">
        <f>_xlfn.XLOOKUP(J975,'Master Data 14-9-2026'!C:C,'Master Data 14-9-2026'!D:D)</f>
        <v>#N/A</v>
      </c>
      <c r="D975" s="13" t="e">
        <f>_xlfn.XLOOKUP(J975,'Master Data 14-9-2026'!C:C,'Master Data 14-9-2026'!E:E)</f>
        <v>#N/A</v>
      </c>
      <c r="F975" s="13"/>
      <c r="H975" s="13" t="e">
        <f>_xlfn.XLOOKUP(J975,'Master Data 14-9-2026'!C:C,'Master Data 14-9-2026'!H:H)</f>
        <v>#N/A</v>
      </c>
      <c r="I975" s="13" t="e">
        <f t="shared" si="17"/>
        <v>#N/A</v>
      </c>
      <c r="J975" s="35" t="s">
        <v>2449</v>
      </c>
      <c r="K975" s="35" t="s">
        <v>2449</v>
      </c>
      <c r="M975" s="35" t="s">
        <v>2450</v>
      </c>
      <c r="N975" s="35" t="s">
        <v>924</v>
      </c>
      <c r="O975" s="35" t="s">
        <v>2422</v>
      </c>
      <c r="P975" s="35" t="s">
        <v>2423</v>
      </c>
      <c r="Q975" s="38">
        <v>14</v>
      </c>
      <c r="R975" s="38">
        <v>1</v>
      </c>
      <c r="S975" s="35" t="s">
        <v>2262</v>
      </c>
      <c r="T975" s="35" t="s">
        <v>926</v>
      </c>
      <c r="U975" s="38">
        <v>34220600</v>
      </c>
      <c r="V975" s="38">
        <v>1</v>
      </c>
      <c r="W975" s="18" t="e">
        <f>_xlfn.XLOOKUP(J975,'Master Data 14-9-2026'!C:C,'Master Data 14-9-2026'!L:L)</f>
        <v>#N/A</v>
      </c>
      <c r="X975" s="20">
        <f t="shared" si="16"/>
        <v>34220600</v>
      </c>
      <c r="Y975" s="35" t="s">
        <v>2424</v>
      </c>
      <c r="AG975" s="4"/>
    </row>
    <row r="976" spans="1:33" hidden="1">
      <c r="A976" s="35" t="s">
        <v>2451</v>
      </c>
      <c r="B976" s="13" t="e">
        <f>_xlfn.XLOOKUP(J976,'Master Data 14-9-2026'!C:C,'Master Data 14-9-2026'!D:D)</f>
        <v>#N/A</v>
      </c>
      <c r="D976" s="13" t="e">
        <f>_xlfn.XLOOKUP(J976,'Master Data 14-9-2026'!C:C,'Master Data 14-9-2026'!E:E)</f>
        <v>#N/A</v>
      </c>
      <c r="F976" s="13"/>
      <c r="H976" s="13" t="e">
        <f>_xlfn.XLOOKUP(J976,'Master Data 14-9-2026'!C:C,'Master Data 14-9-2026'!H:H)</f>
        <v>#N/A</v>
      </c>
      <c r="I976" s="13" t="e">
        <f t="shared" si="17"/>
        <v>#N/A</v>
      </c>
      <c r="J976" s="35" t="s">
        <v>2451</v>
      </c>
      <c r="K976" s="35" t="s">
        <v>2451</v>
      </c>
      <c r="M976" s="35" t="s">
        <v>2452</v>
      </c>
      <c r="N976" s="35" t="s">
        <v>924</v>
      </c>
      <c r="O976" s="35" t="s">
        <v>2422</v>
      </c>
      <c r="P976" s="35" t="s">
        <v>2423</v>
      </c>
      <c r="Q976" s="38">
        <v>15</v>
      </c>
      <c r="R976" s="38">
        <v>1</v>
      </c>
      <c r="S976" s="35" t="s">
        <v>2262</v>
      </c>
      <c r="T976" s="35" t="s">
        <v>926</v>
      </c>
      <c r="U976" s="38">
        <v>34220600</v>
      </c>
      <c r="V976" s="38">
        <v>1</v>
      </c>
      <c r="W976" s="18" t="e">
        <f>_xlfn.XLOOKUP(J976,'Master Data 14-9-2026'!C:C,'Master Data 14-9-2026'!L:L)</f>
        <v>#N/A</v>
      </c>
      <c r="X976" s="20">
        <f t="shared" si="16"/>
        <v>34220600</v>
      </c>
      <c r="Y976" s="35" t="s">
        <v>2424</v>
      </c>
      <c r="AG976" s="4"/>
    </row>
    <row r="977" spans="1:33" hidden="1">
      <c r="A977" s="35" t="s">
        <v>2453</v>
      </c>
      <c r="B977" s="13" t="str">
        <f>_xlfn.XLOOKUP(J977,'Master Data 14-9-2026'!C:C,'Master Data 14-9-2026'!D:D)</f>
        <v>Hitler Sitorus wx1525166</v>
      </c>
      <c r="D977" s="13" t="str">
        <f>_xlfn.XLOOKUP(J977,'Master Data 14-9-2026'!C:C,'Master Data 14-9-2026'!E:E)</f>
        <v>Surge</v>
      </c>
      <c r="F977" s="13"/>
      <c r="H977" s="13" t="str">
        <f>_xlfn.XLOOKUP(J977,'Master Data 14-9-2026'!C:C,'Master Data 14-9-2026'!H:H)</f>
        <v>2026-06-05 - 2026-07-04</v>
      </c>
      <c r="I977" s="13" t="str">
        <f t="shared" si="17"/>
        <v>June</v>
      </c>
      <c r="J977" s="35" t="s">
        <v>2453</v>
      </c>
      <c r="K977" s="35" t="s">
        <v>2453</v>
      </c>
      <c r="M977" s="35" t="s">
        <v>2454</v>
      </c>
      <c r="N977" s="35" t="s">
        <v>924</v>
      </c>
      <c r="O977" s="35" t="s">
        <v>2422</v>
      </c>
      <c r="P977" s="35" t="s">
        <v>2423</v>
      </c>
      <c r="Q977" s="38">
        <v>16</v>
      </c>
      <c r="R977" s="38">
        <v>1</v>
      </c>
      <c r="S977" s="35" t="s">
        <v>2262</v>
      </c>
      <c r="T977" s="35" t="s">
        <v>926</v>
      </c>
      <c r="U977" s="38">
        <v>34220600</v>
      </c>
      <c r="V977" s="38">
        <v>1</v>
      </c>
      <c r="W977" s="18">
        <f>_xlfn.XLOOKUP(J977,'Master Data 14-9-2026'!C:C,'Master Data 14-9-2026'!L:L)</f>
        <v>0</v>
      </c>
      <c r="X977" s="20">
        <f t="shared" si="16"/>
        <v>34220600</v>
      </c>
      <c r="Y977" s="35" t="s">
        <v>2424</v>
      </c>
      <c r="AG977" s="4"/>
    </row>
    <row r="978" spans="1:33" hidden="1">
      <c r="A978" s="35" t="s">
        <v>2455</v>
      </c>
      <c r="B978" s="13" t="str">
        <f>_xlfn.XLOOKUP(J978,'Master Data 14-9-2026'!C:C,'Master Data 14-9-2026'!D:D)</f>
        <v>Hitler Sitorus wx1525166</v>
      </c>
      <c r="D978" s="13" t="str">
        <f>_xlfn.XLOOKUP(J978,'Master Data 14-9-2026'!C:C,'Master Data 14-9-2026'!E:E)</f>
        <v>Surge</v>
      </c>
      <c r="F978" s="13"/>
      <c r="H978" s="13" t="str">
        <f>_xlfn.XLOOKUP(J978,'Master Data 14-9-2026'!C:C,'Master Data 14-9-2026'!H:H)</f>
        <v>2026-07-05 - 2026-08-04</v>
      </c>
      <c r="I978" s="13" t="str">
        <f t="shared" si="17"/>
        <v>July</v>
      </c>
      <c r="J978" s="35" t="s">
        <v>2455</v>
      </c>
      <c r="K978" s="35" t="s">
        <v>2455</v>
      </c>
      <c r="M978" s="35" t="s">
        <v>2456</v>
      </c>
      <c r="N978" s="35" t="s">
        <v>924</v>
      </c>
      <c r="O978" s="35" t="s">
        <v>2422</v>
      </c>
      <c r="P978" s="35" t="s">
        <v>2423</v>
      </c>
      <c r="Q978" s="38">
        <v>17</v>
      </c>
      <c r="R978" s="38">
        <v>1</v>
      </c>
      <c r="S978" s="35" t="s">
        <v>2262</v>
      </c>
      <c r="T978" s="35" t="s">
        <v>926</v>
      </c>
      <c r="U978" s="38">
        <v>34220600</v>
      </c>
      <c r="V978" s="38">
        <v>1</v>
      </c>
      <c r="W978" s="18">
        <f>_xlfn.XLOOKUP(J978,'Master Data 14-9-2026'!C:C,'Master Data 14-9-2026'!L:L)</f>
        <v>0</v>
      </c>
      <c r="X978" s="20">
        <f t="shared" si="16"/>
        <v>34220600</v>
      </c>
      <c r="Y978" s="35" t="s">
        <v>2424</v>
      </c>
      <c r="AG978" s="4"/>
    </row>
    <row r="979" spans="1:33" hidden="1">
      <c r="A979" s="35" t="s">
        <v>2457</v>
      </c>
      <c r="B979" s="13" t="str">
        <f>_xlfn.XLOOKUP(J979,'Master Data 14-9-2026'!C:C,'Master Data 14-9-2026'!D:D)</f>
        <v>Hitler Sitorus wx1525166</v>
      </c>
      <c r="D979" s="13" t="str">
        <f>_xlfn.XLOOKUP(J979,'Master Data 14-9-2026'!C:C,'Master Data 14-9-2026'!E:E)</f>
        <v>Surge</v>
      </c>
      <c r="F979" s="13"/>
      <c r="H979" s="13" t="str">
        <f>_xlfn.XLOOKUP(J979,'Master Data 14-9-2026'!C:C,'Master Data 14-9-2026'!H:H)</f>
        <v>2026-08-05 - 2026-09-04</v>
      </c>
      <c r="I979" s="13" t="str">
        <f t="shared" si="17"/>
        <v>August</v>
      </c>
      <c r="J979" s="35" t="s">
        <v>2457</v>
      </c>
      <c r="K979" s="35" t="s">
        <v>2457</v>
      </c>
      <c r="M979" s="35" t="s">
        <v>2458</v>
      </c>
      <c r="N979" s="35" t="s">
        <v>924</v>
      </c>
      <c r="O979" s="35" t="s">
        <v>2422</v>
      </c>
      <c r="P979" s="35" t="s">
        <v>2423</v>
      </c>
      <c r="Q979" s="38">
        <v>18</v>
      </c>
      <c r="R979" s="38">
        <v>1</v>
      </c>
      <c r="S979" s="35" t="s">
        <v>2262</v>
      </c>
      <c r="T979" s="35" t="s">
        <v>926</v>
      </c>
      <c r="U979" s="38">
        <v>34220600</v>
      </c>
      <c r="V979" s="38">
        <v>1</v>
      </c>
      <c r="W979" s="18">
        <f>_xlfn.XLOOKUP(J979,'Master Data 14-9-2026'!C:C,'Master Data 14-9-2026'!L:L)</f>
        <v>0</v>
      </c>
      <c r="X979" s="20">
        <f t="shared" si="16"/>
        <v>34220600</v>
      </c>
      <c r="Y979" s="35" t="s">
        <v>2424</v>
      </c>
      <c r="AG979" s="4"/>
    </row>
    <row r="980" spans="1:33" hidden="1">
      <c r="A980" s="35" t="s">
        <v>2459</v>
      </c>
      <c r="B980" s="13" t="str">
        <f>_xlfn.XLOOKUP(J980,'Master Data 14-9-2026'!C:C,'Master Data 14-9-2026'!D:D)</f>
        <v>Hitler Sitorus wx1525166</v>
      </c>
      <c r="D980" s="13" t="str">
        <f>_xlfn.XLOOKUP(J980,'Master Data 14-9-2026'!C:C,'Master Data 14-9-2026'!E:E)</f>
        <v>Surge</v>
      </c>
      <c r="F980" s="13"/>
      <c r="H980" s="13" t="str">
        <f>_xlfn.XLOOKUP(J980,'Master Data 14-9-2026'!C:C,'Master Data 14-9-2026'!H:H)</f>
        <v>2026-09-05 - 2026-10-04</v>
      </c>
      <c r="I980" s="13" t="str">
        <f t="shared" si="17"/>
        <v>September</v>
      </c>
      <c r="J980" s="35" t="s">
        <v>2459</v>
      </c>
      <c r="K980" s="35" t="s">
        <v>2459</v>
      </c>
      <c r="M980" s="35" t="s">
        <v>2460</v>
      </c>
      <c r="N980" s="35" t="s">
        <v>924</v>
      </c>
      <c r="O980" s="35" t="s">
        <v>2422</v>
      </c>
      <c r="P980" s="35" t="s">
        <v>2423</v>
      </c>
      <c r="Q980" s="38">
        <v>19</v>
      </c>
      <c r="R980" s="38">
        <v>1</v>
      </c>
      <c r="S980" s="35" t="s">
        <v>2262</v>
      </c>
      <c r="T980" s="35" t="s">
        <v>926</v>
      </c>
      <c r="U980" s="38">
        <v>34220600</v>
      </c>
      <c r="V980" s="38">
        <v>1</v>
      </c>
      <c r="W980" s="18">
        <f>_xlfn.XLOOKUP(J980,'Master Data 14-9-2026'!C:C,'Master Data 14-9-2026'!L:L)</f>
        <v>0</v>
      </c>
      <c r="X980" s="20">
        <f t="shared" si="16"/>
        <v>34220600</v>
      </c>
      <c r="Y980" s="35" t="s">
        <v>2424</v>
      </c>
      <c r="AG980" s="4"/>
    </row>
    <row r="981" spans="1:33" hidden="1">
      <c r="A981" s="35" t="s">
        <v>2461</v>
      </c>
      <c r="B981" s="13" t="e">
        <f>_xlfn.XLOOKUP(J981,'Master Data 14-9-2026'!C:C,'Master Data 14-9-2026'!D:D)</f>
        <v>#N/A</v>
      </c>
      <c r="D981" s="13" t="e">
        <f>_xlfn.XLOOKUP(J981,'Master Data 14-9-2026'!C:C,'Master Data 14-9-2026'!E:E)</f>
        <v>#N/A</v>
      </c>
      <c r="F981" s="13"/>
      <c r="H981" s="13" t="e">
        <f>_xlfn.XLOOKUP(J981,'Master Data 14-9-2026'!C:C,'Master Data 14-9-2026'!H:H)</f>
        <v>#N/A</v>
      </c>
      <c r="I981" s="13" t="e">
        <f t="shared" si="17"/>
        <v>#N/A</v>
      </c>
      <c r="J981" s="35" t="s">
        <v>2461</v>
      </c>
      <c r="K981" s="35" t="s">
        <v>2461</v>
      </c>
      <c r="M981" s="35" t="s">
        <v>2462</v>
      </c>
      <c r="N981" s="35" t="s">
        <v>924</v>
      </c>
      <c r="O981" s="35" t="s">
        <v>2422</v>
      </c>
      <c r="P981" s="35" t="s">
        <v>2423</v>
      </c>
      <c r="Q981" s="38">
        <v>20</v>
      </c>
      <c r="R981" s="38">
        <v>1</v>
      </c>
      <c r="S981" s="35" t="s">
        <v>2262</v>
      </c>
      <c r="T981" s="35" t="s">
        <v>926</v>
      </c>
      <c r="U981" s="38">
        <v>34220600</v>
      </c>
      <c r="V981" s="38">
        <v>1</v>
      </c>
      <c r="W981" s="18" t="e">
        <f>_xlfn.XLOOKUP(J981,'Master Data 14-9-2026'!C:C,'Master Data 14-9-2026'!L:L)</f>
        <v>#N/A</v>
      </c>
      <c r="X981" s="20">
        <f t="shared" si="16"/>
        <v>34220600</v>
      </c>
      <c r="Y981" s="35" t="s">
        <v>2424</v>
      </c>
      <c r="AG981" s="4"/>
    </row>
    <row r="982" spans="1:33" hidden="1">
      <c r="A982" s="35" t="s">
        <v>2463</v>
      </c>
      <c r="B982" s="13" t="e">
        <f>_xlfn.XLOOKUP(J982,'Master Data 14-9-2026'!C:C,'Master Data 14-9-2026'!D:D)</f>
        <v>#N/A</v>
      </c>
      <c r="D982" s="13" t="e">
        <f>_xlfn.XLOOKUP(J982,'Master Data 14-9-2026'!C:C,'Master Data 14-9-2026'!E:E)</f>
        <v>#N/A</v>
      </c>
      <c r="F982" s="13"/>
      <c r="H982" s="13" t="e">
        <f>_xlfn.XLOOKUP(J982,'Master Data 14-9-2026'!C:C,'Master Data 14-9-2026'!H:H)</f>
        <v>#N/A</v>
      </c>
      <c r="I982" s="13" t="e">
        <f t="shared" si="17"/>
        <v>#N/A</v>
      </c>
      <c r="J982" s="35" t="s">
        <v>2463</v>
      </c>
      <c r="K982" s="35" t="s">
        <v>2463</v>
      </c>
      <c r="M982" s="35" t="s">
        <v>2464</v>
      </c>
      <c r="N982" s="35" t="s">
        <v>924</v>
      </c>
      <c r="O982" s="35" t="s">
        <v>2422</v>
      </c>
      <c r="P982" s="35" t="s">
        <v>2423</v>
      </c>
      <c r="Q982" s="38">
        <v>21</v>
      </c>
      <c r="R982" s="38">
        <v>1</v>
      </c>
      <c r="S982" s="35" t="s">
        <v>2262</v>
      </c>
      <c r="T982" s="35" t="s">
        <v>926</v>
      </c>
      <c r="U982" s="38">
        <v>34220600</v>
      </c>
      <c r="V982" s="38">
        <v>1</v>
      </c>
      <c r="W982" s="18" t="e">
        <f>_xlfn.XLOOKUP(J982,'Master Data 14-9-2026'!C:C,'Master Data 14-9-2026'!L:L)</f>
        <v>#N/A</v>
      </c>
      <c r="X982" s="20">
        <f t="shared" si="16"/>
        <v>34220600</v>
      </c>
      <c r="Y982" s="35" t="s">
        <v>2424</v>
      </c>
      <c r="AG982" s="4"/>
    </row>
    <row r="983" spans="1:33" hidden="1">
      <c r="A983" s="35" t="s">
        <v>2465</v>
      </c>
      <c r="B983" s="13" t="e">
        <f>_xlfn.XLOOKUP(J983,'Master Data 14-9-2026'!C:C,'Master Data 14-9-2026'!D:D)</f>
        <v>#N/A</v>
      </c>
      <c r="D983" s="13" t="e">
        <f>_xlfn.XLOOKUP(J983,'Master Data 14-9-2026'!C:C,'Master Data 14-9-2026'!E:E)</f>
        <v>#N/A</v>
      </c>
      <c r="F983" s="13"/>
      <c r="H983" s="13" t="e">
        <f>_xlfn.XLOOKUP(J983,'Master Data 14-9-2026'!C:C,'Master Data 14-9-2026'!H:H)</f>
        <v>#N/A</v>
      </c>
      <c r="I983" s="13" t="e">
        <f t="shared" si="17"/>
        <v>#N/A</v>
      </c>
      <c r="J983" s="35" t="s">
        <v>2465</v>
      </c>
      <c r="K983" s="35" t="s">
        <v>2465</v>
      </c>
      <c r="M983" s="35" t="s">
        <v>2466</v>
      </c>
      <c r="N983" s="35" t="s">
        <v>924</v>
      </c>
      <c r="O983" s="35" t="s">
        <v>2422</v>
      </c>
      <c r="P983" s="35" t="s">
        <v>2423</v>
      </c>
      <c r="Q983" s="38">
        <v>22</v>
      </c>
      <c r="R983" s="38">
        <v>1</v>
      </c>
      <c r="S983" s="35" t="s">
        <v>2266</v>
      </c>
      <c r="T983" s="35" t="s">
        <v>978</v>
      </c>
      <c r="U983" s="38">
        <v>32542400</v>
      </c>
      <c r="V983" s="38">
        <v>1</v>
      </c>
      <c r="W983" s="18" t="e">
        <f>_xlfn.XLOOKUP(J983,'Master Data 14-9-2026'!C:C,'Master Data 14-9-2026'!L:L)</f>
        <v>#N/A</v>
      </c>
      <c r="X983" s="20">
        <f t="shared" si="16"/>
        <v>32542400</v>
      </c>
      <c r="Y983" s="35" t="s">
        <v>2424</v>
      </c>
      <c r="AG983" s="4"/>
    </row>
    <row r="984" spans="1:33" hidden="1">
      <c r="A984" s="35" t="s">
        <v>2467</v>
      </c>
      <c r="B984" s="13" t="e">
        <f>_xlfn.XLOOKUP(J984,'Master Data 14-9-2026'!C:C,'Master Data 14-9-2026'!D:D)</f>
        <v>#N/A</v>
      </c>
      <c r="D984" s="13" t="e">
        <f>_xlfn.XLOOKUP(J984,'Master Data 14-9-2026'!C:C,'Master Data 14-9-2026'!E:E)</f>
        <v>#N/A</v>
      </c>
      <c r="F984" s="13"/>
      <c r="H984" s="13" t="e">
        <f>_xlfn.XLOOKUP(J984,'Master Data 14-9-2026'!C:C,'Master Data 14-9-2026'!H:H)</f>
        <v>#N/A</v>
      </c>
      <c r="I984" s="13" t="e">
        <f t="shared" si="17"/>
        <v>#N/A</v>
      </c>
      <c r="J984" s="35" t="s">
        <v>2467</v>
      </c>
      <c r="K984" s="35" t="s">
        <v>2467</v>
      </c>
      <c r="M984" s="35" t="s">
        <v>2468</v>
      </c>
      <c r="N984" s="35" t="s">
        <v>924</v>
      </c>
      <c r="O984" s="35" t="s">
        <v>2422</v>
      </c>
      <c r="P984" s="35" t="s">
        <v>2423</v>
      </c>
      <c r="Q984" s="38">
        <v>23</v>
      </c>
      <c r="R984" s="38">
        <v>1</v>
      </c>
      <c r="S984" s="35" t="s">
        <v>2266</v>
      </c>
      <c r="T984" s="35" t="s">
        <v>978</v>
      </c>
      <c r="U984" s="38">
        <v>32542400</v>
      </c>
      <c r="V984" s="38">
        <v>1</v>
      </c>
      <c r="W984" s="18" t="e">
        <f>_xlfn.XLOOKUP(J984,'Master Data 14-9-2026'!C:C,'Master Data 14-9-2026'!L:L)</f>
        <v>#N/A</v>
      </c>
      <c r="X984" s="20">
        <f t="shared" si="16"/>
        <v>32542400</v>
      </c>
      <c r="Y984" s="35" t="s">
        <v>2424</v>
      </c>
      <c r="AG984" s="4"/>
    </row>
    <row r="985" spans="1:33" hidden="1">
      <c r="A985" s="35" t="s">
        <v>2469</v>
      </c>
      <c r="B985" s="13" t="e">
        <f>_xlfn.XLOOKUP(J985,'Master Data 14-9-2026'!C:C,'Master Data 14-9-2026'!D:D)</f>
        <v>#N/A</v>
      </c>
      <c r="D985" s="13" t="e">
        <f>_xlfn.XLOOKUP(J985,'Master Data 14-9-2026'!C:C,'Master Data 14-9-2026'!E:E)</f>
        <v>#N/A</v>
      </c>
      <c r="F985" s="13"/>
      <c r="H985" s="13" t="e">
        <f>_xlfn.XLOOKUP(J985,'Master Data 14-9-2026'!C:C,'Master Data 14-9-2026'!H:H)</f>
        <v>#N/A</v>
      </c>
      <c r="I985" s="13" t="e">
        <f t="shared" si="17"/>
        <v>#N/A</v>
      </c>
      <c r="J985" s="35" t="s">
        <v>2469</v>
      </c>
      <c r="K985" s="35" t="s">
        <v>2469</v>
      </c>
      <c r="M985" s="35" t="s">
        <v>2470</v>
      </c>
      <c r="N985" s="35" t="s">
        <v>924</v>
      </c>
      <c r="O985" s="35" t="s">
        <v>2422</v>
      </c>
      <c r="P985" s="35" t="s">
        <v>2423</v>
      </c>
      <c r="Q985" s="38">
        <v>24</v>
      </c>
      <c r="R985" s="38">
        <v>1</v>
      </c>
      <c r="S985" s="35" t="s">
        <v>2266</v>
      </c>
      <c r="T985" s="35" t="s">
        <v>978</v>
      </c>
      <c r="U985" s="38">
        <v>32542400</v>
      </c>
      <c r="V985" s="38">
        <v>1</v>
      </c>
      <c r="W985" s="18" t="e">
        <f>_xlfn.XLOOKUP(J985,'Master Data 14-9-2026'!C:C,'Master Data 14-9-2026'!L:L)</f>
        <v>#N/A</v>
      </c>
      <c r="X985" s="20">
        <f t="shared" si="16"/>
        <v>32542400</v>
      </c>
      <c r="Y985" s="35" t="s">
        <v>2424</v>
      </c>
      <c r="AG985" s="4"/>
    </row>
    <row r="986" spans="1:33" hidden="1">
      <c r="A986" s="35" t="s">
        <v>2471</v>
      </c>
      <c r="B986" s="13" t="str">
        <f>_xlfn.XLOOKUP(J986,'Master Data 14-9-2026'!C:C,'Master Data 14-9-2026'!D:D)</f>
        <v>Alvin Ramadhan wx1507288</v>
      </c>
      <c r="D986" s="13" t="str">
        <f>_xlfn.XLOOKUP(J986,'Master Data 14-9-2026'!C:C,'Master Data 14-9-2026'!E:E)</f>
        <v>TELKOMSEL</v>
      </c>
      <c r="F986" s="13"/>
      <c r="H986" s="13" t="str">
        <f>_xlfn.XLOOKUP(J986,'Master Data 14-9-2026'!C:C,'Master Data 14-9-2026'!H:H)</f>
        <v>2026-09-01 - 2026-09-30</v>
      </c>
      <c r="I986" s="13" t="str">
        <f t="shared" si="17"/>
        <v>September</v>
      </c>
      <c r="J986" s="35" t="s">
        <v>2471</v>
      </c>
      <c r="K986" s="35" t="s">
        <v>2471</v>
      </c>
      <c r="M986" s="35" t="s">
        <v>2472</v>
      </c>
      <c r="N986" s="35" t="s">
        <v>924</v>
      </c>
      <c r="O986" s="35" t="s">
        <v>2473</v>
      </c>
      <c r="P986" s="35" t="s">
        <v>2474</v>
      </c>
      <c r="Q986" s="38">
        <v>1</v>
      </c>
      <c r="R986" s="38">
        <v>1</v>
      </c>
      <c r="S986" s="35" t="s">
        <v>2289</v>
      </c>
      <c r="T986" s="35" t="s">
        <v>933</v>
      </c>
      <c r="U986" s="38">
        <v>36992000</v>
      </c>
      <c r="V986" s="38">
        <v>1</v>
      </c>
      <c r="W986" s="18">
        <f>_xlfn.XLOOKUP(J986,'Master Data 14-9-2026'!C:C,'Master Data 14-9-2026'!L:L)</f>
        <v>0.5</v>
      </c>
      <c r="X986" s="20">
        <f t="shared" si="16"/>
        <v>36992000</v>
      </c>
      <c r="Y986" s="35" t="s">
        <v>2424</v>
      </c>
      <c r="AG986" s="4"/>
    </row>
    <row r="987" spans="1:33" hidden="1">
      <c r="A987" s="35" t="s">
        <v>2475</v>
      </c>
      <c r="B987" s="13" t="str">
        <f>_xlfn.XLOOKUP(J987,'Master Data 14-9-2026'!C:C,'Master Data 14-9-2026'!D:D)</f>
        <v>Winarsih wx1503649</v>
      </c>
      <c r="D987" s="13" t="str">
        <f>_xlfn.XLOOKUP(J987,'Master Data 14-9-2026'!C:C,'Master Data 14-9-2026'!E:E)</f>
        <v>TELKOMSEL</v>
      </c>
      <c r="F987" s="13"/>
      <c r="H987" s="13" t="str">
        <f>_xlfn.XLOOKUP(J987,'Master Data 14-9-2026'!C:C,'Master Data 14-9-2026'!H:H)</f>
        <v>2026-09-01 - 2026-09-30</v>
      </c>
      <c r="I987" s="13" t="str">
        <f t="shared" si="17"/>
        <v>September</v>
      </c>
      <c r="J987" s="35" t="s">
        <v>2475</v>
      </c>
      <c r="K987" s="35" t="s">
        <v>2475</v>
      </c>
      <c r="M987" s="35" t="s">
        <v>2476</v>
      </c>
      <c r="N987" s="35" t="s">
        <v>924</v>
      </c>
      <c r="O987" s="35" t="s">
        <v>2477</v>
      </c>
      <c r="P987" s="35" t="s">
        <v>2478</v>
      </c>
      <c r="Q987" s="38">
        <v>1</v>
      </c>
      <c r="R987" s="38">
        <v>1</v>
      </c>
      <c r="S987" s="35" t="s">
        <v>2233</v>
      </c>
      <c r="T987" s="35" t="s">
        <v>951</v>
      </c>
      <c r="U987" s="38">
        <v>28881900</v>
      </c>
      <c r="V987" s="38">
        <v>1</v>
      </c>
      <c r="W987" s="18">
        <f>_xlfn.XLOOKUP(J987,'Master Data 14-9-2026'!C:C,'Master Data 14-9-2026'!L:L)</f>
        <v>1.32</v>
      </c>
      <c r="X987" s="20">
        <f t="shared" si="16"/>
        <v>28881900</v>
      </c>
      <c r="Y987" s="35" t="s">
        <v>2424</v>
      </c>
      <c r="AG987" s="4"/>
    </row>
    <row r="988" spans="1:33" hidden="1">
      <c r="A988" s="35" t="s">
        <v>2479</v>
      </c>
      <c r="B988" s="13" t="str">
        <f>_xlfn.XLOOKUP(J988,'Master Data 14-9-2026'!C:C,'Master Data 14-9-2026'!D:D)</f>
        <v>Dzakiy Dzakwan wx1532899</v>
      </c>
      <c r="D988" s="13" t="str">
        <f>_xlfn.XLOOKUP(J988,'Master Data 14-9-2026'!C:C,'Master Data 14-9-2026'!E:E)</f>
        <v>TELKOMSEL</v>
      </c>
      <c r="F988" s="13"/>
      <c r="H988" s="13" t="str">
        <f>_xlfn.XLOOKUP(J988,'Master Data 14-9-2026'!C:C,'Master Data 14-9-2026'!H:H)</f>
        <v>2026-09-06 - 2026-10-05</v>
      </c>
      <c r="I988" s="13" t="str">
        <f t="shared" si="17"/>
        <v>September</v>
      </c>
      <c r="J988" s="35" t="s">
        <v>2479</v>
      </c>
      <c r="K988" s="35" t="s">
        <v>2479</v>
      </c>
      <c r="M988" s="35" t="s">
        <v>2480</v>
      </c>
      <c r="N988" s="35" t="s">
        <v>924</v>
      </c>
      <c r="O988" s="35" t="s">
        <v>2481</v>
      </c>
      <c r="P988" s="35" t="s">
        <v>2482</v>
      </c>
      <c r="Q988" s="38">
        <v>1</v>
      </c>
      <c r="R988" s="38">
        <v>1</v>
      </c>
      <c r="S988" s="35" t="s">
        <v>2266</v>
      </c>
      <c r="T988" s="35" t="s">
        <v>978</v>
      </c>
      <c r="U988" s="38">
        <v>32542400</v>
      </c>
      <c r="V988" s="38">
        <v>1</v>
      </c>
      <c r="W988" s="18">
        <f>_xlfn.XLOOKUP(J988,'Master Data 14-9-2026'!C:C,'Master Data 14-9-2026'!L:L)</f>
        <v>0</v>
      </c>
      <c r="X988" s="20">
        <f t="shared" si="16"/>
        <v>32542400</v>
      </c>
      <c r="Y988" s="35" t="s">
        <v>2424</v>
      </c>
      <c r="AG988" s="4"/>
    </row>
    <row r="989" spans="1:33" hidden="1">
      <c r="A989" s="35" t="s">
        <v>2483</v>
      </c>
      <c r="B989" s="13" t="str">
        <f>_xlfn.XLOOKUP(J989,'Master Data 14-9-2026'!C:C,'Master Data 14-9-2026'!D:D)</f>
        <v>Nancy Febrila Eko wx1524066</v>
      </c>
      <c r="D989" s="13" t="str">
        <f>_xlfn.XLOOKUP(J989,'Master Data 14-9-2026'!C:C,'Master Data 14-9-2026'!E:E)</f>
        <v>TELKOMSEL</v>
      </c>
      <c r="F989" s="13"/>
      <c r="H989" s="13" t="str">
        <f>_xlfn.XLOOKUP(J989,'Master Data 14-9-2026'!C:C,'Master Data 14-9-2026'!H:H)</f>
        <v>2026-09-02 - 2026-10-01</v>
      </c>
      <c r="I989" s="13" t="str">
        <f t="shared" si="17"/>
        <v>September</v>
      </c>
      <c r="J989" s="35" t="s">
        <v>2483</v>
      </c>
      <c r="K989" s="35" t="s">
        <v>2483</v>
      </c>
      <c r="M989" s="35" t="s">
        <v>2484</v>
      </c>
      <c r="N989" s="35" t="s">
        <v>924</v>
      </c>
      <c r="O989" s="35" t="s">
        <v>2485</v>
      </c>
      <c r="P989" s="35" t="s">
        <v>2486</v>
      </c>
      <c r="Q989" s="38">
        <v>1</v>
      </c>
      <c r="R989" s="38">
        <v>1</v>
      </c>
      <c r="S989" s="35" t="s">
        <v>2233</v>
      </c>
      <c r="T989" s="35" t="s">
        <v>951</v>
      </c>
      <c r="U989" s="38">
        <v>28881900</v>
      </c>
      <c r="V989" s="38">
        <v>1</v>
      </c>
      <c r="W989" s="18">
        <f>_xlfn.XLOOKUP(J989,'Master Data 14-9-2026'!C:C,'Master Data 14-9-2026'!L:L)</f>
        <v>0.5</v>
      </c>
      <c r="X989" s="20">
        <f t="shared" si="16"/>
        <v>28881900</v>
      </c>
      <c r="Y989" s="35" t="s">
        <v>2424</v>
      </c>
      <c r="AG989" s="4"/>
    </row>
    <row r="990" spans="1:33" hidden="1">
      <c r="A990" s="35" t="s">
        <v>2487</v>
      </c>
      <c r="B990" s="13" t="str">
        <f>_xlfn.XLOOKUP(J990,'Master Data 14-9-2026'!C:C,'Master Data 14-9-2026'!D:D)</f>
        <v>Kristina Tambunan wx1517408</v>
      </c>
      <c r="D990" s="13" t="str">
        <f>_xlfn.XLOOKUP(J990,'Master Data 14-9-2026'!C:C,'Master Data 14-9-2026'!E:E)</f>
        <v>TELKOMSEL</v>
      </c>
      <c r="F990" s="13"/>
      <c r="H990" s="13" t="str">
        <f>_xlfn.XLOOKUP(J990,'Master Data 14-9-2026'!C:C,'Master Data 14-9-2026'!H:H)</f>
        <v>2026-09-05 - 2026-10-04</v>
      </c>
      <c r="I990" s="13" t="str">
        <f t="shared" si="17"/>
        <v>September</v>
      </c>
      <c r="J990" s="35" t="s">
        <v>2487</v>
      </c>
      <c r="K990" s="35" t="s">
        <v>2487</v>
      </c>
      <c r="M990" s="35" t="s">
        <v>2488</v>
      </c>
      <c r="N990" s="35" t="s">
        <v>924</v>
      </c>
      <c r="O990" s="35" t="s">
        <v>2489</v>
      </c>
      <c r="P990" s="35" t="s">
        <v>2490</v>
      </c>
      <c r="Q990" s="38">
        <v>1</v>
      </c>
      <c r="R990" s="38">
        <v>1</v>
      </c>
      <c r="S990" s="35" t="s">
        <v>2262</v>
      </c>
      <c r="T990" s="35" t="s">
        <v>926</v>
      </c>
      <c r="U990" s="38">
        <v>34220600</v>
      </c>
      <c r="V990" s="38">
        <v>1</v>
      </c>
      <c r="W990" s="18">
        <f>_xlfn.XLOOKUP(J990,'Master Data 14-9-2026'!C:C,'Master Data 14-9-2026'!L:L)</f>
        <v>0.5</v>
      </c>
      <c r="X990" s="20">
        <f t="shared" si="16"/>
        <v>34220600</v>
      </c>
      <c r="Y990" s="35" t="s">
        <v>2424</v>
      </c>
      <c r="AG990" s="4"/>
    </row>
    <row r="991" spans="1:33" hidden="1">
      <c r="A991" s="35" t="s">
        <v>2491</v>
      </c>
      <c r="B991" s="13" t="str">
        <f>_xlfn.XLOOKUP(J991,'Master Data 14-9-2026'!C:C,'Master Data 14-9-2026'!D:D)</f>
        <v>Fikri Fanani Lubis wx1539345</v>
      </c>
      <c r="D991" s="13" t="str">
        <f>_xlfn.XLOOKUP(J991,'Master Data 14-9-2026'!C:C,'Master Data 14-9-2026'!E:E)</f>
        <v>TELKOMSEL</v>
      </c>
      <c r="F991" s="13"/>
      <c r="H991" s="13" t="str">
        <f>_xlfn.XLOOKUP(J991,'Master Data 14-9-2026'!C:C,'Master Data 14-9-2026'!H:H)</f>
        <v>2026-09-03 - 2026-10-02</v>
      </c>
      <c r="I991" s="13" t="str">
        <f t="shared" si="17"/>
        <v>September</v>
      </c>
      <c r="J991" s="35" t="s">
        <v>2491</v>
      </c>
      <c r="K991" s="35" t="s">
        <v>2491</v>
      </c>
      <c r="M991" s="35" t="s">
        <v>2492</v>
      </c>
      <c r="N991" s="35" t="s">
        <v>924</v>
      </c>
      <c r="O991" s="35" t="s">
        <v>2493</v>
      </c>
      <c r="P991" s="35" t="s">
        <v>2494</v>
      </c>
      <c r="Q991" s="38">
        <v>1</v>
      </c>
      <c r="R991" s="38">
        <v>1</v>
      </c>
      <c r="S991" s="35" t="s">
        <v>2262</v>
      </c>
      <c r="T991" s="35" t="s">
        <v>926</v>
      </c>
      <c r="U991" s="38">
        <v>34220600</v>
      </c>
      <c r="V991" s="38">
        <v>1</v>
      </c>
      <c r="W991" s="18">
        <f>_xlfn.XLOOKUP(J991,'Master Data 14-9-2026'!C:C,'Master Data 14-9-2026'!L:L)</f>
        <v>0</v>
      </c>
      <c r="X991" s="20">
        <f t="shared" si="16"/>
        <v>34220600</v>
      </c>
      <c r="Y991" s="35" t="s">
        <v>2424</v>
      </c>
      <c r="AG991" s="4"/>
    </row>
    <row r="992" spans="1:33" hidden="1">
      <c r="A992" s="35" t="s">
        <v>2495</v>
      </c>
      <c r="B992" s="13" t="str">
        <f>_xlfn.XLOOKUP(J992,'Master Data 14-9-2026'!C:C,'Master Data 14-9-2026'!D:D)</f>
        <v>Putri Mawaring Wening wx1524101</v>
      </c>
      <c r="D992" s="13" t="str">
        <f>_xlfn.XLOOKUP(J992,'Master Data 14-9-2026'!C:C,'Master Data 14-9-2026'!E:E)</f>
        <v>TELKOMSEL</v>
      </c>
      <c r="F992" s="13"/>
      <c r="H992" s="13" t="str">
        <f>_xlfn.XLOOKUP(J992,'Master Data 14-9-2026'!C:C,'Master Data 14-9-2026'!H:H)</f>
        <v>2026-09-02 - 2026-10-01</v>
      </c>
      <c r="I992" s="13" t="str">
        <f t="shared" si="17"/>
        <v>September</v>
      </c>
      <c r="J992" s="35" t="s">
        <v>2495</v>
      </c>
      <c r="K992" s="35" t="s">
        <v>2495</v>
      </c>
      <c r="M992" s="35" t="s">
        <v>2496</v>
      </c>
      <c r="N992" s="35" t="s">
        <v>924</v>
      </c>
      <c r="O992" s="35" t="s">
        <v>2497</v>
      </c>
      <c r="P992" s="35" t="s">
        <v>2498</v>
      </c>
      <c r="Q992" s="38">
        <v>1</v>
      </c>
      <c r="R992" s="38">
        <v>1</v>
      </c>
      <c r="S992" s="35" t="s">
        <v>2233</v>
      </c>
      <c r="T992" s="35" t="s">
        <v>951</v>
      </c>
      <c r="U992" s="38">
        <v>28881900</v>
      </c>
      <c r="V992" s="38">
        <v>1</v>
      </c>
      <c r="W992" s="18">
        <f>_xlfn.XLOOKUP(J992,'Master Data 14-9-2026'!C:C,'Master Data 14-9-2026'!L:L)</f>
        <v>0.88</v>
      </c>
      <c r="X992" s="20">
        <f t="shared" si="16"/>
        <v>28881900</v>
      </c>
      <c r="Y992" s="35" t="s">
        <v>2424</v>
      </c>
      <c r="AG992" s="4"/>
    </row>
    <row r="993" spans="1:33" hidden="1">
      <c r="A993" s="35" t="s">
        <v>2499</v>
      </c>
      <c r="B993" s="13" t="str">
        <f>_xlfn.XLOOKUP(J993,'Master Data 14-9-2026'!C:C,'Master Data 14-9-2026'!D:D)</f>
        <v>Makarias Lindon Sihombing wx1503643</v>
      </c>
      <c r="D993" s="13" t="str">
        <f>_xlfn.XLOOKUP(J993,'Master Data 14-9-2026'!C:C,'Master Data 14-9-2026'!E:E)</f>
        <v>TELKOMSEL</v>
      </c>
      <c r="F993" s="13"/>
      <c r="H993" s="13" t="str">
        <f>_xlfn.XLOOKUP(J993,'Master Data 14-9-2026'!C:C,'Master Data 14-9-2026'!H:H)</f>
        <v>2026-09-01 - 2026-09-30</v>
      </c>
      <c r="I993" s="13" t="str">
        <f t="shared" si="17"/>
        <v>September</v>
      </c>
      <c r="J993" s="35" t="s">
        <v>2499</v>
      </c>
      <c r="K993" s="35" t="s">
        <v>2499</v>
      </c>
      <c r="M993" s="35" t="s">
        <v>2500</v>
      </c>
      <c r="N993" s="35" t="s">
        <v>924</v>
      </c>
      <c r="O993" s="35" t="s">
        <v>2501</v>
      </c>
      <c r="P993" s="35" t="s">
        <v>2502</v>
      </c>
      <c r="Q993" s="38">
        <v>1</v>
      </c>
      <c r="R993" s="38">
        <v>1</v>
      </c>
      <c r="S993" s="35" t="s">
        <v>2289</v>
      </c>
      <c r="T993" s="35" t="s">
        <v>933</v>
      </c>
      <c r="U993" s="38">
        <v>36992000</v>
      </c>
      <c r="V993" s="38">
        <v>1</v>
      </c>
      <c r="W993" s="18">
        <f>_xlfn.XLOOKUP(J993,'Master Data 14-9-2026'!C:C,'Master Data 14-9-2026'!L:L)</f>
        <v>0.75</v>
      </c>
      <c r="X993" s="20">
        <f t="shared" si="16"/>
        <v>36992000</v>
      </c>
      <c r="Y993" s="35" t="s">
        <v>2424</v>
      </c>
      <c r="AG993" s="4"/>
    </row>
    <row r="994" spans="1:33" hidden="1">
      <c r="A994" s="35" t="s">
        <v>2503</v>
      </c>
      <c r="B994" s="13" t="str">
        <f>_xlfn.XLOOKUP(J994,'Master Data 14-9-2026'!C:C,'Master Data 14-9-2026'!D:D)</f>
        <v>Mona Margaretha Tobing wx1507282</v>
      </c>
      <c r="D994" s="13" t="str">
        <f>_xlfn.XLOOKUP(J994,'Master Data 14-9-2026'!C:C,'Master Data 14-9-2026'!E:E)</f>
        <v>TELKOMSEL</v>
      </c>
      <c r="F994" s="13"/>
      <c r="H994" s="13" t="str">
        <f>_xlfn.XLOOKUP(J994,'Master Data 14-9-2026'!C:C,'Master Data 14-9-2026'!H:H)</f>
        <v>2026-09-01 - 2026-09-30</v>
      </c>
      <c r="I994" s="13" t="str">
        <f t="shared" si="17"/>
        <v>September</v>
      </c>
      <c r="J994" s="35" t="s">
        <v>2503</v>
      </c>
      <c r="K994" s="35" t="s">
        <v>2503</v>
      </c>
      <c r="M994" s="35" t="s">
        <v>2504</v>
      </c>
      <c r="N994" s="35" t="s">
        <v>924</v>
      </c>
      <c r="O994" s="35" t="s">
        <v>2505</v>
      </c>
      <c r="P994" s="35" t="s">
        <v>2506</v>
      </c>
      <c r="Q994" s="38">
        <v>1</v>
      </c>
      <c r="R994" s="38">
        <v>1</v>
      </c>
      <c r="S994" s="35" t="s">
        <v>2233</v>
      </c>
      <c r="T994" s="35" t="s">
        <v>951</v>
      </c>
      <c r="U994" s="38">
        <v>28881900</v>
      </c>
      <c r="V994" s="38">
        <v>1</v>
      </c>
      <c r="W994" s="18">
        <f>_xlfn.XLOOKUP(J994,'Master Data 14-9-2026'!C:C,'Master Data 14-9-2026'!L:L)</f>
        <v>0.64</v>
      </c>
      <c r="X994" s="20">
        <f t="shared" si="16"/>
        <v>28881900</v>
      </c>
      <c r="Y994" s="35" t="s">
        <v>2424</v>
      </c>
      <c r="AG994" s="4"/>
    </row>
    <row r="995" spans="1:33" hidden="1">
      <c r="A995" s="35" t="s">
        <v>2507</v>
      </c>
      <c r="B995" s="13" t="str">
        <f>_xlfn.XLOOKUP(J995,'Master Data 14-9-2026'!C:C,'Master Data 14-9-2026'!D:D)</f>
        <v>Vina Putri Saffanah wx1503974</v>
      </c>
      <c r="D995" s="13" t="str">
        <f>_xlfn.XLOOKUP(J995,'Master Data 14-9-2026'!C:C,'Master Data 14-9-2026'!E:E)</f>
        <v>TELKOMSEL</v>
      </c>
      <c r="F995" s="13"/>
      <c r="H995" s="13" t="str">
        <f>_xlfn.XLOOKUP(J995,'Master Data 14-9-2026'!C:C,'Master Data 14-9-2026'!H:H)</f>
        <v>2026-08-31 - 2026-09-29</v>
      </c>
      <c r="I995" s="13" t="str">
        <f t="shared" si="17"/>
        <v>August</v>
      </c>
      <c r="J995" s="35" t="s">
        <v>2507</v>
      </c>
      <c r="K995" s="35" t="s">
        <v>2507</v>
      </c>
      <c r="M995" s="35" t="s">
        <v>2508</v>
      </c>
      <c r="N995" s="35" t="s">
        <v>924</v>
      </c>
      <c r="O995" s="35" t="s">
        <v>2509</v>
      </c>
      <c r="P995" s="35" t="s">
        <v>2510</v>
      </c>
      <c r="Q995" s="38">
        <v>1</v>
      </c>
      <c r="R995" s="38">
        <v>1</v>
      </c>
      <c r="S995" s="35" t="s">
        <v>2262</v>
      </c>
      <c r="T995" s="35" t="s">
        <v>926</v>
      </c>
      <c r="U995" s="38">
        <v>34220600</v>
      </c>
      <c r="V995" s="38">
        <v>1</v>
      </c>
      <c r="W995" s="18">
        <f>_xlfn.XLOOKUP(J995,'Master Data 14-9-2026'!C:C,'Master Data 14-9-2026'!L:L)</f>
        <v>0</v>
      </c>
      <c r="X995" s="20">
        <f t="shared" si="16"/>
        <v>34220600</v>
      </c>
      <c r="Y995" s="35" t="s">
        <v>2424</v>
      </c>
      <c r="AG995" s="4"/>
    </row>
    <row r="996" spans="1:33" hidden="1">
      <c r="A996" s="35" t="s">
        <v>2511</v>
      </c>
      <c r="B996" s="13" t="str">
        <f>_xlfn.XLOOKUP(J996,'Master Data 14-9-2026'!C:C,'Master Data 14-9-2026'!D:D)</f>
        <v>Slamet Riyanto wx1503652</v>
      </c>
      <c r="D996" s="13" t="str">
        <f>_xlfn.XLOOKUP(J996,'Master Data 14-9-2026'!C:C,'Master Data 14-9-2026'!E:E)</f>
        <v>TELKOMSEL</v>
      </c>
      <c r="F996" s="13"/>
      <c r="H996" s="13" t="str">
        <f>_xlfn.XLOOKUP(J996,'Master Data 14-9-2026'!C:C,'Master Data 14-9-2026'!H:H)</f>
        <v>2026-09-01 - 2026-09-30</v>
      </c>
      <c r="I996" s="13" t="str">
        <f t="shared" si="17"/>
        <v>September</v>
      </c>
      <c r="J996" s="35" t="s">
        <v>2511</v>
      </c>
      <c r="K996" s="35" t="s">
        <v>2511</v>
      </c>
      <c r="M996" s="35" t="s">
        <v>2512</v>
      </c>
      <c r="N996" s="35" t="s">
        <v>924</v>
      </c>
      <c r="O996" s="35" t="s">
        <v>2513</v>
      </c>
      <c r="P996" s="35" t="s">
        <v>2514</v>
      </c>
      <c r="Q996" s="38">
        <v>1</v>
      </c>
      <c r="R996" s="38">
        <v>1</v>
      </c>
      <c r="S996" s="35" t="s">
        <v>2262</v>
      </c>
      <c r="T996" s="35" t="s">
        <v>926</v>
      </c>
      <c r="U996" s="38">
        <v>34220600</v>
      </c>
      <c r="V996" s="38">
        <v>1</v>
      </c>
      <c r="W996" s="18">
        <f>_xlfn.XLOOKUP(J996,'Master Data 14-9-2026'!C:C,'Master Data 14-9-2026'!L:L)</f>
        <v>0</v>
      </c>
      <c r="X996" s="20">
        <f t="shared" si="16"/>
        <v>34220600</v>
      </c>
      <c r="Y996" s="35" t="s">
        <v>2424</v>
      </c>
      <c r="AG996" s="4"/>
    </row>
    <row r="997" spans="1:33" hidden="1">
      <c r="A997" s="35" t="s">
        <v>2515</v>
      </c>
      <c r="B997" s="13" t="str">
        <f>_xlfn.XLOOKUP(J997,'Master Data 14-9-2026'!C:C,'Master Data 14-9-2026'!D:D)</f>
        <v>Ajeng Meylani wx1521189</v>
      </c>
      <c r="D997" s="13" t="str">
        <f>_xlfn.XLOOKUP(J997,'Master Data 14-9-2026'!C:C,'Master Data 14-9-2026'!E:E)</f>
        <v>XLSMART</v>
      </c>
      <c r="F997" s="13"/>
      <c r="H997" s="13" t="str">
        <f>_xlfn.XLOOKUP(J997,'Master Data 14-9-2026'!C:C,'Master Data 14-9-2026'!H:H)</f>
        <v>2026-09-20 - 2026-10-19</v>
      </c>
      <c r="I997" s="13" t="str">
        <f t="shared" si="17"/>
        <v>September</v>
      </c>
      <c r="J997" s="35" t="s">
        <v>2515</v>
      </c>
      <c r="K997" s="35" t="s">
        <v>1004</v>
      </c>
      <c r="M997" s="35" t="s">
        <v>2516</v>
      </c>
      <c r="N997" s="35" t="s">
        <v>924</v>
      </c>
      <c r="O997" s="35" t="s">
        <v>2517</v>
      </c>
      <c r="P997" s="35" t="s">
        <v>2518</v>
      </c>
      <c r="Q997" s="38">
        <v>1</v>
      </c>
      <c r="R997" s="38">
        <v>1</v>
      </c>
      <c r="S997" s="35" t="s">
        <v>2233</v>
      </c>
      <c r="T997" s="35" t="s">
        <v>951</v>
      </c>
      <c r="U997" s="38">
        <v>28881900</v>
      </c>
      <c r="V997" s="38">
        <v>1</v>
      </c>
      <c r="W997" s="18">
        <f>_xlfn.XLOOKUP(J997,'Master Data 14-9-2026'!C:C,'Master Data 14-9-2026'!L:L)</f>
        <v>0</v>
      </c>
      <c r="X997" s="20">
        <f t="shared" si="16"/>
        <v>28881900</v>
      </c>
      <c r="Y997" s="35" t="s">
        <v>2519</v>
      </c>
      <c r="AG997" s="4"/>
    </row>
    <row r="998" spans="1:33" hidden="1">
      <c r="A998" s="35" t="s">
        <v>2520</v>
      </c>
      <c r="B998" s="13" t="str">
        <f>_xlfn.XLOOKUP(J998,'Master Data 14-9-2026'!C:C,'Master Data 14-9-2026'!D:D)</f>
        <v>Zulfan Arrofi wx1517184</v>
      </c>
      <c r="D998" s="13" t="str">
        <f>_xlfn.XLOOKUP(J998,'Master Data 14-9-2026'!C:C,'Master Data 14-9-2026'!E:E)</f>
        <v>XLSMART</v>
      </c>
      <c r="F998" s="13"/>
      <c r="H998" s="13" t="str">
        <f>_xlfn.XLOOKUP(J998,'Master Data 14-9-2026'!C:C,'Master Data 14-9-2026'!H:H)</f>
        <v>2026-09-05 - 2026-10-04</v>
      </c>
      <c r="I998" s="13" t="str">
        <f t="shared" si="17"/>
        <v>September</v>
      </c>
      <c r="J998" s="35" t="s">
        <v>2520</v>
      </c>
      <c r="K998" s="35" t="s">
        <v>1004</v>
      </c>
      <c r="M998" s="35" t="s">
        <v>2521</v>
      </c>
      <c r="N998" s="35" t="s">
        <v>924</v>
      </c>
      <c r="O998" s="35" t="s">
        <v>2517</v>
      </c>
      <c r="P998" s="35" t="s">
        <v>2518</v>
      </c>
      <c r="Q998" s="38">
        <v>2</v>
      </c>
      <c r="R998" s="38">
        <v>1</v>
      </c>
      <c r="S998" s="35" t="s">
        <v>2262</v>
      </c>
      <c r="T998" s="35" t="s">
        <v>926</v>
      </c>
      <c r="U998" s="38">
        <v>34220600</v>
      </c>
      <c r="V998" s="38">
        <v>1</v>
      </c>
      <c r="W998" s="18">
        <f>_xlfn.XLOOKUP(J998,'Master Data 14-9-2026'!C:C,'Master Data 14-9-2026'!L:L)</f>
        <v>0</v>
      </c>
      <c r="X998" s="20">
        <f t="shared" si="16"/>
        <v>34220600</v>
      </c>
      <c r="Y998" s="35" t="s">
        <v>2519</v>
      </c>
      <c r="AG998" s="4"/>
    </row>
    <row r="999" spans="1:33" hidden="1">
      <c r="A999" s="35" t="s">
        <v>2522</v>
      </c>
      <c r="B999" s="13" t="str">
        <f>_xlfn.XLOOKUP(J999,'Master Data 14-9-2026'!C:C,'Master Data 14-9-2026'!D:D)</f>
        <v>Ika Setianingsih wx1507364</v>
      </c>
      <c r="D999" s="13" t="str">
        <f>_xlfn.XLOOKUP(J999,'Master Data 14-9-2026'!C:C,'Master Data 14-9-2026'!E:E)</f>
        <v>XLSMART</v>
      </c>
      <c r="F999" s="13"/>
      <c r="H999" s="13" t="str">
        <f>_xlfn.XLOOKUP(J999,'Master Data 14-9-2026'!C:C,'Master Data 14-9-2026'!H:H)</f>
        <v>2026-09-01 - 2026-09-30</v>
      </c>
      <c r="I999" s="13" t="str">
        <f t="shared" si="17"/>
        <v>September</v>
      </c>
      <c r="J999" s="35" t="s">
        <v>2522</v>
      </c>
      <c r="K999" s="35" t="s">
        <v>1004</v>
      </c>
      <c r="M999" s="35" t="s">
        <v>2523</v>
      </c>
      <c r="N999" s="35" t="s">
        <v>924</v>
      </c>
      <c r="O999" s="35" t="s">
        <v>2517</v>
      </c>
      <c r="P999" s="35" t="s">
        <v>2518</v>
      </c>
      <c r="Q999" s="38">
        <v>3</v>
      </c>
      <c r="R999" s="38">
        <v>1</v>
      </c>
      <c r="S999" s="35" t="s">
        <v>2233</v>
      </c>
      <c r="T999" s="35" t="s">
        <v>951</v>
      </c>
      <c r="U999" s="38">
        <v>28881900</v>
      </c>
      <c r="V999" s="38">
        <v>1</v>
      </c>
      <c r="W999" s="18">
        <f>_xlfn.XLOOKUP(J999,'Master Data 14-9-2026'!C:C,'Master Data 14-9-2026'!L:L)</f>
        <v>0</v>
      </c>
      <c r="X999" s="20">
        <f t="shared" si="16"/>
        <v>28881900</v>
      </c>
      <c r="Y999" s="35" t="s">
        <v>2519</v>
      </c>
      <c r="AG999" s="4"/>
    </row>
    <row r="1000" spans="1:33" hidden="1">
      <c r="A1000" s="35" t="s">
        <v>2524</v>
      </c>
      <c r="B1000" s="13" t="str">
        <f>_xlfn.XLOOKUP(J1000,'Master Data 14-9-2026'!C:C,'Master Data 14-9-2026'!D:D)</f>
        <v>Aliyah wx1507137</v>
      </c>
      <c r="D1000" s="13" t="str">
        <f>_xlfn.XLOOKUP(J1000,'Master Data 14-9-2026'!C:C,'Master Data 14-9-2026'!E:E)</f>
        <v>XLSMART</v>
      </c>
      <c r="F1000" s="13"/>
      <c r="H1000" s="13" t="str">
        <f>_xlfn.XLOOKUP(J1000,'Master Data 14-9-2026'!C:C,'Master Data 14-9-2026'!H:H)</f>
        <v>2026-09-01 - 2026-09-30</v>
      </c>
      <c r="I1000" s="13" t="str">
        <f t="shared" si="17"/>
        <v>September</v>
      </c>
      <c r="J1000" s="35" t="s">
        <v>2524</v>
      </c>
      <c r="K1000" s="35" t="s">
        <v>1004</v>
      </c>
      <c r="M1000" s="35" t="s">
        <v>2525</v>
      </c>
      <c r="N1000" s="35" t="s">
        <v>924</v>
      </c>
      <c r="O1000" s="35" t="s">
        <v>2517</v>
      </c>
      <c r="P1000" s="35" t="s">
        <v>2518</v>
      </c>
      <c r="Q1000" s="38">
        <v>4</v>
      </c>
      <c r="R1000" s="38">
        <v>1</v>
      </c>
      <c r="S1000" s="35" t="s">
        <v>2233</v>
      </c>
      <c r="T1000" s="35" t="s">
        <v>951</v>
      </c>
      <c r="U1000" s="38">
        <v>28881900</v>
      </c>
      <c r="V1000" s="38">
        <v>1</v>
      </c>
      <c r="W1000" s="18">
        <f>_xlfn.XLOOKUP(J1000,'Master Data 14-9-2026'!C:C,'Master Data 14-9-2026'!L:L)</f>
        <v>0.5</v>
      </c>
      <c r="X1000" s="20">
        <f t="shared" si="16"/>
        <v>28881900</v>
      </c>
      <c r="Y1000" s="35" t="s">
        <v>2519</v>
      </c>
      <c r="AG1000" s="4"/>
    </row>
    <row r="1001" spans="1:33" hidden="1">
      <c r="A1001" s="35" t="s">
        <v>2526</v>
      </c>
      <c r="B1001" s="13" t="str">
        <f>_xlfn.XLOOKUP(J1001,'Master Data 14-9-2026'!C:C,'Master Data 14-9-2026'!D:D)</f>
        <v>Salsabila Ulya Nabilah Fuad wx1507138</v>
      </c>
      <c r="D1001" s="13" t="str">
        <f>_xlfn.XLOOKUP(J1001,'Master Data 14-9-2026'!C:C,'Master Data 14-9-2026'!E:E)</f>
        <v>XLSMART</v>
      </c>
      <c r="F1001" s="13"/>
      <c r="H1001" s="13" t="str">
        <f>_xlfn.XLOOKUP(J1001,'Master Data 14-9-2026'!C:C,'Master Data 14-9-2026'!H:H)</f>
        <v>2026-09-01 - 2026-09-30</v>
      </c>
      <c r="I1001" s="13" t="str">
        <f t="shared" si="17"/>
        <v>September</v>
      </c>
      <c r="J1001" s="35" t="s">
        <v>2526</v>
      </c>
      <c r="K1001" s="35" t="s">
        <v>1004</v>
      </c>
      <c r="M1001" s="35" t="s">
        <v>2527</v>
      </c>
      <c r="N1001" s="35" t="s">
        <v>924</v>
      </c>
      <c r="O1001" s="35" t="s">
        <v>2517</v>
      </c>
      <c r="P1001" s="35" t="s">
        <v>2518</v>
      </c>
      <c r="Q1001" s="38">
        <v>5</v>
      </c>
      <c r="R1001" s="38">
        <v>1</v>
      </c>
      <c r="S1001" s="35" t="s">
        <v>2233</v>
      </c>
      <c r="T1001" s="35" t="s">
        <v>951</v>
      </c>
      <c r="U1001" s="38">
        <v>28881900</v>
      </c>
      <c r="V1001" s="38">
        <v>1</v>
      </c>
      <c r="W1001" s="18">
        <f>_xlfn.XLOOKUP(J1001,'Master Data 14-9-2026'!C:C,'Master Data 14-9-2026'!L:L)</f>
        <v>0.5</v>
      </c>
      <c r="X1001" s="20">
        <f t="shared" si="16"/>
        <v>28881900</v>
      </c>
      <c r="Y1001" s="35" t="s">
        <v>2519</v>
      </c>
      <c r="AG1001" s="4"/>
    </row>
    <row r="1002" spans="1:33" hidden="1">
      <c r="A1002" s="35" t="s">
        <v>2528</v>
      </c>
      <c r="B1002" s="13" t="str">
        <f>_xlfn.XLOOKUP(J1002,'Master Data 14-9-2026'!C:C,'Master Data 14-9-2026'!D:D)</f>
        <v>Cahyo Suryo Bhuwono Winarso wx1507283</v>
      </c>
      <c r="D1002" s="13" t="str">
        <f>_xlfn.XLOOKUP(J1002,'Master Data 14-9-2026'!C:C,'Master Data 14-9-2026'!E:E)</f>
        <v>XLSMART</v>
      </c>
      <c r="F1002" s="13"/>
      <c r="H1002" s="13" t="str">
        <f>_xlfn.XLOOKUP(J1002,'Master Data 14-9-2026'!C:C,'Master Data 14-9-2026'!H:H)</f>
        <v>2026-09-01 - 2026-09-30</v>
      </c>
      <c r="I1002" s="13" t="str">
        <f t="shared" si="17"/>
        <v>September</v>
      </c>
      <c r="J1002" s="35" t="s">
        <v>2528</v>
      </c>
      <c r="K1002" s="35" t="s">
        <v>1004</v>
      </c>
      <c r="M1002" s="35" t="s">
        <v>2529</v>
      </c>
      <c r="N1002" s="35" t="s">
        <v>924</v>
      </c>
      <c r="O1002" s="35" t="s">
        <v>2517</v>
      </c>
      <c r="P1002" s="35" t="s">
        <v>2518</v>
      </c>
      <c r="Q1002" s="38">
        <v>6</v>
      </c>
      <c r="R1002" s="38">
        <v>1</v>
      </c>
      <c r="S1002" s="35" t="s">
        <v>2233</v>
      </c>
      <c r="T1002" s="35" t="s">
        <v>951</v>
      </c>
      <c r="U1002" s="38">
        <v>28881900</v>
      </c>
      <c r="V1002" s="38">
        <v>1</v>
      </c>
      <c r="W1002" s="18">
        <f>_xlfn.XLOOKUP(J1002,'Master Data 14-9-2026'!C:C,'Master Data 14-9-2026'!L:L)</f>
        <v>0</v>
      </c>
      <c r="X1002" s="20">
        <f t="shared" si="16"/>
        <v>28881900</v>
      </c>
      <c r="Y1002" s="35" t="s">
        <v>2519</v>
      </c>
      <c r="AG1002" s="4"/>
    </row>
    <row r="1003" spans="1:33" hidden="1">
      <c r="A1003" s="35" t="s">
        <v>2530</v>
      </c>
      <c r="B1003" s="13" t="str">
        <f>_xlfn.XLOOKUP(J1003,'Master Data 14-9-2026'!C:C,'Master Data 14-9-2026'!D:D)</f>
        <v>Gema Marhayen wx1506940</v>
      </c>
      <c r="D1003" s="13" t="str">
        <f>_xlfn.XLOOKUP(J1003,'Master Data 14-9-2026'!C:C,'Master Data 14-9-2026'!E:E)</f>
        <v>XLSMART</v>
      </c>
      <c r="F1003" s="13"/>
      <c r="H1003" s="13" t="str">
        <f>_xlfn.XLOOKUP(J1003,'Master Data 14-9-2026'!C:C,'Master Data 14-9-2026'!H:H)</f>
        <v>2026-09-01 - 2026-09-30</v>
      </c>
      <c r="I1003" s="13" t="str">
        <f t="shared" si="17"/>
        <v>September</v>
      </c>
      <c r="J1003" s="35" t="s">
        <v>2530</v>
      </c>
      <c r="K1003" s="35" t="s">
        <v>1004</v>
      </c>
      <c r="M1003" s="35" t="s">
        <v>2531</v>
      </c>
      <c r="N1003" s="35" t="s">
        <v>924</v>
      </c>
      <c r="O1003" s="35" t="s">
        <v>2517</v>
      </c>
      <c r="P1003" s="35" t="s">
        <v>2518</v>
      </c>
      <c r="Q1003" s="38">
        <v>7</v>
      </c>
      <c r="R1003" s="38">
        <v>1</v>
      </c>
      <c r="S1003" s="35" t="s">
        <v>2233</v>
      </c>
      <c r="T1003" s="35" t="s">
        <v>951</v>
      </c>
      <c r="U1003" s="38">
        <v>28881900</v>
      </c>
      <c r="V1003" s="38">
        <v>1</v>
      </c>
      <c r="W1003" s="18">
        <f>_xlfn.XLOOKUP(J1003,'Master Data 14-9-2026'!C:C,'Master Data 14-9-2026'!L:L)</f>
        <v>0.61</v>
      </c>
      <c r="X1003" s="20">
        <f t="shared" si="16"/>
        <v>28881900</v>
      </c>
      <c r="Y1003" s="35" t="s">
        <v>2519</v>
      </c>
      <c r="AG1003" s="4"/>
    </row>
    <row r="1004" spans="1:33" hidden="1">
      <c r="A1004" s="35" t="s">
        <v>2532</v>
      </c>
      <c r="B1004" s="13" t="str">
        <f>_xlfn.XLOOKUP(J1004,'Master Data 14-9-2026'!C:C,'Master Data 14-9-2026'!D:D)</f>
        <v>Yonathan Janmorga wx1507284</v>
      </c>
      <c r="D1004" s="13" t="str">
        <f>_xlfn.XLOOKUP(J1004,'Master Data 14-9-2026'!C:C,'Master Data 14-9-2026'!E:E)</f>
        <v>XLSMART</v>
      </c>
      <c r="F1004" s="13"/>
      <c r="H1004" s="13" t="str">
        <f>_xlfn.XLOOKUP(J1004,'Master Data 14-9-2026'!C:C,'Master Data 14-9-2026'!H:H)</f>
        <v>2026-09-01 - 2026-09-30</v>
      </c>
      <c r="I1004" s="13" t="str">
        <f t="shared" si="17"/>
        <v>September</v>
      </c>
      <c r="J1004" s="35" t="s">
        <v>2532</v>
      </c>
      <c r="K1004" s="35" t="s">
        <v>1004</v>
      </c>
      <c r="M1004" s="35" t="s">
        <v>2533</v>
      </c>
      <c r="N1004" s="35" t="s">
        <v>924</v>
      </c>
      <c r="O1004" s="35" t="s">
        <v>2517</v>
      </c>
      <c r="P1004" s="35" t="s">
        <v>2518</v>
      </c>
      <c r="Q1004" s="38">
        <v>8</v>
      </c>
      <c r="R1004" s="38">
        <v>1</v>
      </c>
      <c r="S1004" s="35" t="s">
        <v>2262</v>
      </c>
      <c r="T1004" s="35" t="s">
        <v>926</v>
      </c>
      <c r="U1004" s="38">
        <v>34220600</v>
      </c>
      <c r="V1004" s="38">
        <v>1</v>
      </c>
      <c r="W1004" s="18">
        <f>_xlfn.XLOOKUP(J1004,'Master Data 14-9-2026'!C:C,'Master Data 14-9-2026'!L:L)</f>
        <v>0</v>
      </c>
      <c r="X1004" s="20">
        <f t="shared" si="16"/>
        <v>34220600</v>
      </c>
      <c r="Y1004" s="35" t="s">
        <v>2519</v>
      </c>
      <c r="AG1004" s="4"/>
    </row>
    <row r="1005" spans="1:33" hidden="1">
      <c r="A1005" s="35" t="s">
        <v>2534</v>
      </c>
      <c r="B1005" s="13" t="str">
        <f>_xlfn.XLOOKUP(J1005,'Master Data 14-9-2026'!C:C,'Master Data 14-9-2026'!D:D)</f>
        <v>Dheanera Fairuz Hasna wx1507280</v>
      </c>
      <c r="D1005" s="13" t="str">
        <f>_xlfn.XLOOKUP(J1005,'Master Data 14-9-2026'!C:C,'Master Data 14-9-2026'!E:E)</f>
        <v>XLSMART</v>
      </c>
      <c r="F1005" s="13"/>
      <c r="H1005" s="13" t="str">
        <f>_xlfn.XLOOKUP(J1005,'Master Data 14-9-2026'!C:C,'Master Data 14-9-2026'!H:H)</f>
        <v>2026-09-01 - 2026-09-30</v>
      </c>
      <c r="I1005" s="13" t="str">
        <f t="shared" si="17"/>
        <v>September</v>
      </c>
      <c r="J1005" s="35" t="s">
        <v>2534</v>
      </c>
      <c r="K1005" s="35" t="s">
        <v>1004</v>
      </c>
      <c r="M1005" s="35" t="s">
        <v>2535</v>
      </c>
      <c r="N1005" s="35" t="s">
        <v>924</v>
      </c>
      <c r="O1005" s="35" t="s">
        <v>2517</v>
      </c>
      <c r="P1005" s="35" t="s">
        <v>2518</v>
      </c>
      <c r="Q1005" s="38">
        <v>9</v>
      </c>
      <c r="R1005" s="38">
        <v>1</v>
      </c>
      <c r="S1005" s="35" t="s">
        <v>2262</v>
      </c>
      <c r="T1005" s="35" t="s">
        <v>926</v>
      </c>
      <c r="U1005" s="38">
        <v>34220600</v>
      </c>
      <c r="V1005" s="38">
        <v>1</v>
      </c>
      <c r="W1005" s="18">
        <f>_xlfn.XLOOKUP(J1005,'Master Data 14-9-2026'!C:C,'Master Data 14-9-2026'!L:L)</f>
        <v>0</v>
      </c>
      <c r="X1005" s="20">
        <f t="shared" si="16"/>
        <v>34220600</v>
      </c>
      <c r="Y1005" s="35" t="s">
        <v>2519</v>
      </c>
      <c r="AG1005" s="4"/>
    </row>
    <row r="1006" spans="1:33" hidden="1">
      <c r="A1006" s="35" t="s">
        <v>2536</v>
      </c>
      <c r="B1006" s="13" t="str">
        <f>_xlfn.XLOOKUP(J1006,'Master Data 14-9-2026'!C:C,'Master Data 14-9-2026'!D:D)</f>
        <v>Qudsiyah Zahra Ilham Naseela wx1507281</v>
      </c>
      <c r="D1006" s="13" t="str">
        <f>_xlfn.XLOOKUP(J1006,'Master Data 14-9-2026'!C:C,'Master Data 14-9-2026'!E:E)</f>
        <v>XLSMART</v>
      </c>
      <c r="F1006" s="13"/>
      <c r="H1006" s="13" t="str">
        <f>_xlfn.XLOOKUP(J1006,'Master Data 14-9-2026'!C:C,'Master Data 14-9-2026'!H:H)</f>
        <v>2026-09-01 - 2026-09-30</v>
      </c>
      <c r="I1006" s="13" t="str">
        <f t="shared" si="17"/>
        <v>September</v>
      </c>
      <c r="J1006" s="35" t="s">
        <v>2536</v>
      </c>
      <c r="K1006" s="35" t="s">
        <v>1004</v>
      </c>
      <c r="M1006" s="35" t="s">
        <v>2537</v>
      </c>
      <c r="N1006" s="35" t="s">
        <v>924</v>
      </c>
      <c r="O1006" s="35" t="s">
        <v>2517</v>
      </c>
      <c r="P1006" s="35" t="s">
        <v>2518</v>
      </c>
      <c r="Q1006" s="38">
        <v>10</v>
      </c>
      <c r="R1006" s="38">
        <v>1</v>
      </c>
      <c r="S1006" s="35" t="s">
        <v>2262</v>
      </c>
      <c r="T1006" s="35" t="s">
        <v>926</v>
      </c>
      <c r="U1006" s="38">
        <v>34220600</v>
      </c>
      <c r="V1006" s="38">
        <v>1</v>
      </c>
      <c r="W1006" s="18">
        <f>_xlfn.XLOOKUP(J1006,'Master Data 14-9-2026'!C:C,'Master Data 14-9-2026'!L:L)</f>
        <v>0</v>
      </c>
      <c r="X1006" s="20">
        <f t="shared" si="16"/>
        <v>34220600</v>
      </c>
      <c r="Y1006" s="35" t="s">
        <v>2519</v>
      </c>
      <c r="AG1006" s="4"/>
    </row>
    <row r="1007" spans="1:33" hidden="1">
      <c r="A1007" s="35" t="s">
        <v>2538</v>
      </c>
      <c r="B1007" s="13" t="str">
        <f>_xlfn.XLOOKUP(J1007,'Master Data 14-9-2026'!C:C,'Master Data 14-9-2026'!D:D)</f>
        <v>Agus Hendra wx1506946</v>
      </c>
      <c r="D1007" s="13" t="str">
        <f>_xlfn.XLOOKUP(J1007,'Master Data 14-9-2026'!C:C,'Master Data 14-9-2026'!E:E)</f>
        <v>XLSMART</v>
      </c>
      <c r="F1007" s="13"/>
      <c r="H1007" s="13" t="str">
        <f>_xlfn.XLOOKUP(J1007,'Master Data 14-9-2026'!C:C,'Master Data 14-9-2026'!H:H)</f>
        <v>2026-09-01 - 2026-09-30</v>
      </c>
      <c r="I1007" s="13" t="str">
        <f t="shared" si="17"/>
        <v>September</v>
      </c>
      <c r="J1007" s="35" t="s">
        <v>2538</v>
      </c>
      <c r="K1007" s="35" t="s">
        <v>1004</v>
      </c>
      <c r="M1007" s="35" t="s">
        <v>2539</v>
      </c>
      <c r="N1007" s="35" t="s">
        <v>924</v>
      </c>
      <c r="O1007" s="35" t="s">
        <v>2517</v>
      </c>
      <c r="P1007" s="35" t="s">
        <v>2518</v>
      </c>
      <c r="Q1007" s="38">
        <v>11</v>
      </c>
      <c r="R1007" s="38">
        <v>1</v>
      </c>
      <c r="S1007" s="35" t="s">
        <v>2262</v>
      </c>
      <c r="T1007" s="35" t="s">
        <v>926</v>
      </c>
      <c r="U1007" s="38">
        <v>34220600</v>
      </c>
      <c r="V1007" s="38">
        <v>1</v>
      </c>
      <c r="W1007" s="18">
        <f>_xlfn.XLOOKUP(J1007,'Master Data 14-9-2026'!C:C,'Master Data 14-9-2026'!L:L)</f>
        <v>0</v>
      </c>
      <c r="X1007" s="20">
        <f t="shared" si="16"/>
        <v>34220600</v>
      </c>
      <c r="Y1007" s="35" t="s">
        <v>2519</v>
      </c>
      <c r="AG1007" s="4"/>
    </row>
    <row r="1008" spans="1:33" hidden="1">
      <c r="A1008" s="35" t="s">
        <v>2540</v>
      </c>
      <c r="B1008" s="13" t="str">
        <f>_xlfn.XLOOKUP(J1008,'Master Data 14-9-2026'!C:C,'Master Data 14-9-2026'!D:D)</f>
        <v>Prawira Satria Yodhipati wx1507286</v>
      </c>
      <c r="D1008" s="13" t="str">
        <f>_xlfn.XLOOKUP(J1008,'Master Data 14-9-2026'!C:C,'Master Data 14-9-2026'!E:E)</f>
        <v>XLSMART</v>
      </c>
      <c r="F1008" s="13"/>
      <c r="H1008" s="13" t="str">
        <f>_xlfn.XLOOKUP(J1008,'Master Data 14-9-2026'!C:C,'Master Data 14-9-2026'!H:H)</f>
        <v>2026-09-01 - 2026-09-30</v>
      </c>
      <c r="I1008" s="13" t="str">
        <f t="shared" si="17"/>
        <v>September</v>
      </c>
      <c r="J1008" s="35" t="s">
        <v>2540</v>
      </c>
      <c r="K1008" s="35" t="s">
        <v>1004</v>
      </c>
      <c r="M1008" s="35" t="s">
        <v>2541</v>
      </c>
      <c r="N1008" s="35" t="s">
        <v>924</v>
      </c>
      <c r="O1008" s="35" t="s">
        <v>2517</v>
      </c>
      <c r="P1008" s="35" t="s">
        <v>2518</v>
      </c>
      <c r="Q1008" s="38">
        <v>12</v>
      </c>
      <c r="R1008" s="38">
        <v>1</v>
      </c>
      <c r="S1008" s="35" t="s">
        <v>2262</v>
      </c>
      <c r="T1008" s="35" t="s">
        <v>926</v>
      </c>
      <c r="U1008" s="38">
        <v>34220600</v>
      </c>
      <c r="V1008" s="38">
        <v>1</v>
      </c>
      <c r="W1008" s="18">
        <f>_xlfn.XLOOKUP(J1008,'Master Data 14-9-2026'!C:C,'Master Data 14-9-2026'!L:L)</f>
        <v>0</v>
      </c>
      <c r="X1008" s="20">
        <f t="shared" si="16"/>
        <v>34220600</v>
      </c>
      <c r="Y1008" s="35" t="s">
        <v>2519</v>
      </c>
      <c r="AG1008" s="4"/>
    </row>
    <row r="1009" spans="1:33" hidden="1">
      <c r="A1009" s="35" t="s">
        <v>2542</v>
      </c>
      <c r="B1009" s="13" t="str">
        <f>_xlfn.XLOOKUP(J1009,'Master Data 14-9-2026'!C:C,'Master Data 14-9-2026'!D:D)</f>
        <v>Julham Hamid wx1507139</v>
      </c>
      <c r="D1009" s="13" t="str">
        <f>_xlfn.XLOOKUP(J1009,'Master Data 14-9-2026'!C:C,'Master Data 14-9-2026'!E:E)</f>
        <v>XLSMART</v>
      </c>
      <c r="F1009" s="13"/>
      <c r="H1009" s="13" t="str">
        <f>_xlfn.XLOOKUP(J1009,'Master Data 14-9-2026'!C:C,'Master Data 14-9-2026'!H:H)</f>
        <v>2026-09-01 - 2026-09-30</v>
      </c>
      <c r="I1009" s="13" t="str">
        <f t="shared" si="17"/>
        <v>September</v>
      </c>
      <c r="J1009" s="35" t="s">
        <v>2542</v>
      </c>
      <c r="K1009" s="35" t="s">
        <v>1004</v>
      </c>
      <c r="M1009" s="35" t="s">
        <v>2543</v>
      </c>
      <c r="N1009" s="35" t="s">
        <v>924</v>
      </c>
      <c r="O1009" s="35" t="s">
        <v>2517</v>
      </c>
      <c r="P1009" s="35" t="s">
        <v>2518</v>
      </c>
      <c r="Q1009" s="38">
        <v>13</v>
      </c>
      <c r="R1009" s="38">
        <v>1</v>
      </c>
      <c r="S1009" s="35" t="s">
        <v>2289</v>
      </c>
      <c r="T1009" s="35" t="s">
        <v>933</v>
      </c>
      <c r="U1009" s="38">
        <v>36992000</v>
      </c>
      <c r="V1009" s="38">
        <v>1</v>
      </c>
      <c r="W1009" s="18">
        <f>_xlfn.XLOOKUP(J1009,'Master Data 14-9-2026'!C:C,'Master Data 14-9-2026'!L:L)</f>
        <v>0.53</v>
      </c>
      <c r="X1009" s="20">
        <f t="shared" si="16"/>
        <v>36992000</v>
      </c>
      <c r="Y1009" s="35" t="s">
        <v>2519</v>
      </c>
      <c r="AG1009" s="4"/>
    </row>
    <row r="1010" spans="1:33" hidden="1">
      <c r="A1010" s="35" t="s">
        <v>2544</v>
      </c>
      <c r="B1010" s="13" t="str">
        <f>_xlfn.XLOOKUP(J1010,'Master Data 14-9-2026'!C:C,'Master Data 14-9-2026'!D:D)</f>
        <v>Muh Haidir Haswan wx1507136</v>
      </c>
      <c r="D1010" s="13" t="str">
        <f>_xlfn.XLOOKUP(J1010,'Master Data 14-9-2026'!C:C,'Master Data 14-9-2026'!E:E)</f>
        <v>XLSMART</v>
      </c>
      <c r="F1010" s="13"/>
      <c r="H1010" s="13" t="str">
        <f>_xlfn.XLOOKUP(J1010,'Master Data 14-9-2026'!C:C,'Master Data 14-9-2026'!H:H)</f>
        <v>2026-09-01 - 2026-09-30</v>
      </c>
      <c r="I1010" s="13" t="str">
        <f t="shared" si="17"/>
        <v>September</v>
      </c>
      <c r="J1010" s="35" t="s">
        <v>2544</v>
      </c>
      <c r="K1010" s="35" t="s">
        <v>1004</v>
      </c>
      <c r="M1010" s="35" t="s">
        <v>2545</v>
      </c>
      <c r="N1010" s="35" t="s">
        <v>924</v>
      </c>
      <c r="O1010" s="35" t="s">
        <v>2517</v>
      </c>
      <c r="P1010" s="35" t="s">
        <v>2518</v>
      </c>
      <c r="Q1010" s="38">
        <v>14</v>
      </c>
      <c r="R1010" s="38">
        <v>1</v>
      </c>
      <c r="S1010" s="35" t="s">
        <v>2289</v>
      </c>
      <c r="T1010" s="35" t="s">
        <v>933</v>
      </c>
      <c r="U1010" s="38">
        <v>36992000</v>
      </c>
      <c r="V1010" s="38">
        <v>1</v>
      </c>
      <c r="W1010" s="18">
        <f>_xlfn.XLOOKUP(J1010,'Master Data 14-9-2026'!C:C,'Master Data 14-9-2026'!L:L)</f>
        <v>1.3</v>
      </c>
      <c r="X1010" s="20">
        <f t="shared" si="16"/>
        <v>36992000</v>
      </c>
      <c r="Y1010" s="35" t="s">
        <v>2519</v>
      </c>
      <c r="AG1010" s="4"/>
    </row>
    <row r="1011" spans="1:33" hidden="1">
      <c r="A1011" s="35" t="s">
        <v>2546</v>
      </c>
      <c r="B1011" s="13" t="str">
        <f>_xlfn.XLOOKUP(J1011,'Master Data 14-9-2026'!C:C,'Master Data 14-9-2026'!D:D)</f>
        <v>Benny Prio Utomo wx1513406</v>
      </c>
      <c r="D1011" s="13" t="str">
        <f>_xlfn.XLOOKUP(J1011,'Master Data 14-9-2026'!C:C,'Master Data 14-9-2026'!E:E)</f>
        <v>XLSMART</v>
      </c>
      <c r="F1011" s="13"/>
      <c r="H1011" s="13" t="str">
        <f>_xlfn.XLOOKUP(J1011,'Master Data 14-9-2026'!C:C,'Master Data 14-9-2026'!H:H)</f>
        <v>2026-09-21 - 2026-10-20</v>
      </c>
      <c r="I1011" s="13" t="str">
        <f t="shared" si="17"/>
        <v>September</v>
      </c>
      <c r="J1011" s="35" t="s">
        <v>2546</v>
      </c>
      <c r="K1011" s="35" t="s">
        <v>1004</v>
      </c>
      <c r="M1011" s="35" t="s">
        <v>2547</v>
      </c>
      <c r="N1011" s="35" t="s">
        <v>924</v>
      </c>
      <c r="O1011" s="35" t="s">
        <v>2517</v>
      </c>
      <c r="P1011" s="35" t="s">
        <v>2518</v>
      </c>
      <c r="Q1011" s="38">
        <v>15</v>
      </c>
      <c r="R1011" s="38">
        <v>1</v>
      </c>
      <c r="S1011" s="35" t="s">
        <v>2289</v>
      </c>
      <c r="T1011" s="35" t="s">
        <v>933</v>
      </c>
      <c r="U1011" s="38">
        <v>36992000</v>
      </c>
      <c r="V1011" s="38">
        <v>1</v>
      </c>
      <c r="W1011" s="18">
        <f>_xlfn.XLOOKUP(J1011,'Master Data 14-9-2026'!C:C,'Master Data 14-9-2026'!L:L)</f>
        <v>0</v>
      </c>
      <c r="X1011" s="20">
        <f t="shared" si="16"/>
        <v>36992000</v>
      </c>
      <c r="Y1011" s="35" t="s">
        <v>2519</v>
      </c>
      <c r="AG1011" s="4"/>
    </row>
    <row r="1012" spans="1:33" hidden="1">
      <c r="A1012" s="35" t="s">
        <v>2548</v>
      </c>
      <c r="B1012" s="13" t="str">
        <f>_xlfn.XLOOKUP(J1012,'Master Data 14-9-2026'!C:C,'Master Data 14-9-2026'!D:D)</f>
        <v>Ferry Anggriawan wx1503648</v>
      </c>
      <c r="D1012" s="13" t="str">
        <f>_xlfn.XLOOKUP(J1012,'Master Data 14-9-2026'!C:C,'Master Data 14-9-2026'!E:E)</f>
        <v>XLSMART</v>
      </c>
      <c r="F1012" s="13"/>
      <c r="H1012" s="13" t="str">
        <f>_xlfn.XLOOKUP(J1012,'Master Data 14-9-2026'!C:C,'Master Data 14-9-2026'!H:H)</f>
        <v>2026-08-31 - 2026-09-29</v>
      </c>
      <c r="I1012" s="13" t="str">
        <f t="shared" si="17"/>
        <v>August</v>
      </c>
      <c r="J1012" s="35" t="s">
        <v>2548</v>
      </c>
      <c r="K1012" s="35" t="s">
        <v>1004</v>
      </c>
      <c r="M1012" s="35" t="s">
        <v>2549</v>
      </c>
      <c r="N1012" s="35" t="s">
        <v>924</v>
      </c>
      <c r="O1012" s="35" t="s">
        <v>2517</v>
      </c>
      <c r="P1012" s="35" t="s">
        <v>2518</v>
      </c>
      <c r="Q1012" s="38">
        <v>16</v>
      </c>
      <c r="R1012" s="38">
        <v>1</v>
      </c>
      <c r="S1012" s="35" t="s">
        <v>2266</v>
      </c>
      <c r="T1012" s="35" t="s">
        <v>978</v>
      </c>
      <c r="U1012" s="38">
        <v>32542400</v>
      </c>
      <c r="V1012" s="38">
        <v>1</v>
      </c>
      <c r="W1012" s="18">
        <f>_xlfn.XLOOKUP(J1012,'Master Data 14-9-2026'!C:C,'Master Data 14-9-2026'!L:L)</f>
        <v>0</v>
      </c>
      <c r="X1012" s="20">
        <f t="shared" si="16"/>
        <v>32542400</v>
      </c>
      <c r="Y1012" s="35" t="s">
        <v>2519</v>
      </c>
      <c r="AG1012" s="4"/>
    </row>
    <row r="1013" spans="1:33" hidden="1">
      <c r="A1013" s="35" t="s">
        <v>2550</v>
      </c>
      <c r="B1013" s="13" t="str">
        <f>_xlfn.XLOOKUP(J1013,'Master Data 14-9-2026'!C:C,'Master Data 14-9-2026'!D:D)</f>
        <v>Eko Syambudi Deviyanto wx1507285</v>
      </c>
      <c r="D1013" s="13" t="str">
        <f>_xlfn.XLOOKUP(J1013,'Master Data 14-9-2026'!C:C,'Master Data 14-9-2026'!E:E)</f>
        <v>XL-FTTH</v>
      </c>
      <c r="F1013" s="13"/>
      <c r="H1013" s="13" t="str">
        <f>_xlfn.XLOOKUP(J1013,'Master Data 14-9-2026'!C:C,'Master Data 14-9-2026'!H:H)</f>
        <v>2026-09-01 - 2026-09-30</v>
      </c>
      <c r="I1013" s="13" t="str">
        <f t="shared" si="17"/>
        <v>September</v>
      </c>
      <c r="J1013" s="35" t="s">
        <v>2550</v>
      </c>
      <c r="K1013" s="35" t="s">
        <v>1004</v>
      </c>
      <c r="M1013" s="35" t="s">
        <v>2551</v>
      </c>
      <c r="N1013" s="35" t="s">
        <v>924</v>
      </c>
      <c r="O1013" s="35" t="s">
        <v>2517</v>
      </c>
      <c r="P1013" s="35" t="s">
        <v>2518</v>
      </c>
      <c r="Q1013" s="38">
        <v>17</v>
      </c>
      <c r="R1013" s="38">
        <v>1</v>
      </c>
      <c r="S1013" s="35" t="s">
        <v>2266</v>
      </c>
      <c r="T1013" s="35" t="s">
        <v>978</v>
      </c>
      <c r="U1013" s="38">
        <v>32542400</v>
      </c>
      <c r="V1013" s="38">
        <v>1</v>
      </c>
      <c r="W1013" s="18">
        <f>_xlfn.XLOOKUP(J1013,'Master Data 14-9-2026'!C:C,'Master Data 14-9-2026'!L:L)</f>
        <v>0</v>
      </c>
      <c r="X1013" s="20">
        <f t="shared" si="16"/>
        <v>32542400</v>
      </c>
      <c r="Y1013" s="35" t="s">
        <v>2519</v>
      </c>
      <c r="AG1013" s="4"/>
    </row>
    <row r="1014" spans="1:33" hidden="1">
      <c r="A1014" s="35" t="s">
        <v>2552</v>
      </c>
      <c r="B1014" s="13" t="str">
        <f>_xlfn.XLOOKUP(J1014,'Master Data 14-9-2026'!C:C,'Master Data 14-9-2026'!D:D)</f>
        <v>DENI MUHAMMAD ARIF FRIMALDI WX1521787</v>
      </c>
      <c r="D1014" s="13" t="str">
        <f>_xlfn.XLOOKUP(J1014,'Master Data 14-9-2026'!C:C,'Master Data 14-9-2026'!E:E)</f>
        <v>XLSMART</v>
      </c>
      <c r="F1014" s="13"/>
      <c r="H1014" s="13" t="str">
        <f>_xlfn.XLOOKUP(J1014,'Master Data 14-9-2026'!C:C,'Master Data 14-9-2026'!H:H)</f>
        <v>2026-09-20 - 2026-10-19</v>
      </c>
      <c r="I1014" s="13" t="str">
        <f t="shared" si="17"/>
        <v>September</v>
      </c>
      <c r="J1014" s="35" t="s">
        <v>2552</v>
      </c>
      <c r="K1014" s="35" t="s">
        <v>1004</v>
      </c>
      <c r="M1014" s="35" t="s">
        <v>2553</v>
      </c>
      <c r="N1014" s="35" t="s">
        <v>924</v>
      </c>
      <c r="O1014" s="35" t="s">
        <v>2517</v>
      </c>
      <c r="P1014" s="35" t="s">
        <v>2518</v>
      </c>
      <c r="Q1014" s="38">
        <v>18</v>
      </c>
      <c r="R1014" s="38">
        <v>1</v>
      </c>
      <c r="S1014" s="35" t="s">
        <v>2266</v>
      </c>
      <c r="T1014" s="35" t="s">
        <v>978</v>
      </c>
      <c r="U1014" s="38">
        <v>32542400</v>
      </c>
      <c r="V1014" s="38">
        <v>1</v>
      </c>
      <c r="W1014" s="18">
        <f>_xlfn.XLOOKUP(J1014,'Master Data 14-9-2026'!C:C,'Master Data 14-9-2026'!L:L)</f>
        <v>0</v>
      </c>
      <c r="X1014" s="20">
        <f t="shared" ref="X1014:X1077" si="18">V1014*U1014</f>
        <v>32542400</v>
      </c>
      <c r="Y1014" s="35" t="s">
        <v>2519</v>
      </c>
      <c r="AG1014" s="4"/>
    </row>
    <row r="1015" spans="1:33" hidden="1">
      <c r="A1015" s="35" t="s">
        <v>2554</v>
      </c>
      <c r="B1015" s="13" t="str">
        <f>_xlfn.XLOOKUP(J1015,'Master Data 14-9-2026'!C:C,'Master Data 14-9-2026'!D:D)</f>
        <v>MUHAMMAD IRHAS wx1521789</v>
      </c>
      <c r="D1015" s="13" t="str">
        <f>_xlfn.XLOOKUP(J1015,'Master Data 14-9-2026'!C:C,'Master Data 14-9-2026'!E:E)</f>
        <v>XLSMART</v>
      </c>
      <c r="F1015" s="13"/>
      <c r="H1015" s="13" t="str">
        <f>_xlfn.XLOOKUP(J1015,'Master Data 14-9-2026'!C:C,'Master Data 14-9-2026'!H:H)</f>
        <v>2026-09-20 - 2026-10-19</v>
      </c>
      <c r="I1015" s="13" t="str">
        <f t="shared" si="17"/>
        <v>September</v>
      </c>
      <c r="J1015" s="35" t="s">
        <v>2554</v>
      </c>
      <c r="K1015" s="35" t="s">
        <v>1004</v>
      </c>
      <c r="M1015" s="35" t="s">
        <v>2555</v>
      </c>
      <c r="N1015" s="35" t="s">
        <v>924</v>
      </c>
      <c r="O1015" s="35" t="s">
        <v>2517</v>
      </c>
      <c r="P1015" s="35" t="s">
        <v>2518</v>
      </c>
      <c r="Q1015" s="38">
        <v>19</v>
      </c>
      <c r="R1015" s="38">
        <v>1</v>
      </c>
      <c r="S1015" s="35" t="s">
        <v>2266</v>
      </c>
      <c r="T1015" s="35" t="s">
        <v>978</v>
      </c>
      <c r="U1015" s="38">
        <v>32542400</v>
      </c>
      <c r="V1015" s="38">
        <v>1</v>
      </c>
      <c r="W1015" s="18">
        <f>_xlfn.XLOOKUP(J1015,'Master Data 14-9-2026'!C:C,'Master Data 14-9-2026'!L:L)</f>
        <v>0</v>
      </c>
      <c r="X1015" s="20">
        <f t="shared" si="18"/>
        <v>32542400</v>
      </c>
      <c r="Y1015" s="35" t="s">
        <v>2519</v>
      </c>
      <c r="AG1015" s="4"/>
    </row>
    <row r="1016" spans="1:33" hidden="1">
      <c r="A1016" s="35" t="s">
        <v>2556</v>
      </c>
      <c r="B1016" s="13" t="str">
        <f>_xlfn.XLOOKUP(J1016,'Master Data 14-9-2026'!C:C,'Master Data 14-9-2026'!D:D)</f>
        <v>R Muhammad Valdi Pramudika W wx1521786</v>
      </c>
      <c r="D1016" s="13" t="str">
        <f>_xlfn.XLOOKUP(J1016,'Master Data 14-9-2026'!C:C,'Master Data 14-9-2026'!E:E)</f>
        <v>XLSMART</v>
      </c>
      <c r="F1016" s="13"/>
      <c r="H1016" s="13" t="str">
        <f>_xlfn.XLOOKUP(J1016,'Master Data 14-9-2026'!C:C,'Master Data 14-9-2026'!H:H)</f>
        <v>2026-09-20 - 2026-10-19</v>
      </c>
      <c r="I1016" s="13" t="str">
        <f t="shared" si="17"/>
        <v>September</v>
      </c>
      <c r="J1016" s="35" t="s">
        <v>2556</v>
      </c>
      <c r="K1016" s="35" t="s">
        <v>1004</v>
      </c>
      <c r="M1016" s="35" t="s">
        <v>2557</v>
      </c>
      <c r="N1016" s="35" t="s">
        <v>924</v>
      </c>
      <c r="O1016" s="35" t="s">
        <v>2517</v>
      </c>
      <c r="P1016" s="35" t="s">
        <v>2518</v>
      </c>
      <c r="Q1016" s="38">
        <v>20</v>
      </c>
      <c r="R1016" s="38">
        <v>1</v>
      </c>
      <c r="S1016" s="35" t="s">
        <v>2266</v>
      </c>
      <c r="T1016" s="35" t="s">
        <v>978</v>
      </c>
      <c r="U1016" s="38">
        <v>32542400</v>
      </c>
      <c r="V1016" s="38">
        <v>1</v>
      </c>
      <c r="W1016" s="18">
        <f>_xlfn.XLOOKUP(J1016,'Master Data 14-9-2026'!C:C,'Master Data 14-9-2026'!L:L)</f>
        <v>0</v>
      </c>
      <c r="X1016" s="20">
        <f t="shared" si="18"/>
        <v>32542400</v>
      </c>
      <c r="Y1016" s="35" t="s">
        <v>2519</v>
      </c>
      <c r="AG1016" s="4"/>
    </row>
    <row r="1017" spans="1:33" hidden="1">
      <c r="A1017" s="35" t="s">
        <v>2558</v>
      </c>
      <c r="B1017" s="13" t="str">
        <f>_xlfn.XLOOKUP(J1017,'Master Data 14-9-2026'!C:C,'Master Data 14-9-2026'!D:D)</f>
        <v>Syafrizal Akbar Harahap wx1521788</v>
      </c>
      <c r="D1017" s="13" t="str">
        <f>_xlfn.XLOOKUP(J1017,'Master Data 14-9-2026'!C:C,'Master Data 14-9-2026'!E:E)</f>
        <v>XLSMART</v>
      </c>
      <c r="F1017" s="13"/>
      <c r="H1017" s="13" t="str">
        <f>_xlfn.XLOOKUP(J1017,'Master Data 14-9-2026'!C:C,'Master Data 14-9-2026'!H:H)</f>
        <v>2026-09-20 - 2026-10-19</v>
      </c>
      <c r="I1017" s="13" t="str">
        <f t="shared" si="17"/>
        <v>September</v>
      </c>
      <c r="J1017" s="35" t="s">
        <v>2558</v>
      </c>
      <c r="K1017" s="35" t="s">
        <v>1004</v>
      </c>
      <c r="M1017" s="35" t="s">
        <v>2559</v>
      </c>
      <c r="N1017" s="35" t="s">
        <v>924</v>
      </c>
      <c r="O1017" s="35" t="s">
        <v>2517</v>
      </c>
      <c r="P1017" s="35" t="s">
        <v>2518</v>
      </c>
      <c r="Q1017" s="38">
        <v>21</v>
      </c>
      <c r="R1017" s="38">
        <v>1</v>
      </c>
      <c r="S1017" s="35" t="s">
        <v>2266</v>
      </c>
      <c r="T1017" s="35" t="s">
        <v>978</v>
      </c>
      <c r="U1017" s="38">
        <v>32542400</v>
      </c>
      <c r="V1017" s="38">
        <v>1</v>
      </c>
      <c r="W1017" s="18">
        <f>_xlfn.XLOOKUP(J1017,'Master Data 14-9-2026'!C:C,'Master Data 14-9-2026'!L:L)</f>
        <v>0</v>
      </c>
      <c r="X1017" s="20">
        <f t="shared" si="18"/>
        <v>32542400</v>
      </c>
      <c r="Y1017" s="35" t="s">
        <v>2519</v>
      </c>
      <c r="AG1017" s="4"/>
    </row>
    <row r="1018" spans="1:33" hidden="1">
      <c r="A1018" s="35" t="s">
        <v>2560</v>
      </c>
      <c r="B1018" s="13" t="e">
        <f>_xlfn.XLOOKUP(J1018,'Master Data 14-9-2026'!C:C,'Master Data 14-9-2026'!D:D)</f>
        <v>#N/A</v>
      </c>
      <c r="D1018" s="13" t="e">
        <f>_xlfn.XLOOKUP(J1018,'Master Data 14-9-2026'!C:C,'Master Data 14-9-2026'!E:E)</f>
        <v>#N/A</v>
      </c>
      <c r="F1018" s="13"/>
      <c r="H1018" s="13" t="e">
        <f>_xlfn.XLOOKUP(J1018,'Master Data 14-9-2026'!C:C,'Master Data 14-9-2026'!H:H)</f>
        <v>#N/A</v>
      </c>
      <c r="I1018" s="13" t="e">
        <f t="shared" si="17"/>
        <v>#N/A</v>
      </c>
      <c r="J1018" s="35" t="s">
        <v>2560</v>
      </c>
      <c r="K1018" s="35" t="s">
        <v>1004</v>
      </c>
      <c r="M1018" s="35" t="s">
        <v>2561</v>
      </c>
      <c r="N1018" s="35" t="s">
        <v>924</v>
      </c>
      <c r="O1018" s="35" t="s">
        <v>2517</v>
      </c>
      <c r="P1018" s="35" t="s">
        <v>2518</v>
      </c>
      <c r="Q1018" s="38">
        <v>22</v>
      </c>
      <c r="R1018" s="38">
        <v>1</v>
      </c>
      <c r="S1018" s="35" t="s">
        <v>2266</v>
      </c>
      <c r="T1018" s="35" t="s">
        <v>978</v>
      </c>
      <c r="U1018" s="38">
        <v>32542400</v>
      </c>
      <c r="V1018" s="38">
        <v>1</v>
      </c>
      <c r="W1018" s="18" t="e">
        <f>_xlfn.XLOOKUP(J1018,'Master Data 14-9-2026'!C:C,'Master Data 14-9-2026'!L:L)</f>
        <v>#N/A</v>
      </c>
      <c r="X1018" s="20">
        <f t="shared" si="18"/>
        <v>32542400</v>
      </c>
      <c r="Y1018" s="35" t="s">
        <v>2519</v>
      </c>
      <c r="AG1018" s="4"/>
    </row>
    <row r="1019" spans="1:33" hidden="1">
      <c r="A1019" s="35" t="s">
        <v>2562</v>
      </c>
      <c r="B1019" s="13" t="e">
        <f>_xlfn.XLOOKUP(J1019,'Master Data 14-9-2026'!C:C,'Master Data 14-9-2026'!D:D)</f>
        <v>#N/A</v>
      </c>
      <c r="D1019" s="13" t="e">
        <f>_xlfn.XLOOKUP(J1019,'Master Data 14-9-2026'!C:C,'Master Data 14-9-2026'!E:E)</f>
        <v>#N/A</v>
      </c>
      <c r="F1019" s="13"/>
      <c r="H1019" s="13" t="e">
        <f>_xlfn.XLOOKUP(J1019,'Master Data 14-9-2026'!C:C,'Master Data 14-9-2026'!H:H)</f>
        <v>#N/A</v>
      </c>
      <c r="I1019" s="13" t="e">
        <f t="shared" si="17"/>
        <v>#N/A</v>
      </c>
      <c r="J1019" s="35" t="s">
        <v>2562</v>
      </c>
      <c r="K1019" s="35" t="s">
        <v>1004</v>
      </c>
      <c r="M1019" s="35" t="s">
        <v>2563</v>
      </c>
      <c r="N1019" s="35" t="s">
        <v>924</v>
      </c>
      <c r="O1019" s="35" t="s">
        <v>2517</v>
      </c>
      <c r="P1019" s="35" t="s">
        <v>2518</v>
      </c>
      <c r="Q1019" s="38">
        <v>23</v>
      </c>
      <c r="R1019" s="38">
        <v>1</v>
      </c>
      <c r="S1019" s="35" t="s">
        <v>2266</v>
      </c>
      <c r="T1019" s="35" t="s">
        <v>978</v>
      </c>
      <c r="U1019" s="38">
        <v>32542400</v>
      </c>
      <c r="V1019" s="38">
        <v>1</v>
      </c>
      <c r="W1019" s="18" t="e">
        <f>_xlfn.XLOOKUP(J1019,'Master Data 14-9-2026'!C:C,'Master Data 14-9-2026'!L:L)</f>
        <v>#N/A</v>
      </c>
      <c r="X1019" s="20">
        <f t="shared" si="18"/>
        <v>32542400</v>
      </c>
      <c r="Y1019" s="35" t="s">
        <v>2519</v>
      </c>
      <c r="AG1019" s="4"/>
    </row>
    <row r="1020" spans="1:33" hidden="1">
      <c r="A1020" s="35" t="s">
        <v>2564</v>
      </c>
      <c r="B1020" s="13" t="e">
        <f>_xlfn.XLOOKUP(J1020,'Master Data 14-9-2026'!C:C,'Master Data 14-9-2026'!D:D)</f>
        <v>#N/A</v>
      </c>
      <c r="D1020" s="13" t="e">
        <f>_xlfn.XLOOKUP(J1020,'Master Data 14-9-2026'!C:C,'Master Data 14-9-2026'!E:E)</f>
        <v>#N/A</v>
      </c>
      <c r="F1020" s="13"/>
      <c r="H1020" s="13" t="e">
        <f>_xlfn.XLOOKUP(J1020,'Master Data 14-9-2026'!C:C,'Master Data 14-9-2026'!H:H)</f>
        <v>#N/A</v>
      </c>
      <c r="I1020" s="13" t="e">
        <f t="shared" si="17"/>
        <v>#N/A</v>
      </c>
      <c r="J1020" s="35" t="s">
        <v>2564</v>
      </c>
      <c r="K1020" s="35" t="s">
        <v>1004</v>
      </c>
      <c r="M1020" s="35" t="s">
        <v>2565</v>
      </c>
      <c r="N1020" s="35" t="s">
        <v>924</v>
      </c>
      <c r="O1020" s="35" t="s">
        <v>2517</v>
      </c>
      <c r="P1020" s="35" t="s">
        <v>2518</v>
      </c>
      <c r="Q1020" s="38">
        <v>24</v>
      </c>
      <c r="R1020" s="38">
        <v>1</v>
      </c>
      <c r="S1020" s="35" t="s">
        <v>2266</v>
      </c>
      <c r="T1020" s="35" t="s">
        <v>978</v>
      </c>
      <c r="U1020" s="38">
        <v>32542400</v>
      </c>
      <c r="V1020" s="38">
        <v>1</v>
      </c>
      <c r="W1020" s="18" t="e">
        <f>_xlfn.XLOOKUP(J1020,'Master Data 14-9-2026'!C:C,'Master Data 14-9-2026'!L:L)</f>
        <v>#N/A</v>
      </c>
      <c r="X1020" s="20">
        <f t="shared" si="18"/>
        <v>32542400</v>
      </c>
      <c r="Y1020" s="35" t="s">
        <v>2519</v>
      </c>
      <c r="AG1020" s="4"/>
    </row>
    <row r="1021" spans="1:33" hidden="1">
      <c r="A1021" s="35" t="s">
        <v>2566</v>
      </c>
      <c r="B1021" s="13" t="e">
        <f>_xlfn.XLOOKUP(J1021,'Master Data 14-9-2026'!C:C,'Master Data 14-9-2026'!D:D)</f>
        <v>#N/A</v>
      </c>
      <c r="D1021" s="13" t="e">
        <f>_xlfn.XLOOKUP(J1021,'Master Data 14-9-2026'!C:C,'Master Data 14-9-2026'!E:E)</f>
        <v>#N/A</v>
      </c>
      <c r="F1021" s="13"/>
      <c r="H1021" s="13" t="e">
        <f>_xlfn.XLOOKUP(J1021,'Master Data 14-9-2026'!C:C,'Master Data 14-9-2026'!H:H)</f>
        <v>#N/A</v>
      </c>
      <c r="I1021" s="13" t="e">
        <f t="shared" si="17"/>
        <v>#N/A</v>
      </c>
      <c r="J1021" s="35" t="s">
        <v>2566</v>
      </c>
      <c r="K1021" s="35" t="s">
        <v>1004</v>
      </c>
      <c r="M1021" s="35" t="s">
        <v>2567</v>
      </c>
      <c r="N1021" s="35" t="s">
        <v>924</v>
      </c>
      <c r="O1021" s="35" t="s">
        <v>2517</v>
      </c>
      <c r="P1021" s="35" t="s">
        <v>2518</v>
      </c>
      <c r="Q1021" s="38">
        <v>25</v>
      </c>
      <c r="R1021" s="38">
        <v>1</v>
      </c>
      <c r="S1021" s="35" t="s">
        <v>2233</v>
      </c>
      <c r="T1021" s="35" t="s">
        <v>951</v>
      </c>
      <c r="U1021" s="38">
        <v>28881900</v>
      </c>
      <c r="V1021" s="38">
        <v>1</v>
      </c>
      <c r="W1021" s="18" t="e">
        <f>_xlfn.XLOOKUP(J1021,'Master Data 14-9-2026'!C:C,'Master Data 14-9-2026'!L:L)</f>
        <v>#N/A</v>
      </c>
      <c r="X1021" s="20">
        <f t="shared" si="18"/>
        <v>28881900</v>
      </c>
      <c r="Y1021" s="35" t="s">
        <v>2519</v>
      </c>
      <c r="AG1021" s="4"/>
    </row>
    <row r="1022" spans="1:33" hidden="1">
      <c r="A1022" s="35" t="s">
        <v>2568</v>
      </c>
      <c r="B1022" s="13" t="str">
        <f>_xlfn.XLOOKUP(J1022,'Master Data 14-9-2026'!C:C,'Master Data 14-9-2026'!D:D)</f>
        <v>Alda Rania Nawawi wx1522941</v>
      </c>
      <c r="D1022" s="13" t="str">
        <f>_xlfn.XLOOKUP(J1022,'Master Data 14-9-2026'!C:C,'Master Data 14-9-2026'!E:E)</f>
        <v>XLSMART</v>
      </c>
      <c r="F1022" s="13"/>
      <c r="H1022" s="13" t="str">
        <f>_xlfn.XLOOKUP(J1022,'Master Data 14-9-2026'!C:C,'Master Data 14-9-2026'!H:H)</f>
        <v>2026-09-02 - 2026-10-01</v>
      </c>
      <c r="I1022" s="13" t="str">
        <f t="shared" si="17"/>
        <v>September</v>
      </c>
      <c r="J1022" s="35" t="s">
        <v>2568</v>
      </c>
      <c r="K1022" s="35" t="s">
        <v>1004</v>
      </c>
      <c r="M1022" s="35" t="s">
        <v>2569</v>
      </c>
      <c r="N1022" s="35" t="s">
        <v>924</v>
      </c>
      <c r="O1022" s="35" t="s">
        <v>2517</v>
      </c>
      <c r="P1022" s="35" t="s">
        <v>2518</v>
      </c>
      <c r="Q1022" s="38">
        <v>26</v>
      </c>
      <c r="R1022" s="38">
        <v>1</v>
      </c>
      <c r="S1022" s="35" t="s">
        <v>2233</v>
      </c>
      <c r="T1022" s="35" t="s">
        <v>951</v>
      </c>
      <c r="U1022" s="38">
        <v>28881900</v>
      </c>
      <c r="V1022" s="38">
        <v>1</v>
      </c>
      <c r="W1022" s="18">
        <f>_xlfn.XLOOKUP(J1022,'Master Data 14-9-2026'!C:C,'Master Data 14-9-2026'!L:L)</f>
        <v>0</v>
      </c>
      <c r="X1022" s="20">
        <f t="shared" si="18"/>
        <v>28881900</v>
      </c>
      <c r="Y1022" s="35" t="s">
        <v>2519</v>
      </c>
      <c r="AG1022" s="4"/>
    </row>
    <row r="1023" spans="1:33" hidden="1">
      <c r="A1023" s="35" t="s">
        <v>2570</v>
      </c>
      <c r="B1023" s="13" t="str">
        <f>_xlfn.XLOOKUP(J1023,'Master Data 14-9-2026'!C:C,'Master Data 14-9-2026'!D:D)</f>
        <v>Adhitya Pratama wx1524069</v>
      </c>
      <c r="D1023" s="13" t="str">
        <f>_xlfn.XLOOKUP(J1023,'Master Data 14-9-2026'!C:C,'Master Data 14-9-2026'!E:E)</f>
        <v>XLSMART</v>
      </c>
      <c r="F1023" s="13"/>
      <c r="H1023" s="13" t="str">
        <f>_xlfn.XLOOKUP(J1023,'Master Data 14-9-2026'!C:C,'Master Data 14-9-2026'!H:H)</f>
        <v>2026-09-02 - 2026-10-01</v>
      </c>
      <c r="I1023" s="13" t="str">
        <f t="shared" si="17"/>
        <v>September</v>
      </c>
      <c r="J1023" s="35" t="s">
        <v>2570</v>
      </c>
      <c r="K1023" s="35" t="s">
        <v>1004</v>
      </c>
      <c r="M1023" s="35" t="s">
        <v>2571</v>
      </c>
      <c r="N1023" s="35" t="s">
        <v>924</v>
      </c>
      <c r="O1023" s="35" t="s">
        <v>2517</v>
      </c>
      <c r="P1023" s="35" t="s">
        <v>2518</v>
      </c>
      <c r="Q1023" s="38">
        <v>27</v>
      </c>
      <c r="R1023" s="38">
        <v>1</v>
      </c>
      <c r="S1023" s="35" t="s">
        <v>2233</v>
      </c>
      <c r="T1023" s="35" t="s">
        <v>951</v>
      </c>
      <c r="U1023" s="38">
        <v>28881900</v>
      </c>
      <c r="V1023" s="38">
        <v>1</v>
      </c>
      <c r="W1023" s="18">
        <f>_xlfn.XLOOKUP(J1023,'Master Data 14-9-2026'!C:C,'Master Data 14-9-2026'!L:L)</f>
        <v>0.5</v>
      </c>
      <c r="X1023" s="20">
        <f t="shared" si="18"/>
        <v>28881900</v>
      </c>
      <c r="Y1023" s="35" t="s">
        <v>2519</v>
      </c>
      <c r="AG1023" s="4"/>
    </row>
    <row r="1024" spans="1:33" hidden="1">
      <c r="A1024" s="35" t="s">
        <v>2572</v>
      </c>
      <c r="B1024" s="13" t="str">
        <f>_xlfn.XLOOKUP(J1024,'Master Data 14-9-2026'!C:C,'Master Data 14-9-2026'!D:D)</f>
        <v>Akmal wx1524119</v>
      </c>
      <c r="D1024" s="13" t="str">
        <f>_xlfn.XLOOKUP(J1024,'Master Data 14-9-2026'!C:C,'Master Data 14-9-2026'!E:E)</f>
        <v>XLSMART</v>
      </c>
      <c r="F1024" s="13"/>
      <c r="H1024" s="13" t="str">
        <f>_xlfn.XLOOKUP(J1024,'Master Data 14-9-2026'!C:C,'Master Data 14-9-2026'!H:H)</f>
        <v>2026-09-02 - 2026-10-01</v>
      </c>
      <c r="I1024" s="13" t="str">
        <f t="shared" si="17"/>
        <v>September</v>
      </c>
      <c r="J1024" s="35" t="s">
        <v>2572</v>
      </c>
      <c r="K1024" s="35" t="s">
        <v>1004</v>
      </c>
      <c r="M1024" s="35" t="s">
        <v>2573</v>
      </c>
      <c r="N1024" s="35" t="s">
        <v>924</v>
      </c>
      <c r="O1024" s="35" t="s">
        <v>2517</v>
      </c>
      <c r="P1024" s="35" t="s">
        <v>2518</v>
      </c>
      <c r="Q1024" s="38">
        <v>28</v>
      </c>
      <c r="R1024" s="38">
        <v>1</v>
      </c>
      <c r="S1024" s="35" t="s">
        <v>2233</v>
      </c>
      <c r="T1024" s="35" t="s">
        <v>951</v>
      </c>
      <c r="U1024" s="38">
        <v>28881900</v>
      </c>
      <c r="V1024" s="38">
        <v>1</v>
      </c>
      <c r="W1024" s="18">
        <f>_xlfn.XLOOKUP(J1024,'Master Data 14-9-2026'!C:C,'Master Data 14-9-2026'!L:L)</f>
        <v>0.62</v>
      </c>
      <c r="X1024" s="20">
        <f t="shared" si="18"/>
        <v>28881900</v>
      </c>
      <c r="Y1024" s="35" t="s">
        <v>2519</v>
      </c>
      <c r="AG1024" s="4"/>
    </row>
    <row r="1025" spans="1:33" hidden="1">
      <c r="A1025" s="35" t="s">
        <v>2574</v>
      </c>
      <c r="B1025" s="13" t="str">
        <f>_xlfn.XLOOKUP(J1025,'Master Data 14-9-2026'!C:C,'Master Data 14-9-2026'!D:D)</f>
        <v>Zaldy Raditya Ananta wx1524846</v>
      </c>
      <c r="D1025" s="13" t="str">
        <f>_xlfn.XLOOKUP(J1025,'Master Data 14-9-2026'!C:C,'Master Data 14-9-2026'!E:E)</f>
        <v>XLSMART</v>
      </c>
      <c r="F1025" s="13"/>
      <c r="H1025" s="13" t="str">
        <f>_xlfn.XLOOKUP(J1025,'Master Data 14-9-2026'!C:C,'Master Data 14-9-2026'!H:H)</f>
        <v>2026-09-02 - 2026-10-01</v>
      </c>
      <c r="I1025" s="13" t="str">
        <f t="shared" si="17"/>
        <v>September</v>
      </c>
      <c r="J1025" s="35" t="s">
        <v>2574</v>
      </c>
      <c r="K1025" s="35" t="s">
        <v>1004</v>
      </c>
      <c r="M1025" s="35" t="s">
        <v>2575</v>
      </c>
      <c r="N1025" s="35" t="s">
        <v>924</v>
      </c>
      <c r="O1025" s="35" t="s">
        <v>2517</v>
      </c>
      <c r="P1025" s="35" t="s">
        <v>2518</v>
      </c>
      <c r="Q1025" s="38">
        <v>29</v>
      </c>
      <c r="R1025" s="38">
        <v>1</v>
      </c>
      <c r="S1025" s="35" t="s">
        <v>2233</v>
      </c>
      <c r="T1025" s="35" t="s">
        <v>951</v>
      </c>
      <c r="U1025" s="38">
        <v>28881900</v>
      </c>
      <c r="V1025" s="38">
        <v>1</v>
      </c>
      <c r="W1025" s="18">
        <f>_xlfn.XLOOKUP(J1025,'Master Data 14-9-2026'!C:C,'Master Data 14-9-2026'!L:L)</f>
        <v>0</v>
      </c>
      <c r="X1025" s="20">
        <f t="shared" si="18"/>
        <v>28881900</v>
      </c>
      <c r="Y1025" s="35" t="s">
        <v>2519</v>
      </c>
      <c r="AG1025" s="4"/>
    </row>
    <row r="1026" spans="1:33" hidden="1">
      <c r="A1026" s="35" t="s">
        <v>2576</v>
      </c>
      <c r="B1026" s="13" t="str">
        <f>_xlfn.XLOOKUP(J1026,'Master Data 14-9-2026'!C:C,'Master Data 14-9-2026'!D:D)</f>
        <v>Laura Alvina Dewi wx1524149</v>
      </c>
      <c r="D1026" s="13" t="str">
        <f>_xlfn.XLOOKUP(J1026,'Master Data 14-9-2026'!C:C,'Master Data 14-9-2026'!E:E)</f>
        <v>XLSMART</v>
      </c>
      <c r="F1026" s="13"/>
      <c r="H1026" s="13" t="str">
        <f>_xlfn.XLOOKUP(J1026,'Master Data 14-9-2026'!C:C,'Master Data 14-9-2026'!H:H)</f>
        <v>2026-09-08 - 2026-10-07</v>
      </c>
      <c r="I1026" s="13" t="str">
        <f t="shared" si="17"/>
        <v>September</v>
      </c>
      <c r="J1026" s="35" t="s">
        <v>2576</v>
      </c>
      <c r="K1026" s="35" t="s">
        <v>1004</v>
      </c>
      <c r="M1026" s="35" t="s">
        <v>2577</v>
      </c>
      <c r="N1026" s="35" t="s">
        <v>924</v>
      </c>
      <c r="O1026" s="35" t="s">
        <v>2517</v>
      </c>
      <c r="P1026" s="35" t="s">
        <v>2518</v>
      </c>
      <c r="Q1026" s="38">
        <v>30</v>
      </c>
      <c r="R1026" s="38">
        <v>1</v>
      </c>
      <c r="S1026" s="35" t="s">
        <v>2233</v>
      </c>
      <c r="T1026" s="35" t="s">
        <v>951</v>
      </c>
      <c r="U1026" s="38">
        <v>28881900</v>
      </c>
      <c r="V1026" s="38">
        <v>1</v>
      </c>
      <c r="W1026" s="18">
        <f>_xlfn.XLOOKUP(J1026,'Master Data 14-9-2026'!C:C,'Master Data 14-9-2026'!L:L)</f>
        <v>0</v>
      </c>
      <c r="X1026" s="20">
        <f t="shared" si="18"/>
        <v>28881900</v>
      </c>
      <c r="Y1026" s="35" t="s">
        <v>2519</v>
      </c>
      <c r="AG1026" s="4"/>
    </row>
    <row r="1027" spans="1:33" hidden="1">
      <c r="A1027" s="35" t="s">
        <v>2578</v>
      </c>
      <c r="B1027" s="13" t="str">
        <f>_xlfn.XLOOKUP(J1027,'Master Data 14-9-2026'!C:C,'Master Data 14-9-2026'!D:D)</f>
        <v>Adnnia Nafis Qulub Aina wx1524134</v>
      </c>
      <c r="D1027" s="13" t="str">
        <f>_xlfn.XLOOKUP(J1027,'Master Data 14-9-2026'!C:C,'Master Data 14-9-2026'!E:E)</f>
        <v>XLSMART</v>
      </c>
      <c r="F1027" s="13"/>
      <c r="H1027" s="13" t="str">
        <f>_xlfn.XLOOKUP(J1027,'Master Data 14-9-2026'!C:C,'Master Data 14-9-2026'!H:H)</f>
        <v>2026-09-02 - 2026-10-01</v>
      </c>
      <c r="I1027" s="13" t="str">
        <f t="shared" ref="I1027:I1090" si="19">TEXT(DATEVALUE(LEFT(H1027,10)),"mmmm")</f>
        <v>September</v>
      </c>
      <c r="J1027" s="35" t="s">
        <v>2578</v>
      </c>
      <c r="K1027" s="35" t="s">
        <v>1004</v>
      </c>
      <c r="M1027" s="35" t="s">
        <v>2579</v>
      </c>
      <c r="N1027" s="35" t="s">
        <v>924</v>
      </c>
      <c r="O1027" s="35" t="s">
        <v>2517</v>
      </c>
      <c r="P1027" s="35" t="s">
        <v>2518</v>
      </c>
      <c r="Q1027" s="38">
        <v>31</v>
      </c>
      <c r="R1027" s="38">
        <v>1</v>
      </c>
      <c r="S1027" s="35" t="s">
        <v>2233</v>
      </c>
      <c r="T1027" s="35" t="s">
        <v>951</v>
      </c>
      <c r="U1027" s="38">
        <v>28881900</v>
      </c>
      <c r="V1027" s="38">
        <v>1</v>
      </c>
      <c r="W1027" s="18">
        <f>_xlfn.XLOOKUP(J1027,'Master Data 14-9-2026'!C:C,'Master Data 14-9-2026'!L:L)</f>
        <v>0</v>
      </c>
      <c r="X1027" s="20">
        <f t="shared" si="18"/>
        <v>28881900</v>
      </c>
      <c r="Y1027" s="35" t="s">
        <v>2519</v>
      </c>
      <c r="AG1027" s="4"/>
    </row>
    <row r="1028" spans="1:33" hidden="1">
      <c r="A1028" s="35" t="s">
        <v>2580</v>
      </c>
      <c r="B1028" s="13" t="str">
        <f>_xlfn.XLOOKUP(J1028,'Master Data 14-9-2026'!C:C,'Master Data 14-9-2026'!D:D)</f>
        <v>Muhammad Fajri Zulfa wx1524072</v>
      </c>
      <c r="D1028" s="13" t="str">
        <f>_xlfn.XLOOKUP(J1028,'Master Data 14-9-2026'!C:C,'Master Data 14-9-2026'!E:E)</f>
        <v>XLSMART</v>
      </c>
      <c r="F1028" s="13"/>
      <c r="H1028" s="13" t="str">
        <f>_xlfn.XLOOKUP(J1028,'Master Data 14-9-2026'!C:C,'Master Data 14-9-2026'!H:H)</f>
        <v>2026-09-02 - 2026-10-01</v>
      </c>
      <c r="I1028" s="13" t="str">
        <f t="shared" si="19"/>
        <v>September</v>
      </c>
      <c r="J1028" s="35" t="s">
        <v>2580</v>
      </c>
      <c r="K1028" s="35" t="s">
        <v>1004</v>
      </c>
      <c r="M1028" s="35" t="s">
        <v>2581</v>
      </c>
      <c r="N1028" s="35" t="s">
        <v>924</v>
      </c>
      <c r="O1028" s="35" t="s">
        <v>2517</v>
      </c>
      <c r="P1028" s="35" t="s">
        <v>2518</v>
      </c>
      <c r="Q1028" s="38">
        <v>32</v>
      </c>
      <c r="R1028" s="38">
        <v>1</v>
      </c>
      <c r="S1028" s="35" t="s">
        <v>2262</v>
      </c>
      <c r="T1028" s="35" t="s">
        <v>926</v>
      </c>
      <c r="U1028" s="38">
        <v>34220600</v>
      </c>
      <c r="V1028" s="38">
        <v>1</v>
      </c>
      <c r="W1028" s="18">
        <f>_xlfn.XLOOKUP(J1028,'Master Data 14-9-2026'!C:C,'Master Data 14-9-2026'!L:L)</f>
        <v>0</v>
      </c>
      <c r="X1028" s="20">
        <f t="shared" si="18"/>
        <v>34220600</v>
      </c>
      <c r="Y1028" s="35" t="s">
        <v>2519</v>
      </c>
      <c r="AG1028" s="4"/>
    </row>
    <row r="1029" spans="1:33" hidden="1">
      <c r="A1029" s="35" t="s">
        <v>2582</v>
      </c>
      <c r="B1029" s="13" t="str">
        <f>_xlfn.XLOOKUP(J1029,'Master Data 14-9-2026'!C:C,'Master Data 14-9-2026'!D:D)</f>
        <v>Maulana Muhammad Aziz wx1524071</v>
      </c>
      <c r="D1029" s="13" t="str">
        <f>_xlfn.XLOOKUP(J1029,'Master Data 14-9-2026'!C:C,'Master Data 14-9-2026'!E:E)</f>
        <v>XLSMART</v>
      </c>
      <c r="F1029" s="13"/>
      <c r="H1029" s="13" t="str">
        <f>_xlfn.XLOOKUP(J1029,'Master Data 14-9-2026'!C:C,'Master Data 14-9-2026'!H:H)</f>
        <v>2026-09-02 - 2026-10-01</v>
      </c>
      <c r="I1029" s="13" t="str">
        <f t="shared" si="19"/>
        <v>September</v>
      </c>
      <c r="J1029" s="35" t="s">
        <v>2582</v>
      </c>
      <c r="K1029" s="35" t="s">
        <v>1004</v>
      </c>
      <c r="M1029" s="35" t="s">
        <v>2583</v>
      </c>
      <c r="N1029" s="35" t="s">
        <v>924</v>
      </c>
      <c r="O1029" s="35" t="s">
        <v>2517</v>
      </c>
      <c r="P1029" s="35" t="s">
        <v>2518</v>
      </c>
      <c r="Q1029" s="38">
        <v>33</v>
      </c>
      <c r="R1029" s="38">
        <v>1</v>
      </c>
      <c r="S1029" s="35" t="s">
        <v>2262</v>
      </c>
      <c r="T1029" s="35" t="s">
        <v>926</v>
      </c>
      <c r="U1029" s="38">
        <v>34220600</v>
      </c>
      <c r="V1029" s="38">
        <v>1</v>
      </c>
      <c r="W1029" s="18">
        <f>_xlfn.XLOOKUP(J1029,'Master Data 14-9-2026'!C:C,'Master Data 14-9-2026'!L:L)</f>
        <v>0</v>
      </c>
      <c r="X1029" s="20">
        <f t="shared" si="18"/>
        <v>34220600</v>
      </c>
      <c r="Y1029" s="35" t="s">
        <v>2519</v>
      </c>
      <c r="AG1029" s="4"/>
    </row>
    <row r="1030" spans="1:33" hidden="1">
      <c r="A1030" s="35" t="s">
        <v>2584</v>
      </c>
      <c r="B1030" s="13" t="str">
        <f>_xlfn.XLOOKUP(J1030,'Master Data 14-9-2026'!C:C,'Master Data 14-9-2026'!D:D)</f>
        <v>Andri Aryo Priyadi wx1524068</v>
      </c>
      <c r="D1030" s="13" t="str">
        <f>_xlfn.XLOOKUP(J1030,'Master Data 14-9-2026'!C:C,'Master Data 14-9-2026'!E:E)</f>
        <v>XLSMART</v>
      </c>
      <c r="F1030" s="13"/>
      <c r="H1030" s="13" t="str">
        <f>_xlfn.XLOOKUP(J1030,'Master Data 14-9-2026'!C:C,'Master Data 14-9-2026'!H:H)</f>
        <v>2026-09-02 - 2026-10-01</v>
      </c>
      <c r="I1030" s="13" t="str">
        <f t="shared" si="19"/>
        <v>September</v>
      </c>
      <c r="J1030" s="35" t="s">
        <v>2584</v>
      </c>
      <c r="K1030" s="35" t="s">
        <v>1004</v>
      </c>
      <c r="M1030" s="35" t="s">
        <v>2585</v>
      </c>
      <c r="N1030" s="35" t="s">
        <v>924</v>
      </c>
      <c r="O1030" s="35" t="s">
        <v>2517</v>
      </c>
      <c r="P1030" s="35" t="s">
        <v>2518</v>
      </c>
      <c r="Q1030" s="38">
        <v>34</v>
      </c>
      <c r="R1030" s="38">
        <v>1</v>
      </c>
      <c r="S1030" s="35" t="s">
        <v>2262</v>
      </c>
      <c r="T1030" s="35" t="s">
        <v>926</v>
      </c>
      <c r="U1030" s="38">
        <v>34220600</v>
      </c>
      <c r="V1030" s="38">
        <v>1</v>
      </c>
      <c r="W1030" s="18">
        <f>_xlfn.XLOOKUP(J1030,'Master Data 14-9-2026'!C:C,'Master Data 14-9-2026'!L:L)</f>
        <v>1</v>
      </c>
      <c r="X1030" s="20">
        <f t="shared" si="18"/>
        <v>34220600</v>
      </c>
      <c r="Y1030" s="35" t="s">
        <v>2519</v>
      </c>
      <c r="Z1030" s="24" t="str">
        <f>_xlfn.XLOOKUP(J1030,'Master Data 14-9-2026'!C:C,'Master Data 14-9-2026'!I:I)</f>
        <v>Ongoing</v>
      </c>
      <c r="AG1030" s="4"/>
    </row>
    <row r="1031" spans="1:33" hidden="1">
      <c r="A1031" s="35" t="s">
        <v>2586</v>
      </c>
      <c r="B1031" s="13" t="str">
        <f>_xlfn.XLOOKUP(J1031,'Master Data 14-9-2026'!C:C,'Master Data 14-9-2026'!D:D)</f>
        <v>Nisrina Nurul Fadlilah wx1524067</v>
      </c>
      <c r="D1031" s="13" t="str">
        <f>_xlfn.XLOOKUP(J1031,'Master Data 14-9-2026'!C:C,'Master Data 14-9-2026'!E:E)</f>
        <v>XLSMART</v>
      </c>
      <c r="F1031" s="13"/>
      <c r="H1031" s="13" t="str">
        <f>_xlfn.XLOOKUP(J1031,'Master Data 14-9-2026'!C:C,'Master Data 14-9-2026'!H:H)</f>
        <v>2026-09-02 - 2026-10-01</v>
      </c>
      <c r="I1031" s="13" t="str">
        <f t="shared" si="19"/>
        <v>September</v>
      </c>
      <c r="J1031" s="35" t="s">
        <v>2586</v>
      </c>
      <c r="K1031" s="35" t="s">
        <v>1004</v>
      </c>
      <c r="M1031" s="35" t="s">
        <v>2587</v>
      </c>
      <c r="N1031" s="35" t="s">
        <v>924</v>
      </c>
      <c r="O1031" s="35" t="s">
        <v>2517</v>
      </c>
      <c r="P1031" s="35" t="s">
        <v>2518</v>
      </c>
      <c r="Q1031" s="38">
        <v>35</v>
      </c>
      <c r="R1031" s="38">
        <v>1</v>
      </c>
      <c r="S1031" s="35" t="s">
        <v>2262</v>
      </c>
      <c r="T1031" s="35" t="s">
        <v>926</v>
      </c>
      <c r="U1031" s="38">
        <v>34220600</v>
      </c>
      <c r="V1031" s="38">
        <v>1</v>
      </c>
      <c r="W1031" s="18">
        <f>_xlfn.XLOOKUP(J1031,'Master Data 14-9-2026'!C:C,'Master Data 14-9-2026'!L:L)</f>
        <v>1</v>
      </c>
      <c r="X1031" s="20">
        <f t="shared" si="18"/>
        <v>34220600</v>
      </c>
      <c r="Y1031" s="35" t="s">
        <v>2519</v>
      </c>
      <c r="Z1031" s="24" t="str">
        <f>_xlfn.XLOOKUP(J1031,'Master Data 14-9-2026'!C:C,'Master Data 14-9-2026'!I:I)</f>
        <v>Ongoing</v>
      </c>
      <c r="AG1031" s="4"/>
    </row>
    <row r="1032" spans="1:33" hidden="1">
      <c r="A1032" s="35" t="s">
        <v>2588</v>
      </c>
      <c r="B1032" s="13" t="str">
        <f>_xlfn.XLOOKUP(J1032,'Master Data 14-9-2026'!C:C,'Master Data 14-9-2026'!D:D)</f>
        <v>Muhammad hidayah Ramadhan wx1524847</v>
      </c>
      <c r="D1032" s="13" t="str">
        <f>_xlfn.XLOOKUP(J1032,'Master Data 14-9-2026'!C:C,'Master Data 14-9-2026'!E:E)</f>
        <v>XLSMART</v>
      </c>
      <c r="F1032" s="13"/>
      <c r="H1032" s="13" t="str">
        <f>_xlfn.XLOOKUP(J1032,'Master Data 14-9-2026'!C:C,'Master Data 14-9-2026'!H:H)</f>
        <v>2026-09-02 - 2026-10-01</v>
      </c>
      <c r="I1032" s="13" t="str">
        <f t="shared" si="19"/>
        <v>September</v>
      </c>
      <c r="J1032" s="35" t="s">
        <v>2588</v>
      </c>
      <c r="K1032" s="35" t="s">
        <v>1004</v>
      </c>
      <c r="M1032" s="35" t="s">
        <v>2589</v>
      </c>
      <c r="N1032" s="35" t="s">
        <v>924</v>
      </c>
      <c r="O1032" s="35" t="s">
        <v>2517</v>
      </c>
      <c r="P1032" s="35" t="s">
        <v>2518</v>
      </c>
      <c r="Q1032" s="38">
        <v>36</v>
      </c>
      <c r="R1032" s="38">
        <v>1</v>
      </c>
      <c r="S1032" s="35" t="s">
        <v>2262</v>
      </c>
      <c r="T1032" s="35" t="s">
        <v>926</v>
      </c>
      <c r="U1032" s="38">
        <v>34220600</v>
      </c>
      <c r="V1032" s="38">
        <v>1</v>
      </c>
      <c r="W1032" s="18">
        <f>_xlfn.XLOOKUP(J1032,'Master Data 14-9-2026'!C:C,'Master Data 14-9-2026'!L:L)</f>
        <v>0</v>
      </c>
      <c r="X1032" s="20">
        <f t="shared" si="18"/>
        <v>34220600</v>
      </c>
      <c r="Y1032" s="35" t="s">
        <v>2519</v>
      </c>
      <c r="AG1032" s="4"/>
    </row>
    <row r="1033" spans="1:33" hidden="1">
      <c r="A1033" s="35" t="s">
        <v>2590</v>
      </c>
      <c r="B1033" s="13" t="str">
        <f>_xlfn.XLOOKUP(J1033,'Master Data 14-9-2026'!C:C,'Master Data 14-9-2026'!D:D)</f>
        <v>Dimas Sigit Setio Putro wx1523999</v>
      </c>
      <c r="D1033" s="13" t="str">
        <f>_xlfn.XLOOKUP(J1033,'Master Data 14-9-2026'!C:C,'Master Data 14-9-2026'!E:E)</f>
        <v>XLSMART</v>
      </c>
      <c r="F1033" s="13"/>
      <c r="H1033" s="13" t="str">
        <f>_xlfn.XLOOKUP(J1033,'Master Data 14-9-2026'!C:C,'Master Data 14-9-2026'!H:H)</f>
        <v>2026-09-02 - 2026-10-01</v>
      </c>
      <c r="I1033" s="13" t="str">
        <f t="shared" si="19"/>
        <v>September</v>
      </c>
      <c r="J1033" s="35" t="s">
        <v>2590</v>
      </c>
      <c r="K1033" s="35" t="s">
        <v>1004</v>
      </c>
      <c r="M1033" s="35" t="s">
        <v>2591</v>
      </c>
      <c r="N1033" s="35" t="s">
        <v>924</v>
      </c>
      <c r="O1033" s="35" t="s">
        <v>2517</v>
      </c>
      <c r="P1033" s="35" t="s">
        <v>2518</v>
      </c>
      <c r="Q1033" s="38">
        <v>37</v>
      </c>
      <c r="R1033" s="38">
        <v>1</v>
      </c>
      <c r="S1033" s="35" t="s">
        <v>2289</v>
      </c>
      <c r="T1033" s="35" t="s">
        <v>933</v>
      </c>
      <c r="U1033" s="38">
        <v>36992000</v>
      </c>
      <c r="V1033" s="38">
        <v>1</v>
      </c>
      <c r="W1033" s="18">
        <f>_xlfn.XLOOKUP(J1033,'Master Data 14-9-2026'!C:C,'Master Data 14-9-2026'!L:L)</f>
        <v>0</v>
      </c>
      <c r="X1033" s="20">
        <f t="shared" si="18"/>
        <v>36992000</v>
      </c>
      <c r="Y1033" s="35" t="s">
        <v>2519</v>
      </c>
      <c r="AG1033" s="4"/>
    </row>
    <row r="1034" spans="1:33" hidden="1">
      <c r="A1034" s="35" t="s">
        <v>2592</v>
      </c>
      <c r="B1034" s="13" t="str">
        <f>_xlfn.XLOOKUP(J1034,'Master Data 14-9-2026'!C:C,'Master Data 14-9-2026'!D:D)</f>
        <v>Anan Agrani wx1524133</v>
      </c>
      <c r="D1034" s="13" t="str">
        <f>_xlfn.XLOOKUP(J1034,'Master Data 14-9-2026'!C:C,'Master Data 14-9-2026'!E:E)</f>
        <v>XLSMART</v>
      </c>
      <c r="F1034" s="13"/>
      <c r="H1034" s="13" t="str">
        <f>_xlfn.XLOOKUP(J1034,'Master Data 14-9-2026'!C:C,'Master Data 14-9-2026'!H:H)</f>
        <v>2026-09-16 - 2026-10-15</v>
      </c>
      <c r="I1034" s="13" t="str">
        <f t="shared" si="19"/>
        <v>September</v>
      </c>
      <c r="J1034" s="35" t="s">
        <v>2592</v>
      </c>
      <c r="K1034" s="35" t="s">
        <v>1004</v>
      </c>
      <c r="M1034" s="35" t="s">
        <v>2593</v>
      </c>
      <c r="N1034" s="35" t="s">
        <v>924</v>
      </c>
      <c r="O1034" s="35" t="s">
        <v>2517</v>
      </c>
      <c r="P1034" s="35" t="s">
        <v>2518</v>
      </c>
      <c r="Q1034" s="38">
        <v>38</v>
      </c>
      <c r="R1034" s="38">
        <v>1</v>
      </c>
      <c r="S1034" s="35" t="s">
        <v>2262</v>
      </c>
      <c r="T1034" s="35" t="s">
        <v>926</v>
      </c>
      <c r="U1034" s="38">
        <v>34220600</v>
      </c>
      <c r="V1034" s="38">
        <v>1</v>
      </c>
      <c r="W1034" s="18">
        <f>_xlfn.XLOOKUP(J1034,'Master Data 14-9-2026'!C:C,'Master Data 14-9-2026'!L:L)</f>
        <v>0</v>
      </c>
      <c r="X1034" s="20">
        <f t="shared" si="18"/>
        <v>34220600</v>
      </c>
      <c r="Y1034" s="35" t="s">
        <v>2519</v>
      </c>
      <c r="AG1034" s="4"/>
    </row>
    <row r="1035" spans="1:33" hidden="1">
      <c r="A1035" s="35" t="s">
        <v>2594</v>
      </c>
      <c r="B1035" s="13" t="str">
        <f>_xlfn.XLOOKUP(J1035,'Master Data 14-9-2026'!C:C,'Master Data 14-9-2026'!D:D)</f>
        <v>Fatimah Putri Johari wx1529215</v>
      </c>
      <c r="D1035" s="13" t="str">
        <f>_xlfn.XLOOKUP(J1035,'Master Data 14-9-2026'!C:C,'Master Data 14-9-2026'!E:E)</f>
        <v>XLSMART</v>
      </c>
      <c r="F1035" s="13"/>
      <c r="H1035" s="13" t="str">
        <f>_xlfn.XLOOKUP(J1035,'Master Data 14-9-2026'!C:C,'Master Data 14-9-2026'!H:H)</f>
        <v>2026-09-01 - 2026-09-30</v>
      </c>
      <c r="I1035" s="13" t="str">
        <f t="shared" si="19"/>
        <v>September</v>
      </c>
      <c r="J1035" s="35" t="s">
        <v>2594</v>
      </c>
      <c r="K1035" s="35" t="s">
        <v>1004</v>
      </c>
      <c r="M1035" s="35" t="s">
        <v>2595</v>
      </c>
      <c r="N1035" s="35" t="s">
        <v>924</v>
      </c>
      <c r="O1035" s="35" t="s">
        <v>2517</v>
      </c>
      <c r="P1035" s="35" t="s">
        <v>2518</v>
      </c>
      <c r="Q1035" s="38">
        <v>39</v>
      </c>
      <c r="R1035" s="38">
        <v>1</v>
      </c>
      <c r="S1035" s="35" t="s">
        <v>2233</v>
      </c>
      <c r="T1035" s="35" t="s">
        <v>951</v>
      </c>
      <c r="U1035" s="38">
        <v>28881900</v>
      </c>
      <c r="V1035" s="38">
        <v>1</v>
      </c>
      <c r="W1035" s="18">
        <f>_xlfn.XLOOKUP(J1035,'Master Data 14-9-2026'!C:C,'Master Data 14-9-2026'!L:L)</f>
        <v>0</v>
      </c>
      <c r="X1035" s="20">
        <f t="shared" si="18"/>
        <v>28881900</v>
      </c>
      <c r="Y1035" s="35" t="s">
        <v>2519</v>
      </c>
      <c r="AG1035" s="4"/>
    </row>
    <row r="1036" spans="1:33" hidden="1">
      <c r="A1036" s="35" t="s">
        <v>2596</v>
      </c>
      <c r="B1036" s="13" t="str">
        <f>_xlfn.XLOOKUP(J1036,'Master Data 14-9-2026'!C:C,'Master Data 14-9-2026'!D:D)</f>
        <v>Carolus Loka Wiro Utomo wx1529069</v>
      </c>
      <c r="D1036" s="13" t="str">
        <f>_xlfn.XLOOKUP(J1036,'Master Data 14-9-2026'!C:C,'Master Data 14-9-2026'!E:E)</f>
        <v>XLSMART</v>
      </c>
      <c r="F1036" s="13"/>
      <c r="H1036" s="13" t="str">
        <f>_xlfn.XLOOKUP(J1036,'Master Data 14-9-2026'!C:C,'Master Data 14-9-2026'!H:H)</f>
        <v>2026-09-01 - 2026-09-30</v>
      </c>
      <c r="I1036" s="13" t="str">
        <f t="shared" si="19"/>
        <v>September</v>
      </c>
      <c r="J1036" s="35" t="s">
        <v>2596</v>
      </c>
      <c r="K1036" s="35" t="s">
        <v>1004</v>
      </c>
      <c r="M1036" s="35" t="s">
        <v>2597</v>
      </c>
      <c r="N1036" s="35" t="s">
        <v>924</v>
      </c>
      <c r="O1036" s="35" t="s">
        <v>2517</v>
      </c>
      <c r="P1036" s="35" t="s">
        <v>2518</v>
      </c>
      <c r="Q1036" s="38">
        <v>40</v>
      </c>
      <c r="R1036" s="38">
        <v>1</v>
      </c>
      <c r="S1036" s="35" t="s">
        <v>2262</v>
      </c>
      <c r="T1036" s="35" t="s">
        <v>926</v>
      </c>
      <c r="U1036" s="38">
        <v>34220600</v>
      </c>
      <c r="V1036" s="38">
        <v>1</v>
      </c>
      <c r="W1036" s="18">
        <f>_xlfn.XLOOKUP(J1036,'Master Data 14-9-2026'!C:C,'Master Data 14-9-2026'!L:L)</f>
        <v>0.5</v>
      </c>
      <c r="X1036" s="20">
        <f t="shared" si="18"/>
        <v>34220600</v>
      </c>
      <c r="Y1036" s="35" t="s">
        <v>2519</v>
      </c>
      <c r="AG1036" s="4"/>
    </row>
    <row r="1037" spans="1:33" hidden="1">
      <c r="A1037" s="35" t="s">
        <v>2598</v>
      </c>
      <c r="B1037" s="13" t="str">
        <f>_xlfn.XLOOKUP(J1037,'Master Data 14-9-2026'!C:C,'Master Data 14-9-2026'!D:D)</f>
        <v>Hardian Jayadi wx1529214</v>
      </c>
      <c r="D1037" s="13" t="str">
        <f>_xlfn.XLOOKUP(J1037,'Master Data 14-9-2026'!C:C,'Master Data 14-9-2026'!E:E)</f>
        <v>XLSMART</v>
      </c>
      <c r="F1037" s="13"/>
      <c r="H1037" s="13" t="str">
        <f>_xlfn.XLOOKUP(J1037,'Master Data 14-9-2026'!C:C,'Master Data 14-9-2026'!H:H)</f>
        <v>2026-09-01 - 2026-09-30</v>
      </c>
      <c r="I1037" s="13" t="str">
        <f t="shared" si="19"/>
        <v>September</v>
      </c>
      <c r="J1037" s="35" t="s">
        <v>2598</v>
      </c>
      <c r="K1037" s="35" t="s">
        <v>1004</v>
      </c>
      <c r="M1037" s="35" t="s">
        <v>2599</v>
      </c>
      <c r="N1037" s="35" t="s">
        <v>924</v>
      </c>
      <c r="O1037" s="35" t="s">
        <v>2517</v>
      </c>
      <c r="P1037" s="35" t="s">
        <v>2518</v>
      </c>
      <c r="Q1037" s="38">
        <v>41</v>
      </c>
      <c r="R1037" s="38">
        <v>1</v>
      </c>
      <c r="S1037" s="35" t="s">
        <v>2262</v>
      </c>
      <c r="T1037" s="35" t="s">
        <v>926</v>
      </c>
      <c r="U1037" s="38">
        <v>34220600</v>
      </c>
      <c r="V1037" s="38">
        <v>1</v>
      </c>
      <c r="W1037" s="18">
        <f>_xlfn.XLOOKUP(J1037,'Master Data 14-9-2026'!C:C,'Master Data 14-9-2026'!L:L)</f>
        <v>1</v>
      </c>
      <c r="X1037" s="20">
        <f t="shared" si="18"/>
        <v>34220600</v>
      </c>
      <c r="Y1037" s="35" t="s">
        <v>2519</v>
      </c>
      <c r="Z1037" s="24" t="str">
        <f>_xlfn.XLOOKUP(J1037,'Master Data 14-9-2026'!C:C,'Master Data 14-9-2026'!I:I)</f>
        <v>Ongoing</v>
      </c>
      <c r="AG1037" s="4"/>
    </row>
    <row r="1038" spans="1:33" hidden="1">
      <c r="A1038" s="35" t="s">
        <v>2600</v>
      </c>
      <c r="B1038" s="13" t="str">
        <f>_xlfn.XLOOKUP(J1038,'Master Data 14-9-2026'!C:C,'Master Data 14-9-2026'!D:D)</f>
        <v>Januari Yanto wx1529418</v>
      </c>
      <c r="D1038" s="13" t="str">
        <f>_xlfn.XLOOKUP(J1038,'Master Data 14-9-2026'!C:C,'Master Data 14-9-2026'!E:E)</f>
        <v>XLSMART</v>
      </c>
      <c r="F1038" s="13"/>
      <c r="H1038" s="13" t="str">
        <f>_xlfn.XLOOKUP(J1038,'Master Data 14-9-2026'!C:C,'Master Data 14-9-2026'!H:H)</f>
        <v>2026-09-01 - 2026-09-30</v>
      </c>
      <c r="I1038" s="13" t="str">
        <f t="shared" si="19"/>
        <v>September</v>
      </c>
      <c r="J1038" s="35" t="s">
        <v>2600</v>
      </c>
      <c r="K1038" s="35" t="s">
        <v>1004</v>
      </c>
      <c r="M1038" s="35" t="s">
        <v>2601</v>
      </c>
      <c r="N1038" s="35" t="s">
        <v>924</v>
      </c>
      <c r="O1038" s="35" t="s">
        <v>2517</v>
      </c>
      <c r="P1038" s="35" t="s">
        <v>2518</v>
      </c>
      <c r="Q1038" s="38">
        <v>42</v>
      </c>
      <c r="R1038" s="38">
        <v>1</v>
      </c>
      <c r="S1038" s="35" t="s">
        <v>2262</v>
      </c>
      <c r="T1038" s="35" t="s">
        <v>926</v>
      </c>
      <c r="U1038" s="38">
        <v>34220600</v>
      </c>
      <c r="V1038" s="38">
        <v>1</v>
      </c>
      <c r="W1038" s="18">
        <f>_xlfn.XLOOKUP(J1038,'Master Data 14-9-2026'!C:C,'Master Data 14-9-2026'!L:L)</f>
        <v>0</v>
      </c>
      <c r="X1038" s="20">
        <f t="shared" si="18"/>
        <v>34220600</v>
      </c>
      <c r="Y1038" s="35" t="s">
        <v>2519</v>
      </c>
      <c r="AG1038" s="4"/>
    </row>
    <row r="1039" spans="1:33" hidden="1">
      <c r="A1039" s="35" t="s">
        <v>2602</v>
      </c>
      <c r="B1039" s="13" t="str">
        <f>_xlfn.XLOOKUP(J1039,'Master Data 14-9-2026'!C:C,'Master Data 14-9-2026'!D:D)</f>
        <v>Muhammad Reza Fahlevi wx1529419</v>
      </c>
      <c r="D1039" s="13" t="str">
        <f>_xlfn.XLOOKUP(J1039,'Master Data 14-9-2026'!C:C,'Master Data 14-9-2026'!E:E)</f>
        <v>XLSMART</v>
      </c>
      <c r="F1039" s="13"/>
      <c r="H1039" s="13" t="str">
        <f>_xlfn.XLOOKUP(J1039,'Master Data 14-9-2026'!C:C,'Master Data 14-9-2026'!H:H)</f>
        <v>2026-09-01 - 2026-09-30</v>
      </c>
      <c r="I1039" s="13" t="str">
        <f t="shared" si="19"/>
        <v>September</v>
      </c>
      <c r="J1039" s="35" t="s">
        <v>2602</v>
      </c>
      <c r="K1039" s="35" t="s">
        <v>1004</v>
      </c>
      <c r="M1039" s="35" t="s">
        <v>2603</v>
      </c>
      <c r="N1039" s="35" t="s">
        <v>924</v>
      </c>
      <c r="O1039" s="35" t="s">
        <v>2517</v>
      </c>
      <c r="P1039" s="35" t="s">
        <v>2518</v>
      </c>
      <c r="Q1039" s="38">
        <v>43</v>
      </c>
      <c r="R1039" s="38">
        <v>1</v>
      </c>
      <c r="S1039" s="35" t="s">
        <v>2262</v>
      </c>
      <c r="T1039" s="35" t="s">
        <v>926</v>
      </c>
      <c r="U1039" s="38">
        <v>34220600</v>
      </c>
      <c r="V1039" s="38">
        <v>1</v>
      </c>
      <c r="W1039" s="18">
        <f>_xlfn.XLOOKUP(J1039,'Master Data 14-9-2026'!C:C,'Master Data 14-9-2026'!L:L)</f>
        <v>1</v>
      </c>
      <c r="X1039" s="20">
        <f t="shared" si="18"/>
        <v>34220600</v>
      </c>
      <c r="Y1039" s="35" t="s">
        <v>2519</v>
      </c>
      <c r="Z1039" s="24" t="str">
        <f>_xlfn.XLOOKUP(J1039,'Master Data 14-9-2026'!C:C,'Master Data 14-9-2026'!I:I)</f>
        <v>Ongoing</v>
      </c>
      <c r="AG1039" s="4"/>
    </row>
    <row r="1040" spans="1:33" hidden="1">
      <c r="A1040" s="35" t="s">
        <v>2604</v>
      </c>
      <c r="B1040" s="13" t="str">
        <f>_xlfn.XLOOKUP(J1040,'Master Data 14-9-2026'!C:C,'Master Data 14-9-2026'!D:D)</f>
        <v>Anang Husnul Rizqani wx1529420</v>
      </c>
      <c r="D1040" s="13" t="str">
        <f>_xlfn.XLOOKUP(J1040,'Master Data 14-9-2026'!C:C,'Master Data 14-9-2026'!E:E)</f>
        <v>XLSMART</v>
      </c>
      <c r="F1040" s="13"/>
      <c r="H1040" s="13" t="str">
        <f>_xlfn.XLOOKUP(J1040,'Master Data 14-9-2026'!C:C,'Master Data 14-9-2026'!H:H)</f>
        <v>2026-09-01 - 2026-09-30</v>
      </c>
      <c r="I1040" s="13" t="str">
        <f t="shared" si="19"/>
        <v>September</v>
      </c>
      <c r="J1040" s="35" t="s">
        <v>2604</v>
      </c>
      <c r="K1040" s="35" t="s">
        <v>1004</v>
      </c>
      <c r="M1040" s="35" t="s">
        <v>2605</v>
      </c>
      <c r="N1040" s="35" t="s">
        <v>924</v>
      </c>
      <c r="O1040" s="35" t="s">
        <v>2517</v>
      </c>
      <c r="P1040" s="35" t="s">
        <v>2518</v>
      </c>
      <c r="Q1040" s="38">
        <v>44</v>
      </c>
      <c r="R1040" s="38">
        <v>1</v>
      </c>
      <c r="S1040" s="35" t="s">
        <v>2262</v>
      </c>
      <c r="T1040" s="35" t="s">
        <v>926</v>
      </c>
      <c r="U1040" s="38">
        <v>34220600</v>
      </c>
      <c r="V1040" s="38">
        <v>1</v>
      </c>
      <c r="W1040" s="18">
        <f>_xlfn.XLOOKUP(J1040,'Master Data 14-9-2026'!C:C,'Master Data 14-9-2026'!L:L)</f>
        <v>0</v>
      </c>
      <c r="X1040" s="20">
        <f t="shared" si="18"/>
        <v>34220600</v>
      </c>
      <c r="Y1040" s="35" t="s">
        <v>2519</v>
      </c>
      <c r="AG1040" s="4"/>
    </row>
    <row r="1041" spans="1:33" hidden="1">
      <c r="A1041" s="35" t="s">
        <v>2606</v>
      </c>
      <c r="B1041" s="13" t="str">
        <f>_xlfn.XLOOKUP(J1041,'Master Data 14-9-2026'!C:C,'Master Data 14-9-2026'!D:D)</f>
        <v>Donny Rizky Pratama wx1529421</v>
      </c>
      <c r="D1041" s="13" t="str">
        <f>_xlfn.XLOOKUP(J1041,'Master Data 14-9-2026'!C:C,'Master Data 14-9-2026'!E:E)</f>
        <v>XLSMART</v>
      </c>
      <c r="F1041" s="13"/>
      <c r="H1041" s="13" t="str">
        <f>_xlfn.XLOOKUP(J1041,'Master Data 14-9-2026'!C:C,'Master Data 14-9-2026'!H:H)</f>
        <v>2026-09-01 - 2026-09-30</v>
      </c>
      <c r="I1041" s="13" t="str">
        <f t="shared" si="19"/>
        <v>September</v>
      </c>
      <c r="J1041" s="35" t="s">
        <v>2606</v>
      </c>
      <c r="K1041" s="35" t="s">
        <v>1004</v>
      </c>
      <c r="M1041" s="35" t="s">
        <v>2607</v>
      </c>
      <c r="N1041" s="35" t="s">
        <v>924</v>
      </c>
      <c r="O1041" s="35" t="s">
        <v>2517</v>
      </c>
      <c r="P1041" s="35" t="s">
        <v>2518</v>
      </c>
      <c r="Q1041" s="38">
        <v>45</v>
      </c>
      <c r="R1041" s="38">
        <v>1</v>
      </c>
      <c r="S1041" s="35" t="s">
        <v>2262</v>
      </c>
      <c r="T1041" s="35" t="s">
        <v>926</v>
      </c>
      <c r="U1041" s="38">
        <v>34220600</v>
      </c>
      <c r="V1041" s="38">
        <v>1</v>
      </c>
      <c r="W1041" s="18">
        <f>_xlfn.XLOOKUP(J1041,'Master Data 14-9-2026'!C:C,'Master Data 14-9-2026'!L:L)</f>
        <v>0.5</v>
      </c>
      <c r="X1041" s="20">
        <f t="shared" si="18"/>
        <v>34220600</v>
      </c>
      <c r="Y1041" s="35" t="s">
        <v>2519</v>
      </c>
      <c r="AG1041" s="4"/>
    </row>
    <row r="1042" spans="1:33" hidden="1">
      <c r="A1042" s="35" t="s">
        <v>2608</v>
      </c>
      <c r="B1042" s="13" t="str">
        <f>_xlfn.XLOOKUP(J1042,'Master Data 14-9-2026'!C:C,'Master Data 14-9-2026'!D:D)</f>
        <v>Popi Masdianto wx1529422</v>
      </c>
      <c r="D1042" s="13" t="str">
        <f>_xlfn.XLOOKUP(J1042,'Master Data 14-9-2026'!C:C,'Master Data 14-9-2026'!E:E)</f>
        <v>XLSMART</v>
      </c>
      <c r="F1042" s="13"/>
      <c r="H1042" s="13" t="str">
        <f>_xlfn.XLOOKUP(J1042,'Master Data 14-9-2026'!C:C,'Master Data 14-9-2026'!H:H)</f>
        <v>2026-09-01 - 2026-09-30</v>
      </c>
      <c r="I1042" s="13" t="str">
        <f t="shared" si="19"/>
        <v>September</v>
      </c>
      <c r="J1042" s="35" t="s">
        <v>2608</v>
      </c>
      <c r="K1042" s="35" t="s">
        <v>1004</v>
      </c>
      <c r="M1042" s="35" t="s">
        <v>2609</v>
      </c>
      <c r="N1042" s="35" t="s">
        <v>924</v>
      </c>
      <c r="O1042" s="35" t="s">
        <v>2517</v>
      </c>
      <c r="P1042" s="35" t="s">
        <v>2518</v>
      </c>
      <c r="Q1042" s="38">
        <v>46</v>
      </c>
      <c r="R1042" s="38">
        <v>1</v>
      </c>
      <c r="S1042" s="35" t="s">
        <v>2262</v>
      </c>
      <c r="T1042" s="35" t="s">
        <v>926</v>
      </c>
      <c r="U1042" s="38">
        <v>34220600</v>
      </c>
      <c r="V1042" s="38">
        <v>1</v>
      </c>
      <c r="W1042" s="18">
        <f>_xlfn.XLOOKUP(J1042,'Master Data 14-9-2026'!C:C,'Master Data 14-9-2026'!L:L)</f>
        <v>0</v>
      </c>
      <c r="X1042" s="20">
        <f t="shared" si="18"/>
        <v>34220600</v>
      </c>
      <c r="Y1042" s="35" t="s">
        <v>2519</v>
      </c>
      <c r="AG1042" s="4"/>
    </row>
    <row r="1043" spans="1:33" hidden="1">
      <c r="A1043" s="35" t="s">
        <v>2610</v>
      </c>
      <c r="B1043" s="13" t="str">
        <f>_xlfn.XLOOKUP(J1043,'Master Data 14-9-2026'!C:C,'Master Data 14-9-2026'!D:D)</f>
        <v>Wiweko Pramono wx1529163</v>
      </c>
      <c r="D1043" s="13" t="str">
        <f>_xlfn.XLOOKUP(J1043,'Master Data 14-9-2026'!C:C,'Master Data 14-9-2026'!E:E)</f>
        <v>XLSMART</v>
      </c>
      <c r="F1043" s="13"/>
      <c r="H1043" s="13" t="str">
        <f>_xlfn.XLOOKUP(J1043,'Master Data 14-9-2026'!C:C,'Master Data 14-9-2026'!H:H)</f>
        <v>2026-09-01 - 2026-09-30</v>
      </c>
      <c r="I1043" s="13" t="str">
        <f t="shared" si="19"/>
        <v>September</v>
      </c>
      <c r="J1043" s="35" t="s">
        <v>2610</v>
      </c>
      <c r="K1043" s="35" t="s">
        <v>1004</v>
      </c>
      <c r="M1043" s="35" t="s">
        <v>2611</v>
      </c>
      <c r="N1043" s="35" t="s">
        <v>924</v>
      </c>
      <c r="O1043" s="35" t="s">
        <v>2517</v>
      </c>
      <c r="P1043" s="35" t="s">
        <v>2518</v>
      </c>
      <c r="Q1043" s="38">
        <v>47</v>
      </c>
      <c r="R1043" s="38">
        <v>1</v>
      </c>
      <c r="S1043" s="35" t="s">
        <v>2262</v>
      </c>
      <c r="T1043" s="35" t="s">
        <v>926</v>
      </c>
      <c r="U1043" s="38">
        <v>34220600</v>
      </c>
      <c r="V1043" s="38">
        <v>1</v>
      </c>
      <c r="W1043" s="18">
        <f>_xlfn.XLOOKUP(J1043,'Master Data 14-9-2026'!C:C,'Master Data 14-9-2026'!L:L)</f>
        <v>0</v>
      </c>
      <c r="X1043" s="20">
        <f t="shared" si="18"/>
        <v>34220600</v>
      </c>
      <c r="Y1043" s="35" t="s">
        <v>2519</v>
      </c>
      <c r="AG1043" s="4"/>
    </row>
    <row r="1044" spans="1:33" hidden="1">
      <c r="A1044" s="35" t="s">
        <v>2612</v>
      </c>
      <c r="B1044" s="13" t="str">
        <f>_xlfn.XLOOKUP(J1044,'Master Data 14-9-2026'!C:C,'Master Data 14-9-2026'!D:D)</f>
        <v>Dolly Alif Subhi Nasution WX1531578</v>
      </c>
      <c r="D1044" s="13" t="str">
        <f>_xlfn.XLOOKUP(J1044,'Master Data 14-9-2026'!C:C,'Master Data 14-9-2026'!E:E)</f>
        <v>XLSMART</v>
      </c>
      <c r="F1044" s="13"/>
      <c r="H1044" s="13" t="str">
        <f>_xlfn.XLOOKUP(J1044,'Master Data 14-9-2026'!C:C,'Master Data 14-9-2026'!H:H)</f>
        <v>2026-09-14 - 2026-10-13</v>
      </c>
      <c r="I1044" s="13" t="str">
        <f t="shared" si="19"/>
        <v>September</v>
      </c>
      <c r="J1044" s="35" t="s">
        <v>2612</v>
      </c>
      <c r="K1044" s="35" t="s">
        <v>1004</v>
      </c>
      <c r="M1044" s="35" t="s">
        <v>2613</v>
      </c>
      <c r="N1044" s="35" t="s">
        <v>924</v>
      </c>
      <c r="O1044" s="35" t="s">
        <v>2517</v>
      </c>
      <c r="P1044" s="35" t="s">
        <v>2518</v>
      </c>
      <c r="Q1044" s="38">
        <v>48</v>
      </c>
      <c r="R1044" s="38">
        <v>1</v>
      </c>
      <c r="S1044" s="35" t="s">
        <v>2262</v>
      </c>
      <c r="T1044" s="35" t="s">
        <v>926</v>
      </c>
      <c r="U1044" s="38">
        <v>34220600</v>
      </c>
      <c r="V1044" s="38">
        <v>1</v>
      </c>
      <c r="W1044" s="18">
        <f>_xlfn.XLOOKUP(J1044,'Master Data 14-9-2026'!C:C,'Master Data 14-9-2026'!L:L)</f>
        <v>0</v>
      </c>
      <c r="X1044" s="20">
        <f t="shared" si="18"/>
        <v>34220600</v>
      </c>
      <c r="Y1044" s="35" t="s">
        <v>2519</v>
      </c>
      <c r="AG1044" s="4"/>
    </row>
    <row r="1045" spans="1:33" hidden="1">
      <c r="A1045" s="35" t="s">
        <v>2614</v>
      </c>
      <c r="B1045" s="13" t="str">
        <f>_xlfn.XLOOKUP(J1045,'Master Data 14-9-2026'!C:C,'Master Data 14-9-2026'!D:D)</f>
        <v>Muhammad Indra Haryanto WX1529649</v>
      </c>
      <c r="D1045" s="13" t="str">
        <f>_xlfn.XLOOKUP(J1045,'Master Data 14-9-2026'!C:C,'Master Data 14-9-2026'!E:E)</f>
        <v>XLSMART</v>
      </c>
      <c r="F1045" s="13"/>
      <c r="H1045" s="13" t="str">
        <f>_xlfn.XLOOKUP(J1045,'Master Data 14-9-2026'!C:C,'Master Data 14-9-2026'!H:H)</f>
        <v>2026-09-03 - 2026-10-02</v>
      </c>
      <c r="I1045" s="13" t="str">
        <f t="shared" si="19"/>
        <v>September</v>
      </c>
      <c r="J1045" s="35" t="s">
        <v>2614</v>
      </c>
      <c r="K1045" s="35" t="s">
        <v>1004</v>
      </c>
      <c r="M1045" s="35" t="s">
        <v>2615</v>
      </c>
      <c r="N1045" s="35" t="s">
        <v>924</v>
      </c>
      <c r="O1045" s="35" t="s">
        <v>2517</v>
      </c>
      <c r="P1045" s="35" t="s">
        <v>2518</v>
      </c>
      <c r="Q1045" s="38">
        <v>49</v>
      </c>
      <c r="R1045" s="38">
        <v>1</v>
      </c>
      <c r="S1045" s="35" t="s">
        <v>2266</v>
      </c>
      <c r="T1045" s="35" t="s">
        <v>978</v>
      </c>
      <c r="U1045" s="38">
        <v>32542400</v>
      </c>
      <c r="V1045" s="38">
        <v>1</v>
      </c>
      <c r="W1045" s="18">
        <f>_xlfn.XLOOKUP(J1045,'Master Data 14-9-2026'!C:C,'Master Data 14-9-2026'!L:L)</f>
        <v>0</v>
      </c>
      <c r="X1045" s="20">
        <f t="shared" si="18"/>
        <v>32542400</v>
      </c>
      <c r="Y1045" s="35" t="s">
        <v>2519</v>
      </c>
      <c r="AG1045" s="4"/>
    </row>
    <row r="1046" spans="1:33" hidden="1">
      <c r="A1046" s="35" t="s">
        <v>2616</v>
      </c>
      <c r="B1046" s="13" t="e">
        <f>_xlfn.XLOOKUP(J1046,'Master Data 14-9-2026'!C:C,'Master Data 14-9-2026'!D:D)</f>
        <v>#N/A</v>
      </c>
      <c r="D1046" s="13" t="e">
        <f>_xlfn.XLOOKUP(J1046,'Master Data 14-9-2026'!C:C,'Master Data 14-9-2026'!E:E)</f>
        <v>#N/A</v>
      </c>
      <c r="F1046" s="13"/>
      <c r="H1046" s="13" t="e">
        <f>_xlfn.XLOOKUP(J1046,'Master Data 14-9-2026'!C:C,'Master Data 14-9-2026'!H:H)</f>
        <v>#N/A</v>
      </c>
      <c r="I1046" s="13" t="e">
        <f t="shared" si="19"/>
        <v>#N/A</v>
      </c>
      <c r="J1046" s="35" t="s">
        <v>2616</v>
      </c>
      <c r="K1046" s="35" t="s">
        <v>1004</v>
      </c>
      <c r="M1046" s="35" t="s">
        <v>2617</v>
      </c>
      <c r="N1046" s="35" t="s">
        <v>924</v>
      </c>
      <c r="O1046" s="35" t="s">
        <v>2517</v>
      </c>
      <c r="P1046" s="35" t="s">
        <v>2518</v>
      </c>
      <c r="Q1046" s="38">
        <v>50</v>
      </c>
      <c r="R1046" s="38">
        <v>1</v>
      </c>
      <c r="S1046" s="35" t="s">
        <v>2233</v>
      </c>
      <c r="T1046" s="35" t="s">
        <v>951</v>
      </c>
      <c r="U1046" s="38">
        <v>28881900</v>
      </c>
      <c r="V1046" s="38">
        <v>1</v>
      </c>
      <c r="W1046" s="18" t="e">
        <f>_xlfn.XLOOKUP(J1046,'Master Data 14-9-2026'!C:C,'Master Data 14-9-2026'!L:L)</f>
        <v>#N/A</v>
      </c>
      <c r="X1046" s="20">
        <f t="shared" si="18"/>
        <v>28881900</v>
      </c>
      <c r="Y1046" s="35" t="s">
        <v>2519</v>
      </c>
      <c r="AG1046" s="4"/>
    </row>
    <row r="1047" spans="1:33" hidden="1">
      <c r="A1047" s="35" t="s">
        <v>2618</v>
      </c>
      <c r="B1047" s="13" t="str">
        <f>_xlfn.XLOOKUP(J1047,'Master Data 14-9-2026'!C:C,'Master Data 14-9-2026'!D:D)</f>
        <v>Sudrajat wx1529015</v>
      </c>
      <c r="D1047" s="13" t="str">
        <f>_xlfn.XLOOKUP(J1047,'Master Data 14-9-2026'!C:C,'Master Data 14-9-2026'!E:E)</f>
        <v>XLSMART</v>
      </c>
      <c r="F1047" s="13"/>
      <c r="H1047" s="13" t="str">
        <f>_xlfn.XLOOKUP(J1047,'Master Data 14-9-2026'!C:C,'Master Data 14-9-2026'!H:H)</f>
        <v>2026-09-18 - 2026-10-17</v>
      </c>
      <c r="I1047" s="13" t="str">
        <f t="shared" si="19"/>
        <v>September</v>
      </c>
      <c r="J1047" s="35" t="s">
        <v>2618</v>
      </c>
      <c r="K1047" s="35" t="s">
        <v>1004</v>
      </c>
      <c r="M1047" s="35" t="s">
        <v>2619</v>
      </c>
      <c r="N1047" s="35" t="s">
        <v>924</v>
      </c>
      <c r="O1047" s="35" t="s">
        <v>2517</v>
      </c>
      <c r="P1047" s="35" t="s">
        <v>2518</v>
      </c>
      <c r="Q1047" s="38">
        <v>51</v>
      </c>
      <c r="R1047" s="38">
        <v>1</v>
      </c>
      <c r="S1047" s="35" t="s">
        <v>2266</v>
      </c>
      <c r="T1047" s="35" t="s">
        <v>978</v>
      </c>
      <c r="U1047" s="38">
        <v>32542400</v>
      </c>
      <c r="V1047" s="38">
        <v>1</v>
      </c>
      <c r="W1047" s="18">
        <f>_xlfn.XLOOKUP(J1047,'Master Data 14-9-2026'!C:C,'Master Data 14-9-2026'!L:L)</f>
        <v>0</v>
      </c>
      <c r="X1047" s="20">
        <f t="shared" si="18"/>
        <v>32542400</v>
      </c>
      <c r="Y1047" s="35" t="s">
        <v>2519</v>
      </c>
      <c r="AG1047" s="4"/>
    </row>
    <row r="1048" spans="1:33" hidden="1">
      <c r="A1048" s="35" t="s">
        <v>2620</v>
      </c>
      <c r="B1048" s="13" t="e">
        <f>_xlfn.XLOOKUP(J1048,'Master Data 14-9-2026'!C:C,'Master Data 14-9-2026'!D:D)</f>
        <v>#N/A</v>
      </c>
      <c r="D1048" s="13" t="e">
        <f>_xlfn.XLOOKUP(J1048,'Master Data 14-9-2026'!C:C,'Master Data 14-9-2026'!E:E)</f>
        <v>#N/A</v>
      </c>
      <c r="F1048" s="13"/>
      <c r="H1048" s="13" t="e">
        <f>_xlfn.XLOOKUP(J1048,'Master Data 14-9-2026'!C:C,'Master Data 14-9-2026'!H:H)</f>
        <v>#N/A</v>
      </c>
      <c r="I1048" s="13" t="e">
        <f t="shared" si="19"/>
        <v>#N/A</v>
      </c>
      <c r="J1048" s="35" t="s">
        <v>2620</v>
      </c>
      <c r="K1048" s="35" t="s">
        <v>1004</v>
      </c>
      <c r="M1048" s="35" t="s">
        <v>2621</v>
      </c>
      <c r="N1048" s="35" t="s">
        <v>924</v>
      </c>
      <c r="O1048" s="35" t="s">
        <v>2517</v>
      </c>
      <c r="P1048" s="35" t="s">
        <v>2518</v>
      </c>
      <c r="Q1048" s="38">
        <v>52</v>
      </c>
      <c r="R1048" s="38">
        <v>1</v>
      </c>
      <c r="S1048" s="35" t="s">
        <v>2266</v>
      </c>
      <c r="T1048" s="35" t="s">
        <v>978</v>
      </c>
      <c r="U1048" s="38">
        <v>32542400</v>
      </c>
      <c r="V1048" s="38">
        <v>1</v>
      </c>
      <c r="W1048" s="18" t="e">
        <f>_xlfn.XLOOKUP(J1048,'Master Data 14-9-2026'!C:C,'Master Data 14-9-2026'!L:L)</f>
        <v>#N/A</v>
      </c>
      <c r="X1048" s="20">
        <f t="shared" si="18"/>
        <v>32542400</v>
      </c>
      <c r="Y1048" s="35" t="s">
        <v>2519</v>
      </c>
      <c r="AG1048" s="4"/>
    </row>
    <row r="1049" spans="1:33" hidden="1">
      <c r="A1049" s="35" t="s">
        <v>2622</v>
      </c>
      <c r="B1049" s="13" t="e">
        <f>_xlfn.XLOOKUP(J1049,'Master Data 14-9-2026'!C:C,'Master Data 14-9-2026'!D:D)</f>
        <v>#N/A</v>
      </c>
      <c r="D1049" s="13" t="e">
        <f>_xlfn.XLOOKUP(J1049,'Master Data 14-9-2026'!C:C,'Master Data 14-9-2026'!E:E)</f>
        <v>#N/A</v>
      </c>
      <c r="F1049" s="13"/>
      <c r="H1049" s="13" t="e">
        <f>_xlfn.XLOOKUP(J1049,'Master Data 14-9-2026'!C:C,'Master Data 14-9-2026'!H:H)</f>
        <v>#N/A</v>
      </c>
      <c r="I1049" s="13" t="e">
        <f t="shared" si="19"/>
        <v>#N/A</v>
      </c>
      <c r="J1049" s="35" t="s">
        <v>2622</v>
      </c>
      <c r="K1049" s="35" t="s">
        <v>1004</v>
      </c>
      <c r="M1049" s="35" t="s">
        <v>2623</v>
      </c>
      <c r="N1049" s="35" t="s">
        <v>924</v>
      </c>
      <c r="O1049" s="35" t="s">
        <v>2517</v>
      </c>
      <c r="P1049" s="35" t="s">
        <v>2518</v>
      </c>
      <c r="Q1049" s="38">
        <v>53</v>
      </c>
      <c r="R1049" s="38">
        <v>1</v>
      </c>
      <c r="S1049" s="35" t="s">
        <v>2266</v>
      </c>
      <c r="T1049" s="35" t="s">
        <v>978</v>
      </c>
      <c r="U1049" s="38">
        <v>32542400</v>
      </c>
      <c r="V1049" s="38">
        <v>1</v>
      </c>
      <c r="W1049" s="18" t="e">
        <f>_xlfn.XLOOKUP(J1049,'Master Data 14-9-2026'!C:C,'Master Data 14-9-2026'!L:L)</f>
        <v>#N/A</v>
      </c>
      <c r="X1049" s="20">
        <f t="shared" si="18"/>
        <v>32542400</v>
      </c>
      <c r="Y1049" s="35" t="s">
        <v>2519</v>
      </c>
      <c r="AG1049" s="4"/>
    </row>
    <row r="1050" spans="1:33" hidden="1">
      <c r="A1050" s="35" t="s">
        <v>2624</v>
      </c>
      <c r="B1050" s="13" t="e">
        <f>_xlfn.XLOOKUP(J1050,'Master Data 14-9-2026'!C:C,'Master Data 14-9-2026'!D:D)</f>
        <v>#N/A</v>
      </c>
      <c r="D1050" s="13" t="e">
        <f>_xlfn.XLOOKUP(J1050,'Master Data 14-9-2026'!C:C,'Master Data 14-9-2026'!E:E)</f>
        <v>#N/A</v>
      </c>
      <c r="F1050" s="13"/>
      <c r="H1050" s="13" t="e">
        <f>_xlfn.XLOOKUP(J1050,'Master Data 14-9-2026'!C:C,'Master Data 14-9-2026'!H:H)</f>
        <v>#N/A</v>
      </c>
      <c r="I1050" s="13" t="e">
        <f t="shared" si="19"/>
        <v>#N/A</v>
      </c>
      <c r="J1050" s="35" t="s">
        <v>2624</v>
      </c>
      <c r="K1050" s="35" t="s">
        <v>1004</v>
      </c>
      <c r="M1050" s="35" t="s">
        <v>2625</v>
      </c>
      <c r="N1050" s="35" t="s">
        <v>924</v>
      </c>
      <c r="O1050" s="35" t="s">
        <v>2517</v>
      </c>
      <c r="P1050" s="35" t="s">
        <v>2518</v>
      </c>
      <c r="Q1050" s="38">
        <v>54</v>
      </c>
      <c r="R1050" s="38">
        <v>1</v>
      </c>
      <c r="S1050" s="35" t="s">
        <v>2266</v>
      </c>
      <c r="T1050" s="35" t="s">
        <v>978</v>
      </c>
      <c r="U1050" s="38">
        <v>32542400</v>
      </c>
      <c r="V1050" s="38">
        <v>1</v>
      </c>
      <c r="W1050" s="18" t="e">
        <f>_xlfn.XLOOKUP(J1050,'Master Data 14-9-2026'!C:C,'Master Data 14-9-2026'!L:L)</f>
        <v>#N/A</v>
      </c>
      <c r="X1050" s="20">
        <f t="shared" si="18"/>
        <v>32542400</v>
      </c>
      <c r="Y1050" s="35" t="s">
        <v>2519</v>
      </c>
      <c r="AG1050" s="4"/>
    </row>
    <row r="1051" spans="1:33" hidden="1">
      <c r="A1051" s="35" t="s">
        <v>2626</v>
      </c>
      <c r="B1051" s="13" t="e">
        <f>_xlfn.XLOOKUP(J1051,'Master Data 14-9-2026'!C:C,'Master Data 14-9-2026'!D:D)</f>
        <v>#N/A</v>
      </c>
      <c r="D1051" s="13" t="e">
        <f>_xlfn.XLOOKUP(J1051,'Master Data 14-9-2026'!C:C,'Master Data 14-9-2026'!E:E)</f>
        <v>#N/A</v>
      </c>
      <c r="F1051" s="13"/>
      <c r="H1051" s="13" t="e">
        <f>_xlfn.XLOOKUP(J1051,'Master Data 14-9-2026'!C:C,'Master Data 14-9-2026'!H:H)</f>
        <v>#N/A</v>
      </c>
      <c r="I1051" s="13" t="e">
        <f t="shared" si="19"/>
        <v>#N/A</v>
      </c>
      <c r="J1051" s="35" t="s">
        <v>2626</v>
      </c>
      <c r="K1051" s="35" t="s">
        <v>1004</v>
      </c>
      <c r="M1051" s="35" t="s">
        <v>2627</v>
      </c>
      <c r="N1051" s="35" t="s">
        <v>924</v>
      </c>
      <c r="O1051" s="35" t="s">
        <v>2517</v>
      </c>
      <c r="P1051" s="35" t="s">
        <v>2518</v>
      </c>
      <c r="Q1051" s="38">
        <v>55</v>
      </c>
      <c r="R1051" s="38">
        <v>1</v>
      </c>
      <c r="S1051" s="35" t="s">
        <v>2266</v>
      </c>
      <c r="T1051" s="35" t="s">
        <v>978</v>
      </c>
      <c r="U1051" s="38">
        <v>32542400</v>
      </c>
      <c r="V1051" s="38">
        <v>1</v>
      </c>
      <c r="W1051" s="18" t="e">
        <f>_xlfn.XLOOKUP(J1051,'Master Data 14-9-2026'!C:C,'Master Data 14-9-2026'!L:L)</f>
        <v>#N/A</v>
      </c>
      <c r="X1051" s="20">
        <f t="shared" si="18"/>
        <v>32542400</v>
      </c>
      <c r="Y1051" s="35" t="s">
        <v>2519</v>
      </c>
      <c r="AG1051" s="4"/>
    </row>
    <row r="1052" spans="1:33" hidden="1">
      <c r="A1052" s="35" t="s">
        <v>2628</v>
      </c>
      <c r="B1052" s="13" t="e">
        <f>_xlfn.XLOOKUP(J1052,'Master Data 14-9-2026'!C:C,'Master Data 14-9-2026'!D:D)</f>
        <v>#N/A</v>
      </c>
      <c r="D1052" s="13" t="e">
        <f>_xlfn.XLOOKUP(J1052,'Master Data 14-9-2026'!C:C,'Master Data 14-9-2026'!E:E)</f>
        <v>#N/A</v>
      </c>
      <c r="F1052" s="13"/>
      <c r="H1052" s="13" t="e">
        <f>_xlfn.XLOOKUP(J1052,'Master Data 14-9-2026'!C:C,'Master Data 14-9-2026'!H:H)</f>
        <v>#N/A</v>
      </c>
      <c r="I1052" s="13" t="e">
        <f t="shared" si="19"/>
        <v>#N/A</v>
      </c>
      <c r="J1052" s="35" t="s">
        <v>2628</v>
      </c>
      <c r="K1052" s="35" t="s">
        <v>1004</v>
      </c>
      <c r="M1052" s="35" t="s">
        <v>2629</v>
      </c>
      <c r="N1052" s="35" t="s">
        <v>924</v>
      </c>
      <c r="O1052" s="35" t="s">
        <v>2517</v>
      </c>
      <c r="P1052" s="35" t="s">
        <v>2518</v>
      </c>
      <c r="Q1052" s="38">
        <v>56</v>
      </c>
      <c r="R1052" s="38">
        <v>1</v>
      </c>
      <c r="S1052" s="35" t="s">
        <v>2266</v>
      </c>
      <c r="T1052" s="35" t="s">
        <v>978</v>
      </c>
      <c r="U1052" s="38">
        <v>32542400</v>
      </c>
      <c r="V1052" s="38">
        <v>1</v>
      </c>
      <c r="W1052" s="18" t="e">
        <f>_xlfn.XLOOKUP(J1052,'Master Data 14-9-2026'!C:C,'Master Data 14-9-2026'!L:L)</f>
        <v>#N/A</v>
      </c>
      <c r="X1052" s="20">
        <f t="shared" si="18"/>
        <v>32542400</v>
      </c>
      <c r="Y1052" s="35" t="s">
        <v>2519</v>
      </c>
      <c r="AG1052" s="4"/>
    </row>
    <row r="1053" spans="1:33" hidden="1">
      <c r="A1053" s="35" t="s">
        <v>2630</v>
      </c>
      <c r="B1053" s="13" t="e">
        <f>_xlfn.XLOOKUP(J1053,'Master Data 14-9-2026'!C:C,'Master Data 14-9-2026'!D:D)</f>
        <v>#N/A</v>
      </c>
      <c r="D1053" s="13" t="e">
        <f>_xlfn.XLOOKUP(J1053,'Master Data 14-9-2026'!C:C,'Master Data 14-9-2026'!E:E)</f>
        <v>#N/A</v>
      </c>
      <c r="F1053" s="13"/>
      <c r="H1053" s="13" t="e">
        <f>_xlfn.XLOOKUP(J1053,'Master Data 14-9-2026'!C:C,'Master Data 14-9-2026'!H:H)</f>
        <v>#N/A</v>
      </c>
      <c r="I1053" s="13" t="e">
        <f t="shared" si="19"/>
        <v>#N/A</v>
      </c>
      <c r="J1053" s="35" t="s">
        <v>2630</v>
      </c>
      <c r="K1053" s="35" t="s">
        <v>1004</v>
      </c>
      <c r="M1053" s="35" t="s">
        <v>2631</v>
      </c>
      <c r="N1053" s="35" t="s">
        <v>924</v>
      </c>
      <c r="O1053" s="35" t="s">
        <v>2517</v>
      </c>
      <c r="P1053" s="35" t="s">
        <v>2518</v>
      </c>
      <c r="Q1053" s="38">
        <v>57</v>
      </c>
      <c r="R1053" s="38">
        <v>1</v>
      </c>
      <c r="S1053" s="35" t="s">
        <v>2266</v>
      </c>
      <c r="T1053" s="35" t="s">
        <v>978</v>
      </c>
      <c r="U1053" s="38">
        <v>32542400</v>
      </c>
      <c r="V1053" s="38">
        <v>1</v>
      </c>
      <c r="W1053" s="18" t="e">
        <f>_xlfn.XLOOKUP(J1053,'Master Data 14-9-2026'!C:C,'Master Data 14-9-2026'!L:L)</f>
        <v>#N/A</v>
      </c>
      <c r="X1053" s="20">
        <f t="shared" si="18"/>
        <v>32542400</v>
      </c>
      <c r="Y1053" s="35" t="s">
        <v>2519</v>
      </c>
      <c r="AG1053" s="4"/>
    </row>
    <row r="1054" spans="1:33" hidden="1">
      <c r="A1054" s="35" t="s">
        <v>2632</v>
      </c>
      <c r="B1054" s="13" t="e">
        <f>_xlfn.XLOOKUP(J1054,'Master Data 14-9-2026'!C:C,'Master Data 14-9-2026'!D:D)</f>
        <v>#N/A</v>
      </c>
      <c r="D1054" s="13" t="e">
        <f>_xlfn.XLOOKUP(J1054,'Master Data 14-9-2026'!C:C,'Master Data 14-9-2026'!E:E)</f>
        <v>#N/A</v>
      </c>
      <c r="F1054" s="13"/>
      <c r="H1054" s="13" t="e">
        <f>_xlfn.XLOOKUP(J1054,'Master Data 14-9-2026'!C:C,'Master Data 14-9-2026'!H:H)</f>
        <v>#N/A</v>
      </c>
      <c r="I1054" s="13" t="e">
        <f t="shared" si="19"/>
        <v>#N/A</v>
      </c>
      <c r="J1054" s="35" t="s">
        <v>2632</v>
      </c>
      <c r="K1054" s="35" t="s">
        <v>1004</v>
      </c>
      <c r="M1054" s="35" t="s">
        <v>2633</v>
      </c>
      <c r="N1054" s="35" t="s">
        <v>924</v>
      </c>
      <c r="O1054" s="35" t="s">
        <v>2517</v>
      </c>
      <c r="P1054" s="35" t="s">
        <v>2518</v>
      </c>
      <c r="Q1054" s="38">
        <v>58</v>
      </c>
      <c r="R1054" s="38">
        <v>1</v>
      </c>
      <c r="S1054" s="35" t="s">
        <v>2266</v>
      </c>
      <c r="T1054" s="35" t="s">
        <v>978</v>
      </c>
      <c r="U1054" s="38">
        <v>32542400</v>
      </c>
      <c r="V1054" s="38">
        <v>1</v>
      </c>
      <c r="W1054" s="18" t="e">
        <f>_xlfn.XLOOKUP(J1054,'Master Data 14-9-2026'!C:C,'Master Data 14-9-2026'!L:L)</f>
        <v>#N/A</v>
      </c>
      <c r="X1054" s="20">
        <f t="shared" si="18"/>
        <v>32542400</v>
      </c>
      <c r="Y1054" s="35" t="s">
        <v>2519</v>
      </c>
      <c r="AG1054" s="4"/>
    </row>
    <row r="1055" spans="1:33" hidden="1">
      <c r="A1055" s="35" t="s">
        <v>2634</v>
      </c>
      <c r="B1055" s="13" t="e">
        <f>_xlfn.XLOOKUP(J1055,'Master Data 14-9-2026'!C:C,'Master Data 14-9-2026'!D:D)</f>
        <v>#N/A</v>
      </c>
      <c r="D1055" s="13" t="e">
        <f>_xlfn.XLOOKUP(J1055,'Master Data 14-9-2026'!C:C,'Master Data 14-9-2026'!E:E)</f>
        <v>#N/A</v>
      </c>
      <c r="F1055" s="13"/>
      <c r="H1055" s="13" t="e">
        <f>_xlfn.XLOOKUP(J1055,'Master Data 14-9-2026'!C:C,'Master Data 14-9-2026'!H:H)</f>
        <v>#N/A</v>
      </c>
      <c r="I1055" s="13" t="e">
        <f t="shared" si="19"/>
        <v>#N/A</v>
      </c>
      <c r="J1055" s="35" t="s">
        <v>2634</v>
      </c>
      <c r="K1055" s="35" t="s">
        <v>1004</v>
      </c>
      <c r="M1055" s="35" t="s">
        <v>2635</v>
      </c>
      <c r="N1055" s="35" t="s">
        <v>924</v>
      </c>
      <c r="O1055" s="35" t="s">
        <v>2517</v>
      </c>
      <c r="P1055" s="35" t="s">
        <v>2518</v>
      </c>
      <c r="Q1055" s="38">
        <v>59</v>
      </c>
      <c r="R1055" s="38">
        <v>1</v>
      </c>
      <c r="S1055" s="35" t="s">
        <v>2266</v>
      </c>
      <c r="T1055" s="35" t="s">
        <v>978</v>
      </c>
      <c r="U1055" s="38">
        <v>32542400</v>
      </c>
      <c r="V1055" s="38">
        <v>1</v>
      </c>
      <c r="W1055" s="18" t="e">
        <f>_xlfn.XLOOKUP(J1055,'Master Data 14-9-2026'!C:C,'Master Data 14-9-2026'!L:L)</f>
        <v>#N/A</v>
      </c>
      <c r="X1055" s="20">
        <f t="shared" si="18"/>
        <v>32542400</v>
      </c>
      <c r="Y1055" s="35" t="s">
        <v>2519</v>
      </c>
      <c r="AG1055" s="4"/>
    </row>
    <row r="1056" spans="1:33" hidden="1">
      <c r="A1056" s="35" t="s">
        <v>2636</v>
      </c>
      <c r="B1056" s="13" t="e">
        <f>_xlfn.XLOOKUP(J1056,'Master Data 14-9-2026'!C:C,'Master Data 14-9-2026'!D:D)</f>
        <v>#N/A</v>
      </c>
      <c r="D1056" s="13" t="e">
        <f>_xlfn.XLOOKUP(J1056,'Master Data 14-9-2026'!C:C,'Master Data 14-9-2026'!E:E)</f>
        <v>#N/A</v>
      </c>
      <c r="F1056" s="13"/>
      <c r="H1056" s="13" t="e">
        <f>_xlfn.XLOOKUP(J1056,'Master Data 14-9-2026'!C:C,'Master Data 14-9-2026'!H:H)</f>
        <v>#N/A</v>
      </c>
      <c r="I1056" s="13" t="e">
        <f t="shared" si="19"/>
        <v>#N/A</v>
      </c>
      <c r="J1056" s="35" t="s">
        <v>2636</v>
      </c>
      <c r="K1056" s="35" t="s">
        <v>1004</v>
      </c>
      <c r="M1056" s="35" t="s">
        <v>2637</v>
      </c>
      <c r="N1056" s="35" t="s">
        <v>924</v>
      </c>
      <c r="O1056" s="35" t="s">
        <v>2517</v>
      </c>
      <c r="P1056" s="35" t="s">
        <v>2518</v>
      </c>
      <c r="Q1056" s="38">
        <v>60</v>
      </c>
      <c r="R1056" s="38">
        <v>1</v>
      </c>
      <c r="S1056" s="35" t="s">
        <v>2266</v>
      </c>
      <c r="T1056" s="35" t="s">
        <v>978</v>
      </c>
      <c r="U1056" s="38">
        <v>32542400</v>
      </c>
      <c r="V1056" s="38">
        <v>1</v>
      </c>
      <c r="W1056" s="18" t="e">
        <f>_xlfn.XLOOKUP(J1056,'Master Data 14-9-2026'!C:C,'Master Data 14-9-2026'!L:L)</f>
        <v>#N/A</v>
      </c>
      <c r="X1056" s="20">
        <f t="shared" si="18"/>
        <v>32542400</v>
      </c>
      <c r="Y1056" s="35" t="s">
        <v>2519</v>
      </c>
      <c r="AG1056" s="4"/>
    </row>
    <row r="1057" spans="1:33" hidden="1">
      <c r="A1057" s="35" t="s">
        <v>2638</v>
      </c>
      <c r="B1057" s="13" t="e">
        <f>_xlfn.XLOOKUP(J1057,'Master Data 14-9-2026'!C:C,'Master Data 14-9-2026'!D:D)</f>
        <v>#N/A</v>
      </c>
      <c r="D1057" s="13" t="e">
        <f>_xlfn.XLOOKUP(J1057,'Master Data 14-9-2026'!C:C,'Master Data 14-9-2026'!E:E)</f>
        <v>#N/A</v>
      </c>
      <c r="F1057" s="13"/>
      <c r="H1057" s="13" t="e">
        <f>_xlfn.XLOOKUP(J1057,'Master Data 14-9-2026'!C:C,'Master Data 14-9-2026'!H:H)</f>
        <v>#N/A</v>
      </c>
      <c r="I1057" s="13" t="e">
        <f t="shared" si="19"/>
        <v>#N/A</v>
      </c>
      <c r="J1057" s="35" t="s">
        <v>2638</v>
      </c>
      <c r="K1057" s="35" t="s">
        <v>1004</v>
      </c>
      <c r="M1057" s="35" t="s">
        <v>2639</v>
      </c>
      <c r="N1057" s="35" t="s">
        <v>924</v>
      </c>
      <c r="O1057" s="35" t="s">
        <v>2517</v>
      </c>
      <c r="P1057" s="35" t="s">
        <v>2518</v>
      </c>
      <c r="Q1057" s="38">
        <v>61</v>
      </c>
      <c r="R1057" s="38">
        <v>1</v>
      </c>
      <c r="S1057" s="35" t="s">
        <v>2266</v>
      </c>
      <c r="T1057" s="35" t="s">
        <v>978</v>
      </c>
      <c r="U1057" s="38">
        <v>32542400</v>
      </c>
      <c r="V1057" s="38">
        <v>1</v>
      </c>
      <c r="W1057" s="18" t="e">
        <f>_xlfn.XLOOKUP(J1057,'Master Data 14-9-2026'!C:C,'Master Data 14-9-2026'!L:L)</f>
        <v>#N/A</v>
      </c>
      <c r="X1057" s="20">
        <f t="shared" si="18"/>
        <v>32542400</v>
      </c>
      <c r="Y1057" s="35" t="s">
        <v>2519</v>
      </c>
      <c r="AG1057" s="4"/>
    </row>
    <row r="1058" spans="1:33" hidden="1">
      <c r="A1058" s="35" t="s">
        <v>2640</v>
      </c>
      <c r="B1058" s="13" t="e">
        <f>_xlfn.XLOOKUP(J1058,'Master Data 14-9-2026'!C:C,'Master Data 14-9-2026'!D:D)</f>
        <v>#N/A</v>
      </c>
      <c r="D1058" s="13" t="e">
        <f>_xlfn.XLOOKUP(J1058,'Master Data 14-9-2026'!C:C,'Master Data 14-9-2026'!E:E)</f>
        <v>#N/A</v>
      </c>
      <c r="F1058" s="13"/>
      <c r="H1058" s="13" t="e">
        <f>_xlfn.XLOOKUP(J1058,'Master Data 14-9-2026'!C:C,'Master Data 14-9-2026'!H:H)</f>
        <v>#N/A</v>
      </c>
      <c r="I1058" s="13" t="e">
        <f t="shared" si="19"/>
        <v>#N/A</v>
      </c>
      <c r="J1058" s="35" t="s">
        <v>2640</v>
      </c>
      <c r="K1058" s="35" t="s">
        <v>1004</v>
      </c>
      <c r="M1058" s="35" t="s">
        <v>2641</v>
      </c>
      <c r="N1058" s="35" t="s">
        <v>924</v>
      </c>
      <c r="O1058" s="35" t="s">
        <v>2517</v>
      </c>
      <c r="P1058" s="35" t="s">
        <v>2518</v>
      </c>
      <c r="Q1058" s="38">
        <v>62</v>
      </c>
      <c r="R1058" s="38">
        <v>1</v>
      </c>
      <c r="S1058" s="35" t="s">
        <v>2266</v>
      </c>
      <c r="T1058" s="35" t="s">
        <v>978</v>
      </c>
      <c r="U1058" s="38">
        <v>32542400</v>
      </c>
      <c r="V1058" s="38">
        <v>1</v>
      </c>
      <c r="W1058" s="18" t="e">
        <f>_xlfn.XLOOKUP(J1058,'Master Data 14-9-2026'!C:C,'Master Data 14-9-2026'!L:L)</f>
        <v>#N/A</v>
      </c>
      <c r="X1058" s="20">
        <f t="shared" si="18"/>
        <v>32542400</v>
      </c>
      <c r="Y1058" s="35" t="s">
        <v>2519</v>
      </c>
      <c r="AG1058" s="4"/>
    </row>
    <row r="1059" spans="1:33" hidden="1">
      <c r="A1059" s="35" t="s">
        <v>2642</v>
      </c>
      <c r="B1059" s="13" t="e">
        <f>_xlfn.XLOOKUP(J1059,'Master Data 14-9-2026'!C:C,'Master Data 14-9-2026'!D:D)</f>
        <v>#N/A</v>
      </c>
      <c r="D1059" s="13" t="e">
        <f>_xlfn.XLOOKUP(J1059,'Master Data 14-9-2026'!C:C,'Master Data 14-9-2026'!E:E)</f>
        <v>#N/A</v>
      </c>
      <c r="F1059" s="13"/>
      <c r="H1059" s="13" t="e">
        <f>_xlfn.XLOOKUP(J1059,'Master Data 14-9-2026'!C:C,'Master Data 14-9-2026'!H:H)</f>
        <v>#N/A</v>
      </c>
      <c r="I1059" s="13" t="e">
        <f t="shared" si="19"/>
        <v>#N/A</v>
      </c>
      <c r="J1059" s="35" t="s">
        <v>2642</v>
      </c>
      <c r="K1059" s="35" t="s">
        <v>1004</v>
      </c>
      <c r="M1059" s="35" t="s">
        <v>2643</v>
      </c>
      <c r="N1059" s="35" t="s">
        <v>924</v>
      </c>
      <c r="O1059" s="35" t="s">
        <v>2517</v>
      </c>
      <c r="P1059" s="35" t="s">
        <v>2518</v>
      </c>
      <c r="Q1059" s="38">
        <v>63</v>
      </c>
      <c r="R1059" s="38">
        <v>1</v>
      </c>
      <c r="S1059" s="35" t="s">
        <v>2266</v>
      </c>
      <c r="T1059" s="35" t="s">
        <v>978</v>
      </c>
      <c r="U1059" s="38">
        <v>32542400</v>
      </c>
      <c r="V1059" s="38">
        <v>1</v>
      </c>
      <c r="W1059" s="18" t="e">
        <f>_xlfn.XLOOKUP(J1059,'Master Data 14-9-2026'!C:C,'Master Data 14-9-2026'!L:L)</f>
        <v>#N/A</v>
      </c>
      <c r="X1059" s="20">
        <f t="shared" si="18"/>
        <v>32542400</v>
      </c>
      <c r="Y1059" s="35" t="s">
        <v>2519</v>
      </c>
      <c r="AG1059" s="4"/>
    </row>
    <row r="1060" spans="1:33" hidden="1">
      <c r="A1060" s="35" t="s">
        <v>2644</v>
      </c>
      <c r="B1060" s="13" t="e">
        <f>_xlfn.XLOOKUP(J1060,'Master Data 14-9-2026'!C:C,'Master Data 14-9-2026'!D:D)</f>
        <v>#N/A</v>
      </c>
      <c r="D1060" s="13" t="e">
        <f>_xlfn.XLOOKUP(J1060,'Master Data 14-9-2026'!C:C,'Master Data 14-9-2026'!E:E)</f>
        <v>#N/A</v>
      </c>
      <c r="F1060" s="13"/>
      <c r="H1060" s="13" t="e">
        <f>_xlfn.XLOOKUP(J1060,'Master Data 14-9-2026'!C:C,'Master Data 14-9-2026'!H:H)</f>
        <v>#N/A</v>
      </c>
      <c r="I1060" s="13" t="e">
        <f t="shared" si="19"/>
        <v>#N/A</v>
      </c>
      <c r="J1060" s="35" t="s">
        <v>2644</v>
      </c>
      <c r="K1060" s="35" t="s">
        <v>1004</v>
      </c>
      <c r="M1060" s="35" t="s">
        <v>2645</v>
      </c>
      <c r="N1060" s="35" t="s">
        <v>924</v>
      </c>
      <c r="O1060" s="35" t="s">
        <v>2517</v>
      </c>
      <c r="P1060" s="35" t="s">
        <v>2518</v>
      </c>
      <c r="Q1060" s="38">
        <v>64</v>
      </c>
      <c r="R1060" s="38">
        <v>1</v>
      </c>
      <c r="S1060" s="35" t="s">
        <v>2266</v>
      </c>
      <c r="T1060" s="35" t="s">
        <v>978</v>
      </c>
      <c r="U1060" s="38">
        <v>32542400</v>
      </c>
      <c r="V1060" s="38">
        <v>1</v>
      </c>
      <c r="W1060" s="18" t="e">
        <f>_xlfn.XLOOKUP(J1060,'Master Data 14-9-2026'!C:C,'Master Data 14-9-2026'!L:L)</f>
        <v>#N/A</v>
      </c>
      <c r="X1060" s="20">
        <f t="shared" si="18"/>
        <v>32542400</v>
      </c>
      <c r="Y1060" s="35" t="s">
        <v>2519</v>
      </c>
      <c r="AG1060" s="4"/>
    </row>
    <row r="1061" spans="1:33" hidden="1">
      <c r="A1061" s="35" t="s">
        <v>2646</v>
      </c>
      <c r="B1061" s="13" t="e">
        <f>_xlfn.XLOOKUP(J1061,'Master Data 14-9-2026'!C:C,'Master Data 14-9-2026'!D:D)</f>
        <v>#N/A</v>
      </c>
      <c r="D1061" s="13" t="e">
        <f>_xlfn.XLOOKUP(J1061,'Master Data 14-9-2026'!C:C,'Master Data 14-9-2026'!E:E)</f>
        <v>#N/A</v>
      </c>
      <c r="F1061" s="13"/>
      <c r="H1061" s="13" t="e">
        <f>_xlfn.XLOOKUP(J1061,'Master Data 14-9-2026'!C:C,'Master Data 14-9-2026'!H:H)</f>
        <v>#N/A</v>
      </c>
      <c r="I1061" s="13" t="e">
        <f t="shared" si="19"/>
        <v>#N/A</v>
      </c>
      <c r="J1061" s="35" t="s">
        <v>2646</v>
      </c>
      <c r="K1061" s="35" t="s">
        <v>1004</v>
      </c>
      <c r="M1061" s="35" t="s">
        <v>2647</v>
      </c>
      <c r="N1061" s="35" t="s">
        <v>924</v>
      </c>
      <c r="O1061" s="35" t="s">
        <v>2517</v>
      </c>
      <c r="P1061" s="35" t="s">
        <v>2518</v>
      </c>
      <c r="Q1061" s="38">
        <v>65</v>
      </c>
      <c r="R1061" s="38">
        <v>1</v>
      </c>
      <c r="S1061" s="35" t="s">
        <v>2266</v>
      </c>
      <c r="T1061" s="35" t="s">
        <v>978</v>
      </c>
      <c r="U1061" s="38">
        <v>32542400</v>
      </c>
      <c r="V1061" s="38">
        <v>1</v>
      </c>
      <c r="W1061" s="18" t="e">
        <f>_xlfn.XLOOKUP(J1061,'Master Data 14-9-2026'!C:C,'Master Data 14-9-2026'!L:L)</f>
        <v>#N/A</v>
      </c>
      <c r="X1061" s="20">
        <f t="shared" si="18"/>
        <v>32542400</v>
      </c>
      <c r="Y1061" s="35" t="s">
        <v>2519</v>
      </c>
      <c r="AG1061" s="4"/>
    </row>
    <row r="1062" spans="1:33" hidden="1">
      <c r="A1062" s="35" t="s">
        <v>2648</v>
      </c>
      <c r="B1062" s="13" t="e">
        <f>_xlfn.XLOOKUP(J1062,'Master Data 14-9-2026'!C:C,'Master Data 14-9-2026'!D:D)</f>
        <v>#N/A</v>
      </c>
      <c r="D1062" s="13" t="e">
        <f>_xlfn.XLOOKUP(J1062,'Master Data 14-9-2026'!C:C,'Master Data 14-9-2026'!E:E)</f>
        <v>#N/A</v>
      </c>
      <c r="F1062" s="13"/>
      <c r="H1062" s="13" t="e">
        <f>_xlfn.XLOOKUP(J1062,'Master Data 14-9-2026'!C:C,'Master Data 14-9-2026'!H:H)</f>
        <v>#N/A</v>
      </c>
      <c r="I1062" s="13" t="e">
        <f t="shared" si="19"/>
        <v>#N/A</v>
      </c>
      <c r="J1062" s="35" t="s">
        <v>2648</v>
      </c>
      <c r="K1062" s="35" t="s">
        <v>1004</v>
      </c>
      <c r="M1062" s="35" t="s">
        <v>2649</v>
      </c>
      <c r="N1062" s="35" t="s">
        <v>924</v>
      </c>
      <c r="O1062" s="35" t="s">
        <v>2517</v>
      </c>
      <c r="P1062" s="35" t="s">
        <v>2518</v>
      </c>
      <c r="Q1062" s="38">
        <v>66</v>
      </c>
      <c r="R1062" s="38">
        <v>1</v>
      </c>
      <c r="S1062" s="35" t="s">
        <v>2266</v>
      </c>
      <c r="T1062" s="35" t="s">
        <v>978</v>
      </c>
      <c r="U1062" s="38">
        <v>32542400</v>
      </c>
      <c r="V1062" s="38">
        <v>1</v>
      </c>
      <c r="W1062" s="18" t="e">
        <f>_xlfn.XLOOKUP(J1062,'Master Data 14-9-2026'!C:C,'Master Data 14-9-2026'!L:L)</f>
        <v>#N/A</v>
      </c>
      <c r="X1062" s="20">
        <f t="shared" si="18"/>
        <v>32542400</v>
      </c>
      <c r="Y1062" s="35" t="s">
        <v>2519</v>
      </c>
      <c r="AG1062" s="4"/>
    </row>
    <row r="1063" spans="1:33" hidden="1">
      <c r="A1063" s="35" t="s">
        <v>2650</v>
      </c>
      <c r="B1063" s="13" t="e">
        <f>_xlfn.XLOOKUP(J1063,'Master Data 14-9-2026'!C:C,'Master Data 14-9-2026'!D:D)</f>
        <v>#N/A</v>
      </c>
      <c r="D1063" s="13" t="e">
        <f>_xlfn.XLOOKUP(J1063,'Master Data 14-9-2026'!C:C,'Master Data 14-9-2026'!E:E)</f>
        <v>#N/A</v>
      </c>
      <c r="F1063" s="13"/>
      <c r="H1063" s="13" t="e">
        <f>_xlfn.XLOOKUP(J1063,'Master Data 14-9-2026'!C:C,'Master Data 14-9-2026'!H:H)</f>
        <v>#N/A</v>
      </c>
      <c r="I1063" s="13" t="e">
        <f t="shared" si="19"/>
        <v>#N/A</v>
      </c>
      <c r="J1063" s="35" t="s">
        <v>2650</v>
      </c>
      <c r="K1063" s="35" t="s">
        <v>1004</v>
      </c>
      <c r="M1063" s="35" t="s">
        <v>2651</v>
      </c>
      <c r="N1063" s="35" t="s">
        <v>924</v>
      </c>
      <c r="O1063" s="35" t="s">
        <v>2517</v>
      </c>
      <c r="P1063" s="35" t="s">
        <v>2518</v>
      </c>
      <c r="Q1063" s="38">
        <v>67</v>
      </c>
      <c r="R1063" s="38">
        <v>1</v>
      </c>
      <c r="S1063" s="35" t="s">
        <v>2266</v>
      </c>
      <c r="T1063" s="35" t="s">
        <v>978</v>
      </c>
      <c r="U1063" s="38">
        <v>32542400</v>
      </c>
      <c r="V1063" s="38">
        <v>1</v>
      </c>
      <c r="W1063" s="18" t="e">
        <f>_xlfn.XLOOKUP(J1063,'Master Data 14-9-2026'!C:C,'Master Data 14-9-2026'!L:L)</f>
        <v>#N/A</v>
      </c>
      <c r="X1063" s="20">
        <f t="shared" si="18"/>
        <v>32542400</v>
      </c>
      <c r="Y1063" s="35" t="s">
        <v>2519</v>
      </c>
      <c r="AG1063" s="4"/>
    </row>
    <row r="1064" spans="1:33" hidden="1">
      <c r="A1064" s="35" t="s">
        <v>2652</v>
      </c>
      <c r="B1064" s="13" t="str">
        <f>_xlfn.XLOOKUP(J1064,'Master Data 14-9-2026'!C:C,'Master Data 14-9-2026'!D:D)</f>
        <v>Suhendar wx1533628</v>
      </c>
      <c r="D1064" s="13" t="str">
        <f>_xlfn.XLOOKUP(J1064,'Master Data 14-9-2026'!C:C,'Master Data 14-9-2026'!E:E)</f>
        <v>XLSMART</v>
      </c>
      <c r="F1064" s="13"/>
      <c r="H1064" s="13" t="str">
        <f>_xlfn.XLOOKUP(J1064,'Master Data 14-9-2026'!C:C,'Master Data 14-9-2026'!H:H)</f>
        <v>2026-09-07 - 2026-10-06</v>
      </c>
      <c r="I1064" s="13" t="str">
        <f t="shared" si="19"/>
        <v>September</v>
      </c>
      <c r="J1064" s="35" t="s">
        <v>2652</v>
      </c>
      <c r="K1064" s="35" t="s">
        <v>1004</v>
      </c>
      <c r="M1064" s="35" t="s">
        <v>2653</v>
      </c>
      <c r="N1064" s="35" t="s">
        <v>924</v>
      </c>
      <c r="O1064" s="35" t="s">
        <v>2517</v>
      </c>
      <c r="P1064" s="35" t="s">
        <v>2518</v>
      </c>
      <c r="Q1064" s="38">
        <v>68</v>
      </c>
      <c r="R1064" s="38">
        <v>1</v>
      </c>
      <c r="S1064" s="35" t="s">
        <v>2233</v>
      </c>
      <c r="T1064" s="35" t="s">
        <v>951</v>
      </c>
      <c r="U1064" s="38">
        <v>28881900</v>
      </c>
      <c r="V1064" s="38">
        <v>1</v>
      </c>
      <c r="W1064" s="18">
        <f>_xlfn.XLOOKUP(J1064,'Master Data 14-9-2026'!C:C,'Master Data 14-9-2026'!L:L)</f>
        <v>0</v>
      </c>
      <c r="X1064" s="20">
        <f t="shared" si="18"/>
        <v>28881900</v>
      </c>
      <c r="Y1064" s="35" t="s">
        <v>2519</v>
      </c>
      <c r="AG1064" s="4"/>
    </row>
    <row r="1065" spans="1:33" hidden="1">
      <c r="A1065" s="35" t="s">
        <v>2654</v>
      </c>
      <c r="B1065" s="13" t="str">
        <f>_xlfn.XLOOKUP(J1065,'Master Data 14-9-2026'!C:C,'Master Data 14-9-2026'!D:D)</f>
        <v>Rezicha Maulana Azazi wx1533627</v>
      </c>
      <c r="D1065" s="13" t="str">
        <f>_xlfn.XLOOKUP(J1065,'Master Data 14-9-2026'!C:C,'Master Data 14-9-2026'!E:E)</f>
        <v>XLSMART</v>
      </c>
      <c r="F1065" s="13"/>
      <c r="H1065" s="13" t="str">
        <f>_xlfn.XLOOKUP(J1065,'Master Data 14-9-2026'!C:C,'Master Data 14-9-2026'!H:H)</f>
        <v>2026-09-08 - 2026-10-07</v>
      </c>
      <c r="I1065" s="13" t="str">
        <f t="shared" si="19"/>
        <v>September</v>
      </c>
      <c r="J1065" s="35" t="s">
        <v>2654</v>
      </c>
      <c r="K1065" s="35" t="s">
        <v>1004</v>
      </c>
      <c r="M1065" s="35" t="s">
        <v>2655</v>
      </c>
      <c r="N1065" s="35" t="s">
        <v>924</v>
      </c>
      <c r="O1065" s="35" t="s">
        <v>2517</v>
      </c>
      <c r="P1065" s="35" t="s">
        <v>2518</v>
      </c>
      <c r="Q1065" s="38">
        <v>69</v>
      </c>
      <c r="R1065" s="38">
        <v>1</v>
      </c>
      <c r="S1065" s="35" t="s">
        <v>2233</v>
      </c>
      <c r="T1065" s="35" t="s">
        <v>951</v>
      </c>
      <c r="U1065" s="38">
        <v>28881900</v>
      </c>
      <c r="V1065" s="38">
        <v>1</v>
      </c>
      <c r="W1065" s="18">
        <f>_xlfn.XLOOKUP(J1065,'Master Data 14-9-2026'!C:C,'Master Data 14-9-2026'!L:L)</f>
        <v>0</v>
      </c>
      <c r="X1065" s="20">
        <f t="shared" si="18"/>
        <v>28881900</v>
      </c>
      <c r="Y1065" s="35" t="s">
        <v>2519</v>
      </c>
      <c r="AG1065" s="4"/>
    </row>
    <row r="1066" spans="1:33" hidden="1">
      <c r="A1066" s="35" t="s">
        <v>2656</v>
      </c>
      <c r="B1066" s="13" t="str">
        <f>_xlfn.XLOOKUP(J1066,'Master Data 14-9-2026'!C:C,'Master Data 14-9-2026'!D:D)</f>
        <v>Rizky Kurniawan wx1531020</v>
      </c>
      <c r="D1066" s="13" t="str">
        <f>_xlfn.XLOOKUP(J1066,'Master Data 14-9-2026'!C:C,'Master Data 14-9-2026'!E:E)</f>
        <v>XLSMART</v>
      </c>
      <c r="F1066" s="13"/>
      <c r="H1066" s="13" t="str">
        <f>_xlfn.XLOOKUP(J1066,'Master Data 14-9-2026'!C:C,'Master Data 14-9-2026'!H:H)</f>
        <v>2026-09-01 - 2026-09-30</v>
      </c>
      <c r="I1066" s="13" t="str">
        <f t="shared" si="19"/>
        <v>September</v>
      </c>
      <c r="J1066" s="35" t="s">
        <v>2656</v>
      </c>
      <c r="K1066" s="35" t="s">
        <v>1004</v>
      </c>
      <c r="M1066" s="35" t="s">
        <v>2657</v>
      </c>
      <c r="N1066" s="35" t="s">
        <v>924</v>
      </c>
      <c r="O1066" s="35" t="s">
        <v>2517</v>
      </c>
      <c r="P1066" s="35" t="s">
        <v>2518</v>
      </c>
      <c r="Q1066" s="38">
        <v>70</v>
      </c>
      <c r="R1066" s="38">
        <v>1</v>
      </c>
      <c r="S1066" s="35" t="s">
        <v>2266</v>
      </c>
      <c r="T1066" s="35" t="s">
        <v>978</v>
      </c>
      <c r="U1066" s="38">
        <v>32542400</v>
      </c>
      <c r="V1066" s="38">
        <v>1</v>
      </c>
      <c r="W1066" s="18">
        <f>_xlfn.XLOOKUP(J1066,'Master Data 14-9-2026'!C:C,'Master Data 14-9-2026'!L:L)</f>
        <v>0</v>
      </c>
      <c r="X1066" s="20">
        <f t="shared" si="18"/>
        <v>32542400</v>
      </c>
      <c r="Y1066" s="35" t="s">
        <v>2519</v>
      </c>
      <c r="AG1066" s="4"/>
    </row>
    <row r="1067" spans="1:33" hidden="1">
      <c r="A1067" s="35" t="s">
        <v>2658</v>
      </c>
      <c r="B1067" s="13" t="str">
        <f>_xlfn.XLOOKUP(J1067,'Master Data 14-9-2026'!C:C,'Master Data 14-9-2026'!D:D)</f>
        <v>Rahmat Tulloh wx1531574</v>
      </c>
      <c r="D1067" s="13" t="str">
        <f>_xlfn.XLOOKUP(J1067,'Master Data 14-9-2026'!C:C,'Master Data 14-9-2026'!E:E)</f>
        <v>XLSMART</v>
      </c>
      <c r="F1067" s="13"/>
      <c r="H1067" s="13" t="str">
        <f>_xlfn.XLOOKUP(J1067,'Master Data 14-9-2026'!C:C,'Master Data 14-9-2026'!H:H)</f>
        <v>2026-09-01 - 2026-09-30</v>
      </c>
      <c r="I1067" s="13" t="str">
        <f t="shared" si="19"/>
        <v>September</v>
      </c>
      <c r="J1067" s="35" t="s">
        <v>2658</v>
      </c>
      <c r="K1067" s="35" t="s">
        <v>1004</v>
      </c>
      <c r="M1067" s="35" t="s">
        <v>2659</v>
      </c>
      <c r="N1067" s="35" t="s">
        <v>924</v>
      </c>
      <c r="O1067" s="35" t="s">
        <v>2517</v>
      </c>
      <c r="P1067" s="35" t="s">
        <v>2518</v>
      </c>
      <c r="Q1067" s="38">
        <v>71</v>
      </c>
      <c r="R1067" s="38">
        <v>1</v>
      </c>
      <c r="S1067" s="35" t="s">
        <v>2266</v>
      </c>
      <c r="T1067" s="35" t="s">
        <v>978</v>
      </c>
      <c r="U1067" s="38">
        <v>32542400</v>
      </c>
      <c r="V1067" s="38">
        <v>1</v>
      </c>
      <c r="W1067" s="18">
        <f>_xlfn.XLOOKUP(J1067,'Master Data 14-9-2026'!C:C,'Master Data 14-9-2026'!L:L)</f>
        <v>0.5</v>
      </c>
      <c r="X1067" s="20">
        <f t="shared" si="18"/>
        <v>32542400</v>
      </c>
      <c r="Y1067" s="35" t="s">
        <v>2519</v>
      </c>
      <c r="AG1067" s="4"/>
    </row>
    <row r="1068" spans="1:33" hidden="1">
      <c r="A1068" s="35" t="s">
        <v>2660</v>
      </c>
      <c r="B1068" s="13" t="str">
        <f>_xlfn.XLOOKUP(J1068,'Master Data 14-9-2026'!C:C,'Master Data 14-9-2026'!D:D)</f>
        <v>Rizki Kamil Fahmi wx1531571</v>
      </c>
      <c r="D1068" s="13" t="str">
        <f>_xlfn.XLOOKUP(J1068,'Master Data 14-9-2026'!C:C,'Master Data 14-9-2026'!E:E)</f>
        <v>XLSMART</v>
      </c>
      <c r="F1068" s="13"/>
      <c r="H1068" s="13" t="str">
        <f>_xlfn.XLOOKUP(J1068,'Master Data 14-9-2026'!C:C,'Master Data 14-9-2026'!H:H)</f>
        <v>2026-09-01 - 2026-09-30</v>
      </c>
      <c r="I1068" s="13" t="str">
        <f t="shared" si="19"/>
        <v>September</v>
      </c>
      <c r="J1068" s="35" t="s">
        <v>2660</v>
      </c>
      <c r="K1068" s="35" t="s">
        <v>1004</v>
      </c>
      <c r="M1068" s="35" t="s">
        <v>2661</v>
      </c>
      <c r="N1068" s="35" t="s">
        <v>924</v>
      </c>
      <c r="O1068" s="35" t="s">
        <v>2517</v>
      </c>
      <c r="P1068" s="35" t="s">
        <v>2518</v>
      </c>
      <c r="Q1068" s="38">
        <v>72</v>
      </c>
      <c r="R1068" s="38">
        <v>1</v>
      </c>
      <c r="S1068" s="35" t="s">
        <v>2266</v>
      </c>
      <c r="T1068" s="35" t="s">
        <v>978</v>
      </c>
      <c r="U1068" s="38">
        <v>32542400</v>
      </c>
      <c r="V1068" s="38">
        <v>1</v>
      </c>
      <c r="W1068" s="18">
        <f>_xlfn.XLOOKUP(J1068,'Master Data 14-9-2026'!C:C,'Master Data 14-9-2026'!L:L)</f>
        <v>0</v>
      </c>
      <c r="X1068" s="20">
        <f t="shared" si="18"/>
        <v>32542400</v>
      </c>
      <c r="Y1068" s="35" t="s">
        <v>2519</v>
      </c>
      <c r="AG1068" s="4"/>
    </row>
    <row r="1069" spans="1:33" hidden="1">
      <c r="A1069" s="35" t="s">
        <v>2662</v>
      </c>
      <c r="B1069" s="13" t="str">
        <f>_xlfn.XLOOKUP(J1069,'Master Data 14-9-2026'!C:C,'Master Data 14-9-2026'!D:D)</f>
        <v>Pangestu Wiromahudin wx1530066</v>
      </c>
      <c r="D1069" s="13" t="str">
        <f>_xlfn.XLOOKUP(J1069,'Master Data 14-9-2026'!C:C,'Master Data 14-9-2026'!E:E)</f>
        <v>XLSMART</v>
      </c>
      <c r="F1069" s="13"/>
      <c r="H1069" s="13" t="str">
        <f>_xlfn.XLOOKUP(J1069,'Master Data 14-9-2026'!C:C,'Master Data 14-9-2026'!H:H)</f>
        <v>2026-09-01 - 2026-09-30</v>
      </c>
      <c r="I1069" s="13" t="str">
        <f t="shared" si="19"/>
        <v>September</v>
      </c>
      <c r="J1069" s="35" t="s">
        <v>2662</v>
      </c>
      <c r="K1069" s="35" t="s">
        <v>1004</v>
      </c>
      <c r="M1069" s="35" t="s">
        <v>2663</v>
      </c>
      <c r="N1069" s="35" t="s">
        <v>924</v>
      </c>
      <c r="O1069" s="35" t="s">
        <v>2517</v>
      </c>
      <c r="P1069" s="35" t="s">
        <v>2518</v>
      </c>
      <c r="Q1069" s="38">
        <v>73</v>
      </c>
      <c r="R1069" s="38">
        <v>1</v>
      </c>
      <c r="S1069" s="35" t="s">
        <v>2266</v>
      </c>
      <c r="T1069" s="35" t="s">
        <v>978</v>
      </c>
      <c r="U1069" s="38">
        <v>32542400</v>
      </c>
      <c r="V1069" s="38">
        <v>1</v>
      </c>
      <c r="W1069" s="18">
        <f>_xlfn.XLOOKUP(J1069,'Master Data 14-9-2026'!C:C,'Master Data 14-9-2026'!L:L)</f>
        <v>0.5</v>
      </c>
      <c r="X1069" s="20">
        <f t="shared" si="18"/>
        <v>32542400</v>
      </c>
      <c r="Y1069" s="35" t="s">
        <v>2519</v>
      </c>
      <c r="AG1069" s="4"/>
    </row>
    <row r="1070" spans="1:33" hidden="1">
      <c r="A1070" s="35" t="s">
        <v>2664</v>
      </c>
      <c r="B1070" s="13" t="str">
        <f>_xlfn.XLOOKUP(J1070,'Master Data 14-9-2026'!C:C,'Master Data 14-9-2026'!D:D)</f>
        <v>Andi Rohadi wx1531576</v>
      </c>
      <c r="D1070" s="13" t="str">
        <f>_xlfn.XLOOKUP(J1070,'Master Data 14-9-2026'!C:C,'Master Data 14-9-2026'!E:E)</f>
        <v>XLSMART</v>
      </c>
      <c r="F1070" s="13"/>
      <c r="H1070" s="13" t="str">
        <f>_xlfn.XLOOKUP(J1070,'Master Data 14-9-2026'!C:C,'Master Data 14-9-2026'!H:H)</f>
        <v>2026-09-02 - 2026-10-01</v>
      </c>
      <c r="I1070" s="13" t="str">
        <f t="shared" si="19"/>
        <v>September</v>
      </c>
      <c r="J1070" s="35" t="s">
        <v>2664</v>
      </c>
      <c r="K1070" s="35" t="s">
        <v>1004</v>
      </c>
      <c r="M1070" s="35" t="s">
        <v>2665</v>
      </c>
      <c r="N1070" s="35" t="s">
        <v>924</v>
      </c>
      <c r="O1070" s="35" t="s">
        <v>2517</v>
      </c>
      <c r="P1070" s="35" t="s">
        <v>2518</v>
      </c>
      <c r="Q1070" s="38">
        <v>74</v>
      </c>
      <c r="R1070" s="38">
        <v>1</v>
      </c>
      <c r="S1070" s="35" t="s">
        <v>2266</v>
      </c>
      <c r="T1070" s="35" t="s">
        <v>978</v>
      </c>
      <c r="U1070" s="38">
        <v>32542400</v>
      </c>
      <c r="V1070" s="38">
        <v>1</v>
      </c>
      <c r="W1070" s="18">
        <f>_xlfn.XLOOKUP(J1070,'Master Data 14-9-2026'!C:C,'Master Data 14-9-2026'!L:L)</f>
        <v>0</v>
      </c>
      <c r="X1070" s="20">
        <f t="shared" si="18"/>
        <v>32542400</v>
      </c>
      <c r="Y1070" s="35" t="s">
        <v>2519</v>
      </c>
      <c r="AG1070" s="4"/>
    </row>
    <row r="1071" spans="1:33" hidden="1">
      <c r="A1071" s="35" t="s">
        <v>2666</v>
      </c>
      <c r="B1071" s="13" t="str">
        <f>_xlfn.XLOOKUP(J1071,'Master Data 14-9-2026'!C:C,'Master Data 14-9-2026'!D:D)</f>
        <v>Redina Bella Masitho wx1524102</v>
      </c>
      <c r="D1071" s="13" t="str">
        <f>_xlfn.XLOOKUP(J1071,'Master Data 14-9-2026'!C:C,'Master Data 14-9-2026'!E:E)</f>
        <v>XLSMART</v>
      </c>
      <c r="F1071" s="13"/>
      <c r="H1071" s="13" t="str">
        <f>_xlfn.XLOOKUP(J1071,'Master Data 14-9-2026'!C:C,'Master Data 14-9-2026'!H:H)</f>
        <v>2026-09-02 - 2026-10-01</v>
      </c>
      <c r="I1071" s="13" t="str">
        <f t="shared" si="19"/>
        <v>September</v>
      </c>
      <c r="J1071" s="35" t="s">
        <v>2666</v>
      </c>
      <c r="K1071" s="35" t="s">
        <v>2156</v>
      </c>
      <c r="M1071" s="35" t="s">
        <v>2667</v>
      </c>
      <c r="N1071" s="35" t="s">
        <v>924</v>
      </c>
      <c r="O1071" s="35" t="s">
        <v>2517</v>
      </c>
      <c r="P1071" s="35" t="s">
        <v>2518</v>
      </c>
      <c r="Q1071" s="38">
        <v>75</v>
      </c>
      <c r="R1071" s="38">
        <v>1</v>
      </c>
      <c r="S1071" s="35" t="s">
        <v>2233</v>
      </c>
      <c r="T1071" s="35" t="s">
        <v>951</v>
      </c>
      <c r="U1071" s="38">
        <v>28881900</v>
      </c>
      <c r="V1071" s="38">
        <v>1</v>
      </c>
      <c r="W1071" s="18">
        <f>_xlfn.XLOOKUP(J1071,'Master Data 14-9-2026'!C:C,'Master Data 14-9-2026'!L:L)</f>
        <v>0</v>
      </c>
      <c r="X1071" s="20">
        <f t="shared" si="18"/>
        <v>28881900</v>
      </c>
      <c r="Y1071" s="35" t="s">
        <v>2519</v>
      </c>
      <c r="AG1071" s="4"/>
    </row>
    <row r="1072" spans="1:33" hidden="1">
      <c r="A1072" s="35" t="s">
        <v>2668</v>
      </c>
      <c r="B1072" s="13" t="str">
        <f>_xlfn.XLOOKUP(J1072,'Master Data 14-9-2026'!C:C,'Master Data 14-9-2026'!D:D)</f>
        <v>Laily Kurniawati wx1529051</v>
      </c>
      <c r="D1072" s="13" t="str">
        <f>_xlfn.XLOOKUP(J1072,'Master Data 14-9-2026'!C:C,'Master Data 14-9-2026'!E:E)</f>
        <v>XLSMART</v>
      </c>
      <c r="F1072" s="13"/>
      <c r="H1072" s="13" t="str">
        <f>_xlfn.XLOOKUP(J1072,'Master Data 14-9-2026'!C:C,'Master Data 14-9-2026'!H:H)</f>
        <v>2026-09-01 - 2026-09-30</v>
      </c>
      <c r="I1072" s="13" t="str">
        <f t="shared" si="19"/>
        <v>September</v>
      </c>
      <c r="J1072" s="35" t="s">
        <v>2668</v>
      </c>
      <c r="K1072" s="35" t="s">
        <v>2156</v>
      </c>
      <c r="M1072" s="35" t="s">
        <v>2669</v>
      </c>
      <c r="N1072" s="35" t="s">
        <v>924</v>
      </c>
      <c r="O1072" s="35" t="s">
        <v>2517</v>
      </c>
      <c r="P1072" s="35" t="s">
        <v>2518</v>
      </c>
      <c r="Q1072" s="38">
        <v>76</v>
      </c>
      <c r="R1072" s="38">
        <v>1</v>
      </c>
      <c r="S1072" s="35" t="s">
        <v>2262</v>
      </c>
      <c r="T1072" s="35" t="s">
        <v>926</v>
      </c>
      <c r="U1072" s="38">
        <v>34220600</v>
      </c>
      <c r="V1072" s="38">
        <v>1</v>
      </c>
      <c r="W1072" s="18">
        <f>_xlfn.XLOOKUP(J1072,'Master Data 14-9-2026'!C:C,'Master Data 14-9-2026'!L:L)</f>
        <v>1.5</v>
      </c>
      <c r="X1072" s="20">
        <f t="shared" si="18"/>
        <v>34220600</v>
      </c>
      <c r="Y1072" s="35" t="s">
        <v>2519</v>
      </c>
      <c r="AG1072" s="4"/>
    </row>
    <row r="1073" spans="1:33" hidden="1">
      <c r="A1073" s="35" t="s">
        <v>2670</v>
      </c>
      <c r="B1073" s="13" t="e">
        <f>_xlfn.XLOOKUP(J1073,'Master Data 14-9-2026'!C:C,'Master Data 14-9-2026'!D:D)</f>
        <v>#N/A</v>
      </c>
      <c r="D1073" s="13" t="e">
        <f>_xlfn.XLOOKUP(J1073,'Master Data 14-9-2026'!C:C,'Master Data 14-9-2026'!E:E)</f>
        <v>#N/A</v>
      </c>
      <c r="F1073" s="13"/>
      <c r="H1073" s="13" t="e">
        <f>_xlfn.XLOOKUP(J1073,'Master Data 14-9-2026'!C:C,'Master Data 14-9-2026'!H:H)</f>
        <v>#N/A</v>
      </c>
      <c r="I1073" s="13" t="e">
        <f t="shared" si="19"/>
        <v>#N/A</v>
      </c>
      <c r="J1073" s="35" t="s">
        <v>2670</v>
      </c>
      <c r="K1073" s="35" t="s">
        <v>2160</v>
      </c>
      <c r="M1073" s="35" t="s">
        <v>2671</v>
      </c>
      <c r="N1073" s="35" t="s">
        <v>924</v>
      </c>
      <c r="O1073" s="35" t="s">
        <v>2517</v>
      </c>
      <c r="P1073" s="35" t="s">
        <v>2518</v>
      </c>
      <c r="Q1073" s="38">
        <v>77</v>
      </c>
      <c r="R1073" s="38">
        <v>1</v>
      </c>
      <c r="S1073" s="35" t="s">
        <v>2266</v>
      </c>
      <c r="T1073" s="35" t="s">
        <v>978</v>
      </c>
      <c r="U1073" s="38">
        <v>32542400</v>
      </c>
      <c r="V1073" s="38">
        <v>1</v>
      </c>
      <c r="W1073" s="18" t="e">
        <f>_xlfn.XLOOKUP(J1073,'Master Data 14-9-2026'!C:C,'Master Data 14-9-2026'!L:L)</f>
        <v>#N/A</v>
      </c>
      <c r="X1073" s="20">
        <f t="shared" si="18"/>
        <v>32542400</v>
      </c>
      <c r="Y1073" s="35" t="s">
        <v>2519</v>
      </c>
      <c r="AG1073" s="4"/>
    </row>
    <row r="1074" spans="1:33" hidden="1">
      <c r="A1074" s="35" t="s">
        <v>2672</v>
      </c>
      <c r="B1074" s="13" t="str">
        <f>_xlfn.XLOOKUP(J1074,'Master Data 14-9-2026'!C:C,'Master Data 14-9-2026'!D:D)</f>
        <v>Fadhlan Adha wx1524099</v>
      </c>
      <c r="D1074" s="13" t="str">
        <f>_xlfn.XLOOKUP(J1074,'Master Data 14-9-2026'!C:C,'Master Data 14-9-2026'!E:E)</f>
        <v>XLSMART</v>
      </c>
      <c r="F1074" s="13"/>
      <c r="H1074" s="13" t="str">
        <f>_xlfn.XLOOKUP(J1074,'Master Data 14-9-2026'!C:C,'Master Data 14-9-2026'!H:H)</f>
        <v>2026-09-02 - 2026-10-01</v>
      </c>
      <c r="I1074" s="13" t="str">
        <f t="shared" si="19"/>
        <v>September</v>
      </c>
      <c r="J1074" s="35" t="s">
        <v>2672</v>
      </c>
      <c r="K1074" s="35" t="s">
        <v>1606</v>
      </c>
      <c r="M1074" s="35" t="s">
        <v>2673</v>
      </c>
      <c r="N1074" s="35" t="s">
        <v>924</v>
      </c>
      <c r="O1074" s="35" t="s">
        <v>2517</v>
      </c>
      <c r="P1074" s="35" t="s">
        <v>2518</v>
      </c>
      <c r="Q1074" s="38">
        <v>78</v>
      </c>
      <c r="R1074" s="38">
        <v>1</v>
      </c>
      <c r="S1074" s="35" t="s">
        <v>2233</v>
      </c>
      <c r="T1074" s="35" t="s">
        <v>951</v>
      </c>
      <c r="U1074" s="38">
        <v>28881900</v>
      </c>
      <c r="V1074" s="38">
        <v>1</v>
      </c>
      <c r="W1074" s="18">
        <f>_xlfn.XLOOKUP(J1074,'Master Data 14-9-2026'!C:C,'Master Data 14-9-2026'!L:L)</f>
        <v>0.64</v>
      </c>
      <c r="X1074" s="20">
        <f t="shared" si="18"/>
        <v>28881900</v>
      </c>
      <c r="Y1074" s="35" t="s">
        <v>2519</v>
      </c>
      <c r="AG1074" s="4"/>
    </row>
    <row r="1075" spans="1:33" hidden="1">
      <c r="A1075" s="35" t="s">
        <v>2674</v>
      </c>
      <c r="B1075" s="13" t="str">
        <f>_xlfn.XLOOKUP(J1075,'Master Data 14-9-2026'!C:C,'Master Data 14-9-2026'!D:D)</f>
        <v>Rizky Aisyah Rahmawati wx1524116</v>
      </c>
      <c r="D1075" s="13" t="str">
        <f>_xlfn.XLOOKUP(J1075,'Master Data 14-9-2026'!C:C,'Master Data 14-9-2026'!E:E)</f>
        <v>XLSMART</v>
      </c>
      <c r="F1075" s="13"/>
      <c r="H1075" s="13" t="str">
        <f>_xlfn.XLOOKUP(J1075,'Master Data 14-9-2026'!C:C,'Master Data 14-9-2026'!H:H)</f>
        <v>2026-09-02 - 2026-10-01</v>
      </c>
      <c r="I1075" s="13" t="str">
        <f t="shared" si="19"/>
        <v>September</v>
      </c>
      <c r="J1075" s="35" t="s">
        <v>2674</v>
      </c>
      <c r="K1075" s="35" t="s">
        <v>1606</v>
      </c>
      <c r="M1075" s="35" t="s">
        <v>2675</v>
      </c>
      <c r="N1075" s="35" t="s">
        <v>924</v>
      </c>
      <c r="O1075" s="35" t="s">
        <v>2517</v>
      </c>
      <c r="P1075" s="35" t="s">
        <v>2518</v>
      </c>
      <c r="Q1075" s="38">
        <v>79</v>
      </c>
      <c r="R1075" s="38">
        <v>1</v>
      </c>
      <c r="S1075" s="35" t="s">
        <v>2233</v>
      </c>
      <c r="T1075" s="35" t="s">
        <v>951</v>
      </c>
      <c r="U1075" s="38">
        <v>28881900</v>
      </c>
      <c r="V1075" s="38">
        <v>1</v>
      </c>
      <c r="W1075" s="18">
        <f>_xlfn.XLOOKUP(J1075,'Master Data 14-9-2026'!C:C,'Master Data 14-9-2026'!L:L)</f>
        <v>0</v>
      </c>
      <c r="X1075" s="20">
        <f t="shared" si="18"/>
        <v>28881900</v>
      </c>
      <c r="Y1075" s="35" t="s">
        <v>2519</v>
      </c>
      <c r="AG1075" s="4"/>
    </row>
    <row r="1076" spans="1:33" hidden="1">
      <c r="A1076" s="35" t="s">
        <v>2676</v>
      </c>
      <c r="B1076" s="13" t="str">
        <f>_xlfn.XLOOKUP(J1076,'Master Data 14-9-2026'!C:C,'Master Data 14-9-2026'!D:D)</f>
        <v>Ody Rifandi wx1524109</v>
      </c>
      <c r="D1076" s="13" t="str">
        <f>_xlfn.XLOOKUP(J1076,'Master Data 14-9-2026'!C:C,'Master Data 14-9-2026'!E:E)</f>
        <v>XLSMART</v>
      </c>
      <c r="F1076" s="13"/>
      <c r="H1076" s="13" t="str">
        <f>_xlfn.XLOOKUP(J1076,'Master Data 14-9-2026'!C:C,'Master Data 14-9-2026'!H:H)</f>
        <v>2026-09-02 - 2026-10-01</v>
      </c>
      <c r="I1076" s="13" t="str">
        <f t="shared" si="19"/>
        <v>September</v>
      </c>
      <c r="J1076" s="35" t="s">
        <v>2676</v>
      </c>
      <c r="K1076" s="35" t="s">
        <v>1606</v>
      </c>
      <c r="M1076" s="35" t="s">
        <v>2677</v>
      </c>
      <c r="N1076" s="35" t="s">
        <v>924</v>
      </c>
      <c r="O1076" s="35" t="s">
        <v>2517</v>
      </c>
      <c r="P1076" s="35" t="s">
        <v>2518</v>
      </c>
      <c r="Q1076" s="38">
        <v>80</v>
      </c>
      <c r="R1076" s="38">
        <v>1</v>
      </c>
      <c r="S1076" s="35" t="s">
        <v>2262</v>
      </c>
      <c r="T1076" s="35" t="s">
        <v>926</v>
      </c>
      <c r="U1076" s="38">
        <v>34220600</v>
      </c>
      <c r="V1076" s="38">
        <v>1</v>
      </c>
      <c r="W1076" s="18">
        <f>_xlfn.XLOOKUP(J1076,'Master Data 14-9-2026'!C:C,'Master Data 14-9-2026'!L:L)</f>
        <v>0.76</v>
      </c>
      <c r="X1076" s="20">
        <f t="shared" si="18"/>
        <v>34220600</v>
      </c>
      <c r="Y1076" s="35" t="s">
        <v>2519</v>
      </c>
      <c r="AG1076" s="4"/>
    </row>
    <row r="1077" spans="1:33" hidden="1">
      <c r="A1077" s="35" t="s">
        <v>2678</v>
      </c>
      <c r="B1077" s="13" t="str">
        <f>_xlfn.XLOOKUP(J1077,'Master Data 14-9-2026'!C:C,'Master Data 14-9-2026'!D:D)</f>
        <v>Ilham Yoga Pamungkas wx1524108</v>
      </c>
      <c r="D1077" s="13" t="str">
        <f>_xlfn.XLOOKUP(J1077,'Master Data 14-9-2026'!C:C,'Master Data 14-9-2026'!E:E)</f>
        <v>XLSMART</v>
      </c>
      <c r="F1077" s="13"/>
      <c r="H1077" s="13" t="str">
        <f>_xlfn.XLOOKUP(J1077,'Master Data 14-9-2026'!C:C,'Master Data 14-9-2026'!H:H)</f>
        <v>2026-09-02 - 2026-10-01</v>
      </c>
      <c r="I1077" s="13" t="str">
        <f t="shared" si="19"/>
        <v>September</v>
      </c>
      <c r="J1077" s="35" t="s">
        <v>2678</v>
      </c>
      <c r="K1077" s="35" t="s">
        <v>1606</v>
      </c>
      <c r="M1077" s="35" t="s">
        <v>2679</v>
      </c>
      <c r="N1077" s="35" t="s">
        <v>924</v>
      </c>
      <c r="O1077" s="35" t="s">
        <v>2517</v>
      </c>
      <c r="P1077" s="35" t="s">
        <v>2518</v>
      </c>
      <c r="Q1077" s="38">
        <v>81</v>
      </c>
      <c r="R1077" s="38">
        <v>1</v>
      </c>
      <c r="S1077" s="35" t="s">
        <v>2262</v>
      </c>
      <c r="T1077" s="35" t="s">
        <v>926</v>
      </c>
      <c r="U1077" s="38">
        <v>34220600</v>
      </c>
      <c r="V1077" s="38">
        <v>1</v>
      </c>
      <c r="W1077" s="18">
        <f>_xlfn.XLOOKUP(J1077,'Master Data 14-9-2026'!C:C,'Master Data 14-9-2026'!L:L)</f>
        <v>0.5</v>
      </c>
      <c r="X1077" s="20">
        <f t="shared" si="18"/>
        <v>34220600</v>
      </c>
      <c r="Y1077" s="35" t="s">
        <v>2519</v>
      </c>
      <c r="AG1077" s="4"/>
    </row>
    <row r="1078" spans="1:33" hidden="1">
      <c r="A1078" s="35" t="s">
        <v>2680</v>
      </c>
      <c r="B1078" s="13" t="str">
        <f>_xlfn.XLOOKUP(J1078,'Master Data 14-9-2026'!C:C,'Master Data 14-9-2026'!D:D)</f>
        <v>Erianty Rahma Witra wx1529071</v>
      </c>
      <c r="D1078" s="13" t="str">
        <f>_xlfn.XLOOKUP(J1078,'Master Data 14-9-2026'!C:C,'Master Data 14-9-2026'!E:E)</f>
        <v>XLSMART</v>
      </c>
      <c r="F1078" s="13"/>
      <c r="H1078" s="13" t="str">
        <f>_xlfn.XLOOKUP(J1078,'Master Data 14-9-2026'!C:C,'Master Data 14-9-2026'!H:H)</f>
        <v>2026-09-01 - 2026-09-30</v>
      </c>
      <c r="I1078" s="13" t="str">
        <f t="shared" si="19"/>
        <v>September</v>
      </c>
      <c r="J1078" s="35" t="s">
        <v>2680</v>
      </c>
      <c r="K1078" s="35" t="s">
        <v>1606</v>
      </c>
      <c r="M1078" s="35" t="s">
        <v>2681</v>
      </c>
      <c r="N1078" s="35" t="s">
        <v>924</v>
      </c>
      <c r="O1078" s="35" t="s">
        <v>2517</v>
      </c>
      <c r="P1078" s="35" t="s">
        <v>2518</v>
      </c>
      <c r="Q1078" s="38">
        <v>82</v>
      </c>
      <c r="R1078" s="38">
        <v>1</v>
      </c>
      <c r="S1078" s="35" t="s">
        <v>2233</v>
      </c>
      <c r="T1078" s="35" t="s">
        <v>951</v>
      </c>
      <c r="U1078" s="38">
        <v>28881900</v>
      </c>
      <c r="V1078" s="38">
        <v>1</v>
      </c>
      <c r="W1078" s="18">
        <f>_xlfn.XLOOKUP(J1078,'Master Data 14-9-2026'!C:C,'Master Data 14-9-2026'!L:L)</f>
        <v>0</v>
      </c>
      <c r="X1078" s="20">
        <f t="shared" ref="X1078:X1141" si="20">V1078*U1078</f>
        <v>28881900</v>
      </c>
      <c r="Y1078" s="35" t="s">
        <v>2519</v>
      </c>
      <c r="AG1078" s="4"/>
    </row>
    <row r="1079" spans="1:33" hidden="1">
      <c r="A1079" s="35" t="s">
        <v>2682</v>
      </c>
      <c r="B1079" s="13" t="str">
        <f>_xlfn.XLOOKUP(J1079,'Master Data 14-9-2026'!C:C,'Master Data 14-9-2026'!D:D)</f>
        <v>Hanafi Salim Siagian wx1529070</v>
      </c>
      <c r="D1079" s="13" t="str">
        <f>_xlfn.XLOOKUP(J1079,'Master Data 14-9-2026'!C:C,'Master Data 14-9-2026'!E:E)</f>
        <v>XLSMART</v>
      </c>
      <c r="F1079" s="13"/>
      <c r="H1079" s="13" t="str">
        <f>_xlfn.XLOOKUP(J1079,'Master Data 14-9-2026'!C:C,'Master Data 14-9-2026'!H:H)</f>
        <v>2026-09-01 - 2026-09-30</v>
      </c>
      <c r="I1079" s="13" t="str">
        <f t="shared" si="19"/>
        <v>September</v>
      </c>
      <c r="J1079" s="35" t="s">
        <v>2682</v>
      </c>
      <c r="K1079" s="35" t="s">
        <v>1606</v>
      </c>
      <c r="M1079" s="35" t="s">
        <v>2683</v>
      </c>
      <c r="N1079" s="35" t="s">
        <v>924</v>
      </c>
      <c r="O1079" s="35" t="s">
        <v>2517</v>
      </c>
      <c r="P1079" s="35" t="s">
        <v>2518</v>
      </c>
      <c r="Q1079" s="38">
        <v>83</v>
      </c>
      <c r="R1079" s="38">
        <v>1</v>
      </c>
      <c r="S1079" s="35" t="s">
        <v>2262</v>
      </c>
      <c r="T1079" s="35" t="s">
        <v>926</v>
      </c>
      <c r="U1079" s="38">
        <v>34220600</v>
      </c>
      <c r="V1079" s="38">
        <v>1</v>
      </c>
      <c r="W1079" s="18">
        <f>_xlfn.XLOOKUP(J1079,'Master Data 14-9-2026'!C:C,'Master Data 14-9-2026'!L:L)</f>
        <v>0</v>
      </c>
      <c r="X1079" s="20">
        <f t="shared" si="20"/>
        <v>34220600</v>
      </c>
      <c r="Y1079" s="35" t="s">
        <v>2519</v>
      </c>
      <c r="AG1079" s="4"/>
    </row>
    <row r="1080" spans="1:33" hidden="1">
      <c r="A1080" s="35" t="s">
        <v>2684</v>
      </c>
      <c r="B1080" s="13" t="str">
        <f>_xlfn.XLOOKUP(J1080,'Master Data 14-9-2026'!C:C,'Master Data 14-9-2026'!D:D)</f>
        <v>Robby Anggara wx1529073</v>
      </c>
      <c r="D1080" s="13" t="str">
        <f>_xlfn.XLOOKUP(J1080,'Master Data 14-9-2026'!C:C,'Master Data 14-9-2026'!E:E)</f>
        <v>XLSMART</v>
      </c>
      <c r="F1080" s="13"/>
      <c r="H1080" s="13" t="str">
        <f>_xlfn.XLOOKUP(J1080,'Master Data 14-9-2026'!C:C,'Master Data 14-9-2026'!H:H)</f>
        <v>2026-09-01 - 2026-09-30</v>
      </c>
      <c r="I1080" s="13" t="str">
        <f t="shared" si="19"/>
        <v>September</v>
      </c>
      <c r="J1080" s="35" t="s">
        <v>2684</v>
      </c>
      <c r="K1080" s="35" t="s">
        <v>1606</v>
      </c>
      <c r="M1080" s="35" t="s">
        <v>2685</v>
      </c>
      <c r="N1080" s="35" t="s">
        <v>924</v>
      </c>
      <c r="O1080" s="35" t="s">
        <v>2517</v>
      </c>
      <c r="P1080" s="35" t="s">
        <v>2518</v>
      </c>
      <c r="Q1080" s="38">
        <v>84</v>
      </c>
      <c r="R1080" s="38">
        <v>1</v>
      </c>
      <c r="S1080" s="35" t="s">
        <v>2262</v>
      </c>
      <c r="T1080" s="35" t="s">
        <v>926</v>
      </c>
      <c r="U1080" s="38">
        <v>34220600</v>
      </c>
      <c r="V1080" s="38">
        <v>1</v>
      </c>
      <c r="W1080" s="18">
        <f>_xlfn.XLOOKUP(J1080,'Master Data 14-9-2026'!C:C,'Master Data 14-9-2026'!L:L)</f>
        <v>0</v>
      </c>
      <c r="X1080" s="20">
        <f t="shared" si="20"/>
        <v>34220600</v>
      </c>
      <c r="Y1080" s="35" t="s">
        <v>2519</v>
      </c>
      <c r="AG1080" s="4"/>
    </row>
    <row r="1081" spans="1:33" hidden="1">
      <c r="A1081" s="35" t="s">
        <v>2686</v>
      </c>
      <c r="B1081" s="13" t="str">
        <f>_xlfn.XLOOKUP(J1081,'Master Data 14-9-2026'!C:C,'Master Data 14-9-2026'!D:D)</f>
        <v>Teguh Prasetya wx1529072</v>
      </c>
      <c r="D1081" s="13" t="str">
        <f>_xlfn.XLOOKUP(J1081,'Master Data 14-9-2026'!C:C,'Master Data 14-9-2026'!E:E)</f>
        <v>XLSMART</v>
      </c>
      <c r="F1081" s="13"/>
      <c r="H1081" s="13" t="str">
        <f>_xlfn.XLOOKUP(J1081,'Master Data 14-9-2026'!C:C,'Master Data 14-9-2026'!H:H)</f>
        <v>2026-09-01 - 2026-09-30</v>
      </c>
      <c r="I1081" s="13" t="str">
        <f t="shared" si="19"/>
        <v>September</v>
      </c>
      <c r="J1081" s="35" t="s">
        <v>2686</v>
      </c>
      <c r="K1081" s="35" t="s">
        <v>1606</v>
      </c>
      <c r="M1081" s="35" t="s">
        <v>2687</v>
      </c>
      <c r="N1081" s="35" t="s">
        <v>924</v>
      </c>
      <c r="O1081" s="35" t="s">
        <v>2517</v>
      </c>
      <c r="P1081" s="35" t="s">
        <v>2518</v>
      </c>
      <c r="Q1081" s="38">
        <v>85</v>
      </c>
      <c r="R1081" s="38">
        <v>1</v>
      </c>
      <c r="S1081" s="35" t="s">
        <v>2289</v>
      </c>
      <c r="T1081" s="35" t="s">
        <v>933</v>
      </c>
      <c r="U1081" s="38">
        <v>36992000</v>
      </c>
      <c r="V1081" s="38">
        <v>1</v>
      </c>
      <c r="W1081" s="18">
        <f>_xlfn.XLOOKUP(J1081,'Master Data 14-9-2026'!C:C,'Master Data 14-9-2026'!L:L)</f>
        <v>0.5</v>
      </c>
      <c r="X1081" s="20">
        <f t="shared" si="20"/>
        <v>36992000</v>
      </c>
      <c r="Y1081" s="35" t="s">
        <v>2519</v>
      </c>
      <c r="AG1081" s="4"/>
    </row>
    <row r="1082" spans="1:33" hidden="1">
      <c r="A1082" s="35" t="s">
        <v>2688</v>
      </c>
      <c r="B1082" s="13" t="str">
        <f>_xlfn.XLOOKUP(J1082,'Master Data 14-9-2026'!C:C,'Master Data 14-9-2026'!D:D)</f>
        <v>Abdurrasyid Malvin Nugraha wx1524073</v>
      </c>
      <c r="D1082" s="13" t="str">
        <f>_xlfn.XLOOKUP(J1082,'Master Data 14-9-2026'!C:C,'Master Data 14-9-2026'!E:E)</f>
        <v>XLSMART</v>
      </c>
      <c r="F1082" s="13"/>
      <c r="H1082" s="13" t="str">
        <f>_xlfn.XLOOKUP(J1082,'Master Data 14-9-2026'!C:C,'Master Data 14-9-2026'!H:H)</f>
        <v>2026-09-02 - 2026-10-01</v>
      </c>
      <c r="I1082" s="13" t="str">
        <f t="shared" si="19"/>
        <v>September</v>
      </c>
      <c r="J1082" s="35" t="s">
        <v>2688</v>
      </c>
      <c r="K1082" s="35" t="s">
        <v>2186</v>
      </c>
      <c r="M1082" s="35" t="s">
        <v>2689</v>
      </c>
      <c r="N1082" s="35" t="s">
        <v>924</v>
      </c>
      <c r="O1082" s="35" t="s">
        <v>2517</v>
      </c>
      <c r="P1082" s="35" t="s">
        <v>2518</v>
      </c>
      <c r="Q1082" s="38">
        <v>86</v>
      </c>
      <c r="R1082" s="38">
        <v>1</v>
      </c>
      <c r="S1082" s="35" t="s">
        <v>2262</v>
      </c>
      <c r="T1082" s="35" t="s">
        <v>926</v>
      </c>
      <c r="U1082" s="38">
        <v>34220600</v>
      </c>
      <c r="V1082" s="38">
        <v>1</v>
      </c>
      <c r="W1082" s="18">
        <f>_xlfn.XLOOKUP(J1082,'Master Data 14-9-2026'!C:C,'Master Data 14-9-2026'!L:L)</f>
        <v>0</v>
      </c>
      <c r="X1082" s="20">
        <f t="shared" si="20"/>
        <v>34220600</v>
      </c>
      <c r="Y1082" s="35" t="s">
        <v>2519</v>
      </c>
      <c r="AG1082" s="4"/>
    </row>
    <row r="1083" spans="1:33" hidden="1">
      <c r="A1083" s="35" t="s">
        <v>2690</v>
      </c>
      <c r="B1083" s="13" t="str">
        <f>_xlfn.XLOOKUP(J1083,'Master Data 14-9-2026'!C:C,'Master Data 14-9-2026'!D:D)</f>
        <v>Riesha Hardineti wx1537498</v>
      </c>
      <c r="D1083" s="13" t="str">
        <f>_xlfn.XLOOKUP(J1083,'Master Data 14-9-2026'!C:C,'Master Data 14-9-2026'!E:E)</f>
        <v>XLSMART</v>
      </c>
      <c r="F1083" s="13"/>
      <c r="H1083" s="13" t="str">
        <f>_xlfn.XLOOKUP(J1083,'Master Data 14-9-2026'!C:C,'Master Data 14-9-2026'!H:H)</f>
        <v>2026-08-22 - 2026-09-21</v>
      </c>
      <c r="I1083" s="13" t="str">
        <f t="shared" si="19"/>
        <v>August</v>
      </c>
      <c r="J1083" s="35" t="s">
        <v>2690</v>
      </c>
      <c r="K1083" s="35" t="s">
        <v>1004</v>
      </c>
      <c r="M1083" s="35" t="s">
        <v>2691</v>
      </c>
      <c r="N1083" s="35" t="s">
        <v>924</v>
      </c>
      <c r="O1083" s="35" t="s">
        <v>2517</v>
      </c>
      <c r="P1083" s="35" t="s">
        <v>2518</v>
      </c>
      <c r="Q1083" s="38">
        <v>87</v>
      </c>
      <c r="R1083" s="38">
        <v>1</v>
      </c>
      <c r="S1083" s="35" t="s">
        <v>2233</v>
      </c>
      <c r="T1083" s="35" t="s">
        <v>951</v>
      </c>
      <c r="U1083" s="38">
        <v>28881900</v>
      </c>
      <c r="V1083" s="38">
        <v>1</v>
      </c>
      <c r="W1083" s="18">
        <f>_xlfn.XLOOKUP(J1083,'Master Data 14-9-2026'!C:C,'Master Data 14-9-2026'!L:L)</f>
        <v>0</v>
      </c>
      <c r="X1083" s="20">
        <f t="shared" si="20"/>
        <v>28881900</v>
      </c>
      <c r="Y1083" s="35" t="s">
        <v>2519</v>
      </c>
      <c r="AG1083" s="4"/>
    </row>
    <row r="1084" spans="1:33" hidden="1">
      <c r="A1084" s="35" t="s">
        <v>2692</v>
      </c>
      <c r="B1084" s="13" t="e">
        <f>_xlfn.XLOOKUP(J1084,'Master Data 14-9-2026'!C:C,'Master Data 14-9-2026'!D:D)</f>
        <v>#N/A</v>
      </c>
      <c r="D1084" s="13" t="e">
        <f>_xlfn.XLOOKUP(J1084,'Master Data 14-9-2026'!C:C,'Master Data 14-9-2026'!E:E)</f>
        <v>#N/A</v>
      </c>
      <c r="F1084" s="13"/>
      <c r="H1084" s="13" t="e">
        <f>_xlfn.XLOOKUP(J1084,'Master Data 14-9-2026'!C:C,'Master Data 14-9-2026'!H:H)</f>
        <v>#N/A</v>
      </c>
      <c r="I1084" s="13" t="e">
        <f t="shared" si="19"/>
        <v>#N/A</v>
      </c>
      <c r="J1084" s="35" t="s">
        <v>2692</v>
      </c>
      <c r="K1084" s="35" t="s">
        <v>1004</v>
      </c>
      <c r="M1084" s="35" t="s">
        <v>2693</v>
      </c>
      <c r="N1084" s="35" t="s">
        <v>924</v>
      </c>
      <c r="O1084" s="35" t="s">
        <v>2517</v>
      </c>
      <c r="P1084" s="35" t="s">
        <v>2518</v>
      </c>
      <c r="Q1084" s="38">
        <v>88</v>
      </c>
      <c r="R1084" s="38">
        <v>1</v>
      </c>
      <c r="S1084" s="35" t="s">
        <v>2233</v>
      </c>
      <c r="T1084" s="35" t="s">
        <v>951</v>
      </c>
      <c r="U1084" s="38">
        <v>28881900</v>
      </c>
      <c r="V1084" s="38">
        <v>1</v>
      </c>
      <c r="W1084" s="18" t="e">
        <f>_xlfn.XLOOKUP(J1084,'Master Data 14-9-2026'!C:C,'Master Data 14-9-2026'!L:L)</f>
        <v>#N/A</v>
      </c>
      <c r="X1084" s="20">
        <f t="shared" si="20"/>
        <v>28881900</v>
      </c>
      <c r="Y1084" s="35" t="s">
        <v>2519</v>
      </c>
      <c r="AG1084" s="4"/>
    </row>
    <row r="1085" spans="1:33" hidden="1">
      <c r="A1085" s="35" t="s">
        <v>2694</v>
      </c>
      <c r="B1085" s="13" t="str">
        <f>_xlfn.XLOOKUP(J1085,'Master Data 14-9-2026'!C:C,'Master Data 14-9-2026'!D:D)</f>
        <v>ASHFAHANI FAQIH wx1543130</v>
      </c>
      <c r="D1085" s="13" t="str">
        <f>_xlfn.XLOOKUP(J1085,'Master Data 14-9-2026'!C:C,'Master Data 14-9-2026'!E:E)</f>
        <v>XLSMART</v>
      </c>
      <c r="F1085" s="13"/>
      <c r="H1085" s="13" t="str">
        <f>_xlfn.XLOOKUP(J1085,'Master Data 14-9-2026'!C:C,'Master Data 14-9-2026'!H:H)</f>
        <v>2026-08-14 - 2026-09-13</v>
      </c>
      <c r="I1085" s="13" t="str">
        <f t="shared" si="19"/>
        <v>August</v>
      </c>
      <c r="J1085" s="35" t="s">
        <v>2694</v>
      </c>
      <c r="K1085" s="35" t="s">
        <v>1004</v>
      </c>
      <c r="M1085" s="35" t="s">
        <v>2695</v>
      </c>
      <c r="N1085" s="35" t="s">
        <v>924</v>
      </c>
      <c r="O1085" s="35" t="s">
        <v>2517</v>
      </c>
      <c r="P1085" s="35" t="s">
        <v>2518</v>
      </c>
      <c r="Q1085" s="38">
        <v>89</v>
      </c>
      <c r="R1085" s="38">
        <v>1</v>
      </c>
      <c r="S1085" s="35" t="s">
        <v>2233</v>
      </c>
      <c r="T1085" s="35" t="s">
        <v>951</v>
      </c>
      <c r="U1085" s="38">
        <v>28881900</v>
      </c>
      <c r="V1085" s="38">
        <v>1</v>
      </c>
      <c r="W1085" s="18">
        <f>_xlfn.XLOOKUP(J1085,'Master Data 14-9-2026'!C:C,'Master Data 14-9-2026'!L:L)</f>
        <v>0</v>
      </c>
      <c r="X1085" s="20">
        <f t="shared" si="20"/>
        <v>28881900</v>
      </c>
      <c r="Y1085" s="35" t="s">
        <v>2519</v>
      </c>
      <c r="AG1085" s="4"/>
    </row>
    <row r="1086" spans="1:33" hidden="1">
      <c r="A1086" s="35" t="s">
        <v>2696</v>
      </c>
      <c r="B1086" s="13" t="str">
        <f>_xlfn.XLOOKUP(J1086,'Master Data 14-9-2026'!C:C,'Master Data 14-9-2026'!D:D)</f>
        <v>ASHFAHANI FAQIH wx1543130</v>
      </c>
      <c r="D1086" s="13" t="str">
        <f>_xlfn.XLOOKUP(J1086,'Master Data 14-9-2026'!C:C,'Master Data 14-9-2026'!E:E)</f>
        <v>XLSMART</v>
      </c>
      <c r="F1086" s="13"/>
      <c r="H1086" s="13" t="str">
        <f>_xlfn.XLOOKUP(J1086,'Master Data 14-9-2026'!C:C,'Master Data 14-9-2026'!H:H)</f>
        <v>2026-09-14 - 2026-10-13</v>
      </c>
      <c r="I1086" s="13" t="str">
        <f t="shared" si="19"/>
        <v>September</v>
      </c>
      <c r="J1086" s="35" t="s">
        <v>2696</v>
      </c>
      <c r="K1086" s="35" t="s">
        <v>1004</v>
      </c>
      <c r="M1086" s="35" t="s">
        <v>2697</v>
      </c>
      <c r="N1086" s="35" t="s">
        <v>924</v>
      </c>
      <c r="O1086" s="35" t="s">
        <v>2517</v>
      </c>
      <c r="P1086" s="35" t="s">
        <v>2518</v>
      </c>
      <c r="Q1086" s="38">
        <v>90</v>
      </c>
      <c r="R1086" s="38">
        <v>1</v>
      </c>
      <c r="S1086" s="35" t="s">
        <v>2233</v>
      </c>
      <c r="T1086" s="35" t="s">
        <v>951</v>
      </c>
      <c r="U1086" s="38">
        <v>28881900</v>
      </c>
      <c r="V1086" s="38">
        <v>1</v>
      </c>
      <c r="W1086" s="18">
        <f>_xlfn.XLOOKUP(J1086,'Master Data 14-9-2026'!C:C,'Master Data 14-9-2026'!L:L)</f>
        <v>0</v>
      </c>
      <c r="X1086" s="20">
        <f t="shared" si="20"/>
        <v>28881900</v>
      </c>
      <c r="Y1086" s="35" t="s">
        <v>2519</v>
      </c>
      <c r="AG1086" s="4"/>
    </row>
    <row r="1087" spans="1:33" hidden="1">
      <c r="A1087" s="35" t="s">
        <v>2698</v>
      </c>
      <c r="B1087" s="13" t="str">
        <f>_xlfn.XLOOKUP(J1087,'Master Data 14-9-2026'!C:C,'Master Data 14-9-2026'!D:D)</f>
        <v>Siti Gebby Ghassane Herfia wx1543132</v>
      </c>
      <c r="D1087" s="13" t="str">
        <f>_xlfn.XLOOKUP(J1087,'Master Data 14-9-2026'!C:C,'Master Data 14-9-2026'!E:E)</f>
        <v>XLSMART</v>
      </c>
      <c r="F1087" s="13"/>
      <c r="H1087" s="13" t="str">
        <f>_xlfn.XLOOKUP(J1087,'Master Data 14-9-2026'!C:C,'Master Data 14-9-2026'!H:H)</f>
        <v>2026-08-18 - 2026-09-17</v>
      </c>
      <c r="I1087" s="13" t="str">
        <f t="shared" si="19"/>
        <v>August</v>
      </c>
      <c r="J1087" s="35" t="s">
        <v>2698</v>
      </c>
      <c r="K1087" s="35" t="s">
        <v>1004</v>
      </c>
      <c r="M1087" s="35" t="s">
        <v>2699</v>
      </c>
      <c r="N1087" s="35" t="s">
        <v>924</v>
      </c>
      <c r="O1087" s="35" t="s">
        <v>2517</v>
      </c>
      <c r="P1087" s="35" t="s">
        <v>2518</v>
      </c>
      <c r="Q1087" s="38">
        <v>91</v>
      </c>
      <c r="R1087" s="38">
        <v>1</v>
      </c>
      <c r="S1087" s="35" t="s">
        <v>2233</v>
      </c>
      <c r="T1087" s="35" t="s">
        <v>951</v>
      </c>
      <c r="U1087" s="38">
        <v>28881900</v>
      </c>
      <c r="V1087" s="38">
        <v>1</v>
      </c>
      <c r="W1087" s="18">
        <f>_xlfn.XLOOKUP(J1087,'Master Data 14-9-2026'!C:C,'Master Data 14-9-2026'!L:L)</f>
        <v>0</v>
      </c>
      <c r="X1087" s="20">
        <f t="shared" si="20"/>
        <v>28881900</v>
      </c>
      <c r="Y1087" s="35" t="s">
        <v>2519</v>
      </c>
      <c r="AG1087" s="4"/>
    </row>
    <row r="1088" spans="1:33" hidden="1">
      <c r="A1088" s="35" t="s">
        <v>2700</v>
      </c>
      <c r="B1088" s="13" t="str">
        <f>_xlfn.XLOOKUP(J1088,'Master Data 14-9-2026'!C:C,'Master Data 14-9-2026'!D:D)</f>
        <v>Siti Gebby Ghassane Herfia wx1543132</v>
      </c>
      <c r="D1088" s="13" t="str">
        <f>_xlfn.XLOOKUP(J1088,'Master Data 14-9-2026'!C:C,'Master Data 14-9-2026'!E:E)</f>
        <v>XLSMART</v>
      </c>
      <c r="F1088" s="13"/>
      <c r="H1088" s="13" t="str">
        <f>_xlfn.XLOOKUP(J1088,'Master Data 14-9-2026'!C:C,'Master Data 14-9-2026'!H:H)</f>
        <v>2026-09-18 - 2026-10-17</v>
      </c>
      <c r="I1088" s="13" t="str">
        <f t="shared" si="19"/>
        <v>September</v>
      </c>
      <c r="J1088" s="35" t="s">
        <v>2700</v>
      </c>
      <c r="K1088" s="35" t="s">
        <v>1004</v>
      </c>
      <c r="M1088" s="35" t="s">
        <v>2701</v>
      </c>
      <c r="N1088" s="35" t="s">
        <v>924</v>
      </c>
      <c r="O1088" s="35" t="s">
        <v>2517</v>
      </c>
      <c r="P1088" s="35" t="s">
        <v>2518</v>
      </c>
      <c r="Q1088" s="38">
        <v>92</v>
      </c>
      <c r="R1088" s="38">
        <v>1</v>
      </c>
      <c r="S1088" s="35" t="s">
        <v>2233</v>
      </c>
      <c r="T1088" s="35" t="s">
        <v>951</v>
      </c>
      <c r="U1088" s="38">
        <v>28881900</v>
      </c>
      <c r="V1088" s="38">
        <v>1</v>
      </c>
      <c r="W1088" s="18">
        <f>_xlfn.XLOOKUP(J1088,'Master Data 14-9-2026'!C:C,'Master Data 14-9-2026'!L:L)</f>
        <v>0</v>
      </c>
      <c r="X1088" s="20">
        <f t="shared" si="20"/>
        <v>28881900</v>
      </c>
      <c r="Y1088" s="35" t="s">
        <v>2519</v>
      </c>
      <c r="AG1088" s="4"/>
    </row>
    <row r="1089" spans="1:33" hidden="1">
      <c r="A1089" s="35" t="s">
        <v>2702</v>
      </c>
      <c r="B1089" s="13" t="str">
        <f>_xlfn.XLOOKUP(J1089,'Master Data 14-9-2026'!C:C,'Master Data 14-9-2026'!D:D)</f>
        <v>ALIYA SALMA KHAIRUNNISA wx1543129</v>
      </c>
      <c r="D1089" s="13" t="str">
        <f>_xlfn.XLOOKUP(J1089,'Master Data 14-9-2026'!C:C,'Master Data 14-9-2026'!E:E)</f>
        <v>XLSMART</v>
      </c>
      <c r="F1089" s="13"/>
      <c r="H1089" s="13" t="str">
        <f>_xlfn.XLOOKUP(J1089,'Master Data 14-9-2026'!C:C,'Master Data 14-9-2026'!H:H)</f>
        <v>2026-08-18 - 2026-09-17</v>
      </c>
      <c r="I1089" s="13" t="str">
        <f t="shared" si="19"/>
        <v>August</v>
      </c>
      <c r="J1089" s="35" t="s">
        <v>2702</v>
      </c>
      <c r="K1089" s="35" t="s">
        <v>1004</v>
      </c>
      <c r="M1089" s="35" t="s">
        <v>2703</v>
      </c>
      <c r="N1089" s="35" t="s">
        <v>924</v>
      </c>
      <c r="O1089" s="35" t="s">
        <v>2517</v>
      </c>
      <c r="P1089" s="35" t="s">
        <v>2518</v>
      </c>
      <c r="Q1089" s="38">
        <v>93</v>
      </c>
      <c r="R1089" s="38">
        <v>1</v>
      </c>
      <c r="S1089" s="35" t="s">
        <v>2233</v>
      </c>
      <c r="T1089" s="35" t="s">
        <v>951</v>
      </c>
      <c r="U1089" s="38">
        <v>28881900</v>
      </c>
      <c r="V1089" s="38">
        <v>1</v>
      </c>
      <c r="W1089" s="18">
        <f>_xlfn.XLOOKUP(J1089,'Master Data 14-9-2026'!C:C,'Master Data 14-9-2026'!L:L)</f>
        <v>0</v>
      </c>
      <c r="X1089" s="20">
        <f t="shared" si="20"/>
        <v>28881900</v>
      </c>
      <c r="Y1089" s="35" t="s">
        <v>2519</v>
      </c>
      <c r="AG1089" s="4"/>
    </row>
    <row r="1090" spans="1:33" hidden="1">
      <c r="A1090" s="35" t="s">
        <v>2704</v>
      </c>
      <c r="B1090" s="13" t="str">
        <f>_xlfn.XLOOKUP(J1090,'Master Data 14-9-2026'!C:C,'Master Data 14-9-2026'!D:D)</f>
        <v>ALIYA SALMA KHAIRUNNISA wx1543129</v>
      </c>
      <c r="D1090" s="13" t="str">
        <f>_xlfn.XLOOKUP(J1090,'Master Data 14-9-2026'!C:C,'Master Data 14-9-2026'!E:E)</f>
        <v>XLSMART</v>
      </c>
      <c r="F1090" s="13"/>
      <c r="H1090" s="13" t="str">
        <f>_xlfn.XLOOKUP(J1090,'Master Data 14-9-2026'!C:C,'Master Data 14-9-2026'!H:H)</f>
        <v>2026-09-18 - 2026-10-17</v>
      </c>
      <c r="I1090" s="13" t="str">
        <f t="shared" si="19"/>
        <v>September</v>
      </c>
      <c r="J1090" s="35" t="s">
        <v>2704</v>
      </c>
      <c r="K1090" s="35" t="s">
        <v>1004</v>
      </c>
      <c r="M1090" s="35" t="s">
        <v>2705</v>
      </c>
      <c r="N1090" s="35" t="s">
        <v>924</v>
      </c>
      <c r="O1090" s="35" t="s">
        <v>2517</v>
      </c>
      <c r="P1090" s="35" t="s">
        <v>2518</v>
      </c>
      <c r="Q1090" s="38">
        <v>94</v>
      </c>
      <c r="R1090" s="38">
        <v>1</v>
      </c>
      <c r="S1090" s="35" t="s">
        <v>2233</v>
      </c>
      <c r="T1090" s="35" t="s">
        <v>951</v>
      </c>
      <c r="U1090" s="38">
        <v>28881900</v>
      </c>
      <c r="V1090" s="38">
        <v>1</v>
      </c>
      <c r="W1090" s="18">
        <f>_xlfn.XLOOKUP(J1090,'Master Data 14-9-2026'!C:C,'Master Data 14-9-2026'!L:L)</f>
        <v>0</v>
      </c>
      <c r="X1090" s="20">
        <f t="shared" si="20"/>
        <v>28881900</v>
      </c>
      <c r="Y1090" s="35" t="s">
        <v>2519</v>
      </c>
      <c r="AG1090" s="4"/>
    </row>
    <row r="1091" spans="1:33" hidden="1">
      <c r="A1091" s="35" t="s">
        <v>2706</v>
      </c>
      <c r="B1091" s="13" t="str">
        <f>_xlfn.XLOOKUP(J1091,'Master Data 14-9-2026'!C:C,'Master Data 14-9-2026'!D:D)</f>
        <v>NADINDRA SAFADANIA KINANTI wx1543245</v>
      </c>
      <c r="D1091" s="13" t="str">
        <f>_xlfn.XLOOKUP(J1091,'Master Data 14-9-2026'!C:C,'Master Data 14-9-2026'!E:E)</f>
        <v>XLSMART</v>
      </c>
      <c r="F1091" s="13"/>
      <c r="H1091" s="13" t="str">
        <f>_xlfn.XLOOKUP(J1091,'Master Data 14-9-2026'!C:C,'Master Data 14-9-2026'!H:H)</f>
        <v>2026-08-19 - 2026-09-18</v>
      </c>
      <c r="I1091" s="13" t="str">
        <f t="shared" ref="I1091:I1149" si="21">TEXT(DATEVALUE(LEFT(H1091,10)),"mmmm")</f>
        <v>August</v>
      </c>
      <c r="J1091" s="35" t="s">
        <v>2706</v>
      </c>
      <c r="K1091" s="35" t="s">
        <v>1004</v>
      </c>
      <c r="M1091" s="35" t="s">
        <v>2707</v>
      </c>
      <c r="N1091" s="35" t="s">
        <v>924</v>
      </c>
      <c r="O1091" s="35" t="s">
        <v>2517</v>
      </c>
      <c r="P1091" s="35" t="s">
        <v>2518</v>
      </c>
      <c r="Q1091" s="38">
        <v>95</v>
      </c>
      <c r="R1091" s="38">
        <v>1</v>
      </c>
      <c r="S1091" s="35" t="s">
        <v>2233</v>
      </c>
      <c r="T1091" s="35" t="s">
        <v>951</v>
      </c>
      <c r="U1091" s="38">
        <v>28881900</v>
      </c>
      <c r="V1091" s="38">
        <v>1</v>
      </c>
      <c r="W1091" s="18">
        <f>_xlfn.XLOOKUP(J1091,'Master Data 14-9-2026'!C:C,'Master Data 14-9-2026'!L:L)</f>
        <v>0</v>
      </c>
      <c r="X1091" s="20">
        <f t="shared" si="20"/>
        <v>28881900</v>
      </c>
      <c r="Y1091" s="35" t="s">
        <v>2519</v>
      </c>
      <c r="AG1091" s="4"/>
    </row>
    <row r="1092" spans="1:33" hidden="1">
      <c r="A1092" s="35" t="s">
        <v>2708</v>
      </c>
      <c r="B1092" s="13" t="str">
        <f>_xlfn.XLOOKUP(J1092,'Master Data 14-9-2026'!C:C,'Master Data 14-9-2026'!D:D)</f>
        <v>NADINDRA SAFADANIA KINANTI wx1543245</v>
      </c>
      <c r="D1092" s="13" t="str">
        <f>_xlfn.XLOOKUP(J1092,'Master Data 14-9-2026'!C:C,'Master Data 14-9-2026'!E:E)</f>
        <v>XLSMART</v>
      </c>
      <c r="F1092" s="13"/>
      <c r="H1092" s="13" t="str">
        <f>_xlfn.XLOOKUP(J1092,'Master Data 14-9-2026'!C:C,'Master Data 14-9-2026'!H:H)</f>
        <v>2026-09-19 - 2026-10-18</v>
      </c>
      <c r="I1092" s="13" t="str">
        <f t="shared" si="21"/>
        <v>September</v>
      </c>
      <c r="J1092" s="35" t="s">
        <v>2708</v>
      </c>
      <c r="K1092" s="35" t="s">
        <v>1004</v>
      </c>
      <c r="M1092" s="35" t="s">
        <v>2709</v>
      </c>
      <c r="N1092" s="35" t="s">
        <v>924</v>
      </c>
      <c r="O1092" s="35" t="s">
        <v>2517</v>
      </c>
      <c r="P1092" s="35" t="s">
        <v>2518</v>
      </c>
      <c r="Q1092" s="38">
        <v>96</v>
      </c>
      <c r="R1092" s="38">
        <v>1</v>
      </c>
      <c r="S1092" s="35" t="s">
        <v>2233</v>
      </c>
      <c r="T1092" s="35" t="s">
        <v>951</v>
      </c>
      <c r="U1092" s="38">
        <v>28881900</v>
      </c>
      <c r="V1092" s="38">
        <v>1</v>
      </c>
      <c r="W1092" s="18">
        <f>_xlfn.XLOOKUP(J1092,'Master Data 14-9-2026'!C:C,'Master Data 14-9-2026'!L:L)</f>
        <v>0</v>
      </c>
      <c r="X1092" s="20">
        <f t="shared" si="20"/>
        <v>28881900</v>
      </c>
      <c r="Y1092" s="35" t="s">
        <v>2519</v>
      </c>
      <c r="AG1092" s="4"/>
    </row>
    <row r="1093" spans="1:33" hidden="1">
      <c r="A1093" s="35" t="s">
        <v>2710</v>
      </c>
      <c r="B1093" s="13" t="str">
        <f>_xlfn.XLOOKUP(J1093,'Master Data 14-9-2026'!C:C,'Master Data 14-9-2026'!D:D)</f>
        <v>FARA MUSTIKA wx1543131</v>
      </c>
      <c r="D1093" s="13" t="str">
        <f>_xlfn.XLOOKUP(J1093,'Master Data 14-9-2026'!C:C,'Master Data 14-9-2026'!E:E)</f>
        <v>XLSMART</v>
      </c>
      <c r="F1093" s="13"/>
      <c r="H1093" s="13" t="str">
        <f>_xlfn.XLOOKUP(J1093,'Master Data 14-9-2026'!C:C,'Master Data 14-9-2026'!H:H)</f>
        <v>2026-08-20 - 2026-09-19</v>
      </c>
      <c r="I1093" s="13" t="str">
        <f t="shared" si="21"/>
        <v>August</v>
      </c>
      <c r="J1093" s="35" t="s">
        <v>2710</v>
      </c>
      <c r="K1093" s="35" t="s">
        <v>1004</v>
      </c>
      <c r="M1093" s="35" t="s">
        <v>2711</v>
      </c>
      <c r="N1093" s="35" t="s">
        <v>924</v>
      </c>
      <c r="O1093" s="35" t="s">
        <v>2517</v>
      </c>
      <c r="P1093" s="35" t="s">
        <v>2518</v>
      </c>
      <c r="Q1093" s="38">
        <v>97</v>
      </c>
      <c r="R1093" s="38">
        <v>1</v>
      </c>
      <c r="S1093" s="35" t="s">
        <v>2233</v>
      </c>
      <c r="T1093" s="35" t="s">
        <v>951</v>
      </c>
      <c r="U1093" s="38">
        <v>28881900</v>
      </c>
      <c r="V1093" s="38">
        <v>1</v>
      </c>
      <c r="W1093" s="18">
        <f>_xlfn.XLOOKUP(J1093,'Master Data 14-9-2026'!C:C,'Master Data 14-9-2026'!L:L)</f>
        <v>0</v>
      </c>
      <c r="X1093" s="20">
        <f t="shared" si="20"/>
        <v>28881900</v>
      </c>
      <c r="Y1093" s="35" t="s">
        <v>2519</v>
      </c>
      <c r="AG1093" s="4"/>
    </row>
    <row r="1094" spans="1:33" hidden="1">
      <c r="A1094" s="35" t="s">
        <v>2712</v>
      </c>
      <c r="B1094" s="13" t="str">
        <f>_xlfn.XLOOKUP(J1094,'Master Data 14-9-2026'!C:C,'Master Data 14-9-2026'!D:D)</f>
        <v>FARA MUSTIKA wx1543131</v>
      </c>
      <c r="D1094" s="13" t="str">
        <f>_xlfn.XLOOKUP(J1094,'Master Data 14-9-2026'!C:C,'Master Data 14-9-2026'!E:E)</f>
        <v>XLSMART</v>
      </c>
      <c r="F1094" s="13"/>
      <c r="H1094" s="13" t="str">
        <f>_xlfn.XLOOKUP(J1094,'Master Data 14-9-2026'!C:C,'Master Data 14-9-2026'!H:H)</f>
        <v>2026-09-20 - 2026-10-19</v>
      </c>
      <c r="I1094" s="13" t="str">
        <f t="shared" si="21"/>
        <v>September</v>
      </c>
      <c r="J1094" s="35" t="s">
        <v>2712</v>
      </c>
      <c r="K1094" s="35" t="s">
        <v>1004</v>
      </c>
      <c r="M1094" s="35" t="s">
        <v>2713</v>
      </c>
      <c r="N1094" s="35" t="s">
        <v>924</v>
      </c>
      <c r="O1094" s="35" t="s">
        <v>2517</v>
      </c>
      <c r="P1094" s="35" t="s">
        <v>2518</v>
      </c>
      <c r="Q1094" s="38">
        <v>98</v>
      </c>
      <c r="R1094" s="38">
        <v>1</v>
      </c>
      <c r="S1094" s="35" t="s">
        <v>2233</v>
      </c>
      <c r="T1094" s="35" t="s">
        <v>951</v>
      </c>
      <c r="U1094" s="38">
        <v>28881900</v>
      </c>
      <c r="V1094" s="38">
        <v>1</v>
      </c>
      <c r="W1094" s="18">
        <f>_xlfn.XLOOKUP(J1094,'Master Data 14-9-2026'!C:C,'Master Data 14-9-2026'!L:L)</f>
        <v>0</v>
      </c>
      <c r="X1094" s="20">
        <f t="shared" si="20"/>
        <v>28881900</v>
      </c>
      <c r="Y1094" s="35" t="s">
        <v>2519</v>
      </c>
      <c r="AG1094" s="4"/>
    </row>
    <row r="1095" spans="1:33" hidden="1">
      <c r="A1095" s="35" t="s">
        <v>2714</v>
      </c>
      <c r="B1095" s="13" t="str">
        <f>_xlfn.XLOOKUP(J1095,'Master Data 14-9-2026'!C:C,'Master Data 14-9-2026'!D:D)</f>
        <v>INDIRA CITA CAHYANI wx1543244</v>
      </c>
      <c r="D1095" s="13" t="str">
        <f>_xlfn.XLOOKUP(J1095,'Master Data 14-9-2026'!C:C,'Master Data 14-9-2026'!E:E)</f>
        <v>XLSMART</v>
      </c>
      <c r="F1095" s="13"/>
      <c r="H1095" s="13" t="str">
        <f>_xlfn.XLOOKUP(J1095,'Master Data 14-9-2026'!C:C,'Master Data 14-9-2026'!H:H)</f>
        <v>2026-08-20 - 2026-09-19</v>
      </c>
      <c r="I1095" s="13" t="str">
        <f t="shared" si="21"/>
        <v>August</v>
      </c>
      <c r="J1095" s="35" t="s">
        <v>2714</v>
      </c>
      <c r="K1095" s="35" t="s">
        <v>1004</v>
      </c>
      <c r="M1095" s="35" t="s">
        <v>2715</v>
      </c>
      <c r="N1095" s="35" t="s">
        <v>924</v>
      </c>
      <c r="O1095" s="35" t="s">
        <v>2517</v>
      </c>
      <c r="P1095" s="35" t="s">
        <v>2518</v>
      </c>
      <c r="Q1095" s="38">
        <v>99</v>
      </c>
      <c r="R1095" s="38">
        <v>1</v>
      </c>
      <c r="S1095" s="35" t="s">
        <v>2233</v>
      </c>
      <c r="T1095" s="35" t="s">
        <v>951</v>
      </c>
      <c r="U1095" s="38">
        <v>28881900</v>
      </c>
      <c r="V1095" s="38">
        <v>1</v>
      </c>
      <c r="W1095" s="18">
        <f>_xlfn.XLOOKUP(J1095,'Master Data 14-9-2026'!C:C,'Master Data 14-9-2026'!L:L)</f>
        <v>0</v>
      </c>
      <c r="X1095" s="20">
        <f t="shared" si="20"/>
        <v>28881900</v>
      </c>
      <c r="Y1095" s="35" t="s">
        <v>2519</v>
      </c>
      <c r="AG1095" s="4"/>
    </row>
    <row r="1096" spans="1:33" hidden="1">
      <c r="A1096" s="35" t="s">
        <v>2716</v>
      </c>
      <c r="B1096" s="13" t="str">
        <f>_xlfn.XLOOKUP(J1096,'Master Data 14-9-2026'!C:C,'Master Data 14-9-2026'!D:D)</f>
        <v>INDIRA CITA CAHYANI wx1543244</v>
      </c>
      <c r="D1096" s="13" t="str">
        <f>_xlfn.XLOOKUP(J1096,'Master Data 14-9-2026'!C:C,'Master Data 14-9-2026'!E:E)</f>
        <v>XLSMART</v>
      </c>
      <c r="F1096" s="13"/>
      <c r="H1096" s="13" t="str">
        <f>_xlfn.XLOOKUP(J1096,'Master Data 14-9-2026'!C:C,'Master Data 14-9-2026'!H:H)</f>
        <v>2026-09-20 - 2026-10-19</v>
      </c>
      <c r="I1096" s="13" t="str">
        <f t="shared" si="21"/>
        <v>September</v>
      </c>
      <c r="J1096" s="35" t="s">
        <v>2716</v>
      </c>
      <c r="K1096" s="35" t="s">
        <v>1004</v>
      </c>
      <c r="M1096" s="35" t="s">
        <v>2717</v>
      </c>
      <c r="N1096" s="35" t="s">
        <v>924</v>
      </c>
      <c r="O1096" s="35" t="s">
        <v>2517</v>
      </c>
      <c r="P1096" s="35" t="s">
        <v>2518</v>
      </c>
      <c r="Q1096" s="38">
        <v>100</v>
      </c>
      <c r="R1096" s="38">
        <v>1</v>
      </c>
      <c r="S1096" s="35" t="s">
        <v>2233</v>
      </c>
      <c r="T1096" s="35" t="s">
        <v>951</v>
      </c>
      <c r="U1096" s="38">
        <v>28881900</v>
      </c>
      <c r="V1096" s="38">
        <v>1</v>
      </c>
      <c r="W1096" s="18">
        <f>_xlfn.XLOOKUP(J1096,'Master Data 14-9-2026'!C:C,'Master Data 14-9-2026'!L:L)</f>
        <v>0</v>
      </c>
      <c r="X1096" s="20">
        <f t="shared" si="20"/>
        <v>28881900</v>
      </c>
      <c r="Y1096" s="35" t="s">
        <v>2519</v>
      </c>
      <c r="AG1096" s="4"/>
    </row>
    <row r="1097" spans="1:33" hidden="1">
      <c r="A1097" s="35" t="s">
        <v>2718</v>
      </c>
      <c r="B1097" s="13" t="str">
        <f>_xlfn.XLOOKUP(J1097,'Master Data 14-9-2026'!C:C,'Master Data 14-9-2026'!D:D)</f>
        <v>ROJI FIKAL wx1543242</v>
      </c>
      <c r="D1097" s="13" t="str">
        <f>_xlfn.XLOOKUP(J1097,'Master Data 14-9-2026'!C:C,'Master Data 14-9-2026'!E:E)</f>
        <v>XLSMART</v>
      </c>
      <c r="F1097" s="13"/>
      <c r="H1097" s="13" t="str">
        <f>_xlfn.XLOOKUP(J1097,'Master Data 14-9-2026'!C:C,'Master Data 14-9-2026'!H:H)</f>
        <v>2026-08-20 - 2026-09-19</v>
      </c>
      <c r="I1097" s="13" t="str">
        <f t="shared" si="21"/>
        <v>August</v>
      </c>
      <c r="J1097" s="35" t="s">
        <v>2718</v>
      </c>
      <c r="K1097" s="35" t="s">
        <v>1004</v>
      </c>
      <c r="M1097" s="35" t="s">
        <v>2719</v>
      </c>
      <c r="N1097" s="35" t="s">
        <v>924</v>
      </c>
      <c r="O1097" s="35" t="s">
        <v>2517</v>
      </c>
      <c r="P1097" s="35" t="s">
        <v>2518</v>
      </c>
      <c r="Q1097" s="38">
        <v>101</v>
      </c>
      <c r="R1097" s="38">
        <v>1</v>
      </c>
      <c r="S1097" s="35" t="s">
        <v>2233</v>
      </c>
      <c r="T1097" s="35" t="s">
        <v>951</v>
      </c>
      <c r="U1097" s="38">
        <v>28881900</v>
      </c>
      <c r="V1097" s="38">
        <v>1</v>
      </c>
      <c r="W1097" s="18">
        <f>_xlfn.XLOOKUP(J1097,'Master Data 14-9-2026'!C:C,'Master Data 14-9-2026'!L:L)</f>
        <v>0</v>
      </c>
      <c r="X1097" s="20">
        <f t="shared" si="20"/>
        <v>28881900</v>
      </c>
      <c r="Y1097" s="35" t="s">
        <v>2519</v>
      </c>
      <c r="AG1097" s="4"/>
    </row>
    <row r="1098" spans="1:33" hidden="1">
      <c r="A1098" s="35" t="s">
        <v>2720</v>
      </c>
      <c r="B1098" s="13" t="str">
        <f>_xlfn.XLOOKUP(J1098,'Master Data 14-9-2026'!C:C,'Master Data 14-9-2026'!D:D)</f>
        <v>ROJI FIKAL wx1543242</v>
      </c>
      <c r="D1098" s="13" t="str">
        <f>_xlfn.XLOOKUP(J1098,'Master Data 14-9-2026'!C:C,'Master Data 14-9-2026'!E:E)</f>
        <v>XLSMART</v>
      </c>
      <c r="F1098" s="13"/>
      <c r="H1098" s="13" t="str">
        <f>_xlfn.XLOOKUP(J1098,'Master Data 14-9-2026'!C:C,'Master Data 14-9-2026'!H:H)</f>
        <v>2026-09-20 - 2026-10-19</v>
      </c>
      <c r="I1098" s="13" t="str">
        <f t="shared" si="21"/>
        <v>September</v>
      </c>
      <c r="J1098" s="35" t="s">
        <v>2720</v>
      </c>
      <c r="K1098" s="35" t="s">
        <v>1004</v>
      </c>
      <c r="M1098" s="35" t="s">
        <v>2721</v>
      </c>
      <c r="N1098" s="35" t="s">
        <v>924</v>
      </c>
      <c r="O1098" s="35" t="s">
        <v>2517</v>
      </c>
      <c r="P1098" s="35" t="s">
        <v>2518</v>
      </c>
      <c r="Q1098" s="38">
        <v>102</v>
      </c>
      <c r="R1098" s="38">
        <v>1</v>
      </c>
      <c r="S1098" s="35" t="s">
        <v>2233</v>
      </c>
      <c r="T1098" s="35" t="s">
        <v>951</v>
      </c>
      <c r="U1098" s="38">
        <v>28881900</v>
      </c>
      <c r="V1098" s="38">
        <v>1</v>
      </c>
      <c r="W1098" s="18">
        <f>_xlfn.XLOOKUP(J1098,'Master Data 14-9-2026'!C:C,'Master Data 14-9-2026'!L:L)</f>
        <v>0</v>
      </c>
      <c r="X1098" s="20">
        <f t="shared" si="20"/>
        <v>28881900</v>
      </c>
      <c r="Y1098" s="35" t="s">
        <v>2519</v>
      </c>
      <c r="AG1098" s="4"/>
    </row>
    <row r="1099" spans="1:33" hidden="1">
      <c r="A1099" s="35" t="s">
        <v>2722</v>
      </c>
      <c r="B1099" s="13" t="e">
        <f>_xlfn.XLOOKUP(J1099,'Master Data 14-9-2026'!C:C,'Master Data 14-9-2026'!D:D)</f>
        <v>#N/A</v>
      </c>
      <c r="D1099" s="13" t="e">
        <f>_xlfn.XLOOKUP(J1099,'Master Data 14-9-2026'!C:C,'Master Data 14-9-2026'!E:E)</f>
        <v>#N/A</v>
      </c>
      <c r="F1099" s="13"/>
      <c r="H1099" s="13" t="e">
        <f>_xlfn.XLOOKUP(J1099,'Master Data 14-9-2026'!C:C,'Master Data 14-9-2026'!H:H)</f>
        <v>#N/A</v>
      </c>
      <c r="I1099" s="13" t="e">
        <f t="shared" si="21"/>
        <v>#N/A</v>
      </c>
      <c r="J1099" s="35" t="s">
        <v>2722</v>
      </c>
      <c r="K1099" s="35" t="s">
        <v>1004</v>
      </c>
      <c r="M1099" s="35" t="s">
        <v>2723</v>
      </c>
      <c r="N1099" s="35" t="s">
        <v>924</v>
      </c>
      <c r="O1099" s="35" t="s">
        <v>2517</v>
      </c>
      <c r="P1099" s="35" t="s">
        <v>2518</v>
      </c>
      <c r="Q1099" s="38">
        <v>103</v>
      </c>
      <c r="R1099" s="38">
        <v>1</v>
      </c>
      <c r="S1099" s="35" t="s">
        <v>2233</v>
      </c>
      <c r="T1099" s="35" t="s">
        <v>951</v>
      </c>
      <c r="U1099" s="38">
        <v>28881900</v>
      </c>
      <c r="V1099" s="38">
        <v>1</v>
      </c>
      <c r="W1099" s="18" t="e">
        <f>_xlfn.XLOOKUP(J1099,'Master Data 14-9-2026'!C:C,'Master Data 14-9-2026'!L:L)</f>
        <v>#N/A</v>
      </c>
      <c r="X1099" s="20">
        <f t="shared" si="20"/>
        <v>28881900</v>
      </c>
      <c r="Y1099" s="35" t="s">
        <v>2519</v>
      </c>
      <c r="AG1099" s="4"/>
    </row>
    <row r="1100" spans="1:33" hidden="1">
      <c r="A1100" s="35" t="s">
        <v>2724</v>
      </c>
      <c r="B1100" s="13" t="e">
        <f>_xlfn.XLOOKUP(J1100,'Master Data 14-9-2026'!C:C,'Master Data 14-9-2026'!D:D)</f>
        <v>#N/A</v>
      </c>
      <c r="D1100" s="13" t="e">
        <f>_xlfn.XLOOKUP(J1100,'Master Data 14-9-2026'!C:C,'Master Data 14-9-2026'!E:E)</f>
        <v>#N/A</v>
      </c>
      <c r="F1100" s="13"/>
      <c r="H1100" s="13" t="e">
        <f>_xlfn.XLOOKUP(J1100,'Master Data 14-9-2026'!C:C,'Master Data 14-9-2026'!H:H)</f>
        <v>#N/A</v>
      </c>
      <c r="I1100" s="13" t="e">
        <f t="shared" si="21"/>
        <v>#N/A</v>
      </c>
      <c r="J1100" s="35" t="s">
        <v>2724</v>
      </c>
      <c r="K1100" s="35" t="s">
        <v>1004</v>
      </c>
      <c r="M1100" s="35" t="s">
        <v>2725</v>
      </c>
      <c r="N1100" s="35" t="s">
        <v>924</v>
      </c>
      <c r="O1100" s="35" t="s">
        <v>2517</v>
      </c>
      <c r="P1100" s="35" t="s">
        <v>2518</v>
      </c>
      <c r="Q1100" s="38">
        <v>104</v>
      </c>
      <c r="R1100" s="38">
        <v>1</v>
      </c>
      <c r="S1100" s="35" t="s">
        <v>2233</v>
      </c>
      <c r="T1100" s="35" t="s">
        <v>951</v>
      </c>
      <c r="U1100" s="38">
        <v>28881900</v>
      </c>
      <c r="V1100" s="38">
        <v>1</v>
      </c>
      <c r="W1100" s="18" t="e">
        <f>_xlfn.XLOOKUP(J1100,'Master Data 14-9-2026'!C:C,'Master Data 14-9-2026'!L:L)</f>
        <v>#N/A</v>
      </c>
      <c r="X1100" s="20">
        <f t="shared" si="20"/>
        <v>28881900</v>
      </c>
      <c r="Y1100" s="35" t="s">
        <v>2519</v>
      </c>
      <c r="AG1100" s="4"/>
    </row>
    <row r="1101" spans="1:33" hidden="1">
      <c r="A1101" s="35" t="s">
        <v>2726</v>
      </c>
      <c r="B1101" s="13" t="e">
        <f>_xlfn.XLOOKUP(J1101,'Master Data 14-9-2026'!C:C,'Master Data 14-9-2026'!D:D)</f>
        <v>#N/A</v>
      </c>
      <c r="D1101" s="13" t="e">
        <f>_xlfn.XLOOKUP(J1101,'Master Data 14-9-2026'!C:C,'Master Data 14-9-2026'!E:E)</f>
        <v>#N/A</v>
      </c>
      <c r="F1101" s="13"/>
      <c r="H1101" s="13" t="e">
        <f>_xlfn.XLOOKUP(J1101,'Master Data 14-9-2026'!C:C,'Master Data 14-9-2026'!H:H)</f>
        <v>#N/A</v>
      </c>
      <c r="I1101" s="13" t="e">
        <f t="shared" si="21"/>
        <v>#N/A</v>
      </c>
      <c r="J1101" s="35" t="s">
        <v>2726</v>
      </c>
      <c r="K1101" s="35" t="s">
        <v>1004</v>
      </c>
      <c r="M1101" s="35" t="s">
        <v>2727</v>
      </c>
      <c r="N1101" s="35" t="s">
        <v>924</v>
      </c>
      <c r="O1101" s="35" t="s">
        <v>2517</v>
      </c>
      <c r="P1101" s="35" t="s">
        <v>2518</v>
      </c>
      <c r="Q1101" s="38">
        <v>105</v>
      </c>
      <c r="R1101" s="38">
        <v>1</v>
      </c>
      <c r="S1101" s="35" t="s">
        <v>2233</v>
      </c>
      <c r="T1101" s="35" t="s">
        <v>951</v>
      </c>
      <c r="U1101" s="38">
        <v>28881900</v>
      </c>
      <c r="V1101" s="38">
        <v>1</v>
      </c>
      <c r="W1101" s="18" t="e">
        <f>_xlfn.XLOOKUP(J1101,'Master Data 14-9-2026'!C:C,'Master Data 14-9-2026'!L:L)</f>
        <v>#N/A</v>
      </c>
      <c r="X1101" s="20">
        <f t="shared" si="20"/>
        <v>28881900</v>
      </c>
      <c r="Y1101" s="35" t="s">
        <v>2519</v>
      </c>
      <c r="AG1101" s="4"/>
    </row>
    <row r="1102" spans="1:33" hidden="1">
      <c r="A1102" s="35" t="s">
        <v>2728</v>
      </c>
      <c r="B1102" s="13" t="str">
        <f>_xlfn.XLOOKUP(J1102,'Master Data 14-9-2026'!C:C,'Master Data 14-9-2026'!D:D)</f>
        <v>Desty Irawan wx1540407</v>
      </c>
      <c r="D1102" s="13" t="str">
        <f>_xlfn.XLOOKUP(J1102,'Master Data 14-9-2026'!C:C,'Master Data 14-9-2026'!E:E)</f>
        <v>XLSMART</v>
      </c>
      <c r="F1102" s="13"/>
      <c r="H1102" s="13" t="str">
        <f>_xlfn.XLOOKUP(J1102,'Master Data 14-9-2026'!C:C,'Master Data 14-9-2026'!H:H)</f>
        <v>2026-08-12 - 2026-09-11</v>
      </c>
      <c r="I1102" s="13" t="str">
        <f t="shared" si="21"/>
        <v>August</v>
      </c>
      <c r="J1102" s="35" t="s">
        <v>2728</v>
      </c>
      <c r="K1102" s="35" t="s">
        <v>1004</v>
      </c>
      <c r="M1102" s="35" t="s">
        <v>2729</v>
      </c>
      <c r="N1102" s="35" t="s">
        <v>924</v>
      </c>
      <c r="O1102" s="35" t="s">
        <v>2517</v>
      </c>
      <c r="P1102" s="35" t="s">
        <v>2518</v>
      </c>
      <c r="Q1102" s="38">
        <v>106</v>
      </c>
      <c r="R1102" s="38">
        <v>1</v>
      </c>
      <c r="S1102" s="35" t="s">
        <v>2262</v>
      </c>
      <c r="T1102" s="35" t="s">
        <v>926</v>
      </c>
      <c r="U1102" s="38">
        <v>34220600</v>
      </c>
      <c r="V1102" s="38">
        <v>1</v>
      </c>
      <c r="W1102" s="18">
        <f>_xlfn.XLOOKUP(J1102,'Master Data 14-9-2026'!C:C,'Master Data 14-9-2026'!L:L)</f>
        <v>0</v>
      </c>
      <c r="X1102" s="20">
        <f t="shared" si="20"/>
        <v>34220600</v>
      </c>
      <c r="Y1102" s="35" t="s">
        <v>2519</v>
      </c>
      <c r="AG1102" s="4"/>
    </row>
    <row r="1103" spans="1:33" hidden="1">
      <c r="A1103" s="35" t="s">
        <v>2730</v>
      </c>
      <c r="B1103" s="13" t="str">
        <f>_xlfn.XLOOKUP(J1103,'Master Data 14-9-2026'!C:C,'Master Data 14-9-2026'!D:D)</f>
        <v>Desty Irawan wx1540407</v>
      </c>
      <c r="D1103" s="13" t="str">
        <f>_xlfn.XLOOKUP(J1103,'Master Data 14-9-2026'!C:C,'Master Data 14-9-2026'!E:E)</f>
        <v>XLSMART</v>
      </c>
      <c r="F1103" s="13"/>
      <c r="H1103" s="13" t="str">
        <f>_xlfn.XLOOKUP(J1103,'Master Data 14-9-2026'!C:C,'Master Data 14-9-2026'!H:H)</f>
        <v>2026-09-12 - 2026-10-11</v>
      </c>
      <c r="I1103" s="13" t="str">
        <f t="shared" si="21"/>
        <v>September</v>
      </c>
      <c r="J1103" s="35" t="s">
        <v>2730</v>
      </c>
      <c r="K1103" s="35" t="s">
        <v>1004</v>
      </c>
      <c r="M1103" s="35" t="s">
        <v>2731</v>
      </c>
      <c r="N1103" s="35" t="s">
        <v>924</v>
      </c>
      <c r="O1103" s="35" t="s">
        <v>2517</v>
      </c>
      <c r="P1103" s="35" t="s">
        <v>2518</v>
      </c>
      <c r="Q1103" s="38">
        <v>107</v>
      </c>
      <c r="R1103" s="38">
        <v>1</v>
      </c>
      <c r="S1103" s="35" t="s">
        <v>2262</v>
      </c>
      <c r="T1103" s="35" t="s">
        <v>926</v>
      </c>
      <c r="U1103" s="38">
        <v>34220600</v>
      </c>
      <c r="V1103" s="38">
        <v>1</v>
      </c>
      <c r="W1103" s="18">
        <f>_xlfn.XLOOKUP(J1103,'Master Data 14-9-2026'!C:C,'Master Data 14-9-2026'!L:L)</f>
        <v>0</v>
      </c>
      <c r="X1103" s="20">
        <f t="shared" si="20"/>
        <v>34220600</v>
      </c>
      <c r="Y1103" s="35" t="s">
        <v>2519</v>
      </c>
      <c r="AG1103" s="4"/>
    </row>
    <row r="1104" spans="1:33" hidden="1">
      <c r="A1104" s="35" t="s">
        <v>2732</v>
      </c>
      <c r="B1104" s="13" t="e">
        <f>_xlfn.XLOOKUP(J1104,'Master Data 14-9-2026'!C:C,'Master Data 14-9-2026'!D:D)</f>
        <v>#N/A</v>
      </c>
      <c r="D1104" s="13" t="e">
        <f>_xlfn.XLOOKUP(J1104,'Master Data 14-9-2026'!C:C,'Master Data 14-9-2026'!E:E)</f>
        <v>#N/A</v>
      </c>
      <c r="F1104" s="13"/>
      <c r="H1104" s="13" t="e">
        <f>_xlfn.XLOOKUP(J1104,'Master Data 14-9-2026'!C:C,'Master Data 14-9-2026'!H:H)</f>
        <v>#N/A</v>
      </c>
      <c r="I1104" s="13" t="e">
        <f t="shared" si="21"/>
        <v>#N/A</v>
      </c>
      <c r="J1104" s="35" t="s">
        <v>2732</v>
      </c>
      <c r="K1104" s="35" t="s">
        <v>1004</v>
      </c>
      <c r="M1104" s="35" t="s">
        <v>2733</v>
      </c>
      <c r="N1104" s="35" t="s">
        <v>924</v>
      </c>
      <c r="O1104" s="35" t="s">
        <v>2517</v>
      </c>
      <c r="P1104" s="35" t="s">
        <v>2518</v>
      </c>
      <c r="Q1104" s="38">
        <v>108</v>
      </c>
      <c r="R1104" s="38">
        <v>1</v>
      </c>
      <c r="S1104" s="35" t="s">
        <v>2266</v>
      </c>
      <c r="T1104" s="35" t="s">
        <v>978</v>
      </c>
      <c r="U1104" s="38">
        <v>32542400</v>
      </c>
      <c r="V1104" s="38">
        <v>1</v>
      </c>
      <c r="W1104" s="18" t="e">
        <f>_xlfn.XLOOKUP(J1104,'Master Data 14-9-2026'!C:C,'Master Data 14-9-2026'!L:L)</f>
        <v>#N/A</v>
      </c>
      <c r="X1104" s="20">
        <f t="shared" si="20"/>
        <v>32542400</v>
      </c>
      <c r="Y1104" s="35" t="s">
        <v>2519</v>
      </c>
      <c r="AG1104" s="4"/>
    </row>
    <row r="1105" spans="1:33" hidden="1">
      <c r="A1105" s="35" t="s">
        <v>2734</v>
      </c>
      <c r="B1105" s="13" t="e">
        <f>_xlfn.XLOOKUP(J1105,'Master Data 14-9-2026'!C:C,'Master Data 14-9-2026'!D:D)</f>
        <v>#N/A</v>
      </c>
      <c r="D1105" s="13" t="e">
        <f>_xlfn.XLOOKUP(J1105,'Master Data 14-9-2026'!C:C,'Master Data 14-9-2026'!E:E)</f>
        <v>#N/A</v>
      </c>
      <c r="F1105" s="13"/>
      <c r="H1105" s="13" t="e">
        <f>_xlfn.XLOOKUP(J1105,'Master Data 14-9-2026'!C:C,'Master Data 14-9-2026'!H:H)</f>
        <v>#N/A</v>
      </c>
      <c r="I1105" s="13" t="e">
        <f t="shared" si="21"/>
        <v>#N/A</v>
      </c>
      <c r="J1105" s="35" t="s">
        <v>2734</v>
      </c>
      <c r="K1105" s="35" t="s">
        <v>1004</v>
      </c>
      <c r="M1105" s="35" t="s">
        <v>2735</v>
      </c>
      <c r="N1105" s="35" t="s">
        <v>924</v>
      </c>
      <c r="O1105" s="35" t="s">
        <v>2517</v>
      </c>
      <c r="P1105" s="35" t="s">
        <v>2518</v>
      </c>
      <c r="Q1105" s="38">
        <v>109</v>
      </c>
      <c r="R1105" s="38">
        <v>1</v>
      </c>
      <c r="S1105" s="35" t="s">
        <v>2266</v>
      </c>
      <c r="T1105" s="35" t="s">
        <v>978</v>
      </c>
      <c r="U1105" s="38">
        <v>32542400</v>
      </c>
      <c r="V1105" s="38">
        <v>1</v>
      </c>
      <c r="W1105" s="18" t="e">
        <f>_xlfn.XLOOKUP(J1105,'Master Data 14-9-2026'!C:C,'Master Data 14-9-2026'!L:L)</f>
        <v>#N/A</v>
      </c>
      <c r="X1105" s="20">
        <f t="shared" si="20"/>
        <v>32542400</v>
      </c>
      <c r="Y1105" s="35" t="s">
        <v>2519</v>
      </c>
      <c r="AG1105" s="4"/>
    </row>
    <row r="1106" spans="1:33" hidden="1">
      <c r="A1106" s="35" t="s">
        <v>2736</v>
      </c>
      <c r="B1106" s="13" t="e">
        <f>_xlfn.XLOOKUP(J1106,'Master Data 14-9-2026'!C:C,'Master Data 14-9-2026'!D:D)</f>
        <v>#N/A</v>
      </c>
      <c r="D1106" s="13" t="e">
        <f>_xlfn.XLOOKUP(J1106,'Master Data 14-9-2026'!C:C,'Master Data 14-9-2026'!E:E)</f>
        <v>#N/A</v>
      </c>
      <c r="F1106" s="13"/>
      <c r="H1106" s="13" t="e">
        <f>_xlfn.XLOOKUP(J1106,'Master Data 14-9-2026'!C:C,'Master Data 14-9-2026'!H:H)</f>
        <v>#N/A</v>
      </c>
      <c r="I1106" s="13" t="e">
        <f t="shared" si="21"/>
        <v>#N/A</v>
      </c>
      <c r="J1106" s="35" t="s">
        <v>2736</v>
      </c>
      <c r="K1106" s="35" t="s">
        <v>1004</v>
      </c>
      <c r="M1106" s="35" t="s">
        <v>2737</v>
      </c>
      <c r="N1106" s="35" t="s">
        <v>924</v>
      </c>
      <c r="O1106" s="35" t="s">
        <v>2517</v>
      </c>
      <c r="P1106" s="35" t="s">
        <v>2518</v>
      </c>
      <c r="Q1106" s="38">
        <v>110</v>
      </c>
      <c r="R1106" s="38">
        <v>1</v>
      </c>
      <c r="S1106" s="35" t="s">
        <v>2266</v>
      </c>
      <c r="T1106" s="35" t="s">
        <v>978</v>
      </c>
      <c r="U1106" s="38">
        <v>32542400</v>
      </c>
      <c r="V1106" s="38">
        <v>1</v>
      </c>
      <c r="W1106" s="18" t="e">
        <f>_xlfn.XLOOKUP(J1106,'Master Data 14-9-2026'!C:C,'Master Data 14-9-2026'!L:L)</f>
        <v>#N/A</v>
      </c>
      <c r="X1106" s="20">
        <f t="shared" si="20"/>
        <v>32542400</v>
      </c>
      <c r="Y1106" s="35" t="s">
        <v>2519</v>
      </c>
      <c r="AG1106" s="4"/>
    </row>
    <row r="1107" spans="1:33" hidden="1">
      <c r="A1107" s="35" t="s">
        <v>2738</v>
      </c>
      <c r="B1107" s="13" t="e">
        <f>_xlfn.XLOOKUP(J1107,'Master Data 14-9-2026'!C:C,'Master Data 14-9-2026'!D:D)</f>
        <v>#N/A</v>
      </c>
      <c r="D1107" s="13" t="e">
        <f>_xlfn.XLOOKUP(J1107,'Master Data 14-9-2026'!C:C,'Master Data 14-9-2026'!E:E)</f>
        <v>#N/A</v>
      </c>
      <c r="F1107" s="13"/>
      <c r="H1107" s="13" t="e">
        <f>_xlfn.XLOOKUP(J1107,'Master Data 14-9-2026'!C:C,'Master Data 14-9-2026'!H:H)</f>
        <v>#N/A</v>
      </c>
      <c r="I1107" s="13" t="e">
        <f t="shared" si="21"/>
        <v>#N/A</v>
      </c>
      <c r="J1107" s="35" t="s">
        <v>2738</v>
      </c>
      <c r="K1107" s="35" t="s">
        <v>1004</v>
      </c>
      <c r="M1107" s="35" t="s">
        <v>2739</v>
      </c>
      <c r="N1107" s="35" t="s">
        <v>924</v>
      </c>
      <c r="O1107" s="35" t="s">
        <v>2517</v>
      </c>
      <c r="P1107" s="35" t="s">
        <v>2518</v>
      </c>
      <c r="Q1107" s="38">
        <v>111</v>
      </c>
      <c r="R1107" s="38">
        <v>1</v>
      </c>
      <c r="S1107" s="35" t="s">
        <v>2266</v>
      </c>
      <c r="T1107" s="35" t="s">
        <v>978</v>
      </c>
      <c r="U1107" s="38">
        <v>32542400</v>
      </c>
      <c r="V1107" s="38">
        <v>1</v>
      </c>
      <c r="W1107" s="18" t="e">
        <f>_xlfn.XLOOKUP(J1107,'Master Data 14-9-2026'!C:C,'Master Data 14-9-2026'!L:L)</f>
        <v>#N/A</v>
      </c>
      <c r="X1107" s="20">
        <f t="shared" si="20"/>
        <v>32542400</v>
      </c>
      <c r="Y1107" s="35" t="s">
        <v>2519</v>
      </c>
      <c r="AG1107" s="4"/>
    </row>
    <row r="1108" spans="1:33" hidden="1">
      <c r="A1108" s="35" t="s">
        <v>2740</v>
      </c>
      <c r="B1108" s="13" t="str">
        <f>_xlfn.XLOOKUP(J1108,'Master Data 14-9-2026'!C:C,'Master Data 14-9-2026'!D:D)</f>
        <v>Fikri Tirta Kusuma Atmaja wx1507714</v>
      </c>
      <c r="D1108" s="13" t="str">
        <f>_xlfn.XLOOKUP(J1108,'Master Data 14-9-2026'!C:C,'Master Data 14-9-2026'!E:E)</f>
        <v>XLSMART</v>
      </c>
      <c r="F1108" s="13"/>
      <c r="H1108" s="13" t="str">
        <f>_xlfn.XLOOKUP(J1108,'Master Data 14-9-2026'!C:C,'Master Data 14-9-2026'!H:H)</f>
        <v>2026-07-01 - 2026-07-31</v>
      </c>
      <c r="I1108" s="13" t="str">
        <f t="shared" si="21"/>
        <v>July</v>
      </c>
      <c r="J1108" s="35" t="s">
        <v>2740</v>
      </c>
      <c r="K1108" s="35" t="s">
        <v>2741</v>
      </c>
      <c r="M1108" s="35" t="s">
        <v>2742</v>
      </c>
      <c r="N1108" s="35" t="s">
        <v>924</v>
      </c>
      <c r="O1108" s="35" t="s">
        <v>2517</v>
      </c>
      <c r="P1108" s="35" t="s">
        <v>2518</v>
      </c>
      <c r="Q1108" s="38">
        <v>112</v>
      </c>
      <c r="R1108" s="38">
        <v>1</v>
      </c>
      <c r="S1108" s="35" t="s">
        <v>2262</v>
      </c>
      <c r="T1108" s="35" t="s">
        <v>926</v>
      </c>
      <c r="U1108" s="38">
        <v>34220600</v>
      </c>
      <c r="V1108" s="38">
        <v>1</v>
      </c>
      <c r="W1108" s="18">
        <f>_xlfn.XLOOKUP(J1108,'Master Data 14-9-2026'!C:C,'Master Data 14-9-2026'!L:L)</f>
        <v>0</v>
      </c>
      <c r="X1108" s="20">
        <f t="shared" si="20"/>
        <v>34220600</v>
      </c>
      <c r="Y1108" s="35" t="s">
        <v>2519</v>
      </c>
      <c r="AG1108" s="4"/>
    </row>
    <row r="1109" spans="1:33" hidden="1">
      <c r="A1109" s="35" t="s">
        <v>2743</v>
      </c>
      <c r="B1109" s="13" t="str">
        <f>_xlfn.XLOOKUP(J1109,'Master Data 14-9-2026'!C:C,'Master Data 14-9-2026'!D:D)</f>
        <v>Fikri Tirta Kusuma Atmaja wx1507714</v>
      </c>
      <c r="D1109" s="13" t="str">
        <f>_xlfn.XLOOKUP(J1109,'Master Data 14-9-2026'!C:C,'Master Data 14-9-2026'!E:E)</f>
        <v>XLSMART</v>
      </c>
      <c r="F1109" s="13"/>
      <c r="H1109" s="13" t="str">
        <f>_xlfn.XLOOKUP(J1109,'Master Data 14-9-2026'!C:C,'Master Data 14-9-2026'!H:H)</f>
        <v>2026-08-01 - 2026-08-31</v>
      </c>
      <c r="I1109" s="13" t="str">
        <f t="shared" si="21"/>
        <v>August</v>
      </c>
      <c r="J1109" s="35" t="s">
        <v>2743</v>
      </c>
      <c r="K1109" s="35" t="s">
        <v>2741</v>
      </c>
      <c r="M1109" s="35" t="s">
        <v>2744</v>
      </c>
      <c r="N1109" s="35" t="s">
        <v>924</v>
      </c>
      <c r="O1109" s="35" t="s">
        <v>2517</v>
      </c>
      <c r="P1109" s="35" t="s">
        <v>2518</v>
      </c>
      <c r="Q1109" s="38">
        <v>113</v>
      </c>
      <c r="R1109" s="38">
        <v>1</v>
      </c>
      <c r="S1109" s="35" t="s">
        <v>2262</v>
      </c>
      <c r="T1109" s="35" t="s">
        <v>926</v>
      </c>
      <c r="U1109" s="38">
        <v>34220600</v>
      </c>
      <c r="V1109" s="38">
        <v>1</v>
      </c>
      <c r="W1109" s="18">
        <f>_xlfn.XLOOKUP(J1109,'Master Data 14-9-2026'!C:C,'Master Data 14-9-2026'!L:L)</f>
        <v>0</v>
      </c>
      <c r="X1109" s="20">
        <f t="shared" si="20"/>
        <v>34220600</v>
      </c>
      <c r="Y1109" s="35" t="s">
        <v>2519</v>
      </c>
      <c r="AG1109" s="4"/>
    </row>
    <row r="1110" spans="1:33" hidden="1">
      <c r="A1110" s="35" t="s">
        <v>2745</v>
      </c>
      <c r="B1110" s="13" t="str">
        <f>_xlfn.XLOOKUP(J1110,'Master Data 14-9-2026'!C:C,'Master Data 14-9-2026'!D:D)</f>
        <v>Fikri Tirta Kusuma Atmaja wx1507714</v>
      </c>
      <c r="D1110" s="13" t="str">
        <f>_xlfn.XLOOKUP(J1110,'Master Data 14-9-2026'!C:C,'Master Data 14-9-2026'!E:E)</f>
        <v>XLSMART</v>
      </c>
      <c r="F1110" s="13"/>
      <c r="H1110" s="13" t="str">
        <f>_xlfn.XLOOKUP(J1110,'Master Data 14-9-2026'!C:C,'Master Data 14-9-2026'!H:H)</f>
        <v>2026-09-01 - 2026-09-30</v>
      </c>
      <c r="I1110" s="13" t="str">
        <f t="shared" si="21"/>
        <v>September</v>
      </c>
      <c r="J1110" s="35" t="s">
        <v>2745</v>
      </c>
      <c r="K1110" s="35" t="s">
        <v>2741</v>
      </c>
      <c r="M1110" s="35" t="s">
        <v>2746</v>
      </c>
      <c r="N1110" s="35" t="s">
        <v>924</v>
      </c>
      <c r="O1110" s="35" t="s">
        <v>2517</v>
      </c>
      <c r="P1110" s="35" t="s">
        <v>2518</v>
      </c>
      <c r="Q1110" s="38">
        <v>114</v>
      </c>
      <c r="R1110" s="38">
        <v>1</v>
      </c>
      <c r="S1110" s="35" t="s">
        <v>2262</v>
      </c>
      <c r="T1110" s="35" t="s">
        <v>926</v>
      </c>
      <c r="U1110" s="38">
        <v>34220600</v>
      </c>
      <c r="V1110" s="38">
        <v>1</v>
      </c>
      <c r="W1110" s="18">
        <f>_xlfn.XLOOKUP(J1110,'Master Data 14-9-2026'!C:C,'Master Data 14-9-2026'!L:L)</f>
        <v>0</v>
      </c>
      <c r="X1110" s="20">
        <f t="shared" si="20"/>
        <v>34220600</v>
      </c>
      <c r="Y1110" s="35" t="s">
        <v>2519</v>
      </c>
      <c r="AG1110" s="4"/>
    </row>
    <row r="1111" spans="1:33" hidden="1">
      <c r="A1111" s="35" t="s">
        <v>2747</v>
      </c>
      <c r="B1111" s="13" t="str">
        <f>_xlfn.XLOOKUP(J1111,'Master Data 14-9-2026'!C:C,'Master Data 14-9-2026'!D:D)</f>
        <v>MUH ILHAM SYAHRUL wx1539229</v>
      </c>
      <c r="D1111" s="13" t="str">
        <f>_xlfn.XLOOKUP(J1111,'Master Data 14-9-2026'!C:C,'Master Data 14-9-2026'!E:E)</f>
        <v>TELKOMSEL</v>
      </c>
      <c r="F1111" s="13"/>
      <c r="H1111" s="13" t="str">
        <f>_xlfn.XLOOKUP(J1111,'Master Data 14-9-2026'!C:C,'Master Data 14-9-2026'!H:H)</f>
        <v>2026-09-03 - 2026-10-02</v>
      </c>
      <c r="I1111" s="13" t="str">
        <f t="shared" si="21"/>
        <v>September</v>
      </c>
      <c r="J1111" s="35" t="s">
        <v>2747</v>
      </c>
      <c r="K1111" s="35" t="s">
        <v>2748</v>
      </c>
      <c r="M1111" s="35" t="s">
        <v>2749</v>
      </c>
      <c r="N1111" s="35" t="s">
        <v>924</v>
      </c>
      <c r="O1111" s="35" t="s">
        <v>2517</v>
      </c>
      <c r="P1111" s="35" t="s">
        <v>2518</v>
      </c>
      <c r="Q1111" s="38">
        <v>115</v>
      </c>
      <c r="R1111" s="38">
        <v>1</v>
      </c>
      <c r="S1111" s="35" t="s">
        <v>2289</v>
      </c>
      <c r="T1111" s="35" t="s">
        <v>933</v>
      </c>
      <c r="U1111" s="38">
        <v>36992000</v>
      </c>
      <c r="V1111" s="38">
        <v>1</v>
      </c>
      <c r="W1111" s="18">
        <f>_xlfn.XLOOKUP(J1111,'Master Data 14-9-2026'!C:C,'Master Data 14-9-2026'!L:L)</f>
        <v>1.5</v>
      </c>
      <c r="X1111" s="20">
        <f t="shared" si="20"/>
        <v>36992000</v>
      </c>
      <c r="Y1111" s="35" t="s">
        <v>2519</v>
      </c>
      <c r="AG1111" s="4"/>
    </row>
    <row r="1112" spans="1:33" hidden="1">
      <c r="A1112" s="35" t="s">
        <v>2750</v>
      </c>
      <c r="B1112" s="13" t="str">
        <f>_xlfn.XLOOKUP(J1112,'Master Data 14-9-2026'!C:C,'Master Data 14-9-2026'!D:D)</f>
        <v>Rahma Karta Barus WX1529203</v>
      </c>
      <c r="D1112" s="13" t="str">
        <f>_xlfn.XLOOKUP(J1112,'Master Data 14-9-2026'!C:C,'Master Data 14-9-2026'!E:E)</f>
        <v>XLSMART</v>
      </c>
      <c r="F1112" s="13"/>
      <c r="H1112" s="13" t="str">
        <f>_xlfn.XLOOKUP(J1112,'Master Data 14-9-2026'!C:C,'Master Data 14-9-2026'!H:H)</f>
        <v>2026-06-22 - 2026-07-21</v>
      </c>
      <c r="I1112" s="13" t="str">
        <f t="shared" si="21"/>
        <v>June</v>
      </c>
      <c r="J1112" s="35" t="s">
        <v>2750</v>
      </c>
      <c r="K1112" s="35" t="s">
        <v>1606</v>
      </c>
      <c r="M1112" s="35" t="s">
        <v>2751</v>
      </c>
      <c r="N1112" s="35" t="s">
        <v>924</v>
      </c>
      <c r="O1112" s="35" t="s">
        <v>2517</v>
      </c>
      <c r="P1112" s="35" t="s">
        <v>2518</v>
      </c>
      <c r="Q1112" s="38">
        <v>116</v>
      </c>
      <c r="R1112" s="38">
        <v>1</v>
      </c>
      <c r="S1112" s="35" t="s">
        <v>2266</v>
      </c>
      <c r="T1112" s="35" t="s">
        <v>978</v>
      </c>
      <c r="U1112" s="38">
        <v>32542400</v>
      </c>
      <c r="V1112" s="38">
        <v>1</v>
      </c>
      <c r="W1112" s="18">
        <f>_xlfn.XLOOKUP(J1112,'Master Data 14-9-2026'!C:C,'Master Data 14-9-2026'!L:L)</f>
        <v>0</v>
      </c>
      <c r="X1112" s="20">
        <f t="shared" si="20"/>
        <v>32542400</v>
      </c>
      <c r="Y1112" s="35" t="s">
        <v>2519</v>
      </c>
      <c r="AG1112" s="4"/>
    </row>
    <row r="1113" spans="1:33" hidden="1">
      <c r="A1113" s="35" t="s">
        <v>2752</v>
      </c>
      <c r="B1113" s="13" t="str">
        <f>_xlfn.XLOOKUP(J1113,'Master Data 14-9-2026'!C:C,'Master Data 14-9-2026'!D:D)</f>
        <v>Rahma Karta Barus WX1529203</v>
      </c>
      <c r="D1113" s="13" t="str">
        <f>_xlfn.XLOOKUP(J1113,'Master Data 14-9-2026'!C:C,'Master Data 14-9-2026'!E:E)</f>
        <v>XLSMART</v>
      </c>
      <c r="F1113" s="13"/>
      <c r="H1113" s="13" t="str">
        <f>_xlfn.XLOOKUP(J1113,'Master Data 14-9-2026'!C:C,'Master Data 14-9-2026'!H:H)</f>
        <v>2026-07-22 - 2026-08-21</v>
      </c>
      <c r="I1113" s="13" t="str">
        <f t="shared" si="21"/>
        <v>July</v>
      </c>
      <c r="J1113" s="35" t="s">
        <v>2752</v>
      </c>
      <c r="K1113" s="35" t="s">
        <v>1606</v>
      </c>
      <c r="M1113" s="35" t="s">
        <v>2753</v>
      </c>
      <c r="N1113" s="35" t="s">
        <v>924</v>
      </c>
      <c r="O1113" s="35" t="s">
        <v>2517</v>
      </c>
      <c r="P1113" s="35" t="s">
        <v>2518</v>
      </c>
      <c r="Q1113" s="38">
        <v>117</v>
      </c>
      <c r="R1113" s="38">
        <v>1</v>
      </c>
      <c r="S1113" s="35" t="s">
        <v>2266</v>
      </c>
      <c r="T1113" s="35" t="s">
        <v>978</v>
      </c>
      <c r="U1113" s="38">
        <v>32542400</v>
      </c>
      <c r="V1113" s="38">
        <v>1</v>
      </c>
      <c r="W1113" s="18">
        <f>_xlfn.XLOOKUP(J1113,'Master Data 14-9-2026'!C:C,'Master Data 14-9-2026'!L:L)</f>
        <v>0</v>
      </c>
      <c r="X1113" s="20">
        <f t="shared" si="20"/>
        <v>32542400</v>
      </c>
      <c r="Y1113" s="35" t="s">
        <v>2519</v>
      </c>
      <c r="AG1113" s="4"/>
    </row>
    <row r="1114" spans="1:33" hidden="1">
      <c r="A1114" s="35" t="s">
        <v>2754</v>
      </c>
      <c r="B1114" s="13" t="str">
        <f>_xlfn.XLOOKUP(J1114,'Master Data 14-9-2026'!C:C,'Master Data 14-9-2026'!D:D)</f>
        <v>Rahma Karta Barus WX1529203</v>
      </c>
      <c r="D1114" s="13" t="str">
        <f>_xlfn.XLOOKUP(J1114,'Master Data 14-9-2026'!C:C,'Master Data 14-9-2026'!E:E)</f>
        <v>XLSMART</v>
      </c>
      <c r="F1114" s="13"/>
      <c r="H1114" s="13" t="str">
        <f>_xlfn.XLOOKUP(J1114,'Master Data 14-9-2026'!C:C,'Master Data 14-9-2026'!H:H)</f>
        <v>2026-08-22 - 2026-09-21</v>
      </c>
      <c r="I1114" s="13" t="str">
        <f t="shared" si="21"/>
        <v>August</v>
      </c>
      <c r="J1114" s="35" t="s">
        <v>2754</v>
      </c>
      <c r="K1114" s="35" t="s">
        <v>1606</v>
      </c>
      <c r="M1114" s="35" t="s">
        <v>2755</v>
      </c>
      <c r="N1114" s="35" t="s">
        <v>924</v>
      </c>
      <c r="O1114" s="35" t="s">
        <v>2517</v>
      </c>
      <c r="P1114" s="35" t="s">
        <v>2518</v>
      </c>
      <c r="Q1114" s="38">
        <v>118</v>
      </c>
      <c r="R1114" s="38">
        <v>1</v>
      </c>
      <c r="S1114" s="35" t="s">
        <v>2266</v>
      </c>
      <c r="T1114" s="35" t="s">
        <v>978</v>
      </c>
      <c r="U1114" s="38">
        <v>32542400</v>
      </c>
      <c r="V1114" s="38">
        <v>1</v>
      </c>
      <c r="W1114" s="18">
        <f>_xlfn.XLOOKUP(J1114,'Master Data 14-9-2026'!C:C,'Master Data 14-9-2026'!L:L)</f>
        <v>0.5</v>
      </c>
      <c r="X1114" s="20">
        <f t="shared" si="20"/>
        <v>32542400</v>
      </c>
      <c r="Y1114" s="35" t="s">
        <v>2519</v>
      </c>
      <c r="AG1114" s="4"/>
    </row>
    <row r="1115" spans="1:33" hidden="1">
      <c r="A1115" s="35" t="s">
        <v>2756</v>
      </c>
      <c r="B1115" s="13" t="e">
        <f>_xlfn.XLOOKUP(J1115,'Master Data 14-9-2026'!C:C,'Master Data 14-9-2026'!D:D)</f>
        <v>#N/A</v>
      </c>
      <c r="D1115" s="13" t="e">
        <f>_xlfn.XLOOKUP(J1115,'Master Data 14-9-2026'!C:C,'Master Data 14-9-2026'!E:E)</f>
        <v>#N/A</v>
      </c>
      <c r="F1115" s="13"/>
      <c r="H1115" s="13" t="e">
        <f>_xlfn.XLOOKUP(J1115,'Master Data 14-9-2026'!C:C,'Master Data 14-9-2026'!H:H)</f>
        <v>#N/A</v>
      </c>
      <c r="I1115" s="13" t="e">
        <f t="shared" si="21"/>
        <v>#N/A</v>
      </c>
      <c r="J1115" s="35" t="s">
        <v>2756</v>
      </c>
      <c r="K1115" s="35" t="s">
        <v>1606</v>
      </c>
      <c r="M1115" s="35" t="s">
        <v>2757</v>
      </c>
      <c r="N1115" s="35" t="s">
        <v>924</v>
      </c>
      <c r="O1115" s="35" t="s">
        <v>2517</v>
      </c>
      <c r="P1115" s="35" t="s">
        <v>2518</v>
      </c>
      <c r="Q1115" s="38">
        <v>119</v>
      </c>
      <c r="R1115" s="38">
        <v>1</v>
      </c>
      <c r="S1115" s="35" t="s">
        <v>2266</v>
      </c>
      <c r="T1115" s="35" t="s">
        <v>978</v>
      </c>
      <c r="U1115" s="38">
        <v>32542400</v>
      </c>
      <c r="V1115" s="38">
        <v>1</v>
      </c>
      <c r="W1115" s="18" t="e">
        <f>_xlfn.XLOOKUP(J1115,'Master Data 14-9-2026'!C:C,'Master Data 14-9-2026'!L:L)</f>
        <v>#N/A</v>
      </c>
      <c r="X1115" s="20">
        <f t="shared" si="20"/>
        <v>32542400</v>
      </c>
      <c r="Y1115" s="35" t="s">
        <v>2519</v>
      </c>
      <c r="AG1115" s="4"/>
    </row>
    <row r="1116" spans="1:33" hidden="1">
      <c r="A1116" s="35" t="s">
        <v>2758</v>
      </c>
      <c r="B1116" s="13" t="str">
        <f>_xlfn.XLOOKUP(J1116,'Master Data 14-9-2026'!C:C,'Master Data 14-9-2026'!D:D)</f>
        <v>Reza Aditya Azis wx1540410</v>
      </c>
      <c r="D1116" s="13" t="str">
        <f>_xlfn.XLOOKUP(J1116,'Master Data 14-9-2026'!C:C,'Master Data 14-9-2026'!E:E)</f>
        <v>XLSMART</v>
      </c>
      <c r="F1116" s="13"/>
      <c r="H1116" s="13" t="str">
        <f>_xlfn.XLOOKUP(J1116,'Master Data 14-9-2026'!C:C,'Master Data 14-9-2026'!H:H)</f>
        <v>2026-08-12 - 2026-09-11</v>
      </c>
      <c r="I1116" s="13" t="str">
        <f t="shared" si="21"/>
        <v>August</v>
      </c>
      <c r="J1116" s="35" t="s">
        <v>2758</v>
      </c>
      <c r="K1116" s="35" t="s">
        <v>2741</v>
      </c>
      <c r="M1116" s="35" t="s">
        <v>2759</v>
      </c>
      <c r="N1116" s="35" t="s">
        <v>924</v>
      </c>
      <c r="O1116" s="35" t="s">
        <v>2517</v>
      </c>
      <c r="P1116" s="35" t="s">
        <v>2518</v>
      </c>
      <c r="Q1116" s="38">
        <v>120</v>
      </c>
      <c r="R1116" s="38">
        <v>1</v>
      </c>
      <c r="S1116" s="35" t="s">
        <v>2266</v>
      </c>
      <c r="T1116" s="35" t="s">
        <v>978</v>
      </c>
      <c r="U1116" s="38">
        <v>32542400</v>
      </c>
      <c r="V1116" s="38">
        <v>1</v>
      </c>
      <c r="W1116" s="18">
        <f>_xlfn.XLOOKUP(J1116,'Master Data 14-9-2026'!C:C,'Master Data 14-9-2026'!L:L)</f>
        <v>0.5</v>
      </c>
      <c r="X1116" s="20">
        <f t="shared" si="20"/>
        <v>32542400</v>
      </c>
      <c r="Y1116" s="35" t="s">
        <v>2519</v>
      </c>
      <c r="AG1116" s="4"/>
    </row>
    <row r="1117" spans="1:33" hidden="1">
      <c r="A1117" s="35" t="s">
        <v>2760</v>
      </c>
      <c r="B1117" s="13" t="str">
        <f>_xlfn.XLOOKUP(J1117,'Master Data 14-9-2026'!C:C,'Master Data 14-9-2026'!D:D)</f>
        <v>Reza Aditya Azis wx1540410</v>
      </c>
      <c r="D1117" s="13" t="str">
        <f>_xlfn.XLOOKUP(J1117,'Master Data 14-9-2026'!C:C,'Master Data 14-9-2026'!E:E)</f>
        <v>XLSMART</v>
      </c>
      <c r="F1117" s="13"/>
      <c r="H1117" s="13" t="str">
        <f>_xlfn.XLOOKUP(J1117,'Master Data 14-9-2026'!C:C,'Master Data 14-9-2026'!H:H)</f>
        <v>2026-09-12 - 2026-10-11</v>
      </c>
      <c r="I1117" s="13" t="str">
        <f t="shared" si="21"/>
        <v>September</v>
      </c>
      <c r="J1117" s="35" t="s">
        <v>2760</v>
      </c>
      <c r="K1117" s="35" t="s">
        <v>2741</v>
      </c>
      <c r="M1117" s="35" t="s">
        <v>2761</v>
      </c>
      <c r="N1117" s="35" t="s">
        <v>924</v>
      </c>
      <c r="O1117" s="35" t="s">
        <v>2517</v>
      </c>
      <c r="P1117" s="35" t="s">
        <v>2518</v>
      </c>
      <c r="Q1117" s="38">
        <v>121</v>
      </c>
      <c r="R1117" s="38">
        <v>1</v>
      </c>
      <c r="S1117" s="35" t="s">
        <v>2266</v>
      </c>
      <c r="T1117" s="35" t="s">
        <v>978</v>
      </c>
      <c r="U1117" s="38">
        <v>32542400</v>
      </c>
      <c r="V1117" s="38">
        <v>1</v>
      </c>
      <c r="W1117" s="18">
        <f>_xlfn.XLOOKUP(J1117,'Master Data 14-9-2026'!C:C,'Master Data 14-9-2026'!L:L)</f>
        <v>0</v>
      </c>
      <c r="X1117" s="20">
        <f t="shared" si="20"/>
        <v>32542400</v>
      </c>
      <c r="Y1117" s="35" t="s">
        <v>2519</v>
      </c>
      <c r="AG1117" s="4"/>
    </row>
    <row r="1118" spans="1:33" hidden="1">
      <c r="A1118" s="35" t="s">
        <v>2762</v>
      </c>
      <c r="B1118" s="13" t="str">
        <f>_xlfn.XLOOKUP(J1118,'Master Data 14-9-2026'!C:C,'Master Data 14-9-2026'!D:D)</f>
        <v>Wahyu Kumoro wx1540411</v>
      </c>
      <c r="D1118" s="13" t="str">
        <f>_xlfn.XLOOKUP(J1118,'Master Data 14-9-2026'!C:C,'Master Data 14-9-2026'!E:E)</f>
        <v>XLSMART</v>
      </c>
      <c r="F1118" s="13"/>
      <c r="H1118" s="13" t="str">
        <f>_xlfn.XLOOKUP(J1118,'Master Data 14-9-2026'!C:C,'Master Data 14-9-2026'!H:H)</f>
        <v>2026-08-12 - 2026-09-11</v>
      </c>
      <c r="I1118" s="13" t="str">
        <f t="shared" si="21"/>
        <v>August</v>
      </c>
      <c r="J1118" s="35" t="s">
        <v>2762</v>
      </c>
      <c r="K1118" s="35" t="s">
        <v>2741</v>
      </c>
      <c r="M1118" s="35" t="s">
        <v>2763</v>
      </c>
      <c r="N1118" s="35" t="s">
        <v>924</v>
      </c>
      <c r="O1118" s="35" t="s">
        <v>2517</v>
      </c>
      <c r="P1118" s="35" t="s">
        <v>2518</v>
      </c>
      <c r="Q1118" s="38">
        <v>122</v>
      </c>
      <c r="R1118" s="38">
        <v>1</v>
      </c>
      <c r="S1118" s="35" t="s">
        <v>2266</v>
      </c>
      <c r="T1118" s="35" t="s">
        <v>978</v>
      </c>
      <c r="U1118" s="38">
        <v>32542400</v>
      </c>
      <c r="V1118" s="38">
        <v>1</v>
      </c>
      <c r="W1118" s="18">
        <f>_xlfn.XLOOKUP(J1118,'Master Data 14-9-2026'!C:C,'Master Data 14-9-2026'!L:L)</f>
        <v>0.5</v>
      </c>
      <c r="X1118" s="20">
        <f t="shared" si="20"/>
        <v>32542400</v>
      </c>
      <c r="Y1118" s="35" t="s">
        <v>2519</v>
      </c>
      <c r="AG1118" s="4"/>
    </row>
    <row r="1119" spans="1:33" hidden="1">
      <c r="A1119" s="35" t="s">
        <v>2764</v>
      </c>
      <c r="B1119" s="13" t="str">
        <f>_xlfn.XLOOKUP(J1119,'Master Data 14-9-2026'!C:C,'Master Data 14-9-2026'!D:D)</f>
        <v>Wahyu Kumoro wx1540411</v>
      </c>
      <c r="D1119" s="13" t="str">
        <f>_xlfn.XLOOKUP(J1119,'Master Data 14-9-2026'!C:C,'Master Data 14-9-2026'!E:E)</f>
        <v>XLSMART</v>
      </c>
      <c r="F1119" s="13"/>
      <c r="H1119" s="13" t="str">
        <f>_xlfn.XLOOKUP(J1119,'Master Data 14-9-2026'!C:C,'Master Data 14-9-2026'!H:H)</f>
        <v>2026-09-12 - 2026-10-11</v>
      </c>
      <c r="I1119" s="13" t="str">
        <f t="shared" si="21"/>
        <v>September</v>
      </c>
      <c r="J1119" s="35" t="s">
        <v>2764</v>
      </c>
      <c r="K1119" s="35" t="s">
        <v>2741</v>
      </c>
      <c r="M1119" s="35" t="s">
        <v>2765</v>
      </c>
      <c r="N1119" s="35" t="s">
        <v>924</v>
      </c>
      <c r="O1119" s="35" t="s">
        <v>2517</v>
      </c>
      <c r="P1119" s="35" t="s">
        <v>2518</v>
      </c>
      <c r="Q1119" s="38">
        <v>123</v>
      </c>
      <c r="R1119" s="38">
        <v>1</v>
      </c>
      <c r="S1119" s="35" t="s">
        <v>2266</v>
      </c>
      <c r="T1119" s="35" t="s">
        <v>978</v>
      </c>
      <c r="U1119" s="38">
        <v>32542400</v>
      </c>
      <c r="V1119" s="38">
        <v>1</v>
      </c>
      <c r="W1119" s="18">
        <f>_xlfn.XLOOKUP(J1119,'Master Data 14-9-2026'!C:C,'Master Data 14-9-2026'!L:L)</f>
        <v>0</v>
      </c>
      <c r="X1119" s="20">
        <f t="shared" si="20"/>
        <v>32542400</v>
      </c>
      <c r="Y1119" s="35" t="s">
        <v>2519</v>
      </c>
      <c r="AG1119" s="4"/>
    </row>
    <row r="1120" spans="1:33" hidden="1">
      <c r="A1120" s="35" t="s">
        <v>2766</v>
      </c>
      <c r="B1120" s="13" t="str">
        <f>_xlfn.XLOOKUP(J1120,'Master Data 14-9-2026'!C:C,'Master Data 14-9-2026'!D:D)</f>
        <v>Agus Tri Ardi Wijaya wx1540412</v>
      </c>
      <c r="D1120" s="13" t="str">
        <f>_xlfn.XLOOKUP(J1120,'Master Data 14-9-2026'!C:C,'Master Data 14-9-2026'!E:E)</f>
        <v>XLSMART</v>
      </c>
      <c r="F1120" s="13"/>
      <c r="H1120" s="13" t="str">
        <f>_xlfn.XLOOKUP(J1120,'Master Data 14-9-2026'!C:C,'Master Data 14-9-2026'!H:H)</f>
        <v>2026-08-12 - 2026-09-11</v>
      </c>
      <c r="I1120" s="13" t="str">
        <f t="shared" si="21"/>
        <v>August</v>
      </c>
      <c r="J1120" s="35" t="s">
        <v>2766</v>
      </c>
      <c r="K1120" s="35" t="s">
        <v>2741</v>
      </c>
      <c r="M1120" s="35" t="s">
        <v>2767</v>
      </c>
      <c r="N1120" s="35" t="s">
        <v>924</v>
      </c>
      <c r="O1120" s="35" t="s">
        <v>2517</v>
      </c>
      <c r="P1120" s="35" t="s">
        <v>2518</v>
      </c>
      <c r="Q1120" s="38">
        <v>124</v>
      </c>
      <c r="R1120" s="38">
        <v>1</v>
      </c>
      <c r="S1120" s="35" t="s">
        <v>2266</v>
      </c>
      <c r="T1120" s="35" t="s">
        <v>978</v>
      </c>
      <c r="U1120" s="38">
        <v>32542400</v>
      </c>
      <c r="V1120" s="38">
        <v>1</v>
      </c>
      <c r="W1120" s="18">
        <f>_xlfn.XLOOKUP(J1120,'Master Data 14-9-2026'!C:C,'Master Data 14-9-2026'!L:L)</f>
        <v>0</v>
      </c>
      <c r="X1120" s="20">
        <f t="shared" si="20"/>
        <v>32542400</v>
      </c>
      <c r="Y1120" s="35" t="s">
        <v>2519</v>
      </c>
      <c r="AG1120" s="4"/>
    </row>
    <row r="1121" spans="1:33" hidden="1">
      <c r="A1121" s="35" t="s">
        <v>2768</v>
      </c>
      <c r="B1121" s="13" t="str">
        <f>_xlfn.XLOOKUP(J1121,'Master Data 14-9-2026'!C:C,'Master Data 14-9-2026'!D:D)</f>
        <v>Agus Tri Ardi Wijaya wx1540412</v>
      </c>
      <c r="D1121" s="13" t="str">
        <f>_xlfn.XLOOKUP(J1121,'Master Data 14-9-2026'!C:C,'Master Data 14-9-2026'!E:E)</f>
        <v>XLSMART</v>
      </c>
      <c r="F1121" s="13"/>
      <c r="H1121" s="13" t="str">
        <f>_xlfn.XLOOKUP(J1121,'Master Data 14-9-2026'!C:C,'Master Data 14-9-2026'!H:H)</f>
        <v>2026-09-12 - 2026-10-11</v>
      </c>
      <c r="I1121" s="13" t="str">
        <f t="shared" si="21"/>
        <v>September</v>
      </c>
      <c r="J1121" s="35" t="s">
        <v>2768</v>
      </c>
      <c r="K1121" s="35" t="s">
        <v>2741</v>
      </c>
      <c r="M1121" s="35" t="s">
        <v>2769</v>
      </c>
      <c r="N1121" s="35" t="s">
        <v>924</v>
      </c>
      <c r="O1121" s="35" t="s">
        <v>2517</v>
      </c>
      <c r="P1121" s="35" t="s">
        <v>2518</v>
      </c>
      <c r="Q1121" s="38">
        <v>125</v>
      </c>
      <c r="R1121" s="38">
        <v>1</v>
      </c>
      <c r="S1121" s="35" t="s">
        <v>2266</v>
      </c>
      <c r="T1121" s="35" t="s">
        <v>978</v>
      </c>
      <c r="U1121" s="38">
        <v>32542400</v>
      </c>
      <c r="V1121" s="38">
        <v>1</v>
      </c>
      <c r="W1121" s="18">
        <f>_xlfn.XLOOKUP(J1121,'Master Data 14-9-2026'!C:C,'Master Data 14-9-2026'!L:L)</f>
        <v>0</v>
      </c>
      <c r="X1121" s="20">
        <f t="shared" si="20"/>
        <v>32542400</v>
      </c>
      <c r="Y1121" s="35" t="s">
        <v>2519</v>
      </c>
      <c r="AG1121" s="4"/>
    </row>
    <row r="1122" spans="1:33" hidden="1">
      <c r="A1122" s="35" t="s">
        <v>2770</v>
      </c>
      <c r="B1122" s="13" t="e">
        <f>_xlfn.XLOOKUP(J1122,'Master Data 14-9-2026'!C:C,'Master Data 14-9-2026'!D:D)</f>
        <v>#N/A</v>
      </c>
      <c r="D1122" s="13" t="e">
        <f>_xlfn.XLOOKUP(J1122,'Master Data 14-9-2026'!C:C,'Master Data 14-9-2026'!E:E)</f>
        <v>#N/A</v>
      </c>
      <c r="F1122" s="13"/>
      <c r="H1122" s="13" t="e">
        <f>_xlfn.XLOOKUP(J1122,'Master Data 14-9-2026'!C:C,'Master Data 14-9-2026'!H:H)</f>
        <v>#N/A</v>
      </c>
      <c r="I1122" s="13" t="e">
        <f t="shared" si="21"/>
        <v>#N/A</v>
      </c>
      <c r="J1122" s="35" t="s">
        <v>2770</v>
      </c>
      <c r="K1122" s="35" t="s">
        <v>2748</v>
      </c>
      <c r="M1122" s="35" t="s">
        <v>2771</v>
      </c>
      <c r="N1122" s="35" t="s">
        <v>924</v>
      </c>
      <c r="O1122" s="35" t="s">
        <v>2517</v>
      </c>
      <c r="P1122" s="35" t="s">
        <v>2518</v>
      </c>
      <c r="Q1122" s="38">
        <v>126</v>
      </c>
      <c r="R1122" s="38">
        <v>1</v>
      </c>
      <c r="S1122" s="35" t="s">
        <v>2266</v>
      </c>
      <c r="T1122" s="35" t="s">
        <v>978</v>
      </c>
      <c r="U1122" s="38">
        <v>32542400</v>
      </c>
      <c r="V1122" s="38">
        <v>1</v>
      </c>
      <c r="W1122" s="18" t="e">
        <f>_xlfn.XLOOKUP(J1122,'Master Data 14-9-2026'!C:C,'Master Data 14-9-2026'!L:L)</f>
        <v>#N/A</v>
      </c>
      <c r="X1122" s="20">
        <f t="shared" si="20"/>
        <v>32542400</v>
      </c>
      <c r="Y1122" s="35" t="s">
        <v>2519</v>
      </c>
      <c r="AG1122" s="4"/>
    </row>
    <row r="1123" spans="1:33" hidden="1">
      <c r="A1123" s="35" t="s">
        <v>2772</v>
      </c>
      <c r="B1123" s="13" t="e">
        <f>_xlfn.XLOOKUP(J1123,'Master Data 14-9-2026'!C:C,'Master Data 14-9-2026'!D:D)</f>
        <v>#N/A</v>
      </c>
      <c r="D1123" s="13" t="e">
        <f>_xlfn.XLOOKUP(J1123,'Master Data 14-9-2026'!C:C,'Master Data 14-9-2026'!E:E)</f>
        <v>#N/A</v>
      </c>
      <c r="F1123" s="13"/>
      <c r="H1123" s="13" t="e">
        <f>_xlfn.XLOOKUP(J1123,'Master Data 14-9-2026'!C:C,'Master Data 14-9-2026'!H:H)</f>
        <v>#N/A</v>
      </c>
      <c r="I1123" s="13" t="e">
        <f t="shared" si="21"/>
        <v>#N/A</v>
      </c>
      <c r="J1123" s="35" t="s">
        <v>2772</v>
      </c>
      <c r="K1123" s="35" t="s">
        <v>2748</v>
      </c>
      <c r="M1123" s="35" t="s">
        <v>2773</v>
      </c>
      <c r="N1123" s="35" t="s">
        <v>924</v>
      </c>
      <c r="O1123" s="35" t="s">
        <v>2517</v>
      </c>
      <c r="P1123" s="35" t="s">
        <v>2518</v>
      </c>
      <c r="Q1123" s="38">
        <v>127</v>
      </c>
      <c r="R1123" s="38">
        <v>1</v>
      </c>
      <c r="S1123" s="35" t="s">
        <v>2266</v>
      </c>
      <c r="T1123" s="35" t="s">
        <v>978</v>
      </c>
      <c r="U1123" s="38">
        <v>32542400</v>
      </c>
      <c r="V1123" s="38">
        <v>1</v>
      </c>
      <c r="W1123" s="18" t="e">
        <f>_xlfn.XLOOKUP(J1123,'Master Data 14-9-2026'!C:C,'Master Data 14-9-2026'!L:L)</f>
        <v>#N/A</v>
      </c>
      <c r="X1123" s="20">
        <f t="shared" si="20"/>
        <v>32542400</v>
      </c>
      <c r="Y1123" s="35" t="s">
        <v>2519</v>
      </c>
      <c r="AG1123" s="4"/>
    </row>
    <row r="1124" spans="1:33" hidden="1">
      <c r="A1124" s="35" t="s">
        <v>2774</v>
      </c>
      <c r="B1124" s="13" t="str">
        <f>_xlfn.XLOOKUP(J1124,'Master Data 14-9-2026'!C:C,'Master Data 14-9-2026'!D:D)</f>
        <v>Zizi Amelia Rusdy wx1541082</v>
      </c>
      <c r="D1124" s="13" t="str">
        <f>_xlfn.XLOOKUP(J1124,'Master Data 14-9-2026'!C:C,'Master Data 14-9-2026'!E:E)</f>
        <v>XLSMART-NWL</v>
      </c>
      <c r="F1124" s="13"/>
      <c r="H1124" s="13" t="str">
        <f>_xlfn.XLOOKUP(J1124,'Master Data 14-9-2026'!C:C,'Master Data 14-9-2026'!H:H)</f>
        <v>2026-08-07 - 2026-09-06</v>
      </c>
      <c r="I1124" s="13" t="str">
        <f t="shared" si="21"/>
        <v>August</v>
      </c>
      <c r="J1124" s="35" t="s">
        <v>2774</v>
      </c>
      <c r="K1124" s="35" t="s">
        <v>2774</v>
      </c>
      <c r="M1124" s="35" t="s">
        <v>2775</v>
      </c>
      <c r="N1124" s="35" t="s">
        <v>924</v>
      </c>
      <c r="O1124" s="35" t="s">
        <v>2776</v>
      </c>
      <c r="P1124" s="35" t="s">
        <v>2777</v>
      </c>
      <c r="Q1124" s="38">
        <v>1</v>
      </c>
      <c r="R1124" s="38">
        <v>1</v>
      </c>
      <c r="S1124" s="35" t="s">
        <v>2233</v>
      </c>
      <c r="T1124" s="35" t="s">
        <v>951</v>
      </c>
      <c r="U1124" s="38">
        <v>28881900</v>
      </c>
      <c r="V1124" s="38">
        <v>1</v>
      </c>
      <c r="W1124" s="18">
        <f>_xlfn.XLOOKUP(J1124,'Master Data 14-9-2026'!C:C,'Master Data 14-9-2026'!L:L)</f>
        <v>0</v>
      </c>
      <c r="X1124" s="20">
        <f t="shared" si="20"/>
        <v>28881900</v>
      </c>
      <c r="Y1124" s="35" t="s">
        <v>2519</v>
      </c>
      <c r="AG1124" s="4"/>
    </row>
    <row r="1125" spans="1:33" hidden="1">
      <c r="A1125" s="35" t="s">
        <v>2778</v>
      </c>
      <c r="B1125" s="13" t="str">
        <f>_xlfn.XLOOKUP(J1125,'Master Data 14-9-2026'!C:C,'Master Data 14-9-2026'!D:D)</f>
        <v>Zizi Amelia Rusdy wx1541082</v>
      </c>
      <c r="D1125" s="13" t="str">
        <f>_xlfn.XLOOKUP(J1125,'Master Data 14-9-2026'!C:C,'Master Data 14-9-2026'!E:E)</f>
        <v>XLSMART-NWL</v>
      </c>
      <c r="F1125" s="13"/>
      <c r="H1125" s="13" t="str">
        <f>_xlfn.XLOOKUP(J1125,'Master Data 14-9-2026'!C:C,'Master Data 14-9-2026'!H:H)</f>
        <v>2026-09-07 - 2026-10-06</v>
      </c>
      <c r="I1125" s="13" t="str">
        <f t="shared" si="21"/>
        <v>September</v>
      </c>
      <c r="J1125" s="35" t="s">
        <v>2778</v>
      </c>
      <c r="K1125" s="35" t="s">
        <v>2778</v>
      </c>
      <c r="M1125" s="35" t="s">
        <v>2779</v>
      </c>
      <c r="N1125" s="35" t="s">
        <v>924</v>
      </c>
      <c r="O1125" s="35" t="s">
        <v>2776</v>
      </c>
      <c r="P1125" s="35" t="s">
        <v>2777</v>
      </c>
      <c r="Q1125" s="38">
        <v>2</v>
      </c>
      <c r="R1125" s="38">
        <v>1</v>
      </c>
      <c r="S1125" s="35" t="s">
        <v>2233</v>
      </c>
      <c r="T1125" s="35" t="s">
        <v>951</v>
      </c>
      <c r="U1125" s="38">
        <v>28881900</v>
      </c>
      <c r="V1125" s="38">
        <v>1</v>
      </c>
      <c r="W1125" s="18">
        <f>_xlfn.XLOOKUP(J1125,'Master Data 14-9-2026'!C:C,'Master Data 14-9-2026'!L:L)</f>
        <v>0</v>
      </c>
      <c r="X1125" s="20">
        <f t="shared" si="20"/>
        <v>28881900</v>
      </c>
      <c r="Y1125" s="35" t="s">
        <v>2519</v>
      </c>
      <c r="AG1125" s="4"/>
    </row>
    <row r="1126" spans="1:33" hidden="1">
      <c r="A1126" s="35" t="s">
        <v>2780</v>
      </c>
      <c r="B1126" s="13" t="str">
        <f>_xlfn.XLOOKUP(J1126,'Master Data 14-9-2026'!C:C,'Master Data 14-9-2026'!D:D)</f>
        <v>Fian Affriansyah wx1530972</v>
      </c>
      <c r="D1126" s="13" t="str">
        <f>_xlfn.XLOOKUP(J1126,'Master Data 14-9-2026'!C:C,'Master Data 14-9-2026'!E:E)</f>
        <v>XLSMART-NWL</v>
      </c>
      <c r="F1126" s="13"/>
      <c r="H1126" s="13" t="str">
        <f>_xlfn.XLOOKUP(J1126,'Master Data 14-9-2026'!C:C,'Master Data 14-9-2026'!H:H)</f>
        <v>2026-09-01 - 2026-09-30</v>
      </c>
      <c r="I1126" s="13" t="str">
        <f t="shared" si="21"/>
        <v>September</v>
      </c>
      <c r="J1126" s="35" t="s">
        <v>2780</v>
      </c>
      <c r="K1126" s="35" t="s">
        <v>2780</v>
      </c>
      <c r="M1126" s="35" t="s">
        <v>2781</v>
      </c>
      <c r="N1126" s="35" t="s">
        <v>924</v>
      </c>
      <c r="O1126" s="35" t="s">
        <v>2776</v>
      </c>
      <c r="P1126" s="35" t="s">
        <v>2777</v>
      </c>
      <c r="Q1126" s="38">
        <v>3</v>
      </c>
      <c r="R1126" s="38">
        <v>1</v>
      </c>
      <c r="S1126" s="35" t="s">
        <v>2289</v>
      </c>
      <c r="T1126" s="35" t="s">
        <v>933</v>
      </c>
      <c r="U1126" s="38">
        <v>36992000</v>
      </c>
      <c r="V1126" s="38">
        <v>1</v>
      </c>
      <c r="W1126" s="18">
        <f>_xlfn.XLOOKUP(J1126,'Master Data 14-9-2026'!C:C,'Master Data 14-9-2026'!L:L)</f>
        <v>0.75</v>
      </c>
      <c r="X1126" s="20">
        <f t="shared" si="20"/>
        <v>36992000</v>
      </c>
      <c r="Y1126" s="35" t="s">
        <v>2519</v>
      </c>
      <c r="AG1126" s="4"/>
    </row>
    <row r="1127" spans="1:33" hidden="1">
      <c r="A1127" s="35" t="s">
        <v>2782</v>
      </c>
      <c r="B1127" s="13" t="str">
        <f>_xlfn.XLOOKUP(J1127,'Master Data 14-9-2026'!C:C,'Master Data 14-9-2026'!D:D)</f>
        <v>Thaffira Auli Putri Prasetio wx1527457</v>
      </c>
      <c r="D1127" s="13" t="str">
        <f>_xlfn.XLOOKUP(J1127,'Master Data 14-9-2026'!C:C,'Master Data 14-9-2026'!E:E)</f>
        <v>XLSMART-NWL</v>
      </c>
      <c r="F1127" s="13"/>
      <c r="H1127" s="13" t="str">
        <f>_xlfn.XLOOKUP(J1127,'Master Data 14-9-2026'!C:C,'Master Data 14-9-2026'!H:H)</f>
        <v>2026-09-12 - 2026-10-11</v>
      </c>
      <c r="I1127" s="13" t="str">
        <f t="shared" si="21"/>
        <v>September</v>
      </c>
      <c r="J1127" s="35" t="s">
        <v>2782</v>
      </c>
      <c r="K1127" s="35" t="s">
        <v>2782</v>
      </c>
      <c r="M1127" s="35" t="s">
        <v>2783</v>
      </c>
      <c r="N1127" s="35" t="s">
        <v>924</v>
      </c>
      <c r="O1127" s="35" t="s">
        <v>2776</v>
      </c>
      <c r="P1127" s="35" t="s">
        <v>2777</v>
      </c>
      <c r="Q1127" s="38">
        <v>4</v>
      </c>
      <c r="R1127" s="38">
        <v>1</v>
      </c>
      <c r="S1127" s="35" t="s">
        <v>2262</v>
      </c>
      <c r="T1127" s="35" t="s">
        <v>926</v>
      </c>
      <c r="U1127" s="38">
        <v>34220600</v>
      </c>
      <c r="V1127" s="38">
        <v>1</v>
      </c>
      <c r="W1127" s="18">
        <f>_xlfn.XLOOKUP(J1127,'Master Data 14-9-2026'!C:C,'Master Data 14-9-2026'!L:L)</f>
        <v>0</v>
      </c>
      <c r="X1127" s="20">
        <f t="shared" si="20"/>
        <v>34220600</v>
      </c>
      <c r="Y1127" s="35" t="s">
        <v>2519</v>
      </c>
      <c r="AG1127" s="4"/>
    </row>
    <row r="1128" spans="1:33" hidden="1">
      <c r="A1128" s="35" t="s">
        <v>2784</v>
      </c>
      <c r="B1128" s="13" t="str">
        <f>_xlfn.XLOOKUP(J1128,'Master Data 14-9-2026'!C:C,'Master Data 14-9-2026'!D:D)</f>
        <v>Dwi Aprianita Hernata Agina Br Purba wx1506941</v>
      </c>
      <c r="D1128" s="13" t="str">
        <f>_xlfn.XLOOKUP(J1128,'Master Data 14-9-2026'!C:C,'Master Data 14-9-2026'!E:E)</f>
        <v>XLSMART-NWL</v>
      </c>
      <c r="F1128" s="13"/>
      <c r="H1128" s="13" t="str">
        <f>_xlfn.XLOOKUP(J1128,'Master Data 14-9-2026'!C:C,'Master Data 14-9-2026'!H:H)</f>
        <v>2026-09-01 - 2026-09-30</v>
      </c>
      <c r="I1128" s="13" t="str">
        <f t="shared" si="21"/>
        <v>September</v>
      </c>
      <c r="J1128" s="35" t="s">
        <v>2784</v>
      </c>
      <c r="K1128" s="35" t="s">
        <v>2784</v>
      </c>
      <c r="M1128" s="35" t="s">
        <v>2785</v>
      </c>
      <c r="N1128" s="35" t="s">
        <v>924</v>
      </c>
      <c r="O1128" s="35" t="s">
        <v>2776</v>
      </c>
      <c r="P1128" s="35" t="s">
        <v>2777</v>
      </c>
      <c r="Q1128" s="38">
        <v>5</v>
      </c>
      <c r="R1128" s="38">
        <v>1</v>
      </c>
      <c r="S1128" s="35" t="s">
        <v>2262</v>
      </c>
      <c r="T1128" s="35" t="s">
        <v>926</v>
      </c>
      <c r="U1128" s="38">
        <v>34220600</v>
      </c>
      <c r="V1128" s="38">
        <v>1</v>
      </c>
      <c r="W1128" s="18">
        <f>_xlfn.XLOOKUP(J1128,'Master Data 14-9-2026'!C:C,'Master Data 14-9-2026'!L:L)</f>
        <v>0</v>
      </c>
      <c r="X1128" s="20">
        <f t="shared" si="20"/>
        <v>34220600</v>
      </c>
      <c r="Y1128" s="35" t="s">
        <v>2519</v>
      </c>
      <c r="AG1128" s="4"/>
    </row>
    <row r="1129" spans="1:33" hidden="1">
      <c r="A1129" s="35" t="s">
        <v>2786</v>
      </c>
      <c r="B1129" s="13" t="str">
        <f>_xlfn.XLOOKUP(J1129,'Master Data 14-9-2026'!C:C,'Master Data 14-9-2026'!D:D)</f>
        <v>Benny Priyarto wx1506942</v>
      </c>
      <c r="D1129" s="13" t="str">
        <f>_xlfn.XLOOKUP(J1129,'Master Data 14-9-2026'!C:C,'Master Data 14-9-2026'!E:E)</f>
        <v>XLSMART-NWL</v>
      </c>
      <c r="F1129" s="13"/>
      <c r="H1129" s="13" t="str">
        <f>_xlfn.XLOOKUP(J1129,'Master Data 14-9-2026'!C:C,'Master Data 14-9-2026'!H:H)</f>
        <v>2026-09-01 - 2026-09-30</v>
      </c>
      <c r="I1129" s="13" t="str">
        <f t="shared" si="21"/>
        <v>September</v>
      </c>
      <c r="J1129" s="35" t="s">
        <v>2786</v>
      </c>
      <c r="K1129" s="35" t="s">
        <v>2786</v>
      </c>
      <c r="M1129" s="35" t="s">
        <v>2787</v>
      </c>
      <c r="N1129" s="35" t="s">
        <v>924</v>
      </c>
      <c r="O1129" s="35" t="s">
        <v>2776</v>
      </c>
      <c r="P1129" s="35" t="s">
        <v>2777</v>
      </c>
      <c r="Q1129" s="38">
        <v>6</v>
      </c>
      <c r="R1129" s="38">
        <v>1</v>
      </c>
      <c r="S1129" s="35" t="s">
        <v>2262</v>
      </c>
      <c r="T1129" s="35" t="s">
        <v>926</v>
      </c>
      <c r="U1129" s="38">
        <v>34220600</v>
      </c>
      <c r="V1129" s="38">
        <v>1</v>
      </c>
      <c r="W1129" s="18">
        <f>_xlfn.XLOOKUP(J1129,'Master Data 14-9-2026'!C:C,'Master Data 14-9-2026'!L:L)</f>
        <v>0</v>
      </c>
      <c r="X1129" s="20">
        <f t="shared" si="20"/>
        <v>34220600</v>
      </c>
      <c r="Y1129" s="35" t="s">
        <v>2519</v>
      </c>
      <c r="AG1129" s="4"/>
    </row>
    <row r="1130" spans="1:33" hidden="1">
      <c r="A1130" s="35" t="s">
        <v>2788</v>
      </c>
      <c r="B1130" s="13" t="str">
        <f>_xlfn.XLOOKUP(J1130,'Master Data 14-9-2026'!C:C,'Master Data 14-9-2026'!D:D)</f>
        <v>Youlanda wx1506944</v>
      </c>
      <c r="D1130" s="13" t="str">
        <f>_xlfn.XLOOKUP(J1130,'Master Data 14-9-2026'!C:C,'Master Data 14-9-2026'!E:E)</f>
        <v>TELKOM</v>
      </c>
      <c r="F1130" s="13"/>
      <c r="G1130" s="39" t="s">
        <v>28</v>
      </c>
      <c r="H1130" s="13" t="str">
        <f>_xlfn.XLOOKUP(J1130,'Master Data 14-9-2026'!C:C,'Master Data 14-9-2026'!H:H)</f>
        <v>2026-08-01 - 2026-08-31</v>
      </c>
      <c r="I1130" s="13" t="str">
        <f t="shared" si="21"/>
        <v>August</v>
      </c>
      <c r="J1130" s="35" t="s">
        <v>2788</v>
      </c>
      <c r="K1130" s="35" t="s">
        <v>2788</v>
      </c>
      <c r="L1130" s="13" t="s">
        <v>446</v>
      </c>
      <c r="M1130" s="35" t="s">
        <v>2789</v>
      </c>
      <c r="N1130" s="35" t="s">
        <v>924</v>
      </c>
      <c r="O1130" s="35" t="s">
        <v>2790</v>
      </c>
      <c r="P1130" s="35" t="s">
        <v>2791</v>
      </c>
      <c r="Q1130" s="38">
        <v>1</v>
      </c>
      <c r="R1130" s="38">
        <v>1</v>
      </c>
      <c r="S1130" s="35" t="s">
        <v>2233</v>
      </c>
      <c r="T1130" s="35" t="s">
        <v>951</v>
      </c>
      <c r="U1130" s="38">
        <v>28881900</v>
      </c>
      <c r="V1130" s="38">
        <v>1</v>
      </c>
      <c r="W1130" s="18">
        <f>_xlfn.XLOOKUP(J1130,'Master Data 14-9-2026'!C:C,'Master Data 14-9-2026'!L:L)</f>
        <v>1</v>
      </c>
      <c r="X1130" s="20">
        <f t="shared" si="20"/>
        <v>28881900</v>
      </c>
      <c r="Y1130" s="35" t="s">
        <v>2792</v>
      </c>
      <c r="Z1130" s="24" t="str">
        <f>_xlfn.XLOOKUP(J1130,Master_Data_Productivity[Kolom1],Master_Data_Productivity[Period Status])</f>
        <v>Ended</v>
      </c>
      <c r="AB1130" s="39" t="s">
        <v>1502</v>
      </c>
      <c r="AG1130" s="4"/>
    </row>
    <row r="1131" spans="1:33" hidden="1">
      <c r="A1131" s="35" t="s">
        <v>2793</v>
      </c>
      <c r="B1131" s="13" t="e">
        <f>_xlfn.XLOOKUP(J1131,'Master Data 14-9-2026'!C:C,'Master Data 14-9-2026'!D:D)</f>
        <v>#N/A</v>
      </c>
      <c r="D1131" s="13" t="e">
        <f>_xlfn.XLOOKUP(J1131,'Master Data 14-9-2026'!C:C,'Master Data 14-9-2026'!E:E)</f>
        <v>#N/A</v>
      </c>
      <c r="F1131" s="13"/>
      <c r="H1131" s="13" t="e">
        <f>_xlfn.XLOOKUP(J1131,'Master Data 14-9-2026'!C:C,'Master Data 14-9-2026'!H:H)</f>
        <v>#N/A</v>
      </c>
      <c r="I1131" s="13" t="e">
        <f t="shared" si="21"/>
        <v>#N/A</v>
      </c>
      <c r="J1131" s="35" t="s">
        <v>2793</v>
      </c>
      <c r="K1131" s="35" t="s">
        <v>2793</v>
      </c>
      <c r="L1131" s="13" t="s">
        <v>446</v>
      </c>
      <c r="M1131" s="35" t="s">
        <v>2794</v>
      </c>
      <c r="N1131" s="35" t="s">
        <v>924</v>
      </c>
      <c r="O1131" s="35" t="s">
        <v>2795</v>
      </c>
      <c r="P1131" s="35" t="s">
        <v>2796</v>
      </c>
      <c r="Q1131" s="38">
        <v>1</v>
      </c>
      <c r="R1131" s="38">
        <v>1</v>
      </c>
      <c r="S1131" s="35" t="s">
        <v>2233</v>
      </c>
      <c r="T1131" s="35" t="s">
        <v>951</v>
      </c>
      <c r="U1131" s="38">
        <v>28881900</v>
      </c>
      <c r="V1131" s="38">
        <v>1</v>
      </c>
      <c r="W1131" s="18" t="e">
        <f>_xlfn.XLOOKUP(J1131,'Master Data 14-9-2026'!C:C,'Master Data 14-9-2026'!L:L)</f>
        <v>#N/A</v>
      </c>
      <c r="X1131" s="20">
        <f t="shared" si="20"/>
        <v>28881900</v>
      </c>
      <c r="Y1131" s="35" t="s">
        <v>2792</v>
      </c>
      <c r="AG1131" s="4"/>
    </row>
    <row r="1132" spans="1:33" hidden="1">
      <c r="A1132" s="35" t="s">
        <v>2797</v>
      </c>
      <c r="B1132" s="13" t="str">
        <f>_xlfn.XLOOKUP(J1132,'Master Data 14-9-2026'!C:C,'Master Data 14-9-2026'!D:D)</f>
        <v>Youlanda wx1506944</v>
      </c>
      <c r="D1132" s="13" t="str">
        <f>_xlfn.XLOOKUP(J1132,'Master Data 14-9-2026'!C:C,'Master Data 14-9-2026'!E:E)</f>
        <v>TELKOM</v>
      </c>
      <c r="F1132" s="13"/>
      <c r="G1132" s="39" t="s">
        <v>25</v>
      </c>
      <c r="H1132" s="13" t="str">
        <f>_xlfn.XLOOKUP(J1132,'Master Data 14-9-2026'!C:C,'Master Data 14-9-2026'!H:H)</f>
        <v>2026-07-01 - 2026-07-31</v>
      </c>
      <c r="I1132" s="13" t="str">
        <f t="shared" si="21"/>
        <v>July</v>
      </c>
      <c r="J1132" s="35" t="s">
        <v>2797</v>
      </c>
      <c r="K1132" s="35" t="s">
        <v>2797</v>
      </c>
      <c r="L1132" s="40" t="s">
        <v>441</v>
      </c>
      <c r="M1132" s="35" t="s">
        <v>2798</v>
      </c>
      <c r="N1132" s="35" t="s">
        <v>924</v>
      </c>
      <c r="O1132" s="35" t="s">
        <v>2799</v>
      </c>
      <c r="P1132" s="35" t="s">
        <v>2800</v>
      </c>
      <c r="Q1132" s="38">
        <v>1</v>
      </c>
      <c r="R1132" s="38">
        <v>1</v>
      </c>
      <c r="S1132" s="35" t="s">
        <v>2233</v>
      </c>
      <c r="T1132" s="35" t="s">
        <v>951</v>
      </c>
      <c r="U1132" s="38">
        <v>28881900</v>
      </c>
      <c r="V1132" s="38">
        <v>1</v>
      </c>
      <c r="W1132" s="18">
        <f>_xlfn.XLOOKUP(J1132,'Master Data 14-9-2026'!C:C,'Master Data 14-9-2026'!L:L)</f>
        <v>1</v>
      </c>
      <c r="X1132" s="20">
        <f t="shared" si="20"/>
        <v>28881900</v>
      </c>
      <c r="Y1132" s="35" t="s">
        <v>2792</v>
      </c>
      <c r="Z1132" s="24" t="str">
        <f>_xlfn.XLOOKUP(J1132,Master_Data_Productivity[Kolom1],Master_Data_Productivity[Period Status])</f>
        <v>Ended</v>
      </c>
      <c r="AB1132" s="39" t="s">
        <v>1502</v>
      </c>
      <c r="AG1132" s="4"/>
    </row>
    <row r="1133" spans="1:33" hidden="1">
      <c r="A1133" s="35" t="s">
        <v>2801</v>
      </c>
      <c r="B1133" s="13" t="e">
        <f>_xlfn.XLOOKUP(J1133,'Master Data 14-9-2026'!C:C,'Master Data 14-9-2026'!D:D)</f>
        <v>#N/A</v>
      </c>
      <c r="D1133" s="13" t="e">
        <f>_xlfn.XLOOKUP(J1133,'Master Data 14-9-2026'!C:C,'Master Data 14-9-2026'!E:E)</f>
        <v>#N/A</v>
      </c>
      <c r="F1133" s="13"/>
      <c r="H1133" s="13" t="e">
        <f>_xlfn.XLOOKUP(J1133,'Master Data 14-9-2026'!C:C,'Master Data 14-9-2026'!H:H)</f>
        <v>#N/A</v>
      </c>
      <c r="I1133" s="13" t="e">
        <f t="shared" si="21"/>
        <v>#N/A</v>
      </c>
      <c r="J1133" s="35" t="s">
        <v>2801</v>
      </c>
      <c r="K1133" s="35" t="s">
        <v>2801</v>
      </c>
      <c r="M1133" s="35" t="s">
        <v>2802</v>
      </c>
      <c r="N1133" s="35" t="s">
        <v>924</v>
      </c>
      <c r="O1133" s="35" t="s">
        <v>2803</v>
      </c>
      <c r="P1133" s="35" t="s">
        <v>2804</v>
      </c>
      <c r="Q1133" s="38">
        <v>1</v>
      </c>
      <c r="R1133" s="38">
        <v>1</v>
      </c>
      <c r="S1133" s="35" t="s">
        <v>2233</v>
      </c>
      <c r="T1133" s="35" t="s">
        <v>951</v>
      </c>
      <c r="U1133" s="38">
        <v>28881900</v>
      </c>
      <c r="V1133" s="38">
        <v>1</v>
      </c>
      <c r="W1133" s="18" t="e">
        <f>_xlfn.XLOOKUP(J1133,'Master Data 14-9-2026'!C:C,'Master Data 14-9-2026'!L:L)</f>
        <v>#N/A</v>
      </c>
      <c r="X1133" s="20">
        <f t="shared" si="20"/>
        <v>28881900</v>
      </c>
      <c r="Y1133" s="35" t="s">
        <v>2792</v>
      </c>
      <c r="AG1133" s="4"/>
    </row>
    <row r="1134" spans="1:33" hidden="1">
      <c r="A1134" s="35" t="s">
        <v>2805</v>
      </c>
      <c r="B1134" s="13" t="e">
        <f>_xlfn.XLOOKUP(J1134,'Master Data 14-9-2026'!C:C,'Master Data 14-9-2026'!D:D)</f>
        <v>#N/A</v>
      </c>
      <c r="D1134" s="13" t="e">
        <f>_xlfn.XLOOKUP(J1134,'Master Data 14-9-2026'!C:C,'Master Data 14-9-2026'!E:E)</f>
        <v>#N/A</v>
      </c>
      <c r="F1134" s="13"/>
      <c r="H1134" s="13" t="e">
        <f>_xlfn.XLOOKUP(J1134,'Master Data 14-9-2026'!C:C,'Master Data 14-9-2026'!H:H)</f>
        <v>#N/A</v>
      </c>
      <c r="I1134" s="13" t="e">
        <f t="shared" si="21"/>
        <v>#N/A</v>
      </c>
      <c r="J1134" s="35" t="s">
        <v>2805</v>
      </c>
      <c r="K1134" s="35" t="s">
        <v>2805</v>
      </c>
      <c r="M1134" s="35" t="s">
        <v>2806</v>
      </c>
      <c r="N1134" s="35" t="s">
        <v>924</v>
      </c>
      <c r="O1134" s="35" t="s">
        <v>2807</v>
      </c>
      <c r="P1134" s="35" t="s">
        <v>2808</v>
      </c>
      <c r="Q1134" s="38">
        <v>1</v>
      </c>
      <c r="R1134" s="38">
        <v>1</v>
      </c>
      <c r="S1134" s="35" t="s">
        <v>2233</v>
      </c>
      <c r="T1134" s="35" t="s">
        <v>951</v>
      </c>
      <c r="U1134" s="38">
        <v>28881900</v>
      </c>
      <c r="V1134" s="38">
        <v>1</v>
      </c>
      <c r="W1134" s="18" t="e">
        <f>_xlfn.XLOOKUP(J1134,'Master Data 14-9-2026'!C:C,'Master Data 14-9-2026'!L:L)</f>
        <v>#N/A</v>
      </c>
      <c r="X1134" s="20">
        <f t="shared" si="20"/>
        <v>28881900</v>
      </c>
      <c r="Y1134" s="35" t="s">
        <v>2792</v>
      </c>
      <c r="AG1134" s="4"/>
    </row>
    <row r="1135" spans="1:33" hidden="1">
      <c r="A1135" s="35" t="s">
        <v>2809</v>
      </c>
      <c r="B1135" s="13" t="str">
        <f>_xlfn.XLOOKUP(J1135,'Master Data 14-9-2026'!C:C,'Master Data 14-9-2026'!D:D)</f>
        <v>Youlanda wx1506944</v>
      </c>
      <c r="D1135" s="13" t="str">
        <f>_xlfn.XLOOKUP(J1135,'Master Data 14-9-2026'!C:C,'Master Data 14-9-2026'!E:E)</f>
        <v>TELKOM</v>
      </c>
      <c r="F1135" s="13"/>
      <c r="H1135" s="13" t="str">
        <f>_xlfn.XLOOKUP(J1135,'Master Data 14-9-2026'!C:C,'Master Data 14-9-2026'!H:H)</f>
        <v>2026-09-01 - 2026-09-30</v>
      </c>
      <c r="I1135" s="13" t="str">
        <f t="shared" si="21"/>
        <v>September</v>
      </c>
      <c r="J1135" s="35" t="s">
        <v>2809</v>
      </c>
      <c r="K1135" s="35" t="s">
        <v>2809</v>
      </c>
      <c r="M1135" s="35" t="s">
        <v>2810</v>
      </c>
      <c r="N1135" s="35" t="s">
        <v>924</v>
      </c>
      <c r="O1135" s="35" t="s">
        <v>2811</v>
      </c>
      <c r="P1135" s="35" t="s">
        <v>2812</v>
      </c>
      <c r="Q1135" s="38">
        <v>1</v>
      </c>
      <c r="R1135" s="38">
        <v>1</v>
      </c>
      <c r="S1135" s="35" t="s">
        <v>2233</v>
      </c>
      <c r="T1135" s="35" t="s">
        <v>951</v>
      </c>
      <c r="U1135" s="38">
        <v>28881900</v>
      </c>
      <c r="V1135" s="38">
        <v>1</v>
      </c>
      <c r="W1135" s="18">
        <f>_xlfn.XLOOKUP(J1135,'Master Data 14-9-2026'!C:C,'Master Data 14-9-2026'!L:L)</f>
        <v>0</v>
      </c>
      <c r="X1135" s="20">
        <f t="shared" si="20"/>
        <v>28881900</v>
      </c>
      <c r="Y1135" s="35" t="s">
        <v>2792</v>
      </c>
      <c r="AG1135" s="4"/>
    </row>
    <row r="1136" spans="1:33" hidden="1">
      <c r="A1136" s="35" t="s">
        <v>2813</v>
      </c>
      <c r="B1136" s="13" t="str">
        <f>_xlfn.XLOOKUP(J1136,'Master Data 14-9-2026'!C:C,'Master Data 14-9-2026'!D:D)</f>
        <v>AINUNAYA MIMA RAHMAN wx1526103</v>
      </c>
      <c r="D1136" s="13" t="str">
        <f>_xlfn.XLOOKUP(J1136,'Master Data 14-9-2026'!C:C,'Master Data 14-9-2026'!E:E)</f>
        <v>TELKOM</v>
      </c>
      <c r="F1136" s="13"/>
      <c r="H1136" s="13" t="str">
        <f>_xlfn.XLOOKUP(J1136,'Master Data 14-9-2026'!C:C,'Master Data 14-9-2026'!H:H)</f>
        <v>2026-09-05 - 2026-10-04</v>
      </c>
      <c r="I1136" s="13" t="str">
        <f t="shared" si="21"/>
        <v>September</v>
      </c>
      <c r="J1136" s="35" t="s">
        <v>2813</v>
      </c>
      <c r="K1136" s="35" t="s">
        <v>2813</v>
      </c>
      <c r="M1136" s="35" t="s">
        <v>2814</v>
      </c>
      <c r="N1136" s="35" t="s">
        <v>924</v>
      </c>
      <c r="O1136" s="35" t="s">
        <v>2815</v>
      </c>
      <c r="P1136" s="35" t="s">
        <v>2816</v>
      </c>
      <c r="Q1136" s="38">
        <v>1</v>
      </c>
      <c r="R1136" s="38">
        <v>1</v>
      </c>
      <c r="S1136" s="35" t="s">
        <v>2233</v>
      </c>
      <c r="T1136" s="35" t="s">
        <v>951</v>
      </c>
      <c r="U1136" s="38">
        <v>28881900</v>
      </c>
      <c r="V1136" s="38">
        <v>1</v>
      </c>
      <c r="W1136" s="18">
        <f>_xlfn.XLOOKUP(J1136,'Master Data 14-9-2026'!C:C,'Master Data 14-9-2026'!L:L)</f>
        <v>0</v>
      </c>
      <c r="X1136" s="20">
        <f t="shared" si="20"/>
        <v>28881900</v>
      </c>
      <c r="Y1136" s="35" t="s">
        <v>2792</v>
      </c>
      <c r="AG1136" s="4"/>
    </row>
    <row r="1137" spans="1:33" hidden="1">
      <c r="A1137" s="35" t="s">
        <v>2817</v>
      </c>
      <c r="B1137" s="13" t="e">
        <f>_xlfn.XLOOKUP(J1137,'Master Data 14-9-2026'!C:C,'Master Data 14-9-2026'!D:D)</f>
        <v>#N/A</v>
      </c>
      <c r="D1137" s="13" t="e">
        <f>_xlfn.XLOOKUP(J1137,'Master Data 14-9-2026'!C:C,'Master Data 14-9-2026'!E:E)</f>
        <v>#N/A</v>
      </c>
      <c r="F1137" s="13"/>
      <c r="H1137" s="13" t="e">
        <f>_xlfn.XLOOKUP(J1137,'Master Data 14-9-2026'!C:C,'Master Data 14-9-2026'!H:H)</f>
        <v>#N/A</v>
      </c>
      <c r="I1137" s="13" t="e">
        <f t="shared" si="21"/>
        <v>#N/A</v>
      </c>
      <c r="J1137" s="35" t="s">
        <v>2817</v>
      </c>
      <c r="K1137" s="35" t="s">
        <v>2817</v>
      </c>
      <c r="M1137" s="35" t="s">
        <v>2818</v>
      </c>
      <c r="N1137" s="35" t="s">
        <v>924</v>
      </c>
      <c r="O1137" s="35" t="s">
        <v>2819</v>
      </c>
      <c r="P1137" s="35" t="s">
        <v>2820</v>
      </c>
      <c r="Q1137" s="38">
        <v>1</v>
      </c>
      <c r="R1137" s="38">
        <v>1</v>
      </c>
      <c r="S1137" s="35" t="s">
        <v>2233</v>
      </c>
      <c r="T1137" s="35" t="s">
        <v>951</v>
      </c>
      <c r="U1137" s="38">
        <v>28881900</v>
      </c>
      <c r="V1137" s="38">
        <v>1</v>
      </c>
      <c r="W1137" s="18" t="e">
        <f>_xlfn.XLOOKUP(J1137,'Master Data 14-9-2026'!C:C,'Master Data 14-9-2026'!L:L)</f>
        <v>#N/A</v>
      </c>
      <c r="X1137" s="20">
        <f t="shared" si="20"/>
        <v>28881900</v>
      </c>
      <c r="Y1137" s="35" t="s">
        <v>2792</v>
      </c>
      <c r="AG1137" s="4"/>
    </row>
    <row r="1138" spans="1:33" hidden="1">
      <c r="A1138" s="35" t="s">
        <v>2821</v>
      </c>
      <c r="B1138" s="13" t="str">
        <f>_xlfn.XLOOKUP(J1138,'Master Data 14-9-2026'!C:C,'Master Data 14-9-2026'!D:D)</f>
        <v>Afriana Marisha D wx1525710</v>
      </c>
      <c r="D1138" s="13" t="str">
        <f>_xlfn.XLOOKUP(J1138,'Master Data 14-9-2026'!C:C,'Master Data 14-9-2026'!E:E)</f>
        <v>TELKOM</v>
      </c>
      <c r="F1138" s="13"/>
      <c r="H1138" s="13" t="str">
        <f>_xlfn.XLOOKUP(J1138,'Master Data 14-9-2026'!C:C,'Master Data 14-9-2026'!H:H)</f>
        <v>2026-09-04 - 2026-10-03</v>
      </c>
      <c r="I1138" s="13" t="str">
        <f t="shared" si="21"/>
        <v>September</v>
      </c>
      <c r="J1138" s="35" t="s">
        <v>2821</v>
      </c>
      <c r="K1138" s="35" t="s">
        <v>2821</v>
      </c>
      <c r="M1138" s="35" t="s">
        <v>2822</v>
      </c>
      <c r="N1138" s="35" t="s">
        <v>924</v>
      </c>
      <c r="O1138" s="35" t="s">
        <v>2823</v>
      </c>
      <c r="P1138" s="35" t="s">
        <v>2824</v>
      </c>
      <c r="Q1138" s="38">
        <v>1</v>
      </c>
      <c r="R1138" s="38">
        <v>1</v>
      </c>
      <c r="S1138" s="35" t="s">
        <v>2233</v>
      </c>
      <c r="T1138" s="35" t="s">
        <v>951</v>
      </c>
      <c r="U1138" s="38">
        <v>28881900</v>
      </c>
      <c r="V1138" s="38">
        <v>1</v>
      </c>
      <c r="W1138" s="18">
        <f>_xlfn.XLOOKUP(J1138,'Master Data 14-9-2026'!C:C,'Master Data 14-9-2026'!L:L)</f>
        <v>0</v>
      </c>
      <c r="X1138" s="20">
        <f t="shared" si="20"/>
        <v>28881900</v>
      </c>
      <c r="Y1138" s="35" t="s">
        <v>2792</v>
      </c>
      <c r="AG1138" s="4"/>
    </row>
    <row r="1139" spans="1:33" hidden="1">
      <c r="A1139" s="35" t="s">
        <v>2825</v>
      </c>
      <c r="B1139" s="13" t="e">
        <f>_xlfn.XLOOKUP(J1139,'Master Data 14-9-2026'!C:C,'Master Data 14-9-2026'!D:D)</f>
        <v>#N/A</v>
      </c>
      <c r="D1139" s="13" t="e">
        <f>_xlfn.XLOOKUP(J1139,'Master Data 14-9-2026'!C:C,'Master Data 14-9-2026'!E:E)</f>
        <v>#N/A</v>
      </c>
      <c r="F1139" s="13"/>
      <c r="H1139" s="13" t="e">
        <f>_xlfn.XLOOKUP(J1139,'Master Data 14-9-2026'!C:C,'Master Data 14-9-2026'!H:H)</f>
        <v>#N/A</v>
      </c>
      <c r="I1139" s="13" t="e">
        <f t="shared" si="21"/>
        <v>#N/A</v>
      </c>
      <c r="J1139" s="35" t="s">
        <v>2825</v>
      </c>
      <c r="K1139" s="35" t="s">
        <v>2825</v>
      </c>
      <c r="M1139" s="35" t="s">
        <v>2826</v>
      </c>
      <c r="N1139" s="35" t="s">
        <v>924</v>
      </c>
      <c r="O1139" s="35" t="s">
        <v>2827</v>
      </c>
      <c r="P1139" s="35" t="s">
        <v>2828</v>
      </c>
      <c r="Q1139" s="38">
        <v>1</v>
      </c>
      <c r="R1139" s="38">
        <v>1</v>
      </c>
      <c r="S1139" s="35" t="s">
        <v>2233</v>
      </c>
      <c r="T1139" s="35" t="s">
        <v>951</v>
      </c>
      <c r="U1139" s="38">
        <v>28881900</v>
      </c>
      <c r="V1139" s="38">
        <v>1</v>
      </c>
      <c r="W1139" s="18" t="e">
        <f>_xlfn.XLOOKUP(J1139,'Master Data 14-9-2026'!C:C,'Master Data 14-9-2026'!L:L)</f>
        <v>#N/A</v>
      </c>
      <c r="X1139" s="20">
        <f t="shared" si="20"/>
        <v>28881900</v>
      </c>
      <c r="Y1139" s="35" t="s">
        <v>2792</v>
      </c>
      <c r="AG1139" s="4"/>
    </row>
    <row r="1140" spans="1:33" hidden="1">
      <c r="A1140" s="35" t="s">
        <v>2829</v>
      </c>
      <c r="B1140" s="13" t="e">
        <f>_xlfn.XLOOKUP(J1140,'Master Data 14-9-2026'!C:C,'Master Data 14-9-2026'!D:D)</f>
        <v>#N/A</v>
      </c>
      <c r="D1140" s="13" t="e">
        <f>_xlfn.XLOOKUP(J1140,'Master Data 14-9-2026'!C:C,'Master Data 14-9-2026'!E:E)</f>
        <v>#N/A</v>
      </c>
      <c r="F1140" s="13"/>
      <c r="H1140" s="13" t="e">
        <f>_xlfn.XLOOKUP(J1140,'Master Data 14-9-2026'!C:C,'Master Data 14-9-2026'!H:H)</f>
        <v>#N/A</v>
      </c>
      <c r="I1140" s="13" t="e">
        <f t="shared" si="21"/>
        <v>#N/A</v>
      </c>
      <c r="J1140" s="35" t="s">
        <v>2829</v>
      </c>
      <c r="K1140" s="35" t="s">
        <v>2829</v>
      </c>
      <c r="M1140" s="35" t="s">
        <v>2830</v>
      </c>
      <c r="N1140" s="35" t="s">
        <v>924</v>
      </c>
      <c r="O1140" s="35" t="s">
        <v>2831</v>
      </c>
      <c r="P1140" s="35" t="s">
        <v>2832</v>
      </c>
      <c r="Q1140" s="38">
        <v>1</v>
      </c>
      <c r="R1140" s="38">
        <v>1</v>
      </c>
      <c r="S1140" s="35" t="s">
        <v>2233</v>
      </c>
      <c r="T1140" s="35" t="s">
        <v>951</v>
      </c>
      <c r="U1140" s="38">
        <v>28881900</v>
      </c>
      <c r="V1140" s="38">
        <v>1</v>
      </c>
      <c r="W1140" s="18" t="e">
        <f>_xlfn.XLOOKUP(J1140,'Master Data 14-9-2026'!C:C,'Master Data 14-9-2026'!L:L)</f>
        <v>#N/A</v>
      </c>
      <c r="X1140" s="20">
        <f t="shared" si="20"/>
        <v>28881900</v>
      </c>
      <c r="Y1140" s="35" t="s">
        <v>2792</v>
      </c>
      <c r="AG1140" s="4"/>
    </row>
    <row r="1141" spans="1:33" hidden="1">
      <c r="A1141" s="35" t="s">
        <v>2833</v>
      </c>
      <c r="B1141" s="13" t="str">
        <f>_xlfn.XLOOKUP(J1141,'Master Data 14-9-2026'!C:C,'Master Data 14-9-2026'!D:D)</f>
        <v>Teguh Pribadi wx1529162</v>
      </c>
      <c r="D1141" s="13" t="str">
        <f>_xlfn.XLOOKUP(J1141,'Master Data 14-9-2026'!C:C,'Master Data 14-9-2026'!E:E)</f>
        <v>TELKOM</v>
      </c>
      <c r="F1141" s="13"/>
      <c r="H1141" s="13" t="str">
        <f>_xlfn.XLOOKUP(J1141,'Master Data 14-9-2026'!C:C,'Master Data 14-9-2026'!H:H)</f>
        <v>2026-07-01 - 2026-07-31</v>
      </c>
      <c r="I1141" s="13" t="str">
        <f t="shared" si="21"/>
        <v>July</v>
      </c>
      <c r="J1141" s="35" t="s">
        <v>2833</v>
      </c>
      <c r="K1141" s="35" t="s">
        <v>2833</v>
      </c>
      <c r="M1141" s="35" t="s">
        <v>2834</v>
      </c>
      <c r="N1141" s="35" t="s">
        <v>924</v>
      </c>
      <c r="O1141" s="35" t="s">
        <v>2835</v>
      </c>
      <c r="P1141" s="35" t="s">
        <v>2836</v>
      </c>
      <c r="Q1141" s="38">
        <v>1</v>
      </c>
      <c r="R1141" s="38">
        <v>1</v>
      </c>
      <c r="S1141" s="35" t="s">
        <v>2233</v>
      </c>
      <c r="T1141" s="35" t="s">
        <v>951</v>
      </c>
      <c r="U1141" s="38">
        <v>28881900</v>
      </c>
      <c r="V1141" s="38">
        <v>1</v>
      </c>
      <c r="W1141" s="18">
        <f>_xlfn.XLOOKUP(J1141,'Master Data 14-9-2026'!C:C,'Master Data 14-9-2026'!L:L)</f>
        <v>1.5</v>
      </c>
      <c r="X1141" s="20">
        <f t="shared" si="20"/>
        <v>28881900</v>
      </c>
      <c r="Y1141" s="35" t="s">
        <v>2792</v>
      </c>
      <c r="AG1141" s="4"/>
    </row>
    <row r="1142" spans="1:33" hidden="1">
      <c r="A1142" s="35" t="s">
        <v>2837</v>
      </c>
      <c r="B1142" s="13" t="e">
        <f>_xlfn.XLOOKUP(J1142,'Master Data 14-9-2026'!C:C,'Master Data 14-9-2026'!D:D)</f>
        <v>#N/A</v>
      </c>
      <c r="D1142" s="13" t="e">
        <f>_xlfn.XLOOKUP(J1142,'Master Data 14-9-2026'!C:C,'Master Data 14-9-2026'!E:E)</f>
        <v>#N/A</v>
      </c>
      <c r="F1142" s="13"/>
      <c r="H1142" s="13" t="e">
        <f>_xlfn.XLOOKUP(J1142,'Master Data 14-9-2026'!C:C,'Master Data 14-9-2026'!H:H)</f>
        <v>#N/A</v>
      </c>
      <c r="I1142" s="13" t="e">
        <f t="shared" si="21"/>
        <v>#N/A</v>
      </c>
      <c r="J1142" s="35" t="s">
        <v>2837</v>
      </c>
      <c r="K1142" s="35" t="s">
        <v>2837</v>
      </c>
      <c r="M1142" s="35" t="s">
        <v>2838</v>
      </c>
      <c r="N1142" s="35" t="s">
        <v>924</v>
      </c>
      <c r="O1142" s="35" t="s">
        <v>2839</v>
      </c>
      <c r="P1142" s="35" t="s">
        <v>2840</v>
      </c>
      <c r="Q1142" s="38">
        <v>1</v>
      </c>
      <c r="R1142" s="38">
        <v>1</v>
      </c>
      <c r="S1142" s="35" t="s">
        <v>2233</v>
      </c>
      <c r="T1142" s="35" t="s">
        <v>951</v>
      </c>
      <c r="U1142" s="38">
        <v>28881900</v>
      </c>
      <c r="V1142" s="38">
        <v>1</v>
      </c>
      <c r="W1142" s="18" t="e">
        <f>_xlfn.XLOOKUP(J1142,'Master Data 14-9-2026'!C:C,'Master Data 14-9-2026'!L:L)</f>
        <v>#N/A</v>
      </c>
      <c r="X1142" s="20">
        <f t="shared" ref="X1142:X1149" si="22">V1142*U1142</f>
        <v>28881900</v>
      </c>
      <c r="Y1142" s="35" t="s">
        <v>2792</v>
      </c>
      <c r="AG1142" s="4"/>
    </row>
    <row r="1143" spans="1:33" hidden="1">
      <c r="A1143" s="35" t="s">
        <v>2841</v>
      </c>
      <c r="B1143" s="13" t="str">
        <f>_xlfn.XLOOKUP(J1143,'Master Data 14-9-2026'!C:C,'Master Data 14-9-2026'!D:D)</f>
        <v>Teguh Pribadi wx1529162</v>
      </c>
      <c r="D1143" s="13" t="str">
        <f>_xlfn.XLOOKUP(J1143,'Master Data 14-9-2026'!C:C,'Master Data 14-9-2026'!E:E)</f>
        <v>TELKOM</v>
      </c>
      <c r="F1143" s="13"/>
      <c r="H1143" s="13" t="str">
        <f>_xlfn.XLOOKUP(J1143,'Master Data 14-9-2026'!C:C,'Master Data 14-9-2026'!H:H)</f>
        <v>2026-08-01 - 2026-08-31</v>
      </c>
      <c r="I1143" s="13" t="str">
        <f t="shared" si="21"/>
        <v>August</v>
      </c>
      <c r="J1143" s="35" t="s">
        <v>2841</v>
      </c>
      <c r="K1143" s="35" t="s">
        <v>2841</v>
      </c>
      <c r="M1143" s="35" t="s">
        <v>2842</v>
      </c>
      <c r="N1143" s="35" t="s">
        <v>924</v>
      </c>
      <c r="O1143" s="35" t="s">
        <v>2843</v>
      </c>
      <c r="P1143" s="35" t="s">
        <v>2844</v>
      </c>
      <c r="Q1143" s="38">
        <v>1</v>
      </c>
      <c r="R1143" s="38">
        <v>1</v>
      </c>
      <c r="S1143" s="35" t="s">
        <v>2233</v>
      </c>
      <c r="T1143" s="35" t="s">
        <v>951</v>
      </c>
      <c r="U1143" s="38">
        <v>28881900</v>
      </c>
      <c r="V1143" s="38">
        <v>1</v>
      </c>
      <c r="W1143" s="18">
        <f>_xlfn.XLOOKUP(J1143,'Master Data 14-9-2026'!C:C,'Master Data 14-9-2026'!L:L)</f>
        <v>1.5</v>
      </c>
      <c r="X1143" s="20">
        <f t="shared" si="22"/>
        <v>28881900</v>
      </c>
      <c r="Y1143" s="35" t="s">
        <v>2792</v>
      </c>
      <c r="AG1143" s="4"/>
    </row>
    <row r="1144" spans="1:33" hidden="1">
      <c r="A1144" s="35" t="s">
        <v>2845</v>
      </c>
      <c r="B1144" s="13" t="str">
        <f>_xlfn.XLOOKUP(J1144,'Master Data 14-9-2026'!C:C,'Master Data 14-9-2026'!D:D)</f>
        <v>Teguh Pribadi wx1529162</v>
      </c>
      <c r="D1144" s="13" t="str">
        <f>_xlfn.XLOOKUP(J1144,'Master Data 14-9-2026'!C:C,'Master Data 14-9-2026'!E:E)</f>
        <v>TELKOM</v>
      </c>
      <c r="F1144" s="13"/>
      <c r="H1144" s="13" t="str">
        <f>_xlfn.XLOOKUP(J1144,'Master Data 14-9-2026'!C:C,'Master Data 14-9-2026'!H:H)</f>
        <v>2026-09-01 - 2026-09-30</v>
      </c>
      <c r="I1144" s="13" t="str">
        <f t="shared" si="21"/>
        <v>September</v>
      </c>
      <c r="J1144" s="35" t="s">
        <v>2845</v>
      </c>
      <c r="K1144" s="35" t="s">
        <v>2845</v>
      </c>
      <c r="M1144" s="35" t="s">
        <v>2846</v>
      </c>
      <c r="N1144" s="35" t="s">
        <v>924</v>
      </c>
      <c r="O1144" s="35" t="s">
        <v>2847</v>
      </c>
      <c r="P1144" s="35" t="s">
        <v>2848</v>
      </c>
      <c r="Q1144" s="38">
        <v>1</v>
      </c>
      <c r="R1144" s="38">
        <v>1</v>
      </c>
      <c r="S1144" s="35" t="s">
        <v>2233</v>
      </c>
      <c r="T1144" s="35" t="s">
        <v>951</v>
      </c>
      <c r="U1144" s="38">
        <v>28881900</v>
      </c>
      <c r="V1144" s="38">
        <v>1</v>
      </c>
      <c r="W1144" s="18">
        <f>_xlfn.XLOOKUP(J1144,'Master Data 14-9-2026'!C:C,'Master Data 14-9-2026'!L:L)</f>
        <v>0.8</v>
      </c>
      <c r="X1144" s="20">
        <f t="shared" si="22"/>
        <v>28881900</v>
      </c>
      <c r="Y1144" s="35" t="s">
        <v>2792</v>
      </c>
      <c r="AG1144" s="4"/>
    </row>
    <row r="1145" spans="1:33" hidden="1">
      <c r="A1145" s="35" t="s">
        <v>2849</v>
      </c>
      <c r="B1145" s="13" t="e">
        <f>_xlfn.XLOOKUP(J1145,'Master Data 14-9-2026'!C:C,'Master Data 14-9-2026'!D:D)</f>
        <v>#N/A</v>
      </c>
      <c r="D1145" s="13" t="e">
        <f>_xlfn.XLOOKUP(J1145,'Master Data 14-9-2026'!C:C,'Master Data 14-9-2026'!E:E)</f>
        <v>#N/A</v>
      </c>
      <c r="F1145" s="13"/>
      <c r="H1145" s="13" t="e">
        <f>_xlfn.XLOOKUP(J1145,'Master Data 14-9-2026'!C:C,'Master Data 14-9-2026'!H:H)</f>
        <v>#N/A</v>
      </c>
      <c r="I1145" s="13" t="e">
        <f t="shared" si="21"/>
        <v>#N/A</v>
      </c>
      <c r="J1145" s="35" t="s">
        <v>2849</v>
      </c>
      <c r="K1145" s="35" t="s">
        <v>2849</v>
      </c>
      <c r="M1145" s="35" t="s">
        <v>2850</v>
      </c>
      <c r="N1145" s="35" t="s">
        <v>924</v>
      </c>
      <c r="O1145" s="35" t="s">
        <v>2851</v>
      </c>
      <c r="P1145" s="35" t="s">
        <v>2852</v>
      </c>
      <c r="Q1145" s="38">
        <v>1</v>
      </c>
      <c r="R1145" s="38">
        <v>1</v>
      </c>
      <c r="S1145" s="35" t="s">
        <v>2233</v>
      </c>
      <c r="T1145" s="35" t="s">
        <v>951</v>
      </c>
      <c r="U1145" s="38">
        <v>28881900</v>
      </c>
      <c r="V1145" s="38">
        <v>1</v>
      </c>
      <c r="W1145" s="18" t="e">
        <f>_xlfn.XLOOKUP(J1145,'Master Data 14-9-2026'!C:C,'Master Data 14-9-2026'!L:L)</f>
        <v>#N/A</v>
      </c>
      <c r="X1145" s="20">
        <f t="shared" si="22"/>
        <v>28881900</v>
      </c>
      <c r="Y1145" s="35" t="s">
        <v>2792</v>
      </c>
      <c r="AG1145" s="4"/>
    </row>
    <row r="1146" spans="1:33" hidden="1">
      <c r="A1146" s="35" t="s">
        <v>2853</v>
      </c>
      <c r="B1146" s="13" t="str">
        <f>_xlfn.XLOOKUP(J1146,'Master Data 14-9-2026'!C:C,'Master Data 14-9-2026'!D:D)</f>
        <v>Nita Widyastuti wx1533451</v>
      </c>
      <c r="D1146" s="13" t="str">
        <f>_xlfn.XLOOKUP(J1146,'Master Data 14-9-2026'!C:C,'Master Data 14-9-2026'!E:E)</f>
        <v>Indodata</v>
      </c>
      <c r="F1146" s="13"/>
      <c r="H1146" s="13" t="str">
        <f>_xlfn.XLOOKUP(J1146,'Master Data 14-9-2026'!C:C,'Master Data 14-9-2026'!H:H)</f>
        <v>2026-09-06 - 2026-10-05</v>
      </c>
      <c r="I1146" s="13" t="str">
        <f t="shared" si="21"/>
        <v>September</v>
      </c>
      <c r="J1146" s="35" t="s">
        <v>2853</v>
      </c>
      <c r="K1146" s="35" t="s">
        <v>2853</v>
      </c>
      <c r="M1146" s="35" t="s">
        <v>2854</v>
      </c>
      <c r="N1146" s="35" t="s">
        <v>924</v>
      </c>
      <c r="O1146" s="35" t="s">
        <v>2851</v>
      </c>
      <c r="P1146" s="35" t="s">
        <v>2852</v>
      </c>
      <c r="Q1146" s="38">
        <v>2</v>
      </c>
      <c r="R1146" s="38">
        <v>1</v>
      </c>
      <c r="S1146" s="35" t="s">
        <v>2233</v>
      </c>
      <c r="T1146" s="35" t="s">
        <v>951</v>
      </c>
      <c r="U1146" s="38">
        <v>28881900</v>
      </c>
      <c r="V1146" s="38">
        <v>1</v>
      </c>
      <c r="W1146" s="18">
        <f>_xlfn.XLOOKUP(J1146,'Master Data 14-9-2026'!C:C,'Master Data 14-9-2026'!L:L)</f>
        <v>0</v>
      </c>
      <c r="X1146" s="20">
        <f t="shared" si="22"/>
        <v>28881900</v>
      </c>
      <c r="Y1146" s="35" t="s">
        <v>2792</v>
      </c>
      <c r="AG1146" s="4"/>
    </row>
    <row r="1147" spans="1:33" hidden="1">
      <c r="A1147" s="35" t="s">
        <v>2855</v>
      </c>
      <c r="B1147" s="13" t="str">
        <f>_xlfn.XLOOKUP(J1147,'Master Data 14-9-2026'!C:C,'Master Data 14-9-2026'!D:D)</f>
        <v>Qotrunada Alam Cendaki wx1535691</v>
      </c>
      <c r="D1147" s="13" t="str">
        <f>_xlfn.XLOOKUP(J1147,'Master Data 14-9-2026'!C:C,'Master Data 14-9-2026'!E:E)</f>
        <v>TDE Cikarang</v>
      </c>
      <c r="F1147" s="13"/>
      <c r="H1147" s="13" t="str">
        <f>_xlfn.XLOOKUP(J1147,'Master Data 14-9-2026'!C:C,'Master Data 14-9-2026'!H:H)</f>
        <v>2026-09-15 - 2026-10-14</v>
      </c>
      <c r="I1147" s="13" t="str">
        <f t="shared" si="21"/>
        <v>September</v>
      </c>
      <c r="J1147" s="35" t="s">
        <v>2855</v>
      </c>
      <c r="K1147" s="35" t="s">
        <v>2856</v>
      </c>
      <c r="M1147" s="35" t="s">
        <v>2857</v>
      </c>
      <c r="N1147" s="35" t="s">
        <v>924</v>
      </c>
      <c r="O1147" s="35" t="s">
        <v>2851</v>
      </c>
      <c r="P1147" s="35" t="s">
        <v>2852</v>
      </c>
      <c r="Q1147" s="38">
        <v>3</v>
      </c>
      <c r="R1147" s="38">
        <v>1</v>
      </c>
      <c r="S1147" s="35" t="s">
        <v>2233</v>
      </c>
      <c r="T1147" s="35" t="s">
        <v>951</v>
      </c>
      <c r="U1147" s="38">
        <v>28881900</v>
      </c>
      <c r="V1147" s="38">
        <v>1</v>
      </c>
      <c r="W1147" s="18">
        <f>_xlfn.XLOOKUP(J1147,'Master Data 14-9-2026'!C:C,'Master Data 14-9-2026'!L:L)</f>
        <v>0</v>
      </c>
      <c r="X1147" s="20">
        <f t="shared" si="22"/>
        <v>28881900</v>
      </c>
      <c r="Y1147" s="35" t="s">
        <v>2792</v>
      </c>
      <c r="AG1147" s="4"/>
    </row>
    <row r="1148" spans="1:33" hidden="1">
      <c r="A1148" s="35" t="s">
        <v>2858</v>
      </c>
      <c r="B1148" s="13" t="e">
        <f>_xlfn.XLOOKUP(J1148,'Master Data 14-9-2026'!C:C,'Master Data 14-9-2026'!D:D)</f>
        <v>#N/A</v>
      </c>
      <c r="D1148" s="13" t="e">
        <f>_xlfn.XLOOKUP(J1148,'Master Data 14-9-2026'!C:C,'Master Data 14-9-2026'!E:E)</f>
        <v>#N/A</v>
      </c>
      <c r="F1148" s="13"/>
      <c r="H1148" s="13" t="e">
        <f>_xlfn.XLOOKUP(J1148,'Master Data 14-9-2026'!C:C,'Master Data 14-9-2026'!H:H)</f>
        <v>#N/A</v>
      </c>
      <c r="I1148" s="13" t="e">
        <f t="shared" si="21"/>
        <v>#N/A</v>
      </c>
      <c r="J1148" s="35" t="s">
        <v>2858</v>
      </c>
      <c r="K1148" s="35" t="s">
        <v>2858</v>
      </c>
      <c r="M1148" s="35" t="s">
        <v>2859</v>
      </c>
      <c r="N1148" s="35" t="s">
        <v>924</v>
      </c>
      <c r="O1148" s="35" t="s">
        <v>2851</v>
      </c>
      <c r="P1148" s="35" t="s">
        <v>2852</v>
      </c>
      <c r="Q1148" s="38">
        <v>4</v>
      </c>
      <c r="R1148" s="38">
        <v>1</v>
      </c>
      <c r="S1148" s="35" t="s">
        <v>2233</v>
      </c>
      <c r="T1148" s="35" t="s">
        <v>951</v>
      </c>
      <c r="U1148" s="38">
        <v>28881900</v>
      </c>
      <c r="V1148" s="38">
        <v>1</v>
      </c>
      <c r="W1148" s="18" t="e">
        <f>_xlfn.XLOOKUP(J1148,'Master Data 14-9-2026'!C:C,'Master Data 14-9-2026'!L:L)</f>
        <v>#N/A</v>
      </c>
      <c r="X1148" s="20">
        <f t="shared" si="22"/>
        <v>28881900</v>
      </c>
      <c r="Y1148" s="35" t="s">
        <v>2792</v>
      </c>
      <c r="AG1148" s="4"/>
    </row>
    <row r="1149" spans="1:33" hidden="1">
      <c r="A1149" s="35" t="s">
        <v>2860</v>
      </c>
      <c r="B1149" s="13" t="e">
        <f>_xlfn.XLOOKUP(J1149,'Master Data 14-9-2026'!C:C,'Master Data 14-9-2026'!D:D)</f>
        <v>#N/A</v>
      </c>
      <c r="D1149" s="13" t="e">
        <f>_xlfn.XLOOKUP(J1149,'Master Data 14-9-2026'!C:C,'Master Data 14-9-2026'!E:E)</f>
        <v>#N/A</v>
      </c>
      <c r="F1149" s="13"/>
      <c r="H1149" s="13" t="e">
        <f>_xlfn.XLOOKUP(J1149,'Master Data 14-9-2026'!C:C,'Master Data 14-9-2026'!H:H)</f>
        <v>#N/A</v>
      </c>
      <c r="I1149" s="13" t="e">
        <f t="shared" si="21"/>
        <v>#N/A</v>
      </c>
      <c r="J1149" s="35" t="s">
        <v>2860</v>
      </c>
      <c r="K1149" s="35" t="s">
        <v>2860</v>
      </c>
      <c r="M1149" s="35" t="s">
        <v>2861</v>
      </c>
      <c r="N1149" s="35" t="s">
        <v>924</v>
      </c>
      <c r="O1149" s="35" t="s">
        <v>2851</v>
      </c>
      <c r="P1149" s="35" t="s">
        <v>2852</v>
      </c>
      <c r="Q1149" s="38">
        <v>5</v>
      </c>
      <c r="R1149" s="38">
        <v>1</v>
      </c>
      <c r="S1149" s="35" t="s">
        <v>2233</v>
      </c>
      <c r="T1149" s="35" t="s">
        <v>951</v>
      </c>
      <c r="U1149" s="38">
        <v>28881900</v>
      </c>
      <c r="V1149" s="38">
        <v>1</v>
      </c>
      <c r="W1149" s="18" t="e">
        <f>_xlfn.XLOOKUP(J1149,'Master Data 14-9-2026'!C:C,'Master Data 14-9-2026'!L:L)</f>
        <v>#N/A</v>
      </c>
      <c r="X1149" s="20">
        <f t="shared" si="22"/>
        <v>28881900</v>
      </c>
      <c r="Y1149" s="35" t="s">
        <v>2792</v>
      </c>
      <c r="AG1149" s="4"/>
    </row>
    <row r="1150" spans="1:33">
      <c r="Z1150" s="39"/>
      <c r="AB1150" s="39"/>
      <c r="AF1150" s="46"/>
    </row>
    <row r="1151" spans="1:33">
      <c r="AF1151" s="46"/>
    </row>
    <row r="1152" spans="1:33">
      <c r="P1152" s="13"/>
      <c r="Q1152" s="4"/>
      <c r="AF1152" s="46"/>
    </row>
    <row r="1153" spans="16:34">
      <c r="P1153" s="13"/>
      <c r="Q1153" s="4"/>
      <c r="AF1153" s="46"/>
    </row>
    <row r="1154" spans="16:34">
      <c r="P1154" s="13"/>
      <c r="Q1154" s="4"/>
      <c r="AH1154" s="67"/>
    </row>
    <row r="1155" spans="16:34">
      <c r="P1155" s="13"/>
      <c r="Q1155" s="4"/>
    </row>
    <row r="1156" spans="16:34">
      <c r="P1156" s="13"/>
      <c r="Q1156" s="34"/>
    </row>
    <row r="1157" spans="16:34">
      <c r="P1157" s="13"/>
      <c r="Q1157" s="4"/>
    </row>
    <row r="1166" spans="16:34">
      <c r="Z1166" s="39" t="s">
        <v>4135</v>
      </c>
    </row>
  </sheetData>
  <autoFilter ref="A2:AJ1149" xr:uid="{00000000-0001-0000-0100-000000000000}">
    <filterColumn colId="29">
      <filters>
        <filter val="Invoice"/>
      </filters>
    </filterColumn>
    <filterColumn colId="34">
      <filters>
        <filter val="September"/>
      </filters>
    </filterColumn>
  </autoFilter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C237-F4FE-423E-B735-B57FB8BE46EC}">
  <dimension ref="B3:J53"/>
  <sheetViews>
    <sheetView topLeftCell="A42" zoomScale="89" workbookViewId="0">
      <selection activeCell="K54" sqref="K54"/>
    </sheetView>
  </sheetViews>
  <sheetFormatPr defaultRowHeight="15"/>
  <cols>
    <col min="2" max="2" width="19" customWidth="1"/>
    <col min="3" max="3" width="11.140625" customWidth="1"/>
    <col min="4" max="4" width="3.85546875" bestFit="1" customWidth="1"/>
    <col min="5" max="5" width="12.140625" bestFit="1" customWidth="1"/>
    <col min="6" max="6" width="31.85546875" bestFit="1" customWidth="1"/>
    <col min="8" max="8" width="17.5703125" bestFit="1" customWidth="1"/>
    <col min="9" max="9" width="17.28515625" bestFit="1" customWidth="1"/>
  </cols>
  <sheetData>
    <row r="3" spans="2:9">
      <c r="B3" t="s">
        <v>18</v>
      </c>
      <c r="D3" s="43" t="s">
        <v>3375</v>
      </c>
      <c r="E3" s="43" t="s">
        <v>3376</v>
      </c>
      <c r="F3" s="43" t="s">
        <v>3377</v>
      </c>
    </row>
    <row r="4" spans="2:9">
      <c r="B4" t="s">
        <v>3378</v>
      </c>
      <c r="D4">
        <v>1</v>
      </c>
      <c r="E4" s="44" t="s">
        <v>441</v>
      </c>
      <c r="F4" t="s">
        <v>3379</v>
      </c>
      <c r="H4" s="4"/>
      <c r="I4" s="6"/>
    </row>
    <row r="5" spans="2:9">
      <c r="D5">
        <v>2</v>
      </c>
      <c r="E5" s="44" t="s">
        <v>475</v>
      </c>
      <c r="F5" s="57" t="s">
        <v>3380</v>
      </c>
      <c r="H5" s="12" t="s">
        <v>904</v>
      </c>
      <c r="I5" s="12" t="s">
        <v>905</v>
      </c>
    </row>
    <row r="6" spans="2:9">
      <c r="B6" t="s">
        <v>3381</v>
      </c>
      <c r="C6" t="s">
        <v>530</v>
      </c>
      <c r="D6">
        <v>3</v>
      </c>
      <c r="E6" s="44" t="s">
        <v>468</v>
      </c>
      <c r="F6" t="s">
        <v>1570</v>
      </c>
      <c r="H6" s="13" t="s">
        <v>1381</v>
      </c>
      <c r="I6" s="18">
        <v>22</v>
      </c>
    </row>
    <row r="7" spans="2:9">
      <c r="B7" t="s">
        <v>484</v>
      </c>
      <c r="C7" t="s">
        <v>3382</v>
      </c>
      <c r="D7">
        <v>4</v>
      </c>
      <c r="E7" s="44" t="s">
        <v>457</v>
      </c>
      <c r="F7" t="s">
        <v>3383</v>
      </c>
      <c r="H7" s="4"/>
      <c r="I7" s="6"/>
    </row>
    <row r="8" spans="2:9">
      <c r="B8" t="s">
        <v>3384</v>
      </c>
      <c r="C8" t="s">
        <v>1906</v>
      </c>
      <c r="D8">
        <v>5</v>
      </c>
      <c r="E8" s="44" t="s">
        <v>520</v>
      </c>
      <c r="F8" s="45" t="s">
        <v>3385</v>
      </c>
    </row>
    <row r="9" spans="2:9">
      <c r="D9">
        <v>6</v>
      </c>
      <c r="E9" s="44" t="s">
        <v>950</v>
      </c>
      <c r="F9" t="s">
        <v>3386</v>
      </c>
    </row>
    <row r="10" spans="2:9">
      <c r="D10">
        <v>7</v>
      </c>
      <c r="E10" s="44" t="s">
        <v>493</v>
      </c>
      <c r="F10" s="57" t="s">
        <v>3387</v>
      </c>
    </row>
    <row r="11" spans="2:9">
      <c r="D11">
        <v>8</v>
      </c>
      <c r="E11" s="44" t="s">
        <v>500</v>
      </c>
      <c r="F11" t="s">
        <v>3388</v>
      </c>
    </row>
    <row r="12" spans="2:9">
      <c r="D12">
        <v>9</v>
      </c>
      <c r="E12" s="44" t="s">
        <v>461</v>
      </c>
      <c r="F12" t="s">
        <v>3386</v>
      </c>
    </row>
    <row r="17" spans="5:10">
      <c r="E17" s="13" t="s">
        <v>1601</v>
      </c>
    </row>
    <row r="18" spans="5:10">
      <c r="E18" s="13" t="s">
        <v>2229</v>
      </c>
    </row>
    <row r="25" spans="5:10">
      <c r="G25" t="s">
        <v>4170</v>
      </c>
      <c r="H25">
        <v>8</v>
      </c>
      <c r="I25">
        <v>294800</v>
      </c>
      <c r="J25">
        <f>I25*H25</f>
        <v>2358400</v>
      </c>
    </row>
    <row r="26" spans="5:10">
      <c r="G26" t="s">
        <v>4171</v>
      </c>
      <c r="H26">
        <v>2</v>
      </c>
      <c r="I26">
        <v>228800</v>
      </c>
      <c r="J26">
        <f>I26*H26</f>
        <v>457600</v>
      </c>
    </row>
    <row r="27" spans="5:10">
      <c r="J27">
        <f>SUM(J25:J26)</f>
        <v>2816000</v>
      </c>
    </row>
    <row r="31" spans="5:10">
      <c r="F31" t="s">
        <v>4172</v>
      </c>
      <c r="G31">
        <v>1</v>
      </c>
      <c r="H31">
        <v>76</v>
      </c>
      <c r="I31">
        <f>H31*G31</f>
        <v>76</v>
      </c>
    </row>
    <row r="32" spans="5:10">
      <c r="F32" t="s">
        <v>4173</v>
      </c>
      <c r="G32">
        <v>1</v>
      </c>
      <c r="H32">
        <v>65</v>
      </c>
      <c r="I32">
        <f t="shared" ref="I32:I44" si="0">H32*G32</f>
        <v>65</v>
      </c>
    </row>
    <row r="33" spans="6:9">
      <c r="F33" t="s">
        <v>4174</v>
      </c>
      <c r="G33">
        <v>1</v>
      </c>
      <c r="H33">
        <v>85</v>
      </c>
      <c r="I33">
        <f t="shared" si="0"/>
        <v>85</v>
      </c>
    </row>
    <row r="34" spans="6:9">
      <c r="F34" t="s">
        <v>4175</v>
      </c>
      <c r="G34">
        <v>1</v>
      </c>
      <c r="H34">
        <v>69</v>
      </c>
      <c r="I34">
        <f t="shared" si="0"/>
        <v>69</v>
      </c>
    </row>
    <row r="35" spans="6:9">
      <c r="F35" t="s">
        <v>4176</v>
      </c>
      <c r="G35">
        <v>1</v>
      </c>
      <c r="H35">
        <v>74</v>
      </c>
      <c r="I35">
        <f t="shared" si="0"/>
        <v>74</v>
      </c>
    </row>
    <row r="36" spans="6:9">
      <c r="F36" t="s">
        <v>4177</v>
      </c>
      <c r="G36">
        <v>1</v>
      </c>
      <c r="H36">
        <v>63</v>
      </c>
      <c r="I36">
        <f t="shared" si="0"/>
        <v>63</v>
      </c>
    </row>
    <row r="37" spans="6:9">
      <c r="F37" t="s">
        <v>4178</v>
      </c>
      <c r="G37">
        <v>1</v>
      </c>
      <c r="H37">
        <v>30</v>
      </c>
      <c r="I37">
        <f t="shared" si="0"/>
        <v>30</v>
      </c>
    </row>
    <row r="38" spans="6:9">
      <c r="F38" t="s">
        <v>4179</v>
      </c>
      <c r="G38">
        <v>1</v>
      </c>
      <c r="H38">
        <v>28</v>
      </c>
      <c r="I38">
        <f t="shared" si="0"/>
        <v>28</v>
      </c>
    </row>
    <row r="39" spans="6:9">
      <c r="F39" t="s">
        <v>4184</v>
      </c>
      <c r="G39">
        <v>1</v>
      </c>
      <c r="H39">
        <v>30</v>
      </c>
      <c r="I39">
        <f t="shared" si="0"/>
        <v>30</v>
      </c>
    </row>
    <row r="40" spans="6:9">
      <c r="F40" t="s">
        <v>4180</v>
      </c>
      <c r="G40">
        <v>1</v>
      </c>
      <c r="H40">
        <v>28</v>
      </c>
      <c r="I40">
        <f t="shared" si="0"/>
        <v>28</v>
      </c>
    </row>
    <row r="41" spans="6:9">
      <c r="F41" t="s">
        <v>4181</v>
      </c>
      <c r="G41">
        <v>1</v>
      </c>
      <c r="H41">
        <v>41</v>
      </c>
      <c r="I41">
        <f t="shared" si="0"/>
        <v>41</v>
      </c>
    </row>
    <row r="42" spans="6:9">
      <c r="F42" t="s">
        <v>4182</v>
      </c>
      <c r="G42">
        <v>1</v>
      </c>
      <c r="H42">
        <v>28</v>
      </c>
      <c r="I42">
        <f t="shared" si="0"/>
        <v>28</v>
      </c>
    </row>
    <row r="43" spans="6:9">
      <c r="F43" t="s">
        <v>4183</v>
      </c>
      <c r="G43">
        <v>1</v>
      </c>
      <c r="H43">
        <v>54</v>
      </c>
      <c r="I43">
        <f t="shared" si="0"/>
        <v>54</v>
      </c>
    </row>
    <row r="44" spans="6:9">
      <c r="F44" t="s">
        <v>4185</v>
      </c>
      <c r="G44">
        <v>10</v>
      </c>
      <c r="H44">
        <v>19</v>
      </c>
      <c r="I44">
        <f t="shared" si="0"/>
        <v>190</v>
      </c>
    </row>
    <row r="45" spans="6:9">
      <c r="I45">
        <f>SUM(I31:I44)</f>
        <v>861</v>
      </c>
    </row>
    <row r="48" spans="6:9">
      <c r="F48" t="s">
        <v>4186</v>
      </c>
      <c r="G48">
        <v>250</v>
      </c>
      <c r="H48" s="63">
        <v>3280</v>
      </c>
      <c r="I48" s="63">
        <f>H48*G48</f>
        <v>820000</v>
      </c>
    </row>
    <row r="49" spans="6:9">
      <c r="F49" t="s">
        <v>4187</v>
      </c>
      <c r="G49">
        <v>600</v>
      </c>
      <c r="H49" s="63">
        <v>32800</v>
      </c>
      <c r="I49" s="63"/>
    </row>
    <row r="50" spans="6:9">
      <c r="F50" t="s">
        <v>4188</v>
      </c>
      <c r="G50">
        <v>250</v>
      </c>
      <c r="H50" s="63">
        <v>32800</v>
      </c>
      <c r="I50" s="63"/>
    </row>
    <row r="51" spans="6:9">
      <c r="I51" s="62"/>
    </row>
    <row r="52" spans="6:9">
      <c r="I52" s="62"/>
    </row>
    <row r="53" spans="6:9">
      <c r="I53" s="6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6A43-A755-4373-9D74-8A0B9E381857}">
  <dimension ref="C4:N8"/>
  <sheetViews>
    <sheetView workbookViewId="0">
      <selection activeCell="F16" sqref="F16"/>
    </sheetView>
  </sheetViews>
  <sheetFormatPr defaultRowHeight="15"/>
  <cols>
    <col min="3" max="3" width="28.7109375" bestFit="1" customWidth="1"/>
    <col min="4" max="4" width="19" bestFit="1" customWidth="1"/>
    <col min="5" max="5" width="14.140625" customWidth="1"/>
    <col min="6" max="6" width="26" bestFit="1" customWidth="1"/>
    <col min="7" max="7" width="12.28515625" bestFit="1" customWidth="1"/>
    <col min="9" max="9" width="31.140625" bestFit="1" customWidth="1"/>
    <col min="10" max="10" width="20.5703125" customWidth="1"/>
    <col min="11" max="11" width="14" customWidth="1"/>
    <col min="12" max="12" width="18.85546875" customWidth="1"/>
  </cols>
  <sheetData>
    <row r="4" spans="3:14" s="55" customFormat="1" ht="25.5">
      <c r="C4" s="56" t="s">
        <v>890</v>
      </c>
      <c r="D4" s="56" t="s">
        <v>4142</v>
      </c>
      <c r="E4" s="56" t="s">
        <v>4144</v>
      </c>
      <c r="F4" s="56" t="s">
        <v>4143</v>
      </c>
      <c r="G4" s="56" t="s">
        <v>4144</v>
      </c>
      <c r="I4" s="58" t="s">
        <v>898</v>
      </c>
      <c r="J4" s="58" t="s">
        <v>891</v>
      </c>
      <c r="K4" s="58" t="s">
        <v>3</v>
      </c>
      <c r="L4" s="58" t="s">
        <v>904</v>
      </c>
      <c r="M4" s="59" t="s">
        <v>893</v>
      </c>
      <c r="N4" s="59" t="s">
        <v>4144</v>
      </c>
    </row>
    <row r="5" spans="3:14">
      <c r="C5" s="53" t="s">
        <v>1567</v>
      </c>
      <c r="D5" s="53" t="s">
        <v>76</v>
      </c>
      <c r="E5" s="54" t="s">
        <v>4145</v>
      </c>
      <c r="F5" s="54" t="s">
        <v>3382</v>
      </c>
      <c r="G5" s="54" t="s">
        <v>4148</v>
      </c>
      <c r="I5" s="60" t="s">
        <v>1910</v>
      </c>
      <c r="J5" s="54" t="s">
        <v>4160</v>
      </c>
      <c r="K5" s="60" t="s">
        <v>441</v>
      </c>
      <c r="L5" s="60" t="s">
        <v>1899</v>
      </c>
      <c r="M5" s="53" t="s">
        <v>48</v>
      </c>
      <c r="N5" s="60" t="s">
        <v>4146</v>
      </c>
    </row>
    <row r="6" spans="3:14">
      <c r="C6" s="53" t="s">
        <v>1601</v>
      </c>
      <c r="D6" s="53" t="s">
        <v>48</v>
      </c>
      <c r="E6" s="54" t="s">
        <v>4146</v>
      </c>
      <c r="F6" s="54" t="s">
        <v>4128</v>
      </c>
      <c r="G6" s="54" t="s">
        <v>4145</v>
      </c>
      <c r="I6" s="60" t="s">
        <v>1911</v>
      </c>
      <c r="J6" s="54" t="s">
        <v>4160</v>
      </c>
      <c r="K6" s="60" t="s">
        <v>441</v>
      </c>
      <c r="L6" s="60" t="s">
        <v>1899</v>
      </c>
      <c r="M6" s="53" t="s">
        <v>48</v>
      </c>
      <c r="N6" s="60" t="s">
        <v>4146</v>
      </c>
    </row>
    <row r="7" spans="3:14">
      <c r="C7" s="53" t="s">
        <v>1604</v>
      </c>
      <c r="D7" s="53" t="s">
        <v>48</v>
      </c>
      <c r="E7" s="54" t="s">
        <v>4146</v>
      </c>
      <c r="F7" s="54" t="s">
        <v>4128</v>
      </c>
      <c r="G7" s="54" t="s">
        <v>4145</v>
      </c>
      <c r="I7" s="60" t="s">
        <v>1917</v>
      </c>
      <c r="J7" s="54" t="s">
        <v>4161</v>
      </c>
      <c r="K7" s="60" t="s">
        <v>441</v>
      </c>
      <c r="L7" s="60" t="s">
        <v>1899</v>
      </c>
      <c r="M7" s="53" t="s">
        <v>48</v>
      </c>
      <c r="N7" s="60" t="s">
        <v>4146</v>
      </c>
    </row>
    <row r="8" spans="3:14">
      <c r="C8" s="53" t="s">
        <v>1921</v>
      </c>
      <c r="D8" s="53" t="s">
        <v>48</v>
      </c>
      <c r="E8" s="54" t="s">
        <v>4146</v>
      </c>
      <c r="F8" s="54" t="s">
        <v>4129</v>
      </c>
      <c r="G8" s="54" t="s">
        <v>4147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04"/>
  <sheetViews>
    <sheetView workbookViewId="0">
      <pane ySplit="1" topLeftCell="A2" activePane="bottomLeft" state="frozen"/>
      <selection pane="bottomLeft"/>
    </sheetView>
  </sheetViews>
  <sheetFormatPr defaultColWidth="9" defaultRowHeight="15"/>
  <cols>
    <col min="1" max="1" width="28" customWidth="1"/>
    <col min="2" max="2" width="39" customWidth="1"/>
    <col min="3" max="3" width="17" customWidth="1"/>
    <col min="4" max="4" width="10" customWidth="1"/>
    <col min="5" max="5" width="25" customWidth="1"/>
    <col min="6" max="6" width="15" customWidth="1"/>
    <col min="7" max="7" width="20" customWidth="1"/>
    <col min="8" max="8" width="14" customWidth="1"/>
    <col min="9" max="9" width="15" customWidth="1"/>
    <col min="10" max="10" width="20" customWidth="1"/>
    <col min="11" max="11" width="39" customWidth="1"/>
    <col min="12" max="12" width="13" customWidth="1"/>
    <col min="13" max="13" width="16" customWidth="1"/>
    <col min="14" max="14" width="12" customWidth="1"/>
    <col min="15" max="15" width="15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2862</v>
      </c>
      <c r="H1" s="1" t="s">
        <v>2863</v>
      </c>
      <c r="I1" s="1" t="s">
        <v>7</v>
      </c>
      <c r="J1" s="1" t="s">
        <v>2864</v>
      </c>
      <c r="K1" s="1" t="s">
        <v>2865</v>
      </c>
      <c r="L1" s="1" t="s">
        <v>2866</v>
      </c>
      <c r="M1" s="1" t="s">
        <v>2867</v>
      </c>
      <c r="N1" s="1" t="s">
        <v>2868</v>
      </c>
      <c r="O1" s="1" t="s">
        <v>2869</v>
      </c>
    </row>
    <row r="2" spans="1:15">
      <c r="A2" s="2" t="s">
        <v>9</v>
      </c>
      <c r="B2" s="2" t="s">
        <v>10</v>
      </c>
      <c r="C2" s="2" t="s">
        <v>11</v>
      </c>
      <c r="D2" s="2" t="s">
        <v>2870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1.36</v>
      </c>
      <c r="J2" s="2" t="s">
        <v>2871</v>
      </c>
      <c r="K2" s="2" t="s">
        <v>2872</v>
      </c>
      <c r="L2" s="2" t="s">
        <v>2873</v>
      </c>
      <c r="M2" s="2">
        <v>35</v>
      </c>
      <c r="N2" s="2">
        <v>2</v>
      </c>
      <c r="O2" s="2" t="s">
        <v>2874</v>
      </c>
    </row>
    <row r="3" spans="1:15">
      <c r="A3" s="2" t="s">
        <v>9</v>
      </c>
      <c r="B3" s="2" t="s">
        <v>10</v>
      </c>
      <c r="C3" s="2" t="s">
        <v>11</v>
      </c>
      <c r="D3" s="2" t="s">
        <v>2870</v>
      </c>
      <c r="E3" s="2" t="s">
        <v>14</v>
      </c>
      <c r="F3" s="2" t="s">
        <v>15</v>
      </c>
      <c r="G3" s="2" t="s">
        <v>16</v>
      </c>
      <c r="H3" s="2" t="s">
        <v>17</v>
      </c>
      <c r="I3" s="2">
        <v>1.36</v>
      </c>
      <c r="J3" s="2" t="s">
        <v>2871</v>
      </c>
      <c r="K3" s="2" t="s">
        <v>2875</v>
      </c>
      <c r="L3" s="2" t="s">
        <v>2873</v>
      </c>
      <c r="M3" s="2">
        <v>36</v>
      </c>
      <c r="N3" s="2">
        <v>2</v>
      </c>
      <c r="O3" s="2" t="s">
        <v>2876</v>
      </c>
    </row>
    <row r="4" spans="1:15">
      <c r="A4" s="2" t="s">
        <v>9</v>
      </c>
      <c r="B4" s="2" t="s">
        <v>10</v>
      </c>
      <c r="C4" s="2" t="s">
        <v>11</v>
      </c>
      <c r="D4" s="2" t="s">
        <v>2870</v>
      </c>
      <c r="E4" s="2" t="s">
        <v>14</v>
      </c>
      <c r="F4" s="2" t="s">
        <v>15</v>
      </c>
      <c r="G4" s="2" t="s">
        <v>16</v>
      </c>
      <c r="H4" s="2" t="s">
        <v>17</v>
      </c>
      <c r="I4" s="2">
        <v>1.36</v>
      </c>
      <c r="J4" s="2" t="s">
        <v>2871</v>
      </c>
      <c r="K4" s="2" t="s">
        <v>2877</v>
      </c>
      <c r="L4" s="2" t="s">
        <v>2873</v>
      </c>
      <c r="M4" s="2">
        <v>32</v>
      </c>
      <c r="N4" s="2">
        <v>54</v>
      </c>
      <c r="O4" s="2" t="s">
        <v>2878</v>
      </c>
    </row>
    <row r="5" spans="1:15">
      <c r="A5" s="2" t="s">
        <v>9</v>
      </c>
      <c r="B5" s="2" t="s">
        <v>10</v>
      </c>
      <c r="C5" s="2" t="s">
        <v>11</v>
      </c>
      <c r="D5" s="2" t="s">
        <v>2870</v>
      </c>
      <c r="E5" s="2" t="s">
        <v>14</v>
      </c>
      <c r="F5" s="2" t="s">
        <v>15</v>
      </c>
      <c r="G5" s="2" t="s">
        <v>16</v>
      </c>
      <c r="H5" s="2" t="s">
        <v>17</v>
      </c>
      <c r="I5" s="2">
        <v>1.36</v>
      </c>
      <c r="J5" s="2" t="s">
        <v>2879</v>
      </c>
      <c r="K5" s="2" t="s">
        <v>2880</v>
      </c>
      <c r="L5" s="2" t="s">
        <v>2873</v>
      </c>
      <c r="M5" s="2">
        <v>13</v>
      </c>
      <c r="N5" s="2">
        <v>12</v>
      </c>
      <c r="O5" s="2" t="s">
        <v>2881</v>
      </c>
    </row>
    <row r="6" spans="1:15">
      <c r="A6" s="2" t="s">
        <v>9</v>
      </c>
      <c r="B6" s="2" t="s">
        <v>10</v>
      </c>
      <c r="C6" s="2" t="s">
        <v>11</v>
      </c>
      <c r="D6" s="2" t="s">
        <v>2882</v>
      </c>
      <c r="E6" s="2" t="s">
        <v>19</v>
      </c>
      <c r="F6" s="2" t="s">
        <v>15</v>
      </c>
      <c r="G6" s="2" t="s">
        <v>20</v>
      </c>
      <c r="H6" s="2" t="s">
        <v>21</v>
      </c>
      <c r="I6" s="2">
        <v>1</v>
      </c>
      <c r="J6" s="2" t="s">
        <v>2871</v>
      </c>
      <c r="K6" s="2" t="s">
        <v>2877</v>
      </c>
      <c r="L6" s="2" t="s">
        <v>2873</v>
      </c>
      <c r="M6" s="2">
        <v>32</v>
      </c>
      <c r="N6" s="2">
        <v>30</v>
      </c>
      <c r="O6" s="2" t="s">
        <v>2883</v>
      </c>
    </row>
    <row r="7" spans="1:15">
      <c r="A7" s="2" t="s">
        <v>9</v>
      </c>
      <c r="B7" s="2" t="s">
        <v>10</v>
      </c>
      <c r="C7" s="2" t="s">
        <v>11</v>
      </c>
      <c r="D7" s="2" t="s">
        <v>2882</v>
      </c>
      <c r="E7" s="2" t="s">
        <v>19</v>
      </c>
      <c r="F7" s="2" t="s">
        <v>15</v>
      </c>
      <c r="G7" s="2" t="s">
        <v>20</v>
      </c>
      <c r="H7" s="2" t="s">
        <v>21</v>
      </c>
      <c r="I7" s="2">
        <v>1</v>
      </c>
      <c r="J7" s="2" t="s">
        <v>2871</v>
      </c>
      <c r="K7" s="2" t="s">
        <v>2872</v>
      </c>
      <c r="L7" s="2" t="s">
        <v>2873</v>
      </c>
      <c r="M7" s="2">
        <v>35</v>
      </c>
      <c r="N7" s="2">
        <v>17</v>
      </c>
      <c r="O7" s="2" t="s">
        <v>2884</v>
      </c>
    </row>
    <row r="8" spans="1:15">
      <c r="A8" s="2" t="s">
        <v>9</v>
      </c>
      <c r="B8" s="2" t="s">
        <v>10</v>
      </c>
      <c r="C8" s="2" t="s">
        <v>11</v>
      </c>
      <c r="D8" s="2" t="s">
        <v>2882</v>
      </c>
      <c r="E8" s="2" t="s">
        <v>19</v>
      </c>
      <c r="F8" s="2" t="s">
        <v>15</v>
      </c>
      <c r="G8" s="2" t="s">
        <v>20</v>
      </c>
      <c r="H8" s="2" t="s">
        <v>21</v>
      </c>
      <c r="I8" s="2">
        <v>1</v>
      </c>
      <c r="J8" s="2" t="s">
        <v>2871</v>
      </c>
      <c r="K8" s="2" t="s">
        <v>2875</v>
      </c>
      <c r="L8" s="2" t="s">
        <v>2873</v>
      </c>
      <c r="M8" s="2">
        <v>36</v>
      </c>
      <c r="N8" s="2">
        <v>19</v>
      </c>
      <c r="O8" s="2" t="s">
        <v>2885</v>
      </c>
    </row>
    <row r="9" spans="1:15">
      <c r="A9" s="2" t="s">
        <v>9</v>
      </c>
      <c r="B9" s="2" t="s">
        <v>10</v>
      </c>
      <c r="C9" s="2" t="s">
        <v>11</v>
      </c>
      <c r="D9" s="2" t="s">
        <v>2886</v>
      </c>
      <c r="E9" s="2" t="s">
        <v>23</v>
      </c>
      <c r="F9" s="2" t="s">
        <v>15</v>
      </c>
      <c r="G9" s="2" t="s">
        <v>16</v>
      </c>
      <c r="H9" s="2" t="s">
        <v>24</v>
      </c>
      <c r="I9" s="2">
        <v>1.5</v>
      </c>
      <c r="J9" s="2" t="s">
        <v>2887</v>
      </c>
      <c r="K9" s="2" t="s">
        <v>2888</v>
      </c>
      <c r="L9" s="2" t="s">
        <v>2873</v>
      </c>
      <c r="M9" s="2">
        <v>205</v>
      </c>
      <c r="N9" s="2">
        <v>537</v>
      </c>
      <c r="O9" s="2" t="s">
        <v>2889</v>
      </c>
    </row>
    <row r="10" spans="1:15">
      <c r="A10" s="2" t="s">
        <v>9</v>
      </c>
      <c r="B10" s="2" t="s">
        <v>10</v>
      </c>
      <c r="C10" s="2" t="s">
        <v>11</v>
      </c>
      <c r="D10" s="2" t="s">
        <v>2886</v>
      </c>
      <c r="E10" s="2" t="s">
        <v>23</v>
      </c>
      <c r="F10" s="2" t="s">
        <v>15</v>
      </c>
      <c r="G10" s="2" t="s">
        <v>16</v>
      </c>
      <c r="H10" s="2" t="s">
        <v>24</v>
      </c>
      <c r="I10" s="2">
        <v>1.5</v>
      </c>
      <c r="J10" s="2" t="s">
        <v>2887</v>
      </c>
      <c r="K10" s="2" t="s">
        <v>2890</v>
      </c>
      <c r="L10" s="2" t="s">
        <v>2873</v>
      </c>
      <c r="M10" s="2">
        <v>205</v>
      </c>
      <c r="N10" s="2">
        <v>537</v>
      </c>
      <c r="O10" s="2" t="s">
        <v>2889</v>
      </c>
    </row>
    <row r="11" spans="1:15">
      <c r="A11" s="2" t="s">
        <v>9</v>
      </c>
      <c r="B11" s="2" t="s">
        <v>10</v>
      </c>
      <c r="C11" s="2" t="s">
        <v>11</v>
      </c>
      <c r="D11" s="2" t="s">
        <v>2886</v>
      </c>
      <c r="E11" s="2" t="s">
        <v>23</v>
      </c>
      <c r="F11" s="2" t="s">
        <v>15</v>
      </c>
      <c r="G11" s="2" t="s">
        <v>16</v>
      </c>
      <c r="H11" s="2" t="s">
        <v>24</v>
      </c>
      <c r="I11" s="2">
        <v>1.5</v>
      </c>
      <c r="J11" s="2" t="s">
        <v>2871</v>
      </c>
      <c r="K11" s="2" t="s">
        <v>2875</v>
      </c>
      <c r="L11" s="2" t="s">
        <v>2873</v>
      </c>
      <c r="M11" s="2">
        <v>36</v>
      </c>
      <c r="N11" s="2">
        <v>9</v>
      </c>
      <c r="O11" s="2" t="s">
        <v>2891</v>
      </c>
    </row>
    <row r="12" spans="1:15">
      <c r="A12" s="2" t="s">
        <v>9</v>
      </c>
      <c r="B12" s="2" t="s">
        <v>10</v>
      </c>
      <c r="C12" s="2" t="s">
        <v>11</v>
      </c>
      <c r="D12" s="2" t="s">
        <v>2886</v>
      </c>
      <c r="E12" s="2" t="s">
        <v>23</v>
      </c>
      <c r="F12" s="2" t="s">
        <v>15</v>
      </c>
      <c r="G12" s="2" t="s">
        <v>16</v>
      </c>
      <c r="H12" s="2" t="s">
        <v>24</v>
      </c>
      <c r="I12" s="2">
        <v>1.5</v>
      </c>
      <c r="J12" s="2" t="s">
        <v>2871</v>
      </c>
      <c r="K12" s="2" t="s">
        <v>2872</v>
      </c>
      <c r="L12" s="2" t="s">
        <v>2873</v>
      </c>
      <c r="M12" s="2">
        <v>35</v>
      </c>
      <c r="N12" s="2">
        <v>14</v>
      </c>
      <c r="O12" s="2" t="s">
        <v>2892</v>
      </c>
    </row>
    <row r="13" spans="1:15">
      <c r="A13" s="2" t="s">
        <v>9</v>
      </c>
      <c r="B13" s="2" t="s">
        <v>10</v>
      </c>
      <c r="C13" s="2" t="s">
        <v>11</v>
      </c>
      <c r="D13" s="2" t="s">
        <v>2886</v>
      </c>
      <c r="E13" s="2" t="s">
        <v>23</v>
      </c>
      <c r="F13" s="2" t="s">
        <v>15</v>
      </c>
      <c r="G13" s="2" t="s">
        <v>16</v>
      </c>
      <c r="H13" s="2" t="s">
        <v>24</v>
      </c>
      <c r="I13" s="2">
        <v>1.5</v>
      </c>
      <c r="J13" s="2" t="s">
        <v>2871</v>
      </c>
      <c r="K13" s="2" t="s">
        <v>2877</v>
      </c>
      <c r="L13" s="2" t="s">
        <v>2873</v>
      </c>
      <c r="M13" s="2">
        <v>32</v>
      </c>
      <c r="N13" s="2">
        <v>92</v>
      </c>
      <c r="O13" s="2" t="s">
        <v>2893</v>
      </c>
    </row>
    <row r="14" spans="1:15">
      <c r="A14" s="2" t="s">
        <v>9</v>
      </c>
      <c r="B14" s="2" t="s">
        <v>10</v>
      </c>
      <c r="C14" s="2" t="s">
        <v>11</v>
      </c>
      <c r="D14" s="2" t="s">
        <v>2886</v>
      </c>
      <c r="E14" s="2" t="s">
        <v>23</v>
      </c>
      <c r="F14" s="2" t="s">
        <v>15</v>
      </c>
      <c r="G14" s="2" t="s">
        <v>16</v>
      </c>
      <c r="H14" s="2" t="s">
        <v>24</v>
      </c>
      <c r="I14" s="2">
        <v>1.5</v>
      </c>
      <c r="J14" s="2" t="s">
        <v>2879</v>
      </c>
      <c r="K14" s="2" t="s">
        <v>2894</v>
      </c>
      <c r="L14" s="2" t="s">
        <v>2873</v>
      </c>
      <c r="M14" s="2">
        <v>26</v>
      </c>
      <c r="N14" s="2">
        <v>3</v>
      </c>
      <c r="O14" s="2" t="s">
        <v>2895</v>
      </c>
    </row>
    <row r="15" spans="1:15">
      <c r="A15" s="2" t="s">
        <v>9</v>
      </c>
      <c r="B15" s="2" t="s">
        <v>10</v>
      </c>
      <c r="C15" s="2" t="s">
        <v>11</v>
      </c>
      <c r="D15" s="2" t="s">
        <v>2896</v>
      </c>
      <c r="E15" s="2" t="s">
        <v>26</v>
      </c>
      <c r="F15" s="2" t="s">
        <v>15</v>
      </c>
      <c r="G15" s="2" t="s">
        <v>16</v>
      </c>
      <c r="H15" s="2" t="s">
        <v>27</v>
      </c>
      <c r="I15" s="2">
        <v>1.36</v>
      </c>
      <c r="J15" s="2" t="s">
        <v>2879</v>
      </c>
      <c r="K15" s="2" t="s">
        <v>2880</v>
      </c>
      <c r="L15" s="2" t="s">
        <v>2873</v>
      </c>
      <c r="M15" s="2">
        <v>13</v>
      </c>
      <c r="N15" s="2">
        <v>8</v>
      </c>
      <c r="O15" s="2" t="s">
        <v>2897</v>
      </c>
    </row>
    <row r="16" spans="1:15">
      <c r="A16" s="2" t="s">
        <v>9</v>
      </c>
      <c r="B16" s="2" t="s">
        <v>10</v>
      </c>
      <c r="C16" s="2" t="s">
        <v>11</v>
      </c>
      <c r="D16" s="2" t="s">
        <v>2896</v>
      </c>
      <c r="E16" s="2" t="s">
        <v>26</v>
      </c>
      <c r="F16" s="2" t="s">
        <v>15</v>
      </c>
      <c r="G16" s="2" t="s">
        <v>16</v>
      </c>
      <c r="H16" s="2" t="s">
        <v>27</v>
      </c>
      <c r="I16" s="2">
        <v>1.36</v>
      </c>
      <c r="J16" s="2" t="s">
        <v>2871</v>
      </c>
      <c r="K16" s="2" t="s">
        <v>2877</v>
      </c>
      <c r="L16" s="2" t="s">
        <v>2873</v>
      </c>
      <c r="M16" s="2">
        <v>32</v>
      </c>
      <c r="N16" s="2">
        <v>44</v>
      </c>
      <c r="O16" s="2" t="s">
        <v>2898</v>
      </c>
    </row>
    <row r="17" spans="1:15">
      <c r="A17" s="2" t="s">
        <v>9</v>
      </c>
      <c r="B17" s="2" t="s">
        <v>10</v>
      </c>
      <c r="C17" s="2" t="s">
        <v>11</v>
      </c>
      <c r="D17" s="2" t="s">
        <v>2896</v>
      </c>
      <c r="E17" s="2" t="s">
        <v>26</v>
      </c>
      <c r="F17" s="2" t="s">
        <v>15</v>
      </c>
      <c r="G17" s="2" t="s">
        <v>16</v>
      </c>
      <c r="H17" s="2" t="s">
        <v>27</v>
      </c>
      <c r="I17" s="2">
        <v>1.36</v>
      </c>
      <c r="J17" s="2" t="s">
        <v>2871</v>
      </c>
      <c r="K17" s="2" t="s">
        <v>2872</v>
      </c>
      <c r="L17" s="2" t="s">
        <v>2873</v>
      </c>
      <c r="M17" s="2">
        <v>35</v>
      </c>
      <c r="N17" s="2">
        <v>15</v>
      </c>
      <c r="O17" s="2" t="s">
        <v>2899</v>
      </c>
    </row>
    <row r="18" spans="1:15">
      <c r="A18" s="2" t="s">
        <v>9</v>
      </c>
      <c r="B18" s="2" t="s">
        <v>10</v>
      </c>
      <c r="C18" s="2" t="s">
        <v>11</v>
      </c>
      <c r="D18" s="2" t="s">
        <v>2896</v>
      </c>
      <c r="E18" s="2" t="s">
        <v>26</v>
      </c>
      <c r="F18" s="2" t="s">
        <v>15</v>
      </c>
      <c r="G18" s="2" t="s">
        <v>16</v>
      </c>
      <c r="H18" s="2" t="s">
        <v>27</v>
      </c>
      <c r="I18" s="2">
        <v>1.36</v>
      </c>
      <c r="J18" s="2" t="s">
        <v>2871</v>
      </c>
      <c r="K18" s="2" t="s">
        <v>2875</v>
      </c>
      <c r="L18" s="2" t="s">
        <v>2873</v>
      </c>
      <c r="M18" s="2">
        <v>36</v>
      </c>
      <c r="N18" s="2">
        <v>11</v>
      </c>
      <c r="O18" s="2" t="s">
        <v>2900</v>
      </c>
    </row>
    <row r="19" spans="1:15">
      <c r="A19" s="2" t="s">
        <v>9</v>
      </c>
      <c r="B19" s="2" t="s">
        <v>10</v>
      </c>
      <c r="C19" s="2" t="s">
        <v>11</v>
      </c>
      <c r="D19" s="2" t="s">
        <v>2901</v>
      </c>
      <c r="E19" s="2" t="s">
        <v>29</v>
      </c>
      <c r="F19" s="2" t="s">
        <v>15</v>
      </c>
      <c r="G19" s="2" t="s">
        <v>16</v>
      </c>
      <c r="H19" s="2" t="s">
        <v>30</v>
      </c>
      <c r="I19" s="2">
        <v>1.0900000000000001</v>
      </c>
      <c r="J19" s="2" t="s">
        <v>2879</v>
      </c>
      <c r="K19" s="2" t="s">
        <v>2880</v>
      </c>
      <c r="L19" s="2" t="s">
        <v>2873</v>
      </c>
      <c r="M19" s="2">
        <v>13</v>
      </c>
      <c r="N19" s="2">
        <v>8</v>
      </c>
      <c r="O19" s="2" t="s">
        <v>2897</v>
      </c>
    </row>
    <row r="20" spans="1:15">
      <c r="A20" s="2" t="s">
        <v>9</v>
      </c>
      <c r="B20" s="2" t="s">
        <v>10</v>
      </c>
      <c r="C20" s="2" t="s">
        <v>11</v>
      </c>
      <c r="D20" s="2" t="s">
        <v>2901</v>
      </c>
      <c r="E20" s="2" t="s">
        <v>29</v>
      </c>
      <c r="F20" s="2" t="s">
        <v>15</v>
      </c>
      <c r="G20" s="2" t="s">
        <v>16</v>
      </c>
      <c r="H20" s="2" t="s">
        <v>30</v>
      </c>
      <c r="I20" s="2">
        <v>1.0900000000000001</v>
      </c>
      <c r="J20" s="2" t="s">
        <v>2879</v>
      </c>
      <c r="K20" s="2" t="s">
        <v>2894</v>
      </c>
      <c r="L20" s="2" t="s">
        <v>2873</v>
      </c>
      <c r="M20" s="2">
        <v>26</v>
      </c>
      <c r="N20" s="2">
        <v>15</v>
      </c>
      <c r="O20" s="2" t="s">
        <v>2902</v>
      </c>
    </row>
    <row r="21" spans="1:15">
      <c r="A21" s="2" t="s">
        <v>9</v>
      </c>
      <c r="B21" s="2" t="s">
        <v>10</v>
      </c>
      <c r="C21" s="2" t="s">
        <v>11</v>
      </c>
      <c r="D21" s="2" t="s">
        <v>2901</v>
      </c>
      <c r="E21" s="2" t="s">
        <v>29</v>
      </c>
      <c r="F21" s="2" t="s">
        <v>15</v>
      </c>
      <c r="G21" s="2" t="s">
        <v>16</v>
      </c>
      <c r="H21" s="2" t="s">
        <v>30</v>
      </c>
      <c r="I21" s="2">
        <v>1.0900000000000001</v>
      </c>
      <c r="J21" s="2" t="s">
        <v>2871</v>
      </c>
      <c r="K21" s="2" t="s">
        <v>2877</v>
      </c>
      <c r="L21" s="2" t="s">
        <v>2873</v>
      </c>
      <c r="M21" s="2">
        <v>32</v>
      </c>
      <c r="N21" s="2">
        <v>11</v>
      </c>
      <c r="O21" s="2" t="s">
        <v>2903</v>
      </c>
    </row>
    <row r="22" spans="1:15">
      <c r="A22" s="2" t="s">
        <v>9</v>
      </c>
      <c r="B22" s="2" t="s">
        <v>10</v>
      </c>
      <c r="C22" s="2" t="s">
        <v>11</v>
      </c>
      <c r="D22" s="2" t="s">
        <v>2901</v>
      </c>
      <c r="E22" s="2" t="s">
        <v>29</v>
      </c>
      <c r="F22" s="2" t="s">
        <v>15</v>
      </c>
      <c r="G22" s="2" t="s">
        <v>16</v>
      </c>
      <c r="H22" s="2" t="s">
        <v>30</v>
      </c>
      <c r="I22" s="2">
        <v>1.0900000000000001</v>
      </c>
      <c r="J22" s="2" t="s">
        <v>2871</v>
      </c>
      <c r="K22" s="2" t="s">
        <v>2872</v>
      </c>
      <c r="L22" s="2" t="s">
        <v>2873</v>
      </c>
      <c r="M22" s="2">
        <v>35</v>
      </c>
      <c r="N22" s="2">
        <v>14</v>
      </c>
      <c r="O22" s="2" t="s">
        <v>2892</v>
      </c>
    </row>
    <row r="23" spans="1:15">
      <c r="A23" s="2" t="s">
        <v>9</v>
      </c>
      <c r="B23" s="2" t="s">
        <v>10</v>
      </c>
      <c r="C23" s="2" t="s">
        <v>11</v>
      </c>
      <c r="D23" s="2" t="s">
        <v>2901</v>
      </c>
      <c r="E23" s="2" t="s">
        <v>29</v>
      </c>
      <c r="F23" s="2" t="s">
        <v>15</v>
      </c>
      <c r="G23" s="2" t="s">
        <v>16</v>
      </c>
      <c r="H23" s="2" t="s">
        <v>30</v>
      </c>
      <c r="I23" s="2">
        <v>1.0900000000000001</v>
      </c>
      <c r="J23" s="2" t="s">
        <v>2871</v>
      </c>
      <c r="K23" s="2" t="s">
        <v>2875</v>
      </c>
      <c r="L23" s="2" t="s">
        <v>2873</v>
      </c>
      <c r="M23" s="2">
        <v>36</v>
      </c>
      <c r="N23" s="2">
        <v>9</v>
      </c>
      <c r="O23" s="2" t="s">
        <v>2891</v>
      </c>
    </row>
    <row r="24" spans="1:15">
      <c r="A24" s="2" t="s">
        <v>9</v>
      </c>
      <c r="B24" s="2" t="s">
        <v>10</v>
      </c>
      <c r="C24" s="2" t="s">
        <v>11</v>
      </c>
      <c r="D24" s="2" t="s">
        <v>2904</v>
      </c>
      <c r="E24" s="2" t="s">
        <v>32</v>
      </c>
      <c r="F24" s="2" t="s">
        <v>33</v>
      </c>
      <c r="G24" s="2" t="s">
        <v>20</v>
      </c>
      <c r="H24" s="2" t="s">
        <v>34</v>
      </c>
      <c r="I24" s="2">
        <v>1</v>
      </c>
      <c r="J24" s="2" t="s">
        <v>2871</v>
      </c>
      <c r="K24" s="2" t="s">
        <v>2875</v>
      </c>
      <c r="L24" s="2" t="s">
        <v>2873</v>
      </c>
      <c r="M24" s="2">
        <v>36</v>
      </c>
      <c r="N24" s="2">
        <v>4</v>
      </c>
      <c r="O24" s="2" t="s">
        <v>2905</v>
      </c>
    </row>
    <row r="25" spans="1:15">
      <c r="A25" s="2" t="s">
        <v>9</v>
      </c>
      <c r="B25" s="2" t="s">
        <v>10</v>
      </c>
      <c r="C25" s="2" t="s">
        <v>11</v>
      </c>
      <c r="D25" s="2" t="s">
        <v>2904</v>
      </c>
      <c r="E25" s="2" t="s">
        <v>32</v>
      </c>
      <c r="F25" s="2" t="s">
        <v>33</v>
      </c>
      <c r="G25" s="2" t="s">
        <v>20</v>
      </c>
      <c r="H25" s="2" t="s">
        <v>34</v>
      </c>
      <c r="I25" s="2">
        <v>1</v>
      </c>
      <c r="J25" s="2" t="s">
        <v>2871</v>
      </c>
      <c r="K25" s="2" t="s">
        <v>2877</v>
      </c>
      <c r="L25" s="2" t="s">
        <v>2873</v>
      </c>
      <c r="M25" s="2">
        <v>32</v>
      </c>
      <c r="N25" s="2">
        <v>11</v>
      </c>
      <c r="O25" s="2" t="s">
        <v>2903</v>
      </c>
    </row>
    <row r="26" spans="1:15">
      <c r="A26" s="2" t="s">
        <v>9</v>
      </c>
      <c r="B26" s="2" t="s">
        <v>10</v>
      </c>
      <c r="C26" s="2" t="s">
        <v>11</v>
      </c>
      <c r="D26" s="2" t="s">
        <v>2904</v>
      </c>
      <c r="E26" s="2" t="s">
        <v>32</v>
      </c>
      <c r="F26" s="2" t="s">
        <v>33</v>
      </c>
      <c r="G26" s="2" t="s">
        <v>20</v>
      </c>
      <c r="H26" s="2" t="s">
        <v>34</v>
      </c>
      <c r="I26" s="2">
        <v>1</v>
      </c>
      <c r="J26" s="2" t="s">
        <v>2871</v>
      </c>
      <c r="K26" s="2" t="s">
        <v>2872</v>
      </c>
      <c r="L26" s="2" t="s">
        <v>2873</v>
      </c>
      <c r="M26" s="2">
        <v>35</v>
      </c>
      <c r="N26" s="2">
        <v>10</v>
      </c>
      <c r="O26" s="2" t="s">
        <v>2906</v>
      </c>
    </row>
    <row r="27" spans="1:15">
      <c r="A27" s="2" t="s">
        <v>9</v>
      </c>
      <c r="B27" s="2" t="s">
        <v>10</v>
      </c>
      <c r="C27" s="2" t="s">
        <v>11</v>
      </c>
      <c r="D27" s="2" t="s">
        <v>2904</v>
      </c>
      <c r="E27" s="2" t="s">
        <v>32</v>
      </c>
      <c r="F27" s="2" t="s">
        <v>33</v>
      </c>
      <c r="G27" s="2" t="s">
        <v>20</v>
      </c>
      <c r="H27" s="2" t="s">
        <v>34</v>
      </c>
      <c r="I27" s="2">
        <v>1</v>
      </c>
      <c r="J27" s="2" t="s">
        <v>2879</v>
      </c>
      <c r="K27" s="2" t="s">
        <v>2880</v>
      </c>
      <c r="L27" s="2" t="s">
        <v>2873</v>
      </c>
      <c r="M27" s="2">
        <v>13</v>
      </c>
      <c r="N27" s="2">
        <v>6</v>
      </c>
      <c r="O27" s="2" t="s">
        <v>2907</v>
      </c>
    </row>
    <row r="28" spans="1:15">
      <c r="A28" s="2" t="s">
        <v>35</v>
      </c>
      <c r="B28" s="2" t="s">
        <v>36</v>
      </c>
      <c r="C28" s="2" t="s">
        <v>11</v>
      </c>
      <c r="D28" s="2" t="s">
        <v>2870</v>
      </c>
      <c r="E28" s="2" t="s">
        <v>37</v>
      </c>
      <c r="F28" s="2" t="s">
        <v>15</v>
      </c>
      <c r="G28" s="2" t="s">
        <v>16</v>
      </c>
      <c r="H28" s="2" t="s">
        <v>38</v>
      </c>
      <c r="I28" s="2">
        <v>1.5</v>
      </c>
      <c r="J28" s="2" t="s">
        <v>2871</v>
      </c>
      <c r="K28" s="2" t="s">
        <v>2872</v>
      </c>
      <c r="L28" s="2" t="s">
        <v>2873</v>
      </c>
      <c r="M28" s="2">
        <v>35</v>
      </c>
      <c r="N28" s="2">
        <v>20</v>
      </c>
      <c r="O28" s="2" t="s">
        <v>2908</v>
      </c>
    </row>
    <row r="29" spans="1:15">
      <c r="A29" s="2" t="s">
        <v>35</v>
      </c>
      <c r="B29" s="2" t="s">
        <v>36</v>
      </c>
      <c r="C29" s="2" t="s">
        <v>11</v>
      </c>
      <c r="D29" s="2" t="s">
        <v>2870</v>
      </c>
      <c r="E29" s="2" t="s">
        <v>37</v>
      </c>
      <c r="F29" s="2" t="s">
        <v>15</v>
      </c>
      <c r="G29" s="2" t="s">
        <v>16</v>
      </c>
      <c r="H29" s="2" t="s">
        <v>38</v>
      </c>
      <c r="I29" s="2">
        <v>1.5</v>
      </c>
      <c r="J29" s="2" t="s">
        <v>2871</v>
      </c>
      <c r="K29" s="2" t="s">
        <v>2875</v>
      </c>
      <c r="L29" s="2" t="s">
        <v>2873</v>
      </c>
      <c r="M29" s="2">
        <v>36</v>
      </c>
      <c r="N29" s="2">
        <v>108</v>
      </c>
      <c r="O29" s="2" t="s">
        <v>2909</v>
      </c>
    </row>
    <row r="30" spans="1:15">
      <c r="A30" s="2" t="s">
        <v>35</v>
      </c>
      <c r="B30" s="2" t="s">
        <v>36</v>
      </c>
      <c r="C30" s="2" t="s">
        <v>11</v>
      </c>
      <c r="D30" s="2" t="s">
        <v>2870</v>
      </c>
      <c r="E30" s="2" t="s">
        <v>37</v>
      </c>
      <c r="F30" s="2" t="s">
        <v>15</v>
      </c>
      <c r="G30" s="2" t="s">
        <v>16</v>
      </c>
      <c r="H30" s="2" t="s">
        <v>38</v>
      </c>
      <c r="I30" s="2">
        <v>1.5</v>
      </c>
      <c r="J30" s="2" t="s">
        <v>2879</v>
      </c>
      <c r="K30" s="2" t="s">
        <v>2894</v>
      </c>
      <c r="L30" s="2" t="s">
        <v>2873</v>
      </c>
      <c r="M30" s="2">
        <v>26</v>
      </c>
      <c r="N30" s="2">
        <v>2</v>
      </c>
      <c r="O30" s="2" t="s">
        <v>2910</v>
      </c>
    </row>
    <row r="31" spans="1:15">
      <c r="A31" s="2" t="s">
        <v>35</v>
      </c>
      <c r="B31" s="2" t="s">
        <v>36</v>
      </c>
      <c r="C31" s="2" t="s">
        <v>11</v>
      </c>
      <c r="D31" s="2" t="s">
        <v>2882</v>
      </c>
      <c r="E31" s="2" t="s">
        <v>39</v>
      </c>
      <c r="F31" s="2" t="s">
        <v>15</v>
      </c>
      <c r="G31" s="2" t="s">
        <v>16</v>
      </c>
      <c r="H31" s="2" t="s">
        <v>40</v>
      </c>
      <c r="I31" s="2">
        <v>1.5</v>
      </c>
      <c r="J31" s="2" t="s">
        <v>2871</v>
      </c>
      <c r="K31" s="2" t="s">
        <v>2875</v>
      </c>
      <c r="L31" s="2" t="s">
        <v>2873</v>
      </c>
      <c r="M31" s="2">
        <v>36</v>
      </c>
      <c r="N31" s="2">
        <v>104</v>
      </c>
      <c r="O31" s="2" t="s">
        <v>2911</v>
      </c>
    </row>
    <row r="32" spans="1:15">
      <c r="A32" s="2" t="s">
        <v>35</v>
      </c>
      <c r="B32" s="2" t="s">
        <v>36</v>
      </c>
      <c r="C32" s="2" t="s">
        <v>11</v>
      </c>
      <c r="D32" s="2" t="s">
        <v>2882</v>
      </c>
      <c r="E32" s="2" t="s">
        <v>39</v>
      </c>
      <c r="F32" s="2" t="s">
        <v>15</v>
      </c>
      <c r="G32" s="2" t="s">
        <v>16</v>
      </c>
      <c r="H32" s="2" t="s">
        <v>40</v>
      </c>
      <c r="I32" s="2">
        <v>1.5</v>
      </c>
      <c r="J32" s="2" t="s">
        <v>2871</v>
      </c>
      <c r="K32" s="2" t="s">
        <v>2872</v>
      </c>
      <c r="L32" s="2" t="s">
        <v>2873</v>
      </c>
      <c r="M32" s="2">
        <v>35</v>
      </c>
      <c r="N32" s="2">
        <v>24</v>
      </c>
      <c r="O32" s="2" t="s">
        <v>2912</v>
      </c>
    </row>
    <row r="33" spans="1:15">
      <c r="A33" s="2" t="s">
        <v>35</v>
      </c>
      <c r="B33" s="2" t="s">
        <v>36</v>
      </c>
      <c r="C33" s="2" t="s">
        <v>11</v>
      </c>
      <c r="D33" s="2" t="s">
        <v>2886</v>
      </c>
      <c r="E33" s="2" t="s">
        <v>41</v>
      </c>
      <c r="F33" s="2" t="s">
        <v>15</v>
      </c>
      <c r="G33" s="2" t="s">
        <v>20</v>
      </c>
      <c r="H33" s="2" t="s">
        <v>42</v>
      </c>
      <c r="I33" s="2">
        <v>1</v>
      </c>
      <c r="J33" s="2" t="s">
        <v>2871</v>
      </c>
      <c r="K33" s="2" t="s">
        <v>2875</v>
      </c>
      <c r="L33" s="2" t="s">
        <v>2873</v>
      </c>
      <c r="M33" s="2">
        <v>36</v>
      </c>
      <c r="N33" s="2">
        <v>62</v>
      </c>
      <c r="O33" s="2" t="s">
        <v>2913</v>
      </c>
    </row>
    <row r="34" spans="1:15">
      <c r="A34" s="2" t="s">
        <v>35</v>
      </c>
      <c r="B34" s="2" t="s">
        <v>36</v>
      </c>
      <c r="C34" s="2" t="s">
        <v>11</v>
      </c>
      <c r="D34" s="2" t="s">
        <v>2886</v>
      </c>
      <c r="E34" s="2" t="s">
        <v>41</v>
      </c>
      <c r="F34" s="2" t="s">
        <v>15</v>
      </c>
      <c r="G34" s="2" t="s">
        <v>20</v>
      </c>
      <c r="H34" s="2" t="s">
        <v>42</v>
      </c>
      <c r="I34" s="2">
        <v>1</v>
      </c>
      <c r="J34" s="2" t="s">
        <v>2871</v>
      </c>
      <c r="K34" s="2" t="s">
        <v>2872</v>
      </c>
      <c r="L34" s="2" t="s">
        <v>2873</v>
      </c>
      <c r="M34" s="2">
        <v>35</v>
      </c>
      <c r="N34" s="2">
        <v>4</v>
      </c>
      <c r="O34" s="2" t="s">
        <v>2914</v>
      </c>
    </row>
    <row r="35" spans="1:15">
      <c r="A35" s="2" t="s">
        <v>35</v>
      </c>
      <c r="B35" s="2" t="s">
        <v>36</v>
      </c>
      <c r="C35" s="2" t="s">
        <v>11</v>
      </c>
      <c r="D35" s="2" t="s">
        <v>2896</v>
      </c>
      <c r="E35" s="2" t="s">
        <v>43</v>
      </c>
      <c r="F35" s="2" t="s">
        <v>33</v>
      </c>
      <c r="G35" s="2" t="s">
        <v>44</v>
      </c>
      <c r="H35" s="2" t="s">
        <v>45</v>
      </c>
      <c r="I35" s="2" t="s">
        <v>12</v>
      </c>
      <c r="J35" s="2" t="s">
        <v>12</v>
      </c>
      <c r="K35" s="2" t="s">
        <v>12</v>
      </c>
      <c r="L35" s="2" t="s">
        <v>12</v>
      </c>
      <c r="M35" s="2" t="s">
        <v>12</v>
      </c>
      <c r="N35" s="2" t="s">
        <v>12</v>
      </c>
      <c r="O35" s="2" t="s">
        <v>12</v>
      </c>
    </row>
    <row r="36" spans="1:15">
      <c r="A36" s="2" t="s">
        <v>46</v>
      </c>
      <c r="B36" s="2" t="s">
        <v>47</v>
      </c>
      <c r="C36" s="2" t="s">
        <v>48</v>
      </c>
      <c r="D36" s="2" t="s">
        <v>2870</v>
      </c>
      <c r="E36" s="2" t="s">
        <v>49</v>
      </c>
      <c r="F36" s="2" t="s">
        <v>15</v>
      </c>
      <c r="G36" s="2" t="s">
        <v>16</v>
      </c>
      <c r="H36" s="2" t="s">
        <v>50</v>
      </c>
      <c r="I36" s="2">
        <v>1.5</v>
      </c>
      <c r="J36" s="2" t="s">
        <v>2879</v>
      </c>
      <c r="K36" s="2" t="s">
        <v>2915</v>
      </c>
      <c r="L36" s="2" t="s">
        <v>2916</v>
      </c>
      <c r="M36" s="2">
        <v>20</v>
      </c>
      <c r="N36" s="2">
        <v>100</v>
      </c>
      <c r="O36" s="2" t="s">
        <v>2917</v>
      </c>
    </row>
    <row r="37" spans="1:15">
      <c r="A37" s="2" t="s">
        <v>46</v>
      </c>
      <c r="B37" s="2" t="s">
        <v>47</v>
      </c>
      <c r="C37" s="2" t="s">
        <v>48</v>
      </c>
      <c r="D37" s="2" t="s">
        <v>2870</v>
      </c>
      <c r="E37" s="2" t="s">
        <v>49</v>
      </c>
      <c r="F37" s="2" t="s">
        <v>15</v>
      </c>
      <c r="G37" s="2" t="s">
        <v>16</v>
      </c>
      <c r="H37" s="2" t="s">
        <v>50</v>
      </c>
      <c r="I37" s="2">
        <v>1.5</v>
      </c>
      <c r="J37" s="2" t="s">
        <v>2879</v>
      </c>
      <c r="K37" s="2" t="s">
        <v>2915</v>
      </c>
      <c r="L37" s="2" t="s">
        <v>2916</v>
      </c>
      <c r="M37" s="2">
        <v>26</v>
      </c>
      <c r="N37" s="2">
        <v>100</v>
      </c>
      <c r="O37" s="2" t="s">
        <v>2918</v>
      </c>
    </row>
    <row r="38" spans="1:15">
      <c r="A38" s="2" t="s">
        <v>46</v>
      </c>
      <c r="B38" s="2" t="s">
        <v>47</v>
      </c>
      <c r="C38" s="2" t="s">
        <v>48</v>
      </c>
      <c r="D38" s="2" t="s">
        <v>2870</v>
      </c>
      <c r="E38" s="2" t="s">
        <v>49</v>
      </c>
      <c r="F38" s="2" t="s">
        <v>15</v>
      </c>
      <c r="G38" s="2" t="s">
        <v>16</v>
      </c>
      <c r="H38" s="2" t="s">
        <v>50</v>
      </c>
      <c r="I38" s="2">
        <v>1.5</v>
      </c>
      <c r="J38" s="2" t="s">
        <v>2879</v>
      </c>
      <c r="K38" s="2" t="s">
        <v>2915</v>
      </c>
      <c r="L38" s="2" t="s">
        <v>2916</v>
      </c>
      <c r="M38" s="2">
        <v>308</v>
      </c>
      <c r="N38" s="2">
        <v>100</v>
      </c>
      <c r="O38" s="2" t="s">
        <v>2919</v>
      </c>
    </row>
    <row r="39" spans="1:15">
      <c r="A39" s="2" t="s">
        <v>46</v>
      </c>
      <c r="B39" s="2" t="s">
        <v>47</v>
      </c>
      <c r="C39" s="2" t="s">
        <v>48</v>
      </c>
      <c r="D39" s="2" t="s">
        <v>2882</v>
      </c>
      <c r="E39" s="2" t="s">
        <v>51</v>
      </c>
      <c r="F39" s="2" t="s">
        <v>15</v>
      </c>
      <c r="G39" s="2" t="s">
        <v>16</v>
      </c>
      <c r="H39" s="2" t="s">
        <v>50</v>
      </c>
      <c r="I39" s="2">
        <v>1.5</v>
      </c>
      <c r="J39" s="2" t="s">
        <v>2879</v>
      </c>
      <c r="K39" s="2" t="s">
        <v>2915</v>
      </c>
      <c r="L39" s="2" t="s">
        <v>2916</v>
      </c>
      <c r="M39" s="2">
        <v>20</v>
      </c>
      <c r="N39" s="2">
        <v>100</v>
      </c>
      <c r="O39" s="2" t="s">
        <v>2917</v>
      </c>
    </row>
    <row r="40" spans="1:15">
      <c r="A40" s="2" t="s">
        <v>46</v>
      </c>
      <c r="B40" s="2" t="s">
        <v>47</v>
      </c>
      <c r="C40" s="2" t="s">
        <v>48</v>
      </c>
      <c r="D40" s="2" t="s">
        <v>2882</v>
      </c>
      <c r="E40" s="2" t="s">
        <v>51</v>
      </c>
      <c r="F40" s="2" t="s">
        <v>15</v>
      </c>
      <c r="G40" s="2" t="s">
        <v>16</v>
      </c>
      <c r="H40" s="2" t="s">
        <v>50</v>
      </c>
      <c r="I40" s="2">
        <v>1.5</v>
      </c>
      <c r="J40" s="2" t="s">
        <v>2879</v>
      </c>
      <c r="K40" s="2" t="s">
        <v>2915</v>
      </c>
      <c r="L40" s="2" t="s">
        <v>2916</v>
      </c>
      <c r="M40" s="2">
        <v>26</v>
      </c>
      <c r="N40" s="2">
        <v>100</v>
      </c>
      <c r="O40" s="2" t="s">
        <v>2918</v>
      </c>
    </row>
    <row r="41" spans="1:15">
      <c r="A41" s="2" t="s">
        <v>46</v>
      </c>
      <c r="B41" s="2" t="s">
        <v>47</v>
      </c>
      <c r="C41" s="2" t="s">
        <v>48</v>
      </c>
      <c r="D41" s="2" t="s">
        <v>2882</v>
      </c>
      <c r="E41" s="2" t="s">
        <v>51</v>
      </c>
      <c r="F41" s="2" t="s">
        <v>15</v>
      </c>
      <c r="G41" s="2" t="s">
        <v>16</v>
      </c>
      <c r="H41" s="2" t="s">
        <v>50</v>
      </c>
      <c r="I41" s="2">
        <v>1.5</v>
      </c>
      <c r="J41" s="2" t="s">
        <v>2879</v>
      </c>
      <c r="K41" s="2" t="s">
        <v>2915</v>
      </c>
      <c r="L41" s="2" t="s">
        <v>2916</v>
      </c>
      <c r="M41" s="2">
        <v>308</v>
      </c>
      <c r="N41" s="2">
        <v>100</v>
      </c>
      <c r="O41" s="2" t="s">
        <v>2919</v>
      </c>
    </row>
    <row r="42" spans="1:15">
      <c r="A42" s="2" t="s">
        <v>46</v>
      </c>
      <c r="B42" s="2" t="s">
        <v>47</v>
      </c>
      <c r="C42" s="2" t="s">
        <v>48</v>
      </c>
      <c r="D42" s="2" t="s">
        <v>2886</v>
      </c>
      <c r="E42" s="2" t="s">
        <v>52</v>
      </c>
      <c r="F42" s="2" t="s">
        <v>15</v>
      </c>
      <c r="G42" s="2" t="s">
        <v>16</v>
      </c>
      <c r="H42" s="2" t="s">
        <v>53</v>
      </c>
      <c r="I42" s="2">
        <v>1.5</v>
      </c>
      <c r="J42" s="2" t="s">
        <v>2879</v>
      </c>
      <c r="K42" s="2" t="s">
        <v>2915</v>
      </c>
      <c r="L42" s="2" t="s">
        <v>2916</v>
      </c>
      <c r="M42" s="2">
        <v>308</v>
      </c>
      <c r="N42" s="2">
        <v>176</v>
      </c>
      <c r="O42" s="2" t="s">
        <v>2908</v>
      </c>
    </row>
    <row r="43" spans="1:15">
      <c r="A43" s="2" t="s">
        <v>46</v>
      </c>
      <c r="B43" s="2" t="s">
        <v>47</v>
      </c>
      <c r="C43" s="2" t="s">
        <v>48</v>
      </c>
      <c r="D43" s="2" t="s">
        <v>2886</v>
      </c>
      <c r="E43" s="2" t="s">
        <v>52</v>
      </c>
      <c r="F43" s="2" t="s">
        <v>15</v>
      </c>
      <c r="G43" s="2" t="s">
        <v>16</v>
      </c>
      <c r="H43" s="2" t="s">
        <v>53</v>
      </c>
      <c r="I43" s="2">
        <v>1.5</v>
      </c>
      <c r="J43" s="2" t="s">
        <v>2879</v>
      </c>
      <c r="K43" s="2" t="s">
        <v>2915</v>
      </c>
      <c r="L43" s="2" t="s">
        <v>2916</v>
      </c>
      <c r="M43" s="2">
        <v>26</v>
      </c>
      <c r="N43" s="2">
        <v>176</v>
      </c>
      <c r="O43" s="2" t="s">
        <v>2920</v>
      </c>
    </row>
    <row r="44" spans="1:15">
      <c r="A44" s="2" t="s">
        <v>46</v>
      </c>
      <c r="B44" s="2" t="s">
        <v>47</v>
      </c>
      <c r="C44" s="2" t="s">
        <v>48</v>
      </c>
      <c r="D44" s="2" t="s">
        <v>2886</v>
      </c>
      <c r="E44" s="2" t="s">
        <v>52</v>
      </c>
      <c r="F44" s="2" t="s">
        <v>15</v>
      </c>
      <c r="G44" s="2" t="s">
        <v>16</v>
      </c>
      <c r="H44" s="2" t="s">
        <v>53</v>
      </c>
      <c r="I44" s="2">
        <v>1.5</v>
      </c>
      <c r="J44" s="2" t="s">
        <v>2879</v>
      </c>
      <c r="K44" s="2" t="s">
        <v>2915</v>
      </c>
      <c r="L44" s="2" t="s">
        <v>2916</v>
      </c>
      <c r="M44" s="2">
        <v>20</v>
      </c>
      <c r="N44" s="2">
        <v>176</v>
      </c>
      <c r="O44" s="2" t="s">
        <v>2921</v>
      </c>
    </row>
    <row r="45" spans="1:15">
      <c r="A45" s="2" t="s">
        <v>46</v>
      </c>
      <c r="B45" s="2" t="s">
        <v>47</v>
      </c>
      <c r="C45" s="2" t="s">
        <v>48</v>
      </c>
      <c r="D45" s="2" t="s">
        <v>2896</v>
      </c>
      <c r="E45" s="2" t="s">
        <v>54</v>
      </c>
      <c r="F45" s="2" t="s">
        <v>15</v>
      </c>
      <c r="G45" s="2" t="s">
        <v>16</v>
      </c>
      <c r="H45" s="2" t="s">
        <v>55</v>
      </c>
      <c r="I45" s="2">
        <v>1.5</v>
      </c>
      <c r="J45" s="2" t="s">
        <v>2879</v>
      </c>
      <c r="K45" s="2" t="s">
        <v>2915</v>
      </c>
      <c r="L45" s="2" t="s">
        <v>2916</v>
      </c>
      <c r="M45" s="2">
        <v>308</v>
      </c>
      <c r="N45" s="2">
        <v>114</v>
      </c>
      <c r="O45" s="2" t="s">
        <v>2922</v>
      </c>
    </row>
    <row r="46" spans="1:15">
      <c r="A46" s="2" t="s">
        <v>46</v>
      </c>
      <c r="B46" s="2" t="s">
        <v>47</v>
      </c>
      <c r="C46" s="2" t="s">
        <v>48</v>
      </c>
      <c r="D46" s="2" t="s">
        <v>2896</v>
      </c>
      <c r="E46" s="2" t="s">
        <v>54</v>
      </c>
      <c r="F46" s="2" t="s">
        <v>15</v>
      </c>
      <c r="G46" s="2" t="s">
        <v>16</v>
      </c>
      <c r="H46" s="2" t="s">
        <v>55</v>
      </c>
      <c r="I46" s="2">
        <v>1.5</v>
      </c>
      <c r="J46" s="2" t="s">
        <v>2879</v>
      </c>
      <c r="K46" s="2" t="s">
        <v>2915</v>
      </c>
      <c r="L46" s="2" t="s">
        <v>2916</v>
      </c>
      <c r="M46" s="2">
        <v>26</v>
      </c>
      <c r="N46" s="2">
        <v>114</v>
      </c>
      <c r="O46" s="2" t="s">
        <v>2923</v>
      </c>
    </row>
    <row r="47" spans="1:15">
      <c r="A47" s="2" t="s">
        <v>46</v>
      </c>
      <c r="B47" s="2" t="s">
        <v>47</v>
      </c>
      <c r="C47" s="2" t="s">
        <v>48</v>
      </c>
      <c r="D47" s="2" t="s">
        <v>2896</v>
      </c>
      <c r="E47" s="2" t="s">
        <v>54</v>
      </c>
      <c r="F47" s="2" t="s">
        <v>15</v>
      </c>
      <c r="G47" s="2" t="s">
        <v>16</v>
      </c>
      <c r="H47" s="2" t="s">
        <v>55</v>
      </c>
      <c r="I47" s="2">
        <v>1.5</v>
      </c>
      <c r="J47" s="2" t="s">
        <v>2879</v>
      </c>
      <c r="K47" s="2" t="s">
        <v>2915</v>
      </c>
      <c r="L47" s="2" t="s">
        <v>2916</v>
      </c>
      <c r="M47" s="2">
        <v>20</v>
      </c>
      <c r="N47" s="2">
        <v>114</v>
      </c>
      <c r="O47" s="2" t="s">
        <v>2924</v>
      </c>
    </row>
    <row r="48" spans="1:15">
      <c r="A48" s="2" t="s">
        <v>46</v>
      </c>
      <c r="B48" s="2" t="s">
        <v>47</v>
      </c>
      <c r="C48" s="2" t="s">
        <v>48</v>
      </c>
      <c r="D48" s="2" t="s">
        <v>2901</v>
      </c>
      <c r="E48" s="2" t="s">
        <v>56</v>
      </c>
      <c r="F48" s="2" t="s">
        <v>15</v>
      </c>
      <c r="G48" s="2" t="s">
        <v>16</v>
      </c>
      <c r="H48" s="2" t="s">
        <v>50</v>
      </c>
      <c r="I48" s="2">
        <v>1.5</v>
      </c>
      <c r="J48" s="2" t="s">
        <v>2879</v>
      </c>
      <c r="K48" s="2" t="s">
        <v>2915</v>
      </c>
      <c r="L48" s="2" t="s">
        <v>2916</v>
      </c>
      <c r="M48" s="2">
        <v>26</v>
      </c>
      <c r="N48" s="2">
        <v>100</v>
      </c>
      <c r="O48" s="2" t="s">
        <v>2918</v>
      </c>
    </row>
    <row r="49" spans="1:15">
      <c r="A49" s="2" t="s">
        <v>46</v>
      </c>
      <c r="B49" s="2" t="s">
        <v>47</v>
      </c>
      <c r="C49" s="2" t="s">
        <v>48</v>
      </c>
      <c r="D49" s="2" t="s">
        <v>2901</v>
      </c>
      <c r="E49" s="2" t="s">
        <v>56</v>
      </c>
      <c r="F49" s="2" t="s">
        <v>15</v>
      </c>
      <c r="G49" s="2" t="s">
        <v>16</v>
      </c>
      <c r="H49" s="2" t="s">
        <v>50</v>
      </c>
      <c r="I49" s="2">
        <v>1.5</v>
      </c>
      <c r="J49" s="2" t="s">
        <v>2879</v>
      </c>
      <c r="K49" s="2" t="s">
        <v>2915</v>
      </c>
      <c r="L49" s="2" t="s">
        <v>2916</v>
      </c>
      <c r="M49" s="2">
        <v>308</v>
      </c>
      <c r="N49" s="2">
        <v>100</v>
      </c>
      <c r="O49" s="2" t="s">
        <v>2919</v>
      </c>
    </row>
    <row r="50" spans="1:15">
      <c r="A50" s="2" t="s">
        <v>46</v>
      </c>
      <c r="B50" s="2" t="s">
        <v>47</v>
      </c>
      <c r="C50" s="2" t="s">
        <v>48</v>
      </c>
      <c r="D50" s="2" t="s">
        <v>2901</v>
      </c>
      <c r="E50" s="2" t="s">
        <v>56</v>
      </c>
      <c r="F50" s="2" t="s">
        <v>15</v>
      </c>
      <c r="G50" s="2" t="s">
        <v>16</v>
      </c>
      <c r="H50" s="2" t="s">
        <v>50</v>
      </c>
      <c r="I50" s="2">
        <v>1.5</v>
      </c>
      <c r="J50" s="2" t="s">
        <v>2879</v>
      </c>
      <c r="K50" s="2" t="s">
        <v>2915</v>
      </c>
      <c r="L50" s="2" t="s">
        <v>2916</v>
      </c>
      <c r="M50" s="2">
        <v>20</v>
      </c>
      <c r="N50" s="2">
        <v>100</v>
      </c>
      <c r="O50" s="2" t="s">
        <v>2917</v>
      </c>
    </row>
    <row r="51" spans="1:15">
      <c r="A51" s="2" t="s">
        <v>46</v>
      </c>
      <c r="B51" s="2" t="s">
        <v>47</v>
      </c>
      <c r="C51" s="2" t="s">
        <v>48</v>
      </c>
      <c r="D51" s="2" t="s">
        <v>2904</v>
      </c>
      <c r="E51" s="2" t="s">
        <v>57</v>
      </c>
      <c r="F51" s="2" t="s">
        <v>33</v>
      </c>
      <c r="G51" s="2" t="s">
        <v>44</v>
      </c>
      <c r="H51" s="2" t="s">
        <v>45</v>
      </c>
      <c r="I51" s="2" t="s">
        <v>12</v>
      </c>
      <c r="J51" s="2" t="s">
        <v>12</v>
      </c>
      <c r="K51" s="2" t="s">
        <v>12</v>
      </c>
      <c r="L51" s="2" t="s">
        <v>12</v>
      </c>
      <c r="M51" s="2" t="s">
        <v>12</v>
      </c>
      <c r="N51" s="2" t="s">
        <v>12</v>
      </c>
      <c r="O51" s="2" t="s">
        <v>12</v>
      </c>
    </row>
    <row r="52" spans="1:15">
      <c r="A52" s="2" t="s">
        <v>58</v>
      </c>
      <c r="B52" s="2" t="s">
        <v>59</v>
      </c>
      <c r="C52" s="2" t="s">
        <v>11</v>
      </c>
      <c r="D52" s="2" t="s">
        <v>2870</v>
      </c>
      <c r="E52" s="2" t="s">
        <v>49</v>
      </c>
      <c r="F52" s="2" t="s">
        <v>15</v>
      </c>
      <c r="G52" s="2" t="s">
        <v>16</v>
      </c>
      <c r="H52" s="2" t="s">
        <v>60</v>
      </c>
      <c r="I52" s="2">
        <v>1.05</v>
      </c>
      <c r="J52" s="2" t="s">
        <v>2871</v>
      </c>
      <c r="K52" s="2" t="s">
        <v>2872</v>
      </c>
      <c r="L52" s="2" t="s">
        <v>2873</v>
      </c>
      <c r="M52" s="2">
        <v>35</v>
      </c>
      <c r="N52" s="2">
        <v>28</v>
      </c>
      <c r="O52" s="2" t="s">
        <v>2925</v>
      </c>
    </row>
    <row r="53" spans="1:15">
      <c r="A53" s="2" t="s">
        <v>58</v>
      </c>
      <c r="B53" s="2" t="s">
        <v>59</v>
      </c>
      <c r="C53" s="2" t="s">
        <v>11</v>
      </c>
      <c r="D53" s="2" t="s">
        <v>2870</v>
      </c>
      <c r="E53" s="2" t="s">
        <v>49</v>
      </c>
      <c r="F53" s="2" t="s">
        <v>15</v>
      </c>
      <c r="G53" s="2" t="s">
        <v>16</v>
      </c>
      <c r="H53" s="2" t="s">
        <v>60</v>
      </c>
      <c r="I53" s="2">
        <v>1.05</v>
      </c>
      <c r="J53" s="2" t="s">
        <v>2871</v>
      </c>
      <c r="K53" s="2" t="s">
        <v>2877</v>
      </c>
      <c r="L53" s="2" t="s">
        <v>2873</v>
      </c>
      <c r="M53" s="2">
        <v>32</v>
      </c>
      <c r="N53" s="2">
        <v>41</v>
      </c>
      <c r="O53" s="2" t="s">
        <v>2926</v>
      </c>
    </row>
    <row r="54" spans="1:15">
      <c r="A54" s="2" t="s">
        <v>58</v>
      </c>
      <c r="B54" s="2" t="s">
        <v>59</v>
      </c>
      <c r="C54" s="2" t="s">
        <v>11</v>
      </c>
      <c r="D54" s="2" t="s">
        <v>2870</v>
      </c>
      <c r="E54" s="2" t="s">
        <v>49</v>
      </c>
      <c r="F54" s="2" t="s">
        <v>15</v>
      </c>
      <c r="G54" s="2" t="s">
        <v>16</v>
      </c>
      <c r="H54" s="2" t="s">
        <v>60</v>
      </c>
      <c r="I54" s="2">
        <v>1.05</v>
      </c>
      <c r="J54" s="2" t="s">
        <v>2871</v>
      </c>
      <c r="K54" s="2" t="s">
        <v>2875</v>
      </c>
      <c r="L54" s="2" t="s">
        <v>2873</v>
      </c>
      <c r="M54" s="2">
        <v>36</v>
      </c>
      <c r="N54" s="2">
        <v>1</v>
      </c>
      <c r="O54" s="2" t="s">
        <v>2927</v>
      </c>
    </row>
    <row r="55" spans="1:15">
      <c r="A55" s="2" t="s">
        <v>58</v>
      </c>
      <c r="B55" s="2" t="s">
        <v>59</v>
      </c>
      <c r="C55" s="2" t="s">
        <v>11</v>
      </c>
      <c r="D55" s="2" t="s">
        <v>2882</v>
      </c>
      <c r="E55" s="2" t="s">
        <v>51</v>
      </c>
      <c r="F55" s="2" t="s">
        <v>15</v>
      </c>
      <c r="G55" s="2" t="s">
        <v>16</v>
      </c>
      <c r="H55" s="2" t="s">
        <v>61</v>
      </c>
      <c r="I55" s="2">
        <v>1.0900000000000001</v>
      </c>
      <c r="J55" s="2" t="s">
        <v>2871</v>
      </c>
      <c r="K55" s="2" t="s">
        <v>2875</v>
      </c>
      <c r="L55" s="2" t="s">
        <v>2873</v>
      </c>
      <c r="M55" s="2">
        <v>36</v>
      </c>
      <c r="N55" s="2">
        <v>12</v>
      </c>
      <c r="O55" s="2" t="s">
        <v>2928</v>
      </c>
    </row>
    <row r="56" spans="1:15">
      <c r="A56" s="2" t="s">
        <v>58</v>
      </c>
      <c r="B56" s="2" t="s">
        <v>59</v>
      </c>
      <c r="C56" s="2" t="s">
        <v>11</v>
      </c>
      <c r="D56" s="2" t="s">
        <v>2882</v>
      </c>
      <c r="E56" s="2" t="s">
        <v>51</v>
      </c>
      <c r="F56" s="2" t="s">
        <v>15</v>
      </c>
      <c r="G56" s="2" t="s">
        <v>16</v>
      </c>
      <c r="H56" s="2" t="s">
        <v>61</v>
      </c>
      <c r="I56" s="2">
        <v>1.0900000000000001</v>
      </c>
      <c r="J56" s="2" t="s">
        <v>2871</v>
      </c>
      <c r="K56" s="2" t="s">
        <v>2872</v>
      </c>
      <c r="L56" s="2" t="s">
        <v>2873</v>
      </c>
      <c r="M56" s="2">
        <v>35</v>
      </c>
      <c r="N56" s="2">
        <v>18</v>
      </c>
      <c r="O56" s="2" t="s">
        <v>2929</v>
      </c>
    </row>
    <row r="57" spans="1:15">
      <c r="A57" s="2" t="s">
        <v>58</v>
      </c>
      <c r="B57" s="2" t="s">
        <v>59</v>
      </c>
      <c r="C57" s="2" t="s">
        <v>11</v>
      </c>
      <c r="D57" s="2" t="s">
        <v>2882</v>
      </c>
      <c r="E57" s="2" t="s">
        <v>51</v>
      </c>
      <c r="F57" s="2" t="s">
        <v>15</v>
      </c>
      <c r="G57" s="2" t="s">
        <v>16</v>
      </c>
      <c r="H57" s="2" t="s">
        <v>61</v>
      </c>
      <c r="I57" s="2">
        <v>1.0900000000000001</v>
      </c>
      <c r="J57" s="2" t="s">
        <v>2871</v>
      </c>
      <c r="K57" s="2" t="s">
        <v>2877</v>
      </c>
      <c r="L57" s="2" t="s">
        <v>2873</v>
      </c>
      <c r="M57" s="2">
        <v>32</v>
      </c>
      <c r="N57" s="2">
        <v>18</v>
      </c>
      <c r="O57" s="2" t="s">
        <v>2930</v>
      </c>
    </row>
    <row r="58" spans="1:15">
      <c r="A58" s="2" t="s">
        <v>58</v>
      </c>
      <c r="B58" s="2" t="s">
        <v>59</v>
      </c>
      <c r="C58" s="2" t="s">
        <v>11</v>
      </c>
      <c r="D58" s="2" t="s">
        <v>2882</v>
      </c>
      <c r="E58" s="2" t="s">
        <v>51</v>
      </c>
      <c r="F58" s="2" t="s">
        <v>15</v>
      </c>
      <c r="G58" s="2" t="s">
        <v>16</v>
      </c>
      <c r="H58" s="2" t="s">
        <v>61</v>
      </c>
      <c r="I58" s="2">
        <v>1.0900000000000001</v>
      </c>
      <c r="J58" s="2" t="s">
        <v>2879</v>
      </c>
      <c r="K58" s="2" t="s">
        <v>2894</v>
      </c>
      <c r="L58" s="2" t="s">
        <v>2873</v>
      </c>
      <c r="M58" s="2">
        <v>26</v>
      </c>
      <c r="N58" s="2">
        <v>20</v>
      </c>
      <c r="O58" s="2" t="s">
        <v>2931</v>
      </c>
    </row>
    <row r="59" spans="1:15">
      <c r="A59" s="2" t="s">
        <v>58</v>
      </c>
      <c r="B59" s="2" t="s">
        <v>59</v>
      </c>
      <c r="C59" s="2" t="s">
        <v>11</v>
      </c>
      <c r="D59" s="2" t="s">
        <v>2886</v>
      </c>
      <c r="E59" s="2" t="s">
        <v>52</v>
      </c>
      <c r="F59" s="2" t="s">
        <v>15</v>
      </c>
      <c r="G59" s="2" t="s">
        <v>20</v>
      </c>
      <c r="H59" s="2" t="s">
        <v>62</v>
      </c>
      <c r="I59" s="2">
        <v>1</v>
      </c>
      <c r="J59" s="2" t="s">
        <v>2871</v>
      </c>
      <c r="K59" s="2" t="s">
        <v>2877</v>
      </c>
      <c r="L59" s="2" t="s">
        <v>2873</v>
      </c>
      <c r="M59" s="2">
        <v>32</v>
      </c>
      <c r="N59" s="2">
        <v>44</v>
      </c>
      <c r="O59" s="2" t="s">
        <v>2898</v>
      </c>
    </row>
    <row r="60" spans="1:15">
      <c r="A60" s="2" t="s">
        <v>58</v>
      </c>
      <c r="B60" s="2" t="s">
        <v>59</v>
      </c>
      <c r="C60" s="2" t="s">
        <v>11</v>
      </c>
      <c r="D60" s="2" t="s">
        <v>2886</v>
      </c>
      <c r="E60" s="2" t="s">
        <v>52</v>
      </c>
      <c r="F60" s="2" t="s">
        <v>15</v>
      </c>
      <c r="G60" s="2" t="s">
        <v>20</v>
      </c>
      <c r="H60" s="2" t="s">
        <v>62</v>
      </c>
      <c r="I60" s="2">
        <v>1</v>
      </c>
      <c r="J60" s="2" t="s">
        <v>2871</v>
      </c>
      <c r="K60" s="2" t="s">
        <v>2872</v>
      </c>
      <c r="L60" s="2" t="s">
        <v>2873</v>
      </c>
      <c r="M60" s="2">
        <v>35</v>
      </c>
      <c r="N60" s="2">
        <v>16</v>
      </c>
      <c r="O60" s="2" t="s">
        <v>2932</v>
      </c>
    </row>
    <row r="61" spans="1:15">
      <c r="A61" s="2" t="s">
        <v>58</v>
      </c>
      <c r="B61" s="2" t="s">
        <v>59</v>
      </c>
      <c r="C61" s="2" t="s">
        <v>11</v>
      </c>
      <c r="D61" s="2" t="s">
        <v>2886</v>
      </c>
      <c r="E61" s="2" t="s">
        <v>52</v>
      </c>
      <c r="F61" s="2" t="s">
        <v>15</v>
      </c>
      <c r="G61" s="2" t="s">
        <v>20</v>
      </c>
      <c r="H61" s="2" t="s">
        <v>62</v>
      </c>
      <c r="I61" s="2">
        <v>1</v>
      </c>
      <c r="J61" s="2" t="s">
        <v>2871</v>
      </c>
      <c r="K61" s="2" t="s">
        <v>2875</v>
      </c>
      <c r="L61" s="2" t="s">
        <v>2873</v>
      </c>
      <c r="M61" s="2">
        <v>36</v>
      </c>
      <c r="N61" s="2">
        <v>2</v>
      </c>
      <c r="O61" s="2" t="s">
        <v>2876</v>
      </c>
    </row>
    <row r="62" spans="1:15">
      <c r="A62" s="2" t="s">
        <v>58</v>
      </c>
      <c r="B62" s="2" t="s">
        <v>59</v>
      </c>
      <c r="C62" s="2" t="s">
        <v>11</v>
      </c>
      <c r="D62" s="2" t="s">
        <v>2896</v>
      </c>
      <c r="E62" s="2" t="s">
        <v>54</v>
      </c>
      <c r="F62" s="2" t="s">
        <v>15</v>
      </c>
      <c r="G62" s="2" t="s">
        <v>16</v>
      </c>
      <c r="H62" s="2" t="s">
        <v>63</v>
      </c>
      <c r="I62" s="2">
        <v>1.5</v>
      </c>
      <c r="J62" s="2" t="s">
        <v>2871</v>
      </c>
      <c r="K62" s="2" t="s">
        <v>2872</v>
      </c>
      <c r="L62" s="2" t="s">
        <v>2873</v>
      </c>
      <c r="M62" s="2">
        <v>35</v>
      </c>
      <c r="N62" s="2">
        <v>63</v>
      </c>
      <c r="O62" s="2" t="s">
        <v>2933</v>
      </c>
    </row>
    <row r="63" spans="1:15">
      <c r="A63" s="2" t="s">
        <v>58</v>
      </c>
      <c r="B63" s="2" t="s">
        <v>59</v>
      </c>
      <c r="C63" s="2" t="s">
        <v>11</v>
      </c>
      <c r="D63" s="2" t="s">
        <v>2896</v>
      </c>
      <c r="E63" s="2" t="s">
        <v>54</v>
      </c>
      <c r="F63" s="2" t="s">
        <v>15</v>
      </c>
      <c r="G63" s="2" t="s">
        <v>16</v>
      </c>
      <c r="H63" s="2" t="s">
        <v>63</v>
      </c>
      <c r="I63" s="2">
        <v>1.5</v>
      </c>
      <c r="J63" s="2" t="s">
        <v>2871</v>
      </c>
      <c r="K63" s="2" t="s">
        <v>2875</v>
      </c>
      <c r="L63" s="2" t="s">
        <v>2873</v>
      </c>
      <c r="M63" s="2">
        <v>36</v>
      </c>
      <c r="N63" s="2">
        <v>36</v>
      </c>
      <c r="O63" s="2" t="s">
        <v>2934</v>
      </c>
    </row>
    <row r="64" spans="1:15">
      <c r="A64" s="2" t="s">
        <v>58</v>
      </c>
      <c r="B64" s="2" t="s">
        <v>59</v>
      </c>
      <c r="C64" s="2" t="s">
        <v>11</v>
      </c>
      <c r="D64" s="2" t="s">
        <v>2896</v>
      </c>
      <c r="E64" s="2" t="s">
        <v>54</v>
      </c>
      <c r="F64" s="2" t="s">
        <v>15</v>
      </c>
      <c r="G64" s="2" t="s">
        <v>16</v>
      </c>
      <c r="H64" s="2" t="s">
        <v>63</v>
      </c>
      <c r="I64" s="2">
        <v>1.5</v>
      </c>
      <c r="J64" s="2" t="s">
        <v>2871</v>
      </c>
      <c r="K64" s="2" t="s">
        <v>2877</v>
      </c>
      <c r="L64" s="2" t="s">
        <v>2873</v>
      </c>
      <c r="M64" s="2">
        <v>32</v>
      </c>
      <c r="N64" s="2">
        <v>32</v>
      </c>
      <c r="O64" s="2" t="s">
        <v>2934</v>
      </c>
    </row>
    <row r="65" spans="1:15">
      <c r="A65" s="2" t="s">
        <v>58</v>
      </c>
      <c r="B65" s="2" t="s">
        <v>59</v>
      </c>
      <c r="C65" s="2" t="s">
        <v>11</v>
      </c>
      <c r="D65" s="2" t="s">
        <v>2901</v>
      </c>
      <c r="E65" s="2" t="s">
        <v>56</v>
      </c>
      <c r="F65" s="2" t="s">
        <v>15</v>
      </c>
      <c r="G65" s="2" t="s">
        <v>16</v>
      </c>
      <c r="H65" s="2" t="s">
        <v>64</v>
      </c>
      <c r="I65" s="2">
        <v>1.5</v>
      </c>
      <c r="J65" s="2" t="s">
        <v>2871</v>
      </c>
      <c r="K65" s="2" t="s">
        <v>2877</v>
      </c>
      <c r="L65" s="2" t="s">
        <v>2873</v>
      </c>
      <c r="M65" s="2">
        <v>32</v>
      </c>
      <c r="N65" s="2">
        <v>106</v>
      </c>
      <c r="O65" s="2" t="s">
        <v>2935</v>
      </c>
    </row>
    <row r="66" spans="1:15">
      <c r="A66" s="2" t="s">
        <v>58</v>
      </c>
      <c r="B66" s="2" t="s">
        <v>59</v>
      </c>
      <c r="C66" s="2" t="s">
        <v>11</v>
      </c>
      <c r="D66" s="2" t="s">
        <v>2901</v>
      </c>
      <c r="E66" s="2" t="s">
        <v>56</v>
      </c>
      <c r="F66" s="2" t="s">
        <v>15</v>
      </c>
      <c r="G66" s="2" t="s">
        <v>16</v>
      </c>
      <c r="H66" s="2" t="s">
        <v>64</v>
      </c>
      <c r="I66" s="2">
        <v>1.5</v>
      </c>
      <c r="J66" s="2" t="s">
        <v>2871</v>
      </c>
      <c r="K66" s="2" t="s">
        <v>2872</v>
      </c>
      <c r="L66" s="2" t="s">
        <v>2873</v>
      </c>
      <c r="M66" s="2">
        <v>35</v>
      </c>
      <c r="N66" s="2">
        <v>19</v>
      </c>
      <c r="O66" s="2" t="s">
        <v>2936</v>
      </c>
    </row>
    <row r="67" spans="1:15">
      <c r="A67" s="2" t="s">
        <v>58</v>
      </c>
      <c r="B67" s="2" t="s">
        <v>59</v>
      </c>
      <c r="C67" s="2" t="s">
        <v>11</v>
      </c>
      <c r="D67" s="2" t="s">
        <v>2901</v>
      </c>
      <c r="E67" s="2" t="s">
        <v>56</v>
      </c>
      <c r="F67" s="2" t="s">
        <v>15</v>
      </c>
      <c r="G67" s="2" t="s">
        <v>16</v>
      </c>
      <c r="H67" s="2" t="s">
        <v>64</v>
      </c>
      <c r="I67" s="2">
        <v>1.5</v>
      </c>
      <c r="J67" s="2" t="s">
        <v>2871</v>
      </c>
      <c r="K67" s="2" t="s">
        <v>2875</v>
      </c>
      <c r="L67" s="2" t="s">
        <v>2873</v>
      </c>
      <c r="M67" s="2">
        <v>36</v>
      </c>
      <c r="N67" s="2">
        <v>38</v>
      </c>
      <c r="O67" s="2" t="s">
        <v>2937</v>
      </c>
    </row>
    <row r="68" spans="1:15">
      <c r="A68" s="2" t="s">
        <v>58</v>
      </c>
      <c r="B68" s="2" t="s">
        <v>59</v>
      </c>
      <c r="C68" s="2" t="s">
        <v>11</v>
      </c>
      <c r="D68" s="2" t="s">
        <v>2904</v>
      </c>
      <c r="E68" s="2" t="s">
        <v>57</v>
      </c>
      <c r="F68" s="2" t="s">
        <v>33</v>
      </c>
      <c r="G68" s="2" t="s">
        <v>44</v>
      </c>
      <c r="H68" s="2" t="s">
        <v>45</v>
      </c>
      <c r="I68" s="2" t="s">
        <v>12</v>
      </c>
      <c r="J68" s="2" t="s">
        <v>12</v>
      </c>
      <c r="K68" s="2" t="s">
        <v>12</v>
      </c>
      <c r="L68" s="2" t="s">
        <v>12</v>
      </c>
      <c r="M68" s="2" t="s">
        <v>12</v>
      </c>
      <c r="N68" s="2" t="s">
        <v>12</v>
      </c>
      <c r="O68" s="2" t="s">
        <v>12</v>
      </c>
    </row>
    <row r="69" spans="1:15">
      <c r="A69" s="2" t="s">
        <v>65</v>
      </c>
      <c r="B69" s="2" t="s">
        <v>66</v>
      </c>
      <c r="C69" s="2" t="s">
        <v>48</v>
      </c>
      <c r="D69" s="2" t="s">
        <v>2870</v>
      </c>
      <c r="E69" s="2" t="s">
        <v>67</v>
      </c>
      <c r="F69" s="2" t="s">
        <v>15</v>
      </c>
      <c r="G69" s="2" t="s">
        <v>16</v>
      </c>
      <c r="H69" s="2" t="s">
        <v>68</v>
      </c>
      <c r="I69" s="2">
        <v>1.5</v>
      </c>
      <c r="J69" s="2" t="s">
        <v>2879</v>
      </c>
      <c r="K69" s="2" t="s">
        <v>2915</v>
      </c>
      <c r="L69" s="2" t="s">
        <v>2916</v>
      </c>
      <c r="M69" s="2" t="s">
        <v>12</v>
      </c>
      <c r="N69" s="2">
        <v>110</v>
      </c>
      <c r="O69" s="2" t="s">
        <v>12</v>
      </c>
    </row>
    <row r="70" spans="1:15">
      <c r="A70" s="2" t="s">
        <v>65</v>
      </c>
      <c r="B70" s="2" t="s">
        <v>66</v>
      </c>
      <c r="C70" s="2" t="s">
        <v>48</v>
      </c>
      <c r="D70" s="2" t="s">
        <v>2870</v>
      </c>
      <c r="E70" s="2" t="s">
        <v>67</v>
      </c>
      <c r="F70" s="2" t="s">
        <v>15</v>
      </c>
      <c r="G70" s="2" t="s">
        <v>16</v>
      </c>
      <c r="H70" s="2" t="s">
        <v>68</v>
      </c>
      <c r="I70" s="2">
        <v>1.5</v>
      </c>
      <c r="J70" s="2" t="s">
        <v>2879</v>
      </c>
      <c r="K70" s="2" t="s">
        <v>2915</v>
      </c>
      <c r="L70" s="2" t="s">
        <v>2916</v>
      </c>
      <c r="M70" s="2">
        <v>308</v>
      </c>
      <c r="N70" s="2">
        <v>110</v>
      </c>
      <c r="O70" s="2" t="s">
        <v>2938</v>
      </c>
    </row>
    <row r="71" spans="1:15">
      <c r="A71" s="2" t="s">
        <v>65</v>
      </c>
      <c r="B71" s="2" t="s">
        <v>66</v>
      </c>
      <c r="C71" s="2" t="s">
        <v>48</v>
      </c>
      <c r="D71" s="2" t="s">
        <v>2870</v>
      </c>
      <c r="E71" s="2" t="s">
        <v>67</v>
      </c>
      <c r="F71" s="2" t="s">
        <v>15</v>
      </c>
      <c r="G71" s="2" t="s">
        <v>16</v>
      </c>
      <c r="H71" s="2" t="s">
        <v>68</v>
      </c>
      <c r="I71" s="2">
        <v>1.5</v>
      </c>
      <c r="J71" s="2" t="s">
        <v>2879</v>
      </c>
      <c r="K71" s="2" t="s">
        <v>2915</v>
      </c>
      <c r="L71" s="2" t="s">
        <v>2916</v>
      </c>
      <c r="M71" s="2">
        <v>26</v>
      </c>
      <c r="N71" s="2">
        <v>110</v>
      </c>
      <c r="O71" s="2" t="s">
        <v>2939</v>
      </c>
    </row>
    <row r="72" spans="1:15">
      <c r="A72" s="2" t="s">
        <v>65</v>
      </c>
      <c r="B72" s="2" t="s">
        <v>66</v>
      </c>
      <c r="C72" s="2" t="s">
        <v>48</v>
      </c>
      <c r="D72" s="2" t="s">
        <v>2870</v>
      </c>
      <c r="E72" s="2" t="s">
        <v>67</v>
      </c>
      <c r="F72" s="2" t="s">
        <v>15</v>
      </c>
      <c r="G72" s="2" t="s">
        <v>16</v>
      </c>
      <c r="H72" s="2" t="s">
        <v>68</v>
      </c>
      <c r="I72" s="2">
        <v>1.5</v>
      </c>
      <c r="J72" s="2" t="s">
        <v>2879</v>
      </c>
      <c r="K72" s="2" t="s">
        <v>2915</v>
      </c>
      <c r="L72" s="2" t="s">
        <v>2916</v>
      </c>
      <c r="M72" s="2">
        <v>20</v>
      </c>
      <c r="N72" s="2">
        <v>110</v>
      </c>
      <c r="O72" s="2" t="s">
        <v>2940</v>
      </c>
    </row>
    <row r="73" spans="1:15">
      <c r="A73" s="2" t="s">
        <v>65</v>
      </c>
      <c r="B73" s="2" t="s">
        <v>66</v>
      </c>
      <c r="C73" s="2" t="s">
        <v>48</v>
      </c>
      <c r="D73" s="2" t="s">
        <v>2882</v>
      </c>
      <c r="E73" s="2" t="s">
        <v>69</v>
      </c>
      <c r="F73" s="2" t="s">
        <v>15</v>
      </c>
      <c r="G73" s="2" t="s">
        <v>16</v>
      </c>
      <c r="H73" s="2" t="s">
        <v>70</v>
      </c>
      <c r="I73" s="2">
        <v>1.5</v>
      </c>
      <c r="J73" s="2" t="s">
        <v>2879</v>
      </c>
      <c r="K73" s="2" t="s">
        <v>2915</v>
      </c>
      <c r="L73" s="2" t="s">
        <v>2916</v>
      </c>
      <c r="M73" s="2">
        <v>20</v>
      </c>
      <c r="N73" s="2">
        <v>150</v>
      </c>
      <c r="O73" s="2" t="s">
        <v>2941</v>
      </c>
    </row>
    <row r="74" spans="1:15">
      <c r="A74" s="2" t="s">
        <v>65</v>
      </c>
      <c r="B74" s="2" t="s">
        <v>66</v>
      </c>
      <c r="C74" s="2" t="s">
        <v>48</v>
      </c>
      <c r="D74" s="2" t="s">
        <v>2882</v>
      </c>
      <c r="E74" s="2" t="s">
        <v>69</v>
      </c>
      <c r="F74" s="2" t="s">
        <v>15</v>
      </c>
      <c r="G74" s="2" t="s">
        <v>16</v>
      </c>
      <c r="H74" s="2" t="s">
        <v>70</v>
      </c>
      <c r="I74" s="2">
        <v>1.5</v>
      </c>
      <c r="J74" s="2" t="s">
        <v>2879</v>
      </c>
      <c r="K74" s="2" t="s">
        <v>2915</v>
      </c>
      <c r="L74" s="2" t="s">
        <v>2916</v>
      </c>
      <c r="M74" s="2">
        <v>26</v>
      </c>
      <c r="N74" s="2">
        <v>150</v>
      </c>
      <c r="O74" s="2" t="s">
        <v>2942</v>
      </c>
    </row>
    <row r="75" spans="1:15">
      <c r="A75" s="2" t="s">
        <v>65</v>
      </c>
      <c r="B75" s="2" t="s">
        <v>66</v>
      </c>
      <c r="C75" s="2" t="s">
        <v>48</v>
      </c>
      <c r="D75" s="2" t="s">
        <v>2882</v>
      </c>
      <c r="E75" s="2" t="s">
        <v>69</v>
      </c>
      <c r="F75" s="2" t="s">
        <v>15</v>
      </c>
      <c r="G75" s="2" t="s">
        <v>16</v>
      </c>
      <c r="H75" s="2" t="s">
        <v>70</v>
      </c>
      <c r="I75" s="2">
        <v>1.5</v>
      </c>
      <c r="J75" s="2" t="s">
        <v>2879</v>
      </c>
      <c r="K75" s="2" t="s">
        <v>2915</v>
      </c>
      <c r="L75" s="2" t="s">
        <v>2916</v>
      </c>
      <c r="M75" s="2">
        <v>308</v>
      </c>
      <c r="N75" s="2">
        <v>150</v>
      </c>
      <c r="O75" s="2" t="s">
        <v>2943</v>
      </c>
    </row>
    <row r="76" spans="1:15">
      <c r="A76" s="2" t="s">
        <v>65</v>
      </c>
      <c r="B76" s="2" t="s">
        <v>66</v>
      </c>
      <c r="C76" s="2" t="s">
        <v>48</v>
      </c>
      <c r="D76" s="2" t="s">
        <v>2886</v>
      </c>
      <c r="E76" s="2" t="s">
        <v>71</v>
      </c>
      <c r="F76" s="2" t="s">
        <v>15</v>
      </c>
      <c r="G76" s="2" t="s">
        <v>16</v>
      </c>
      <c r="H76" s="2" t="s">
        <v>72</v>
      </c>
      <c r="I76" s="2">
        <v>1.5</v>
      </c>
      <c r="J76" s="2" t="s">
        <v>2879</v>
      </c>
      <c r="K76" s="2" t="s">
        <v>2915</v>
      </c>
      <c r="L76" s="2" t="s">
        <v>2916</v>
      </c>
      <c r="M76" s="2">
        <v>20</v>
      </c>
      <c r="N76" s="2">
        <v>50</v>
      </c>
      <c r="O76" s="2" t="s">
        <v>2944</v>
      </c>
    </row>
    <row r="77" spans="1:15">
      <c r="A77" s="2" t="s">
        <v>65</v>
      </c>
      <c r="B77" s="2" t="s">
        <v>66</v>
      </c>
      <c r="C77" s="2" t="s">
        <v>48</v>
      </c>
      <c r="D77" s="2" t="s">
        <v>2886</v>
      </c>
      <c r="E77" s="2" t="s">
        <v>71</v>
      </c>
      <c r="F77" s="2" t="s">
        <v>15</v>
      </c>
      <c r="G77" s="2" t="s">
        <v>16</v>
      </c>
      <c r="H77" s="2" t="s">
        <v>72</v>
      </c>
      <c r="I77" s="2">
        <v>1.5</v>
      </c>
      <c r="J77" s="2" t="s">
        <v>2879</v>
      </c>
      <c r="K77" s="2" t="s">
        <v>2915</v>
      </c>
      <c r="L77" s="2" t="s">
        <v>2916</v>
      </c>
      <c r="M77" s="2">
        <v>26</v>
      </c>
      <c r="N77" s="2">
        <v>50</v>
      </c>
      <c r="O77" s="2" t="s">
        <v>2945</v>
      </c>
    </row>
    <row r="78" spans="1:15">
      <c r="A78" s="2" t="s">
        <v>65</v>
      </c>
      <c r="B78" s="2" t="s">
        <v>66</v>
      </c>
      <c r="C78" s="2" t="s">
        <v>48</v>
      </c>
      <c r="D78" s="2" t="s">
        <v>2886</v>
      </c>
      <c r="E78" s="2" t="s">
        <v>71</v>
      </c>
      <c r="F78" s="2" t="s">
        <v>15</v>
      </c>
      <c r="G78" s="2" t="s">
        <v>16</v>
      </c>
      <c r="H78" s="2" t="s">
        <v>72</v>
      </c>
      <c r="I78" s="2">
        <v>1.5</v>
      </c>
      <c r="J78" s="2" t="s">
        <v>2879</v>
      </c>
      <c r="K78" s="2" t="s">
        <v>2915</v>
      </c>
      <c r="L78" s="2" t="s">
        <v>2916</v>
      </c>
      <c r="M78" s="2">
        <v>308</v>
      </c>
      <c r="N78" s="2">
        <v>50</v>
      </c>
      <c r="O78" s="2" t="s">
        <v>2946</v>
      </c>
    </row>
    <row r="79" spans="1:15">
      <c r="A79" s="2" t="s">
        <v>65</v>
      </c>
      <c r="B79" s="2" t="s">
        <v>66</v>
      </c>
      <c r="C79" s="2" t="s">
        <v>48</v>
      </c>
      <c r="D79" s="2" t="s">
        <v>2896</v>
      </c>
      <c r="E79" s="2" t="s">
        <v>73</v>
      </c>
      <c r="F79" s="2" t="s">
        <v>33</v>
      </c>
      <c r="G79" s="2" t="s">
        <v>44</v>
      </c>
      <c r="H79" s="2" t="s">
        <v>45</v>
      </c>
      <c r="I79" s="2" t="s">
        <v>12</v>
      </c>
      <c r="J79" s="2" t="s">
        <v>12</v>
      </c>
      <c r="K79" s="2" t="s">
        <v>12</v>
      </c>
      <c r="L79" s="2" t="s">
        <v>12</v>
      </c>
      <c r="M79" s="2" t="s">
        <v>12</v>
      </c>
      <c r="N79" s="2" t="s">
        <v>12</v>
      </c>
      <c r="O79" s="2" t="s">
        <v>12</v>
      </c>
    </row>
    <row r="80" spans="1:15">
      <c r="A80" s="2" t="s">
        <v>74</v>
      </c>
      <c r="B80" s="2" t="s">
        <v>75</v>
      </c>
      <c r="C80" s="2" t="s">
        <v>76</v>
      </c>
      <c r="D80" s="2" t="s">
        <v>2870</v>
      </c>
      <c r="E80" s="2" t="s">
        <v>37</v>
      </c>
      <c r="F80" s="2" t="s">
        <v>15</v>
      </c>
      <c r="G80" s="2" t="s">
        <v>16</v>
      </c>
      <c r="H80" s="2" t="s">
        <v>77</v>
      </c>
      <c r="I80" s="2">
        <v>1.5</v>
      </c>
      <c r="J80" s="2" t="s">
        <v>2947</v>
      </c>
      <c r="K80" s="2" t="s">
        <v>2948</v>
      </c>
      <c r="L80" s="2" t="s">
        <v>2873</v>
      </c>
      <c r="M80" s="2">
        <v>110</v>
      </c>
      <c r="N80" s="2">
        <v>33</v>
      </c>
      <c r="O80" s="2" t="s">
        <v>2949</v>
      </c>
    </row>
    <row r="81" spans="1:15">
      <c r="A81" s="2" t="s">
        <v>74</v>
      </c>
      <c r="B81" s="2" t="s">
        <v>75</v>
      </c>
      <c r="C81" s="2" t="s">
        <v>76</v>
      </c>
      <c r="D81" s="2" t="s">
        <v>2870</v>
      </c>
      <c r="E81" s="2" t="s">
        <v>37</v>
      </c>
      <c r="F81" s="2" t="s">
        <v>15</v>
      </c>
      <c r="G81" s="2" t="s">
        <v>16</v>
      </c>
      <c r="H81" s="2" t="s">
        <v>77</v>
      </c>
      <c r="I81" s="2">
        <v>1.5</v>
      </c>
      <c r="J81" s="2" t="s">
        <v>2871</v>
      </c>
      <c r="K81" s="2" t="s">
        <v>2950</v>
      </c>
      <c r="L81" s="2" t="s">
        <v>2873</v>
      </c>
      <c r="M81" s="2">
        <v>88</v>
      </c>
      <c r="N81" s="2">
        <v>163</v>
      </c>
      <c r="O81" s="2" t="s">
        <v>2951</v>
      </c>
    </row>
    <row r="82" spans="1:15">
      <c r="A82" s="2" t="s">
        <v>74</v>
      </c>
      <c r="B82" s="2" t="s">
        <v>75</v>
      </c>
      <c r="C82" s="2" t="s">
        <v>76</v>
      </c>
      <c r="D82" s="2" t="s">
        <v>2870</v>
      </c>
      <c r="E82" s="2" t="s">
        <v>37</v>
      </c>
      <c r="F82" s="2" t="s">
        <v>15</v>
      </c>
      <c r="G82" s="2" t="s">
        <v>16</v>
      </c>
      <c r="H82" s="2" t="s">
        <v>77</v>
      </c>
      <c r="I82" s="2">
        <v>1.5</v>
      </c>
      <c r="J82" s="2" t="s">
        <v>2871</v>
      </c>
      <c r="K82" s="2" t="s">
        <v>2952</v>
      </c>
      <c r="L82" s="2" t="s">
        <v>2873</v>
      </c>
      <c r="M82" s="2">
        <v>257</v>
      </c>
      <c r="N82" s="2">
        <v>219</v>
      </c>
      <c r="O82" s="2" t="s">
        <v>2953</v>
      </c>
    </row>
    <row r="83" spans="1:15">
      <c r="A83" s="2" t="s">
        <v>74</v>
      </c>
      <c r="B83" s="2" t="s">
        <v>75</v>
      </c>
      <c r="C83" s="2" t="s">
        <v>76</v>
      </c>
      <c r="D83" s="2" t="s">
        <v>2870</v>
      </c>
      <c r="E83" s="2" t="s">
        <v>37</v>
      </c>
      <c r="F83" s="2" t="s">
        <v>15</v>
      </c>
      <c r="G83" s="2" t="s">
        <v>16</v>
      </c>
      <c r="H83" s="2" t="s">
        <v>77</v>
      </c>
      <c r="I83" s="2">
        <v>1.5</v>
      </c>
      <c r="J83" s="2" t="s">
        <v>2871</v>
      </c>
      <c r="K83" s="2" t="s">
        <v>2954</v>
      </c>
      <c r="L83" s="2" t="s">
        <v>2873</v>
      </c>
      <c r="M83" s="2">
        <v>220</v>
      </c>
      <c r="N83" s="2">
        <v>222</v>
      </c>
      <c r="O83" s="2" t="s">
        <v>2955</v>
      </c>
    </row>
    <row r="84" spans="1:15">
      <c r="A84" s="2" t="s">
        <v>74</v>
      </c>
      <c r="B84" s="2" t="s">
        <v>75</v>
      </c>
      <c r="C84" s="2" t="s">
        <v>76</v>
      </c>
      <c r="D84" s="2" t="s">
        <v>2870</v>
      </c>
      <c r="E84" s="2" t="s">
        <v>37</v>
      </c>
      <c r="F84" s="2" t="s">
        <v>15</v>
      </c>
      <c r="G84" s="2" t="s">
        <v>16</v>
      </c>
      <c r="H84" s="2" t="s">
        <v>77</v>
      </c>
      <c r="I84" s="2">
        <v>1.5</v>
      </c>
      <c r="J84" s="2" t="s">
        <v>2871</v>
      </c>
      <c r="K84" s="2" t="s">
        <v>2956</v>
      </c>
      <c r="L84" s="2" t="s">
        <v>2873</v>
      </c>
      <c r="M84" s="2">
        <v>298</v>
      </c>
      <c r="N84" s="2">
        <v>409</v>
      </c>
      <c r="O84" s="2" t="s">
        <v>2957</v>
      </c>
    </row>
    <row r="85" spans="1:15">
      <c r="A85" s="2" t="s">
        <v>74</v>
      </c>
      <c r="B85" s="2" t="s">
        <v>75</v>
      </c>
      <c r="C85" s="2" t="s">
        <v>76</v>
      </c>
      <c r="D85" s="2" t="s">
        <v>2870</v>
      </c>
      <c r="E85" s="2" t="s">
        <v>37</v>
      </c>
      <c r="F85" s="2" t="s">
        <v>15</v>
      </c>
      <c r="G85" s="2" t="s">
        <v>16</v>
      </c>
      <c r="H85" s="2" t="s">
        <v>77</v>
      </c>
      <c r="I85" s="2">
        <v>1.5</v>
      </c>
      <c r="J85" s="2" t="s">
        <v>2871</v>
      </c>
      <c r="K85" s="2" t="s">
        <v>2958</v>
      </c>
      <c r="L85" s="2" t="s">
        <v>2873</v>
      </c>
      <c r="M85" s="2">
        <v>154</v>
      </c>
      <c r="N85" s="2">
        <v>498</v>
      </c>
      <c r="O85" s="2" t="s">
        <v>2959</v>
      </c>
    </row>
    <row r="86" spans="1:15">
      <c r="A86" s="2" t="s">
        <v>74</v>
      </c>
      <c r="B86" s="2" t="s">
        <v>75</v>
      </c>
      <c r="C86" s="2" t="s">
        <v>76</v>
      </c>
      <c r="D86" s="2" t="s">
        <v>2882</v>
      </c>
      <c r="E86" s="2" t="s">
        <v>39</v>
      </c>
      <c r="F86" s="2" t="s">
        <v>15</v>
      </c>
      <c r="G86" s="2" t="s">
        <v>16</v>
      </c>
      <c r="H86" s="2" t="s">
        <v>78</v>
      </c>
      <c r="I86" s="2">
        <v>1.5</v>
      </c>
      <c r="J86" s="2" t="s">
        <v>2871</v>
      </c>
      <c r="K86" s="2" t="s">
        <v>2958</v>
      </c>
      <c r="L86" s="2" t="s">
        <v>2873</v>
      </c>
      <c r="M86" s="2">
        <v>154</v>
      </c>
      <c r="N86" s="2">
        <v>489</v>
      </c>
      <c r="O86" s="2" t="s">
        <v>2960</v>
      </c>
    </row>
    <row r="87" spans="1:15">
      <c r="A87" s="2" t="s">
        <v>74</v>
      </c>
      <c r="B87" s="2" t="s">
        <v>75</v>
      </c>
      <c r="C87" s="2" t="s">
        <v>76</v>
      </c>
      <c r="D87" s="2" t="s">
        <v>2882</v>
      </c>
      <c r="E87" s="2" t="s">
        <v>39</v>
      </c>
      <c r="F87" s="2" t="s">
        <v>15</v>
      </c>
      <c r="G87" s="2" t="s">
        <v>16</v>
      </c>
      <c r="H87" s="2" t="s">
        <v>78</v>
      </c>
      <c r="I87" s="2">
        <v>1.5</v>
      </c>
      <c r="J87" s="2" t="s">
        <v>2871</v>
      </c>
      <c r="K87" s="2" t="s">
        <v>2956</v>
      </c>
      <c r="L87" s="2" t="s">
        <v>2873</v>
      </c>
      <c r="M87" s="2">
        <v>298</v>
      </c>
      <c r="N87" s="2">
        <v>466</v>
      </c>
      <c r="O87" s="2" t="s">
        <v>2961</v>
      </c>
    </row>
    <row r="88" spans="1:15">
      <c r="A88" s="2" t="s">
        <v>74</v>
      </c>
      <c r="B88" s="2" t="s">
        <v>75</v>
      </c>
      <c r="C88" s="2" t="s">
        <v>76</v>
      </c>
      <c r="D88" s="2" t="s">
        <v>2882</v>
      </c>
      <c r="E88" s="2" t="s">
        <v>39</v>
      </c>
      <c r="F88" s="2" t="s">
        <v>15</v>
      </c>
      <c r="G88" s="2" t="s">
        <v>16</v>
      </c>
      <c r="H88" s="2" t="s">
        <v>78</v>
      </c>
      <c r="I88" s="2">
        <v>1.5</v>
      </c>
      <c r="J88" s="2" t="s">
        <v>2871</v>
      </c>
      <c r="K88" s="2" t="s">
        <v>2954</v>
      </c>
      <c r="L88" s="2" t="s">
        <v>2873</v>
      </c>
      <c r="M88" s="2">
        <v>220</v>
      </c>
      <c r="N88" s="2">
        <v>150</v>
      </c>
      <c r="O88" s="2" t="s">
        <v>2962</v>
      </c>
    </row>
    <row r="89" spans="1:15">
      <c r="A89" s="2" t="s">
        <v>74</v>
      </c>
      <c r="B89" s="2" t="s">
        <v>75</v>
      </c>
      <c r="C89" s="2" t="s">
        <v>76</v>
      </c>
      <c r="D89" s="2" t="s">
        <v>2882</v>
      </c>
      <c r="E89" s="2" t="s">
        <v>39</v>
      </c>
      <c r="F89" s="2" t="s">
        <v>15</v>
      </c>
      <c r="G89" s="2" t="s">
        <v>16</v>
      </c>
      <c r="H89" s="2" t="s">
        <v>78</v>
      </c>
      <c r="I89" s="2">
        <v>1.5</v>
      </c>
      <c r="J89" s="2" t="s">
        <v>2871</v>
      </c>
      <c r="K89" s="2" t="s">
        <v>2952</v>
      </c>
      <c r="L89" s="2" t="s">
        <v>2873</v>
      </c>
      <c r="M89" s="2">
        <v>257</v>
      </c>
      <c r="N89" s="2">
        <v>122</v>
      </c>
      <c r="O89" s="2" t="s">
        <v>2963</v>
      </c>
    </row>
    <row r="90" spans="1:15">
      <c r="A90" s="2" t="s">
        <v>74</v>
      </c>
      <c r="B90" s="2" t="s">
        <v>75</v>
      </c>
      <c r="C90" s="2" t="s">
        <v>76</v>
      </c>
      <c r="D90" s="2" t="s">
        <v>2882</v>
      </c>
      <c r="E90" s="2" t="s">
        <v>39</v>
      </c>
      <c r="F90" s="2" t="s">
        <v>15</v>
      </c>
      <c r="G90" s="2" t="s">
        <v>16</v>
      </c>
      <c r="H90" s="2" t="s">
        <v>78</v>
      </c>
      <c r="I90" s="2">
        <v>1.5</v>
      </c>
      <c r="J90" s="2" t="s">
        <v>2871</v>
      </c>
      <c r="K90" s="2" t="s">
        <v>2950</v>
      </c>
      <c r="L90" s="2" t="s">
        <v>2873</v>
      </c>
      <c r="M90" s="2">
        <v>88</v>
      </c>
      <c r="N90" s="2">
        <v>92</v>
      </c>
      <c r="O90" s="2" t="s">
        <v>2964</v>
      </c>
    </row>
    <row r="91" spans="1:15">
      <c r="A91" s="2" t="s">
        <v>74</v>
      </c>
      <c r="B91" s="2" t="s">
        <v>75</v>
      </c>
      <c r="C91" s="2" t="s">
        <v>76</v>
      </c>
      <c r="D91" s="2" t="s">
        <v>2882</v>
      </c>
      <c r="E91" s="2" t="s">
        <v>39</v>
      </c>
      <c r="F91" s="2" t="s">
        <v>15</v>
      </c>
      <c r="G91" s="2" t="s">
        <v>16</v>
      </c>
      <c r="H91" s="2" t="s">
        <v>78</v>
      </c>
      <c r="I91" s="2">
        <v>1.5</v>
      </c>
      <c r="J91" s="2" t="s">
        <v>2947</v>
      </c>
      <c r="K91" s="2" t="s">
        <v>2948</v>
      </c>
      <c r="L91" s="2" t="s">
        <v>2873</v>
      </c>
      <c r="M91" s="2">
        <v>110</v>
      </c>
      <c r="N91" s="2">
        <v>4</v>
      </c>
      <c r="O91" s="2" t="s">
        <v>2965</v>
      </c>
    </row>
    <row r="92" spans="1:15">
      <c r="A92" s="2" t="s">
        <v>74</v>
      </c>
      <c r="B92" s="2" t="s">
        <v>75</v>
      </c>
      <c r="C92" s="2" t="s">
        <v>76</v>
      </c>
      <c r="D92" s="2" t="s">
        <v>2886</v>
      </c>
      <c r="E92" s="2" t="s">
        <v>41</v>
      </c>
      <c r="F92" s="2" t="s">
        <v>15</v>
      </c>
      <c r="G92" s="2" t="s">
        <v>16</v>
      </c>
      <c r="H92" s="2" t="s">
        <v>79</v>
      </c>
      <c r="I92" s="2">
        <v>1.5</v>
      </c>
      <c r="J92" s="2" t="s">
        <v>2947</v>
      </c>
      <c r="K92" s="2" t="s">
        <v>2948</v>
      </c>
      <c r="L92" s="2" t="s">
        <v>2873</v>
      </c>
      <c r="M92" s="2">
        <v>110</v>
      </c>
      <c r="N92" s="2">
        <v>4</v>
      </c>
      <c r="O92" s="2" t="s">
        <v>2965</v>
      </c>
    </row>
    <row r="93" spans="1:15">
      <c r="A93" s="2" t="s">
        <v>74</v>
      </c>
      <c r="B93" s="2" t="s">
        <v>75</v>
      </c>
      <c r="C93" s="2" t="s">
        <v>76</v>
      </c>
      <c r="D93" s="2" t="s">
        <v>2886</v>
      </c>
      <c r="E93" s="2" t="s">
        <v>41</v>
      </c>
      <c r="F93" s="2" t="s">
        <v>15</v>
      </c>
      <c r="G93" s="2" t="s">
        <v>16</v>
      </c>
      <c r="H93" s="2" t="s">
        <v>79</v>
      </c>
      <c r="I93" s="2">
        <v>1.5</v>
      </c>
      <c r="J93" s="2" t="s">
        <v>2871</v>
      </c>
      <c r="K93" s="2" t="s">
        <v>2950</v>
      </c>
      <c r="L93" s="2" t="s">
        <v>2873</v>
      </c>
      <c r="M93" s="2">
        <v>88</v>
      </c>
      <c r="N93" s="2">
        <v>1</v>
      </c>
      <c r="O93" s="2" t="s">
        <v>2966</v>
      </c>
    </row>
    <row r="94" spans="1:15">
      <c r="A94" s="2" t="s">
        <v>74</v>
      </c>
      <c r="B94" s="2" t="s">
        <v>75</v>
      </c>
      <c r="C94" s="2" t="s">
        <v>76</v>
      </c>
      <c r="D94" s="2" t="s">
        <v>2886</v>
      </c>
      <c r="E94" s="2" t="s">
        <v>41</v>
      </c>
      <c r="F94" s="2" t="s">
        <v>15</v>
      </c>
      <c r="G94" s="2" t="s">
        <v>16</v>
      </c>
      <c r="H94" s="2" t="s">
        <v>79</v>
      </c>
      <c r="I94" s="2">
        <v>1.5</v>
      </c>
      <c r="J94" s="2" t="s">
        <v>2871</v>
      </c>
      <c r="K94" s="2" t="s">
        <v>2952</v>
      </c>
      <c r="L94" s="2" t="s">
        <v>2873</v>
      </c>
      <c r="M94" s="2">
        <v>257</v>
      </c>
      <c r="N94" s="2">
        <v>7</v>
      </c>
      <c r="O94" s="2" t="s">
        <v>2967</v>
      </c>
    </row>
    <row r="95" spans="1:15">
      <c r="A95" s="2" t="s">
        <v>74</v>
      </c>
      <c r="B95" s="2" t="s">
        <v>75</v>
      </c>
      <c r="C95" s="2" t="s">
        <v>76</v>
      </c>
      <c r="D95" s="2" t="s">
        <v>2886</v>
      </c>
      <c r="E95" s="2" t="s">
        <v>41</v>
      </c>
      <c r="F95" s="2" t="s">
        <v>15</v>
      </c>
      <c r="G95" s="2" t="s">
        <v>16</v>
      </c>
      <c r="H95" s="2" t="s">
        <v>79</v>
      </c>
      <c r="I95" s="2">
        <v>1.5</v>
      </c>
      <c r="J95" s="2" t="s">
        <v>2871</v>
      </c>
      <c r="K95" s="2" t="s">
        <v>2954</v>
      </c>
      <c r="L95" s="2" t="s">
        <v>2873</v>
      </c>
      <c r="M95" s="2">
        <v>220</v>
      </c>
      <c r="N95" s="2">
        <v>53</v>
      </c>
      <c r="O95" s="2" t="s">
        <v>2968</v>
      </c>
    </row>
    <row r="96" spans="1:15">
      <c r="A96" s="2" t="s">
        <v>74</v>
      </c>
      <c r="B96" s="2" t="s">
        <v>75</v>
      </c>
      <c r="C96" s="2" t="s">
        <v>76</v>
      </c>
      <c r="D96" s="2" t="s">
        <v>2886</v>
      </c>
      <c r="E96" s="2" t="s">
        <v>41</v>
      </c>
      <c r="F96" s="2" t="s">
        <v>15</v>
      </c>
      <c r="G96" s="2" t="s">
        <v>16</v>
      </c>
      <c r="H96" s="2" t="s">
        <v>79</v>
      </c>
      <c r="I96" s="2">
        <v>1.5</v>
      </c>
      <c r="J96" s="2" t="s">
        <v>2871</v>
      </c>
      <c r="K96" s="2" t="s">
        <v>2956</v>
      </c>
      <c r="L96" s="2" t="s">
        <v>2873</v>
      </c>
      <c r="M96" s="2">
        <v>298</v>
      </c>
      <c r="N96" s="2">
        <v>629</v>
      </c>
      <c r="O96" s="2" t="s">
        <v>2969</v>
      </c>
    </row>
    <row r="97" spans="1:15">
      <c r="A97" s="2" t="s">
        <v>74</v>
      </c>
      <c r="B97" s="2" t="s">
        <v>75</v>
      </c>
      <c r="C97" s="2" t="s">
        <v>76</v>
      </c>
      <c r="D97" s="2" t="s">
        <v>2886</v>
      </c>
      <c r="E97" s="2" t="s">
        <v>41</v>
      </c>
      <c r="F97" s="2" t="s">
        <v>15</v>
      </c>
      <c r="G97" s="2" t="s">
        <v>16</v>
      </c>
      <c r="H97" s="2" t="s">
        <v>79</v>
      </c>
      <c r="I97" s="2">
        <v>1.5</v>
      </c>
      <c r="J97" s="2" t="s">
        <v>2871</v>
      </c>
      <c r="K97" s="2" t="s">
        <v>2958</v>
      </c>
      <c r="L97" s="2" t="s">
        <v>2873</v>
      </c>
      <c r="M97" s="2">
        <v>154</v>
      </c>
      <c r="N97" s="2">
        <v>104</v>
      </c>
      <c r="O97" s="2" t="s">
        <v>2970</v>
      </c>
    </row>
    <row r="98" spans="1:15">
      <c r="A98" s="2" t="s">
        <v>74</v>
      </c>
      <c r="B98" s="2" t="s">
        <v>75</v>
      </c>
      <c r="C98" s="2" t="s">
        <v>76</v>
      </c>
      <c r="D98" s="2" t="s">
        <v>2896</v>
      </c>
      <c r="E98" s="2" t="s">
        <v>43</v>
      </c>
      <c r="F98" s="2" t="s">
        <v>33</v>
      </c>
      <c r="G98" s="2" t="s">
        <v>44</v>
      </c>
      <c r="H98" s="2" t="s">
        <v>80</v>
      </c>
      <c r="I98" s="2">
        <v>0.5</v>
      </c>
      <c r="J98" s="2" t="s">
        <v>2871</v>
      </c>
      <c r="K98" s="2" t="s">
        <v>2952</v>
      </c>
      <c r="L98" s="2" t="s">
        <v>2873</v>
      </c>
      <c r="M98" s="2">
        <v>257</v>
      </c>
      <c r="N98" s="2">
        <v>1</v>
      </c>
      <c r="O98" s="2" t="s">
        <v>2971</v>
      </c>
    </row>
    <row r="99" spans="1:15">
      <c r="A99" s="2" t="s">
        <v>74</v>
      </c>
      <c r="B99" s="2" t="s">
        <v>75</v>
      </c>
      <c r="C99" s="2" t="s">
        <v>76</v>
      </c>
      <c r="D99" s="2" t="s">
        <v>2896</v>
      </c>
      <c r="E99" s="2" t="s">
        <v>43</v>
      </c>
      <c r="F99" s="2" t="s">
        <v>33</v>
      </c>
      <c r="G99" s="2" t="s">
        <v>44</v>
      </c>
      <c r="H99" s="2" t="s">
        <v>80</v>
      </c>
      <c r="I99" s="2">
        <v>0.5</v>
      </c>
      <c r="J99" s="2" t="s">
        <v>2871</v>
      </c>
      <c r="K99" s="2" t="s">
        <v>2954</v>
      </c>
      <c r="L99" s="2" t="s">
        <v>2873</v>
      </c>
      <c r="M99" s="2">
        <v>220</v>
      </c>
      <c r="N99" s="2">
        <v>3</v>
      </c>
      <c r="O99" s="2" t="s">
        <v>2972</v>
      </c>
    </row>
    <row r="100" spans="1:15">
      <c r="A100" s="2" t="s">
        <v>74</v>
      </c>
      <c r="B100" s="2" t="s">
        <v>75</v>
      </c>
      <c r="C100" s="2" t="s">
        <v>76</v>
      </c>
      <c r="D100" s="2" t="s">
        <v>2896</v>
      </c>
      <c r="E100" s="2" t="s">
        <v>43</v>
      </c>
      <c r="F100" s="2" t="s">
        <v>33</v>
      </c>
      <c r="G100" s="2" t="s">
        <v>44</v>
      </c>
      <c r="H100" s="2" t="s">
        <v>80</v>
      </c>
      <c r="I100" s="2">
        <v>0.5</v>
      </c>
      <c r="J100" s="2" t="s">
        <v>2871</v>
      </c>
      <c r="K100" s="2" t="s">
        <v>2956</v>
      </c>
      <c r="L100" s="2" t="s">
        <v>2873</v>
      </c>
      <c r="M100" s="2">
        <v>298</v>
      </c>
      <c r="N100" s="2">
        <v>21</v>
      </c>
      <c r="O100" s="2" t="s">
        <v>2973</v>
      </c>
    </row>
    <row r="101" spans="1:15">
      <c r="A101" s="2" t="s">
        <v>81</v>
      </c>
      <c r="B101" s="2" t="s">
        <v>82</v>
      </c>
      <c r="C101" s="2" t="s">
        <v>11</v>
      </c>
      <c r="D101" s="2" t="s">
        <v>2870</v>
      </c>
      <c r="E101" s="2" t="s">
        <v>37</v>
      </c>
      <c r="F101" s="2" t="s">
        <v>15</v>
      </c>
      <c r="G101" s="2" t="s">
        <v>16</v>
      </c>
      <c r="H101" s="2" t="s">
        <v>83</v>
      </c>
      <c r="I101" s="2">
        <v>1.1399999999999999</v>
      </c>
      <c r="J101" s="2" t="s">
        <v>2879</v>
      </c>
      <c r="K101" s="2" t="s">
        <v>2894</v>
      </c>
      <c r="L101" s="2" t="s">
        <v>2873</v>
      </c>
      <c r="M101" s="2">
        <v>26</v>
      </c>
      <c r="N101" s="2">
        <v>39</v>
      </c>
      <c r="O101" s="2" t="s">
        <v>2974</v>
      </c>
    </row>
    <row r="102" spans="1:15">
      <c r="A102" s="2" t="s">
        <v>81</v>
      </c>
      <c r="B102" s="2" t="s">
        <v>82</v>
      </c>
      <c r="C102" s="2" t="s">
        <v>11</v>
      </c>
      <c r="D102" s="2" t="s">
        <v>2870</v>
      </c>
      <c r="E102" s="2" t="s">
        <v>37</v>
      </c>
      <c r="F102" s="2" t="s">
        <v>15</v>
      </c>
      <c r="G102" s="2" t="s">
        <v>16</v>
      </c>
      <c r="H102" s="2" t="s">
        <v>83</v>
      </c>
      <c r="I102" s="2">
        <v>1.1399999999999999</v>
      </c>
      <c r="J102" s="2" t="s">
        <v>2871</v>
      </c>
      <c r="K102" s="2" t="s">
        <v>2875</v>
      </c>
      <c r="L102" s="2" t="s">
        <v>2873</v>
      </c>
      <c r="M102" s="2">
        <v>36</v>
      </c>
      <c r="N102" s="2">
        <v>28</v>
      </c>
      <c r="O102" s="2" t="s">
        <v>2975</v>
      </c>
    </row>
    <row r="103" spans="1:15">
      <c r="A103" s="2" t="s">
        <v>81</v>
      </c>
      <c r="B103" s="2" t="s">
        <v>82</v>
      </c>
      <c r="C103" s="2" t="s">
        <v>11</v>
      </c>
      <c r="D103" s="2" t="s">
        <v>2882</v>
      </c>
      <c r="E103" s="2" t="s">
        <v>39</v>
      </c>
      <c r="F103" s="2" t="s">
        <v>15</v>
      </c>
      <c r="G103" s="2" t="s">
        <v>16</v>
      </c>
      <c r="H103" s="2" t="s">
        <v>84</v>
      </c>
      <c r="I103" s="2">
        <v>1.5</v>
      </c>
      <c r="J103" s="2" t="s">
        <v>2887</v>
      </c>
      <c r="K103" s="2" t="s">
        <v>2888</v>
      </c>
      <c r="L103" s="2" t="s">
        <v>2873</v>
      </c>
      <c r="M103" s="2">
        <v>205</v>
      </c>
      <c r="N103" s="2">
        <v>133</v>
      </c>
      <c r="O103" s="2" t="s">
        <v>2976</v>
      </c>
    </row>
    <row r="104" spans="1:15">
      <c r="A104" s="2" t="s">
        <v>81</v>
      </c>
      <c r="B104" s="2" t="s">
        <v>82</v>
      </c>
      <c r="C104" s="2" t="s">
        <v>11</v>
      </c>
      <c r="D104" s="2" t="s">
        <v>2882</v>
      </c>
      <c r="E104" s="2" t="s">
        <v>39</v>
      </c>
      <c r="F104" s="2" t="s">
        <v>15</v>
      </c>
      <c r="G104" s="2" t="s">
        <v>16</v>
      </c>
      <c r="H104" s="2" t="s">
        <v>84</v>
      </c>
      <c r="I104" s="2">
        <v>1.5</v>
      </c>
      <c r="J104" s="2" t="s">
        <v>2887</v>
      </c>
      <c r="K104" s="2" t="s">
        <v>2977</v>
      </c>
      <c r="L104" s="2" t="s">
        <v>2873</v>
      </c>
      <c r="M104" s="2">
        <v>205</v>
      </c>
      <c r="N104" s="2">
        <v>104</v>
      </c>
      <c r="O104" s="2" t="s">
        <v>2978</v>
      </c>
    </row>
    <row r="105" spans="1:15">
      <c r="A105" s="2" t="s">
        <v>81</v>
      </c>
      <c r="B105" s="2" t="s">
        <v>82</v>
      </c>
      <c r="C105" s="2" t="s">
        <v>11</v>
      </c>
      <c r="D105" s="2" t="s">
        <v>2882</v>
      </c>
      <c r="E105" s="2" t="s">
        <v>39</v>
      </c>
      <c r="F105" s="2" t="s">
        <v>15</v>
      </c>
      <c r="G105" s="2" t="s">
        <v>16</v>
      </c>
      <c r="H105" s="2" t="s">
        <v>84</v>
      </c>
      <c r="I105" s="2">
        <v>1.5</v>
      </c>
      <c r="J105" s="2" t="s">
        <v>2887</v>
      </c>
      <c r="K105" s="2" t="s">
        <v>2890</v>
      </c>
      <c r="L105" s="2" t="s">
        <v>2873</v>
      </c>
      <c r="M105" s="2">
        <v>205</v>
      </c>
      <c r="N105" s="2">
        <v>133</v>
      </c>
      <c r="O105" s="2" t="s">
        <v>2976</v>
      </c>
    </row>
    <row r="106" spans="1:15">
      <c r="A106" s="2" t="s">
        <v>81</v>
      </c>
      <c r="B106" s="2" t="s">
        <v>82</v>
      </c>
      <c r="C106" s="2" t="s">
        <v>11</v>
      </c>
      <c r="D106" s="2" t="s">
        <v>2882</v>
      </c>
      <c r="E106" s="2" t="s">
        <v>39</v>
      </c>
      <c r="F106" s="2" t="s">
        <v>15</v>
      </c>
      <c r="G106" s="2" t="s">
        <v>16</v>
      </c>
      <c r="H106" s="2" t="s">
        <v>84</v>
      </c>
      <c r="I106" s="2">
        <v>1.5</v>
      </c>
      <c r="J106" s="2" t="s">
        <v>2887</v>
      </c>
      <c r="K106" s="2" t="s">
        <v>2979</v>
      </c>
      <c r="L106" s="2" t="s">
        <v>2873</v>
      </c>
      <c r="M106" s="2">
        <v>205</v>
      </c>
      <c r="N106" s="2">
        <v>104</v>
      </c>
      <c r="O106" s="2" t="s">
        <v>2978</v>
      </c>
    </row>
    <row r="107" spans="1:15">
      <c r="A107" s="2" t="s">
        <v>81</v>
      </c>
      <c r="B107" s="2" t="s">
        <v>82</v>
      </c>
      <c r="C107" s="2" t="s">
        <v>11</v>
      </c>
      <c r="D107" s="2" t="s">
        <v>2882</v>
      </c>
      <c r="E107" s="2" t="s">
        <v>39</v>
      </c>
      <c r="F107" s="2" t="s">
        <v>15</v>
      </c>
      <c r="G107" s="2" t="s">
        <v>16</v>
      </c>
      <c r="H107" s="2" t="s">
        <v>84</v>
      </c>
      <c r="I107" s="2">
        <v>1.5</v>
      </c>
      <c r="J107" s="2" t="s">
        <v>2871</v>
      </c>
      <c r="K107" s="2" t="s">
        <v>2875</v>
      </c>
      <c r="L107" s="2" t="s">
        <v>2873</v>
      </c>
      <c r="M107" s="2">
        <v>36</v>
      </c>
      <c r="N107" s="2">
        <v>24</v>
      </c>
      <c r="O107" s="2" t="s">
        <v>2980</v>
      </c>
    </row>
    <row r="108" spans="1:15">
      <c r="A108" s="2" t="s">
        <v>81</v>
      </c>
      <c r="B108" s="2" t="s">
        <v>82</v>
      </c>
      <c r="C108" s="2" t="s">
        <v>11</v>
      </c>
      <c r="D108" s="2" t="s">
        <v>2882</v>
      </c>
      <c r="E108" s="2" t="s">
        <v>39</v>
      </c>
      <c r="F108" s="2" t="s">
        <v>15</v>
      </c>
      <c r="G108" s="2" t="s">
        <v>16</v>
      </c>
      <c r="H108" s="2" t="s">
        <v>84</v>
      </c>
      <c r="I108" s="2">
        <v>1.5</v>
      </c>
      <c r="J108" s="2" t="s">
        <v>2871</v>
      </c>
      <c r="K108" s="2" t="s">
        <v>2872</v>
      </c>
      <c r="L108" s="2" t="s">
        <v>2873</v>
      </c>
      <c r="M108" s="2">
        <v>35</v>
      </c>
      <c r="N108" s="2">
        <v>2</v>
      </c>
      <c r="O108" s="2" t="s">
        <v>2874</v>
      </c>
    </row>
    <row r="109" spans="1:15">
      <c r="A109" s="2" t="s">
        <v>81</v>
      </c>
      <c r="B109" s="2" t="s">
        <v>82</v>
      </c>
      <c r="C109" s="2" t="s">
        <v>11</v>
      </c>
      <c r="D109" s="2" t="s">
        <v>2882</v>
      </c>
      <c r="E109" s="2" t="s">
        <v>39</v>
      </c>
      <c r="F109" s="2" t="s">
        <v>15</v>
      </c>
      <c r="G109" s="2" t="s">
        <v>16</v>
      </c>
      <c r="H109" s="2" t="s">
        <v>84</v>
      </c>
      <c r="I109" s="2">
        <v>1.5</v>
      </c>
      <c r="J109" s="2" t="s">
        <v>2879</v>
      </c>
      <c r="K109" s="2" t="s">
        <v>2894</v>
      </c>
      <c r="L109" s="2" t="s">
        <v>2873</v>
      </c>
      <c r="M109" s="2">
        <v>26</v>
      </c>
      <c r="N109" s="2">
        <v>6</v>
      </c>
      <c r="O109" s="2" t="s">
        <v>2981</v>
      </c>
    </row>
    <row r="110" spans="1:15">
      <c r="A110" s="2" t="s">
        <v>81</v>
      </c>
      <c r="B110" s="2" t="s">
        <v>82</v>
      </c>
      <c r="C110" s="2" t="s">
        <v>11</v>
      </c>
      <c r="D110" s="2" t="s">
        <v>2886</v>
      </c>
      <c r="E110" s="2" t="s">
        <v>41</v>
      </c>
      <c r="F110" s="2" t="s">
        <v>15</v>
      </c>
      <c r="G110" s="2" t="s">
        <v>16</v>
      </c>
      <c r="H110" s="2" t="s">
        <v>85</v>
      </c>
      <c r="I110" s="2">
        <v>1.5</v>
      </c>
      <c r="J110" s="2" t="s">
        <v>2871</v>
      </c>
      <c r="K110" s="2" t="s">
        <v>2872</v>
      </c>
      <c r="L110" s="2" t="s">
        <v>2873</v>
      </c>
      <c r="M110" s="2">
        <v>35</v>
      </c>
      <c r="N110" s="2">
        <v>40</v>
      </c>
      <c r="O110" s="2" t="s">
        <v>2982</v>
      </c>
    </row>
    <row r="111" spans="1:15">
      <c r="A111" s="2" t="s">
        <v>81</v>
      </c>
      <c r="B111" s="2" t="s">
        <v>82</v>
      </c>
      <c r="C111" s="2" t="s">
        <v>11</v>
      </c>
      <c r="D111" s="2" t="s">
        <v>2886</v>
      </c>
      <c r="E111" s="2" t="s">
        <v>41</v>
      </c>
      <c r="F111" s="2" t="s">
        <v>15</v>
      </c>
      <c r="G111" s="2" t="s">
        <v>16</v>
      </c>
      <c r="H111" s="2" t="s">
        <v>85</v>
      </c>
      <c r="I111" s="2">
        <v>1.5</v>
      </c>
      <c r="J111" s="2" t="s">
        <v>2871</v>
      </c>
      <c r="K111" s="2" t="s">
        <v>2875</v>
      </c>
      <c r="L111" s="2" t="s">
        <v>2873</v>
      </c>
      <c r="M111" s="2">
        <v>36</v>
      </c>
      <c r="N111" s="2">
        <v>19</v>
      </c>
      <c r="O111" s="2" t="s">
        <v>2885</v>
      </c>
    </row>
    <row r="112" spans="1:15">
      <c r="A112" s="2" t="s">
        <v>81</v>
      </c>
      <c r="B112" s="2" t="s">
        <v>82</v>
      </c>
      <c r="C112" s="2" t="s">
        <v>11</v>
      </c>
      <c r="D112" s="2" t="s">
        <v>2886</v>
      </c>
      <c r="E112" s="2" t="s">
        <v>41</v>
      </c>
      <c r="F112" s="2" t="s">
        <v>15</v>
      </c>
      <c r="G112" s="2" t="s">
        <v>16</v>
      </c>
      <c r="H112" s="2" t="s">
        <v>85</v>
      </c>
      <c r="I112" s="2">
        <v>1.5</v>
      </c>
      <c r="J112" s="2" t="s">
        <v>2887</v>
      </c>
      <c r="K112" s="2" t="s">
        <v>2979</v>
      </c>
      <c r="L112" s="2" t="s">
        <v>2873</v>
      </c>
      <c r="M112" s="2">
        <v>205</v>
      </c>
      <c r="N112" s="2">
        <v>106</v>
      </c>
      <c r="O112" s="2" t="s">
        <v>2983</v>
      </c>
    </row>
    <row r="113" spans="1:15">
      <c r="A113" s="2" t="s">
        <v>81</v>
      </c>
      <c r="B113" s="2" t="s">
        <v>82</v>
      </c>
      <c r="C113" s="2" t="s">
        <v>11</v>
      </c>
      <c r="D113" s="2" t="s">
        <v>2886</v>
      </c>
      <c r="E113" s="2" t="s">
        <v>41</v>
      </c>
      <c r="F113" s="2" t="s">
        <v>15</v>
      </c>
      <c r="G113" s="2" t="s">
        <v>16</v>
      </c>
      <c r="H113" s="2" t="s">
        <v>85</v>
      </c>
      <c r="I113" s="2">
        <v>1.5</v>
      </c>
      <c r="J113" s="2" t="s">
        <v>2887</v>
      </c>
      <c r="K113" s="2" t="s">
        <v>2890</v>
      </c>
      <c r="L113" s="2" t="s">
        <v>2873</v>
      </c>
      <c r="M113" s="2">
        <v>205</v>
      </c>
      <c r="N113" s="2">
        <v>99</v>
      </c>
      <c r="O113" s="2" t="s">
        <v>2984</v>
      </c>
    </row>
    <row r="114" spans="1:15">
      <c r="A114" s="2" t="s">
        <v>81</v>
      </c>
      <c r="B114" s="2" t="s">
        <v>82</v>
      </c>
      <c r="C114" s="2" t="s">
        <v>11</v>
      </c>
      <c r="D114" s="2" t="s">
        <v>2886</v>
      </c>
      <c r="E114" s="2" t="s">
        <v>41</v>
      </c>
      <c r="F114" s="2" t="s">
        <v>15</v>
      </c>
      <c r="G114" s="2" t="s">
        <v>16</v>
      </c>
      <c r="H114" s="2" t="s">
        <v>85</v>
      </c>
      <c r="I114" s="2">
        <v>1.5</v>
      </c>
      <c r="J114" s="2" t="s">
        <v>2887</v>
      </c>
      <c r="K114" s="2" t="s">
        <v>2977</v>
      </c>
      <c r="L114" s="2" t="s">
        <v>2873</v>
      </c>
      <c r="M114" s="2">
        <v>205</v>
      </c>
      <c r="N114" s="2">
        <v>105</v>
      </c>
      <c r="O114" s="2" t="s">
        <v>2985</v>
      </c>
    </row>
    <row r="115" spans="1:15">
      <c r="A115" s="2" t="s">
        <v>81</v>
      </c>
      <c r="B115" s="2" t="s">
        <v>82</v>
      </c>
      <c r="C115" s="2" t="s">
        <v>11</v>
      </c>
      <c r="D115" s="2" t="s">
        <v>2886</v>
      </c>
      <c r="E115" s="2" t="s">
        <v>41</v>
      </c>
      <c r="F115" s="2" t="s">
        <v>15</v>
      </c>
      <c r="G115" s="2" t="s">
        <v>16</v>
      </c>
      <c r="H115" s="2" t="s">
        <v>85</v>
      </c>
      <c r="I115" s="2">
        <v>1.5</v>
      </c>
      <c r="J115" s="2" t="s">
        <v>2887</v>
      </c>
      <c r="K115" s="2" t="s">
        <v>2888</v>
      </c>
      <c r="L115" s="2" t="s">
        <v>2873</v>
      </c>
      <c r="M115" s="2">
        <v>205</v>
      </c>
      <c r="N115" s="2">
        <v>99</v>
      </c>
      <c r="O115" s="2" t="s">
        <v>2984</v>
      </c>
    </row>
    <row r="116" spans="1:15">
      <c r="A116" s="2" t="s">
        <v>81</v>
      </c>
      <c r="B116" s="2" t="s">
        <v>82</v>
      </c>
      <c r="C116" s="2" t="s">
        <v>11</v>
      </c>
      <c r="D116" s="2" t="s">
        <v>2896</v>
      </c>
      <c r="E116" s="2" t="s">
        <v>43</v>
      </c>
      <c r="F116" s="2" t="s">
        <v>33</v>
      </c>
      <c r="G116" s="2" t="s">
        <v>44</v>
      </c>
      <c r="H116" s="2" t="s">
        <v>86</v>
      </c>
      <c r="I116" s="2">
        <v>0.5</v>
      </c>
      <c r="J116" s="2" t="s">
        <v>2871</v>
      </c>
      <c r="K116" s="2" t="s">
        <v>2875</v>
      </c>
      <c r="L116" s="2" t="s">
        <v>2873</v>
      </c>
      <c r="M116" s="2">
        <v>36</v>
      </c>
      <c r="N116" s="2">
        <v>1</v>
      </c>
      <c r="O116" s="2" t="s">
        <v>2927</v>
      </c>
    </row>
    <row r="117" spans="1:15">
      <c r="A117" s="2" t="s">
        <v>81</v>
      </c>
      <c r="B117" s="2" t="s">
        <v>82</v>
      </c>
      <c r="C117" s="2" t="s">
        <v>11</v>
      </c>
      <c r="D117" s="2" t="s">
        <v>2896</v>
      </c>
      <c r="E117" s="2" t="s">
        <v>43</v>
      </c>
      <c r="F117" s="2" t="s">
        <v>33</v>
      </c>
      <c r="G117" s="2" t="s">
        <v>44</v>
      </c>
      <c r="H117" s="2" t="s">
        <v>86</v>
      </c>
      <c r="I117" s="2">
        <v>0.5</v>
      </c>
      <c r="J117" s="2" t="s">
        <v>2871</v>
      </c>
      <c r="K117" s="2" t="s">
        <v>2872</v>
      </c>
      <c r="L117" s="2" t="s">
        <v>2873</v>
      </c>
      <c r="M117" s="2">
        <v>35</v>
      </c>
      <c r="N117" s="2">
        <v>11</v>
      </c>
      <c r="O117" s="2" t="s">
        <v>2986</v>
      </c>
    </row>
    <row r="118" spans="1:15">
      <c r="A118" s="2" t="s">
        <v>87</v>
      </c>
      <c r="B118" s="2" t="s">
        <v>88</v>
      </c>
      <c r="C118" s="2" t="s">
        <v>76</v>
      </c>
      <c r="D118" s="2" t="s">
        <v>2870</v>
      </c>
      <c r="E118" s="2" t="s">
        <v>37</v>
      </c>
      <c r="F118" s="2" t="s">
        <v>15</v>
      </c>
      <c r="G118" s="2" t="s">
        <v>16</v>
      </c>
      <c r="H118" s="2" t="s">
        <v>89</v>
      </c>
      <c r="I118" s="2">
        <v>1.02</v>
      </c>
      <c r="J118" s="2" t="s">
        <v>2947</v>
      </c>
      <c r="K118" s="2" t="s">
        <v>2948</v>
      </c>
      <c r="L118" s="2" t="s">
        <v>2873</v>
      </c>
      <c r="M118" s="2">
        <v>110</v>
      </c>
      <c r="N118" s="2">
        <v>1</v>
      </c>
      <c r="O118" s="2" t="s">
        <v>2987</v>
      </c>
    </row>
    <row r="119" spans="1:15">
      <c r="A119" s="2" t="s">
        <v>87</v>
      </c>
      <c r="B119" s="2" t="s">
        <v>88</v>
      </c>
      <c r="C119" s="2" t="s">
        <v>76</v>
      </c>
      <c r="D119" s="2" t="s">
        <v>2870</v>
      </c>
      <c r="E119" s="2" t="s">
        <v>37</v>
      </c>
      <c r="F119" s="2" t="s">
        <v>15</v>
      </c>
      <c r="G119" s="2" t="s">
        <v>16</v>
      </c>
      <c r="H119" s="2" t="s">
        <v>89</v>
      </c>
      <c r="I119" s="2">
        <v>1.02</v>
      </c>
      <c r="J119" s="2" t="s">
        <v>2947</v>
      </c>
      <c r="K119" s="2" t="s">
        <v>2988</v>
      </c>
      <c r="L119" s="2" t="s">
        <v>2873</v>
      </c>
      <c r="M119" s="2">
        <v>103</v>
      </c>
      <c r="N119" s="2">
        <v>13</v>
      </c>
      <c r="O119" s="2" t="s">
        <v>2989</v>
      </c>
    </row>
    <row r="120" spans="1:15">
      <c r="A120" s="2" t="s">
        <v>87</v>
      </c>
      <c r="B120" s="2" t="s">
        <v>88</v>
      </c>
      <c r="C120" s="2" t="s">
        <v>76</v>
      </c>
      <c r="D120" s="2" t="s">
        <v>2870</v>
      </c>
      <c r="E120" s="2" t="s">
        <v>37</v>
      </c>
      <c r="F120" s="2" t="s">
        <v>15</v>
      </c>
      <c r="G120" s="2" t="s">
        <v>16</v>
      </c>
      <c r="H120" s="2" t="s">
        <v>89</v>
      </c>
      <c r="I120" s="2">
        <v>1.02</v>
      </c>
      <c r="J120" s="2" t="s">
        <v>2871</v>
      </c>
      <c r="K120" s="2" t="s">
        <v>2954</v>
      </c>
      <c r="L120" s="2" t="s">
        <v>2873</v>
      </c>
      <c r="M120" s="2">
        <v>220</v>
      </c>
      <c r="N120" s="2">
        <v>343</v>
      </c>
      <c r="O120" s="2" t="s">
        <v>2990</v>
      </c>
    </row>
    <row r="121" spans="1:15">
      <c r="A121" s="2" t="s">
        <v>87</v>
      </c>
      <c r="B121" s="2" t="s">
        <v>88</v>
      </c>
      <c r="C121" s="2" t="s">
        <v>76</v>
      </c>
      <c r="D121" s="2" t="s">
        <v>2870</v>
      </c>
      <c r="E121" s="2" t="s">
        <v>37</v>
      </c>
      <c r="F121" s="2" t="s">
        <v>15</v>
      </c>
      <c r="G121" s="2" t="s">
        <v>16</v>
      </c>
      <c r="H121" s="2" t="s">
        <v>89</v>
      </c>
      <c r="I121" s="2">
        <v>1.02</v>
      </c>
      <c r="J121" s="2" t="s">
        <v>2871</v>
      </c>
      <c r="K121" s="2" t="s">
        <v>2956</v>
      </c>
      <c r="L121" s="2" t="s">
        <v>2873</v>
      </c>
      <c r="M121" s="2">
        <v>298</v>
      </c>
      <c r="N121" s="2">
        <v>93</v>
      </c>
      <c r="O121" s="2" t="s">
        <v>2991</v>
      </c>
    </row>
    <row r="122" spans="1:15">
      <c r="A122" s="2" t="s">
        <v>87</v>
      </c>
      <c r="B122" s="2" t="s">
        <v>88</v>
      </c>
      <c r="C122" s="2" t="s">
        <v>76</v>
      </c>
      <c r="D122" s="2" t="s">
        <v>2870</v>
      </c>
      <c r="E122" s="2" t="s">
        <v>37</v>
      </c>
      <c r="F122" s="2" t="s">
        <v>15</v>
      </c>
      <c r="G122" s="2" t="s">
        <v>16</v>
      </c>
      <c r="H122" s="2" t="s">
        <v>89</v>
      </c>
      <c r="I122" s="2">
        <v>1.02</v>
      </c>
      <c r="J122" s="2" t="s">
        <v>2887</v>
      </c>
      <c r="K122" s="2" t="s">
        <v>2992</v>
      </c>
      <c r="L122" s="2" t="s">
        <v>2873</v>
      </c>
      <c r="M122" s="2">
        <v>220</v>
      </c>
      <c r="N122" s="2">
        <v>8</v>
      </c>
      <c r="O122" s="2" t="s">
        <v>2965</v>
      </c>
    </row>
    <row r="123" spans="1:15">
      <c r="A123" s="2" t="s">
        <v>87</v>
      </c>
      <c r="B123" s="2" t="s">
        <v>88</v>
      </c>
      <c r="C123" s="2" t="s">
        <v>76</v>
      </c>
      <c r="D123" s="2" t="s">
        <v>2882</v>
      </c>
      <c r="E123" s="2" t="s">
        <v>39</v>
      </c>
      <c r="F123" s="2" t="s">
        <v>15</v>
      </c>
      <c r="G123" s="2" t="s">
        <v>44</v>
      </c>
      <c r="H123" s="2" t="s">
        <v>90</v>
      </c>
      <c r="I123" s="2">
        <v>0.5</v>
      </c>
      <c r="J123" s="2" t="s">
        <v>2947</v>
      </c>
      <c r="K123" s="2" t="s">
        <v>2988</v>
      </c>
      <c r="L123" s="2" t="s">
        <v>2873</v>
      </c>
      <c r="M123" s="2">
        <v>103</v>
      </c>
      <c r="N123" s="2">
        <v>4</v>
      </c>
      <c r="O123" s="2" t="s">
        <v>2993</v>
      </c>
    </row>
    <row r="124" spans="1:15">
      <c r="A124" s="2" t="s">
        <v>87</v>
      </c>
      <c r="B124" s="2" t="s">
        <v>88</v>
      </c>
      <c r="C124" s="2" t="s">
        <v>76</v>
      </c>
      <c r="D124" s="2" t="s">
        <v>2882</v>
      </c>
      <c r="E124" s="2" t="s">
        <v>39</v>
      </c>
      <c r="F124" s="2" t="s">
        <v>15</v>
      </c>
      <c r="G124" s="2" t="s">
        <v>44</v>
      </c>
      <c r="H124" s="2" t="s">
        <v>90</v>
      </c>
      <c r="I124" s="2">
        <v>0.5</v>
      </c>
      <c r="J124" s="2" t="s">
        <v>2871</v>
      </c>
      <c r="K124" s="2" t="s">
        <v>2954</v>
      </c>
      <c r="L124" s="2" t="s">
        <v>2873</v>
      </c>
      <c r="M124" s="2">
        <v>220</v>
      </c>
      <c r="N124" s="2">
        <v>8</v>
      </c>
      <c r="O124" s="2" t="s">
        <v>2965</v>
      </c>
    </row>
    <row r="125" spans="1:15">
      <c r="A125" s="2" t="s">
        <v>87</v>
      </c>
      <c r="B125" s="2" t="s">
        <v>88</v>
      </c>
      <c r="C125" s="2" t="s">
        <v>76</v>
      </c>
      <c r="D125" s="2" t="s">
        <v>2882</v>
      </c>
      <c r="E125" s="2" t="s">
        <v>39</v>
      </c>
      <c r="F125" s="2" t="s">
        <v>15</v>
      </c>
      <c r="G125" s="2" t="s">
        <v>44</v>
      </c>
      <c r="H125" s="2" t="s">
        <v>90</v>
      </c>
      <c r="I125" s="2">
        <v>0.5</v>
      </c>
      <c r="J125" s="2" t="s">
        <v>2871</v>
      </c>
      <c r="K125" s="2" t="s">
        <v>2956</v>
      </c>
      <c r="L125" s="2" t="s">
        <v>2873</v>
      </c>
      <c r="M125" s="2">
        <v>298</v>
      </c>
      <c r="N125" s="2">
        <v>44</v>
      </c>
      <c r="O125" s="2" t="s">
        <v>2994</v>
      </c>
    </row>
    <row r="126" spans="1:15">
      <c r="A126" s="2" t="s">
        <v>87</v>
      </c>
      <c r="B126" s="2" t="s">
        <v>88</v>
      </c>
      <c r="C126" s="2" t="s">
        <v>76</v>
      </c>
      <c r="D126" s="2" t="s">
        <v>2886</v>
      </c>
      <c r="E126" s="2" t="s">
        <v>41</v>
      </c>
      <c r="F126" s="2" t="s">
        <v>15</v>
      </c>
      <c r="G126" s="2" t="s">
        <v>20</v>
      </c>
      <c r="H126" s="2" t="s">
        <v>91</v>
      </c>
      <c r="I126" s="2">
        <v>1</v>
      </c>
      <c r="J126" s="2" t="s">
        <v>2887</v>
      </c>
      <c r="K126" s="2" t="s">
        <v>2992</v>
      </c>
      <c r="L126" s="2" t="s">
        <v>2873</v>
      </c>
      <c r="M126" s="2">
        <v>220</v>
      </c>
      <c r="N126" s="2">
        <v>2</v>
      </c>
      <c r="O126" s="2" t="s">
        <v>2987</v>
      </c>
    </row>
    <row r="127" spans="1:15">
      <c r="A127" s="2" t="s">
        <v>87</v>
      </c>
      <c r="B127" s="2" t="s">
        <v>88</v>
      </c>
      <c r="C127" s="2" t="s">
        <v>76</v>
      </c>
      <c r="D127" s="2" t="s">
        <v>2886</v>
      </c>
      <c r="E127" s="2" t="s">
        <v>41</v>
      </c>
      <c r="F127" s="2" t="s">
        <v>15</v>
      </c>
      <c r="G127" s="2" t="s">
        <v>20</v>
      </c>
      <c r="H127" s="2" t="s">
        <v>91</v>
      </c>
      <c r="I127" s="2">
        <v>1</v>
      </c>
      <c r="J127" s="2" t="s">
        <v>2871</v>
      </c>
      <c r="K127" s="2" t="s">
        <v>2956</v>
      </c>
      <c r="L127" s="2" t="s">
        <v>2873</v>
      </c>
      <c r="M127" s="2">
        <v>298</v>
      </c>
      <c r="N127" s="2">
        <v>39</v>
      </c>
      <c r="O127" s="2" t="s">
        <v>2995</v>
      </c>
    </row>
    <row r="128" spans="1:15">
      <c r="A128" s="2" t="s">
        <v>87</v>
      </c>
      <c r="B128" s="2" t="s">
        <v>88</v>
      </c>
      <c r="C128" s="2" t="s">
        <v>76</v>
      </c>
      <c r="D128" s="2" t="s">
        <v>2886</v>
      </c>
      <c r="E128" s="2" t="s">
        <v>41</v>
      </c>
      <c r="F128" s="2" t="s">
        <v>15</v>
      </c>
      <c r="G128" s="2" t="s">
        <v>20</v>
      </c>
      <c r="H128" s="2" t="s">
        <v>91</v>
      </c>
      <c r="I128" s="2">
        <v>1</v>
      </c>
      <c r="J128" s="2" t="s">
        <v>2871</v>
      </c>
      <c r="K128" s="2" t="s">
        <v>2954</v>
      </c>
      <c r="L128" s="2" t="s">
        <v>2873</v>
      </c>
      <c r="M128" s="2">
        <v>220</v>
      </c>
      <c r="N128" s="2">
        <v>15</v>
      </c>
      <c r="O128" s="2" t="s">
        <v>2996</v>
      </c>
    </row>
    <row r="129" spans="1:15">
      <c r="A129" s="2" t="s">
        <v>87</v>
      </c>
      <c r="B129" s="2" t="s">
        <v>88</v>
      </c>
      <c r="C129" s="2" t="s">
        <v>76</v>
      </c>
      <c r="D129" s="2" t="s">
        <v>2886</v>
      </c>
      <c r="E129" s="2" t="s">
        <v>41</v>
      </c>
      <c r="F129" s="2" t="s">
        <v>15</v>
      </c>
      <c r="G129" s="2" t="s">
        <v>20</v>
      </c>
      <c r="H129" s="2" t="s">
        <v>91</v>
      </c>
      <c r="I129" s="2">
        <v>1</v>
      </c>
      <c r="J129" s="2" t="s">
        <v>2947</v>
      </c>
      <c r="K129" s="2" t="s">
        <v>2988</v>
      </c>
      <c r="L129" s="2" t="s">
        <v>2873</v>
      </c>
      <c r="M129" s="2">
        <v>103</v>
      </c>
      <c r="N129" s="2">
        <v>104</v>
      </c>
      <c r="O129" s="2" t="s">
        <v>2997</v>
      </c>
    </row>
    <row r="130" spans="1:15">
      <c r="A130" s="2" t="s">
        <v>87</v>
      </c>
      <c r="B130" s="2" t="s">
        <v>88</v>
      </c>
      <c r="C130" s="2" t="s">
        <v>76</v>
      </c>
      <c r="D130" s="2" t="s">
        <v>2896</v>
      </c>
      <c r="E130" s="2" t="s">
        <v>43</v>
      </c>
      <c r="F130" s="2" t="s">
        <v>33</v>
      </c>
      <c r="G130" s="2" t="s">
        <v>44</v>
      </c>
      <c r="H130" s="2" t="s">
        <v>92</v>
      </c>
      <c r="I130" s="2">
        <v>0.5</v>
      </c>
      <c r="J130" s="2" t="s">
        <v>2947</v>
      </c>
      <c r="K130" s="2" t="s">
        <v>2948</v>
      </c>
      <c r="L130" s="2" t="s">
        <v>2873</v>
      </c>
      <c r="M130" s="2">
        <v>110</v>
      </c>
      <c r="N130" s="2">
        <v>1</v>
      </c>
      <c r="O130" s="2" t="s">
        <v>2987</v>
      </c>
    </row>
    <row r="131" spans="1:15">
      <c r="A131" s="2" t="s">
        <v>93</v>
      </c>
      <c r="B131" s="2" t="s">
        <v>94</v>
      </c>
      <c r="C131" s="2" t="s">
        <v>76</v>
      </c>
      <c r="D131" s="2" t="s">
        <v>2870</v>
      </c>
      <c r="E131" s="2" t="s">
        <v>37</v>
      </c>
      <c r="F131" s="2" t="s">
        <v>15</v>
      </c>
      <c r="G131" s="2" t="s">
        <v>16</v>
      </c>
      <c r="H131" s="2" t="s">
        <v>95</v>
      </c>
      <c r="I131" s="2">
        <v>1.37</v>
      </c>
      <c r="J131" s="2" t="s">
        <v>2947</v>
      </c>
      <c r="K131" s="2" t="s">
        <v>2948</v>
      </c>
      <c r="L131" s="2" t="s">
        <v>2873</v>
      </c>
      <c r="M131" s="2">
        <v>110</v>
      </c>
      <c r="N131" s="2">
        <v>4</v>
      </c>
      <c r="O131" s="2" t="s">
        <v>2965</v>
      </c>
    </row>
    <row r="132" spans="1:15">
      <c r="A132" s="2" t="s">
        <v>93</v>
      </c>
      <c r="B132" s="2" t="s">
        <v>94</v>
      </c>
      <c r="C132" s="2" t="s">
        <v>76</v>
      </c>
      <c r="D132" s="2" t="s">
        <v>2870</v>
      </c>
      <c r="E132" s="2" t="s">
        <v>37</v>
      </c>
      <c r="F132" s="2" t="s">
        <v>15</v>
      </c>
      <c r="G132" s="2" t="s">
        <v>16</v>
      </c>
      <c r="H132" s="2" t="s">
        <v>95</v>
      </c>
      <c r="I132" s="2">
        <v>1.37</v>
      </c>
      <c r="J132" s="2" t="s">
        <v>2871</v>
      </c>
      <c r="K132" s="2" t="s">
        <v>2950</v>
      </c>
      <c r="L132" s="2" t="s">
        <v>2873</v>
      </c>
      <c r="M132" s="2">
        <v>88</v>
      </c>
      <c r="N132" s="2">
        <v>36</v>
      </c>
      <c r="O132" s="2" t="s">
        <v>2998</v>
      </c>
    </row>
    <row r="133" spans="1:15">
      <c r="A133" s="2" t="s">
        <v>93</v>
      </c>
      <c r="B133" s="2" t="s">
        <v>94</v>
      </c>
      <c r="C133" s="2" t="s">
        <v>76</v>
      </c>
      <c r="D133" s="2" t="s">
        <v>2870</v>
      </c>
      <c r="E133" s="2" t="s">
        <v>37</v>
      </c>
      <c r="F133" s="2" t="s">
        <v>15</v>
      </c>
      <c r="G133" s="2" t="s">
        <v>16</v>
      </c>
      <c r="H133" s="2" t="s">
        <v>95</v>
      </c>
      <c r="I133" s="2">
        <v>1.37</v>
      </c>
      <c r="J133" s="2" t="s">
        <v>2871</v>
      </c>
      <c r="K133" s="2" t="s">
        <v>2952</v>
      </c>
      <c r="L133" s="2" t="s">
        <v>2873</v>
      </c>
      <c r="M133" s="2">
        <v>257</v>
      </c>
      <c r="N133" s="2">
        <v>216</v>
      </c>
      <c r="O133" s="2" t="s">
        <v>2999</v>
      </c>
    </row>
    <row r="134" spans="1:15">
      <c r="A134" s="2" t="s">
        <v>93</v>
      </c>
      <c r="B134" s="2" t="s">
        <v>94</v>
      </c>
      <c r="C134" s="2" t="s">
        <v>76</v>
      </c>
      <c r="D134" s="2" t="s">
        <v>2870</v>
      </c>
      <c r="E134" s="2" t="s">
        <v>37</v>
      </c>
      <c r="F134" s="2" t="s">
        <v>15</v>
      </c>
      <c r="G134" s="2" t="s">
        <v>16</v>
      </c>
      <c r="H134" s="2" t="s">
        <v>95</v>
      </c>
      <c r="I134" s="2">
        <v>1.37</v>
      </c>
      <c r="J134" s="2" t="s">
        <v>2871</v>
      </c>
      <c r="K134" s="2" t="s">
        <v>2954</v>
      </c>
      <c r="L134" s="2" t="s">
        <v>2873</v>
      </c>
      <c r="M134" s="2">
        <v>220</v>
      </c>
      <c r="N134" s="2">
        <v>81</v>
      </c>
      <c r="O134" s="2" t="s">
        <v>3000</v>
      </c>
    </row>
    <row r="135" spans="1:15">
      <c r="A135" s="2" t="s">
        <v>93</v>
      </c>
      <c r="B135" s="2" t="s">
        <v>94</v>
      </c>
      <c r="C135" s="2" t="s">
        <v>76</v>
      </c>
      <c r="D135" s="2" t="s">
        <v>2870</v>
      </c>
      <c r="E135" s="2" t="s">
        <v>37</v>
      </c>
      <c r="F135" s="2" t="s">
        <v>15</v>
      </c>
      <c r="G135" s="2" t="s">
        <v>16</v>
      </c>
      <c r="H135" s="2" t="s">
        <v>95</v>
      </c>
      <c r="I135" s="2">
        <v>1.37</v>
      </c>
      <c r="J135" s="2" t="s">
        <v>2871</v>
      </c>
      <c r="K135" s="2" t="s">
        <v>2956</v>
      </c>
      <c r="L135" s="2" t="s">
        <v>2873</v>
      </c>
      <c r="M135" s="2">
        <v>298</v>
      </c>
      <c r="N135" s="2">
        <v>75</v>
      </c>
      <c r="O135" s="2" t="s">
        <v>3001</v>
      </c>
    </row>
    <row r="136" spans="1:15">
      <c r="A136" s="2" t="s">
        <v>93</v>
      </c>
      <c r="B136" s="2" t="s">
        <v>94</v>
      </c>
      <c r="C136" s="2" t="s">
        <v>76</v>
      </c>
      <c r="D136" s="2" t="s">
        <v>2870</v>
      </c>
      <c r="E136" s="2" t="s">
        <v>37</v>
      </c>
      <c r="F136" s="2" t="s">
        <v>15</v>
      </c>
      <c r="G136" s="2" t="s">
        <v>16</v>
      </c>
      <c r="H136" s="2" t="s">
        <v>95</v>
      </c>
      <c r="I136" s="2">
        <v>1.37</v>
      </c>
      <c r="J136" s="2" t="s">
        <v>2871</v>
      </c>
      <c r="K136" s="2" t="s">
        <v>2958</v>
      </c>
      <c r="L136" s="2" t="s">
        <v>2873</v>
      </c>
      <c r="M136" s="2">
        <v>154</v>
      </c>
      <c r="N136" s="2">
        <v>128</v>
      </c>
      <c r="O136" s="2" t="s">
        <v>3002</v>
      </c>
    </row>
    <row r="137" spans="1:15">
      <c r="A137" s="2" t="s">
        <v>93</v>
      </c>
      <c r="B137" s="2" t="s">
        <v>94</v>
      </c>
      <c r="C137" s="2" t="s">
        <v>76</v>
      </c>
      <c r="D137" s="2" t="s">
        <v>2882</v>
      </c>
      <c r="E137" s="2" t="s">
        <v>39</v>
      </c>
      <c r="F137" s="2" t="s">
        <v>15</v>
      </c>
      <c r="G137" s="2" t="s">
        <v>16</v>
      </c>
      <c r="H137" s="2" t="s">
        <v>96</v>
      </c>
      <c r="I137" s="2">
        <v>1.5</v>
      </c>
      <c r="J137" s="2" t="s">
        <v>2871</v>
      </c>
      <c r="K137" s="2" t="s">
        <v>2958</v>
      </c>
      <c r="L137" s="2" t="s">
        <v>2873</v>
      </c>
      <c r="M137" s="2">
        <v>154</v>
      </c>
      <c r="N137" s="2">
        <v>273</v>
      </c>
      <c r="O137" s="2" t="s">
        <v>3003</v>
      </c>
    </row>
    <row r="138" spans="1:15">
      <c r="A138" s="2" t="s">
        <v>93</v>
      </c>
      <c r="B138" s="2" t="s">
        <v>94</v>
      </c>
      <c r="C138" s="2" t="s">
        <v>76</v>
      </c>
      <c r="D138" s="2" t="s">
        <v>2882</v>
      </c>
      <c r="E138" s="2" t="s">
        <v>39</v>
      </c>
      <c r="F138" s="2" t="s">
        <v>15</v>
      </c>
      <c r="G138" s="2" t="s">
        <v>16</v>
      </c>
      <c r="H138" s="2" t="s">
        <v>96</v>
      </c>
      <c r="I138" s="2">
        <v>1.5</v>
      </c>
      <c r="J138" s="2" t="s">
        <v>2871</v>
      </c>
      <c r="K138" s="2" t="s">
        <v>2956</v>
      </c>
      <c r="L138" s="2" t="s">
        <v>2873</v>
      </c>
      <c r="M138" s="2">
        <v>298</v>
      </c>
      <c r="N138" s="2">
        <v>220</v>
      </c>
      <c r="O138" s="2" t="s">
        <v>3004</v>
      </c>
    </row>
    <row r="139" spans="1:15">
      <c r="A139" s="2" t="s">
        <v>93</v>
      </c>
      <c r="B139" s="2" t="s">
        <v>94</v>
      </c>
      <c r="C139" s="2" t="s">
        <v>76</v>
      </c>
      <c r="D139" s="2" t="s">
        <v>2882</v>
      </c>
      <c r="E139" s="2" t="s">
        <v>39</v>
      </c>
      <c r="F139" s="2" t="s">
        <v>15</v>
      </c>
      <c r="G139" s="2" t="s">
        <v>16</v>
      </c>
      <c r="H139" s="2" t="s">
        <v>96</v>
      </c>
      <c r="I139" s="2">
        <v>1.5</v>
      </c>
      <c r="J139" s="2" t="s">
        <v>2871</v>
      </c>
      <c r="K139" s="2" t="s">
        <v>2954</v>
      </c>
      <c r="L139" s="2" t="s">
        <v>2873</v>
      </c>
      <c r="M139" s="2">
        <v>220</v>
      </c>
      <c r="N139" s="2">
        <v>28</v>
      </c>
      <c r="O139" s="2" t="s">
        <v>3005</v>
      </c>
    </row>
    <row r="140" spans="1:15">
      <c r="A140" s="2" t="s">
        <v>93</v>
      </c>
      <c r="B140" s="2" t="s">
        <v>94</v>
      </c>
      <c r="C140" s="2" t="s">
        <v>76</v>
      </c>
      <c r="D140" s="2" t="s">
        <v>2882</v>
      </c>
      <c r="E140" s="2" t="s">
        <v>39</v>
      </c>
      <c r="F140" s="2" t="s">
        <v>15</v>
      </c>
      <c r="G140" s="2" t="s">
        <v>16</v>
      </c>
      <c r="H140" s="2" t="s">
        <v>96</v>
      </c>
      <c r="I140" s="2">
        <v>1.5</v>
      </c>
      <c r="J140" s="2" t="s">
        <v>2871</v>
      </c>
      <c r="K140" s="2" t="s">
        <v>2952</v>
      </c>
      <c r="L140" s="2" t="s">
        <v>2873</v>
      </c>
      <c r="M140" s="2">
        <v>257</v>
      </c>
      <c r="N140" s="2">
        <v>120</v>
      </c>
      <c r="O140" s="2" t="s">
        <v>3006</v>
      </c>
    </row>
    <row r="141" spans="1:15">
      <c r="A141" s="2" t="s">
        <v>93</v>
      </c>
      <c r="B141" s="2" t="s">
        <v>94</v>
      </c>
      <c r="C141" s="2" t="s">
        <v>76</v>
      </c>
      <c r="D141" s="2" t="s">
        <v>2882</v>
      </c>
      <c r="E141" s="2" t="s">
        <v>39</v>
      </c>
      <c r="F141" s="2" t="s">
        <v>15</v>
      </c>
      <c r="G141" s="2" t="s">
        <v>16</v>
      </c>
      <c r="H141" s="2" t="s">
        <v>96</v>
      </c>
      <c r="I141" s="2">
        <v>1.5</v>
      </c>
      <c r="J141" s="2" t="s">
        <v>2871</v>
      </c>
      <c r="K141" s="2" t="s">
        <v>2950</v>
      </c>
      <c r="L141" s="2" t="s">
        <v>2873</v>
      </c>
      <c r="M141" s="2">
        <v>88</v>
      </c>
      <c r="N141" s="2">
        <v>24</v>
      </c>
      <c r="O141" s="2" t="s">
        <v>3007</v>
      </c>
    </row>
    <row r="142" spans="1:15">
      <c r="A142" s="2" t="s">
        <v>93</v>
      </c>
      <c r="B142" s="2" t="s">
        <v>94</v>
      </c>
      <c r="C142" s="2" t="s">
        <v>76</v>
      </c>
      <c r="D142" s="2" t="s">
        <v>2882</v>
      </c>
      <c r="E142" s="2" t="s">
        <v>39</v>
      </c>
      <c r="F142" s="2" t="s">
        <v>15</v>
      </c>
      <c r="G142" s="2" t="s">
        <v>16</v>
      </c>
      <c r="H142" s="2" t="s">
        <v>96</v>
      </c>
      <c r="I142" s="2">
        <v>1.5</v>
      </c>
      <c r="J142" s="2" t="s">
        <v>2947</v>
      </c>
      <c r="K142" s="2" t="s">
        <v>2948</v>
      </c>
      <c r="L142" s="2" t="s">
        <v>2873</v>
      </c>
      <c r="M142" s="2">
        <v>110</v>
      </c>
      <c r="N142" s="2">
        <v>6</v>
      </c>
      <c r="O142" s="2" t="s">
        <v>3008</v>
      </c>
    </row>
    <row r="143" spans="1:15">
      <c r="A143" s="2" t="s">
        <v>93</v>
      </c>
      <c r="B143" s="2" t="s">
        <v>94</v>
      </c>
      <c r="C143" s="2" t="s">
        <v>76</v>
      </c>
      <c r="D143" s="2" t="s">
        <v>2886</v>
      </c>
      <c r="E143" s="2" t="s">
        <v>41</v>
      </c>
      <c r="F143" s="2" t="s">
        <v>15</v>
      </c>
      <c r="G143" s="2" t="s">
        <v>20</v>
      </c>
      <c r="H143" s="2" t="s">
        <v>97</v>
      </c>
      <c r="I143" s="2">
        <v>1</v>
      </c>
      <c r="J143" s="2" t="s">
        <v>2871</v>
      </c>
      <c r="K143" s="2" t="s">
        <v>2958</v>
      </c>
      <c r="L143" s="2" t="s">
        <v>2873</v>
      </c>
      <c r="M143" s="2">
        <v>154</v>
      </c>
      <c r="N143" s="2">
        <v>103</v>
      </c>
      <c r="O143" s="2" t="s">
        <v>3009</v>
      </c>
    </row>
    <row r="144" spans="1:15">
      <c r="A144" s="2" t="s">
        <v>93</v>
      </c>
      <c r="B144" s="2" t="s">
        <v>94</v>
      </c>
      <c r="C144" s="2" t="s">
        <v>76</v>
      </c>
      <c r="D144" s="2" t="s">
        <v>2886</v>
      </c>
      <c r="E144" s="2" t="s">
        <v>41</v>
      </c>
      <c r="F144" s="2" t="s">
        <v>15</v>
      </c>
      <c r="G144" s="2" t="s">
        <v>20</v>
      </c>
      <c r="H144" s="2" t="s">
        <v>97</v>
      </c>
      <c r="I144" s="2">
        <v>1</v>
      </c>
      <c r="J144" s="2" t="s">
        <v>2871</v>
      </c>
      <c r="K144" s="2" t="s">
        <v>2956</v>
      </c>
      <c r="L144" s="2" t="s">
        <v>2873</v>
      </c>
      <c r="M144" s="2">
        <v>298</v>
      </c>
      <c r="N144" s="2">
        <v>211</v>
      </c>
      <c r="O144" s="2" t="s">
        <v>3010</v>
      </c>
    </row>
    <row r="145" spans="1:15">
      <c r="A145" s="2" t="s">
        <v>93</v>
      </c>
      <c r="B145" s="2" t="s">
        <v>94</v>
      </c>
      <c r="C145" s="2" t="s">
        <v>76</v>
      </c>
      <c r="D145" s="2" t="s">
        <v>2886</v>
      </c>
      <c r="E145" s="2" t="s">
        <v>41</v>
      </c>
      <c r="F145" s="2" t="s">
        <v>15</v>
      </c>
      <c r="G145" s="2" t="s">
        <v>20</v>
      </c>
      <c r="H145" s="2" t="s">
        <v>97</v>
      </c>
      <c r="I145" s="2">
        <v>1</v>
      </c>
      <c r="J145" s="2" t="s">
        <v>2871</v>
      </c>
      <c r="K145" s="2" t="s">
        <v>2954</v>
      </c>
      <c r="L145" s="2" t="s">
        <v>2873</v>
      </c>
      <c r="M145" s="2">
        <v>220</v>
      </c>
      <c r="N145" s="2">
        <v>7</v>
      </c>
      <c r="O145" s="2" t="s">
        <v>3011</v>
      </c>
    </row>
    <row r="146" spans="1:15">
      <c r="A146" s="2" t="s">
        <v>93</v>
      </c>
      <c r="B146" s="2" t="s">
        <v>94</v>
      </c>
      <c r="C146" s="2" t="s">
        <v>76</v>
      </c>
      <c r="D146" s="2" t="s">
        <v>2886</v>
      </c>
      <c r="E146" s="2" t="s">
        <v>41</v>
      </c>
      <c r="F146" s="2" t="s">
        <v>15</v>
      </c>
      <c r="G146" s="2" t="s">
        <v>20</v>
      </c>
      <c r="H146" s="2" t="s">
        <v>97</v>
      </c>
      <c r="I146" s="2">
        <v>1</v>
      </c>
      <c r="J146" s="2" t="s">
        <v>2871</v>
      </c>
      <c r="K146" s="2" t="s">
        <v>2952</v>
      </c>
      <c r="L146" s="2" t="s">
        <v>2873</v>
      </c>
      <c r="M146" s="2">
        <v>257</v>
      </c>
      <c r="N146" s="2">
        <v>23</v>
      </c>
      <c r="O146" s="2" t="s">
        <v>3012</v>
      </c>
    </row>
    <row r="147" spans="1:15">
      <c r="A147" s="2" t="s">
        <v>93</v>
      </c>
      <c r="B147" s="2" t="s">
        <v>94</v>
      </c>
      <c r="C147" s="2" t="s">
        <v>76</v>
      </c>
      <c r="D147" s="2" t="s">
        <v>2886</v>
      </c>
      <c r="E147" s="2" t="s">
        <v>41</v>
      </c>
      <c r="F147" s="2" t="s">
        <v>15</v>
      </c>
      <c r="G147" s="2" t="s">
        <v>20</v>
      </c>
      <c r="H147" s="2" t="s">
        <v>97</v>
      </c>
      <c r="I147" s="2">
        <v>1</v>
      </c>
      <c r="J147" s="2" t="s">
        <v>2871</v>
      </c>
      <c r="K147" s="2" t="s">
        <v>2950</v>
      </c>
      <c r="L147" s="2" t="s">
        <v>2873</v>
      </c>
      <c r="M147" s="2">
        <v>88</v>
      </c>
      <c r="N147" s="2">
        <v>3</v>
      </c>
      <c r="O147" s="2" t="s">
        <v>3013</v>
      </c>
    </row>
    <row r="148" spans="1:15">
      <c r="A148" s="2" t="s">
        <v>93</v>
      </c>
      <c r="B148" s="2" t="s">
        <v>94</v>
      </c>
      <c r="C148" s="2" t="s">
        <v>76</v>
      </c>
      <c r="D148" s="2" t="s">
        <v>2896</v>
      </c>
      <c r="E148" s="2" t="s">
        <v>43</v>
      </c>
      <c r="F148" s="2" t="s">
        <v>33</v>
      </c>
      <c r="G148" s="2" t="s">
        <v>44</v>
      </c>
      <c r="H148" s="2" t="s">
        <v>45</v>
      </c>
      <c r="I148" s="2" t="s">
        <v>12</v>
      </c>
      <c r="J148" s="2" t="s">
        <v>12</v>
      </c>
      <c r="K148" s="2" t="s">
        <v>12</v>
      </c>
      <c r="L148" s="2" t="s">
        <v>12</v>
      </c>
      <c r="M148" s="2" t="s">
        <v>12</v>
      </c>
      <c r="N148" s="2" t="s">
        <v>12</v>
      </c>
      <c r="O148" s="2" t="s">
        <v>12</v>
      </c>
    </row>
    <row r="149" spans="1:15">
      <c r="A149" s="2" t="s">
        <v>98</v>
      </c>
      <c r="B149" s="2" t="s">
        <v>99</v>
      </c>
      <c r="C149" s="2" t="s">
        <v>76</v>
      </c>
      <c r="D149" s="2" t="s">
        <v>2870</v>
      </c>
      <c r="E149" s="2" t="s">
        <v>100</v>
      </c>
      <c r="F149" s="2" t="s">
        <v>15</v>
      </c>
      <c r="G149" s="2" t="s">
        <v>16</v>
      </c>
      <c r="H149" s="2" t="s">
        <v>101</v>
      </c>
      <c r="I149" s="2">
        <v>1.5</v>
      </c>
      <c r="J149" s="2" t="s">
        <v>2879</v>
      </c>
      <c r="K149" s="2" t="s">
        <v>3014</v>
      </c>
      <c r="L149" s="2" t="s">
        <v>2916</v>
      </c>
      <c r="M149" s="2">
        <v>31</v>
      </c>
      <c r="N149" s="2">
        <v>500</v>
      </c>
      <c r="O149" s="2" t="s">
        <v>3015</v>
      </c>
    </row>
    <row r="150" spans="1:15">
      <c r="A150" s="2" t="s">
        <v>98</v>
      </c>
      <c r="B150" s="2" t="s">
        <v>99</v>
      </c>
      <c r="C150" s="2" t="s">
        <v>76</v>
      </c>
      <c r="D150" s="2" t="s">
        <v>2882</v>
      </c>
      <c r="E150" s="2" t="s">
        <v>102</v>
      </c>
      <c r="F150" s="2" t="s">
        <v>15</v>
      </c>
      <c r="G150" s="2" t="s">
        <v>16</v>
      </c>
      <c r="H150" s="2" t="s">
        <v>103</v>
      </c>
      <c r="I150" s="2">
        <v>1.5</v>
      </c>
      <c r="J150" s="2" t="s">
        <v>2879</v>
      </c>
      <c r="K150" s="2" t="s">
        <v>3014</v>
      </c>
      <c r="L150" s="2" t="s">
        <v>2916</v>
      </c>
      <c r="M150" s="2">
        <v>31</v>
      </c>
      <c r="N150" s="2">
        <v>310</v>
      </c>
      <c r="O150" s="2" t="s">
        <v>3016</v>
      </c>
    </row>
    <row r="151" spans="1:15">
      <c r="A151" s="2" t="s">
        <v>98</v>
      </c>
      <c r="B151" s="2" t="s">
        <v>99</v>
      </c>
      <c r="C151" s="2" t="s">
        <v>76</v>
      </c>
      <c r="D151" s="2" t="s">
        <v>2886</v>
      </c>
      <c r="E151" s="2" t="s">
        <v>104</v>
      </c>
      <c r="F151" s="2" t="s">
        <v>15</v>
      </c>
      <c r="G151" s="2" t="s">
        <v>16</v>
      </c>
      <c r="H151" s="2" t="s">
        <v>105</v>
      </c>
      <c r="I151" s="2">
        <v>1.5</v>
      </c>
      <c r="J151" s="2" t="s">
        <v>3017</v>
      </c>
      <c r="K151" s="2" t="s">
        <v>3014</v>
      </c>
      <c r="L151" s="2" t="s">
        <v>2916</v>
      </c>
      <c r="M151" s="2">
        <v>31</v>
      </c>
      <c r="N151" s="2">
        <v>201</v>
      </c>
      <c r="O151" s="2" t="s">
        <v>3018</v>
      </c>
    </row>
    <row r="152" spans="1:15">
      <c r="A152" s="2" t="s">
        <v>98</v>
      </c>
      <c r="B152" s="2" t="s">
        <v>99</v>
      </c>
      <c r="C152" s="2" t="s">
        <v>76</v>
      </c>
      <c r="D152" s="2" t="s">
        <v>2896</v>
      </c>
      <c r="E152" s="2" t="s">
        <v>106</v>
      </c>
      <c r="F152" s="2" t="s">
        <v>15</v>
      </c>
      <c r="G152" s="2" t="s">
        <v>16</v>
      </c>
      <c r="H152" s="2" t="s">
        <v>107</v>
      </c>
      <c r="I152" s="2">
        <v>1.5</v>
      </c>
      <c r="J152" s="2" t="s">
        <v>2887</v>
      </c>
      <c r="K152" s="2" t="s">
        <v>3019</v>
      </c>
      <c r="L152" s="2" t="s">
        <v>2916</v>
      </c>
      <c r="M152" s="2">
        <v>4</v>
      </c>
      <c r="N152" s="2">
        <v>164</v>
      </c>
      <c r="O152" s="2" t="s">
        <v>3020</v>
      </c>
    </row>
    <row r="153" spans="1:15">
      <c r="A153" s="2" t="s">
        <v>98</v>
      </c>
      <c r="B153" s="2" t="s">
        <v>99</v>
      </c>
      <c r="C153" s="2" t="s">
        <v>76</v>
      </c>
      <c r="D153" s="2" t="s">
        <v>2901</v>
      </c>
      <c r="E153" s="2" t="s">
        <v>108</v>
      </c>
      <c r="F153" s="2" t="s">
        <v>15</v>
      </c>
      <c r="G153" s="2" t="s">
        <v>44</v>
      </c>
      <c r="H153" s="2" t="s">
        <v>45</v>
      </c>
      <c r="I153" s="2" t="s">
        <v>12</v>
      </c>
      <c r="J153" s="2" t="s">
        <v>12</v>
      </c>
      <c r="K153" s="2" t="s">
        <v>12</v>
      </c>
      <c r="L153" s="2" t="s">
        <v>12</v>
      </c>
      <c r="M153" s="2" t="s">
        <v>12</v>
      </c>
      <c r="N153" s="2" t="s">
        <v>12</v>
      </c>
      <c r="O153" s="2" t="s">
        <v>12</v>
      </c>
    </row>
    <row r="154" spans="1:15">
      <c r="A154" s="2" t="s">
        <v>98</v>
      </c>
      <c r="B154" s="2" t="s">
        <v>99</v>
      </c>
      <c r="C154" s="2" t="s">
        <v>76</v>
      </c>
      <c r="D154" s="2" t="s">
        <v>2904</v>
      </c>
      <c r="E154" s="2" t="s">
        <v>109</v>
      </c>
      <c r="F154" s="2" t="s">
        <v>33</v>
      </c>
      <c r="G154" s="2" t="s">
        <v>44</v>
      </c>
      <c r="H154" s="2" t="s">
        <v>45</v>
      </c>
      <c r="I154" s="2" t="s">
        <v>12</v>
      </c>
      <c r="J154" s="2" t="s">
        <v>12</v>
      </c>
      <c r="K154" s="2" t="s">
        <v>12</v>
      </c>
      <c r="L154" s="2" t="s">
        <v>12</v>
      </c>
      <c r="M154" s="2" t="s">
        <v>12</v>
      </c>
      <c r="N154" s="2" t="s">
        <v>12</v>
      </c>
      <c r="O154" s="2" t="s">
        <v>12</v>
      </c>
    </row>
    <row r="155" spans="1:15">
      <c r="A155" s="2" t="s">
        <v>110</v>
      </c>
      <c r="B155" s="2" t="s">
        <v>111</v>
      </c>
      <c r="C155" s="2" t="s">
        <v>112</v>
      </c>
      <c r="D155" s="2" t="s">
        <v>2870</v>
      </c>
      <c r="E155" s="2" t="s">
        <v>113</v>
      </c>
      <c r="F155" s="2" t="s">
        <v>15</v>
      </c>
      <c r="G155" s="2" t="s">
        <v>16</v>
      </c>
      <c r="H155" s="2" t="s">
        <v>114</v>
      </c>
      <c r="I155" s="2">
        <v>1.5</v>
      </c>
      <c r="J155" s="2" t="s">
        <v>2879</v>
      </c>
      <c r="K155" s="2" t="s">
        <v>2915</v>
      </c>
      <c r="L155" s="2" t="s">
        <v>2916</v>
      </c>
      <c r="M155" s="2">
        <v>308</v>
      </c>
      <c r="N155" s="2">
        <v>77</v>
      </c>
      <c r="O155" s="2" t="s">
        <v>2891</v>
      </c>
    </row>
    <row r="156" spans="1:15">
      <c r="A156" s="2" t="s">
        <v>110</v>
      </c>
      <c r="B156" s="2" t="s">
        <v>111</v>
      </c>
      <c r="C156" s="2" t="s">
        <v>112</v>
      </c>
      <c r="D156" s="2" t="s">
        <v>2870</v>
      </c>
      <c r="E156" s="2" t="s">
        <v>113</v>
      </c>
      <c r="F156" s="2" t="s">
        <v>15</v>
      </c>
      <c r="G156" s="2" t="s">
        <v>16</v>
      </c>
      <c r="H156" s="2" t="s">
        <v>114</v>
      </c>
      <c r="I156" s="2">
        <v>1.5</v>
      </c>
      <c r="J156" s="2" t="s">
        <v>2879</v>
      </c>
      <c r="K156" s="2" t="s">
        <v>2915</v>
      </c>
      <c r="L156" s="2" t="s">
        <v>2916</v>
      </c>
      <c r="M156" s="2">
        <v>26</v>
      </c>
      <c r="N156" s="2">
        <v>77</v>
      </c>
      <c r="O156" s="2" t="s">
        <v>3021</v>
      </c>
    </row>
    <row r="157" spans="1:15">
      <c r="A157" s="2" t="s">
        <v>110</v>
      </c>
      <c r="B157" s="2" t="s">
        <v>111</v>
      </c>
      <c r="C157" s="2" t="s">
        <v>112</v>
      </c>
      <c r="D157" s="2" t="s">
        <v>2870</v>
      </c>
      <c r="E157" s="2" t="s">
        <v>113</v>
      </c>
      <c r="F157" s="2" t="s">
        <v>15</v>
      </c>
      <c r="G157" s="2" t="s">
        <v>16</v>
      </c>
      <c r="H157" s="2" t="s">
        <v>114</v>
      </c>
      <c r="I157" s="2">
        <v>1.5</v>
      </c>
      <c r="J157" s="2" t="s">
        <v>2879</v>
      </c>
      <c r="K157" s="2" t="s">
        <v>2915</v>
      </c>
      <c r="L157" s="2" t="s">
        <v>2916</v>
      </c>
      <c r="M157" s="2">
        <v>20</v>
      </c>
      <c r="N157" s="2">
        <v>77</v>
      </c>
      <c r="O157" s="2" t="s">
        <v>3022</v>
      </c>
    </row>
    <row r="158" spans="1:15">
      <c r="A158" s="2" t="s">
        <v>110</v>
      </c>
      <c r="B158" s="2" t="s">
        <v>111</v>
      </c>
      <c r="C158" s="2" t="s">
        <v>112</v>
      </c>
      <c r="D158" s="2" t="s">
        <v>2882</v>
      </c>
      <c r="E158" s="2" t="s">
        <v>115</v>
      </c>
      <c r="F158" s="2" t="s">
        <v>15</v>
      </c>
      <c r="G158" s="2" t="s">
        <v>16</v>
      </c>
      <c r="H158" s="2" t="s">
        <v>116</v>
      </c>
      <c r="I158" s="2">
        <v>1.5</v>
      </c>
      <c r="J158" s="2" t="s">
        <v>2879</v>
      </c>
      <c r="K158" s="2" t="s">
        <v>2915</v>
      </c>
      <c r="L158" s="2" t="s">
        <v>2916</v>
      </c>
      <c r="M158" s="2">
        <v>20</v>
      </c>
      <c r="N158" s="2">
        <v>113</v>
      </c>
      <c r="O158" s="2" t="s">
        <v>3023</v>
      </c>
    </row>
    <row r="159" spans="1:15">
      <c r="A159" s="2" t="s">
        <v>110</v>
      </c>
      <c r="B159" s="2" t="s">
        <v>111</v>
      </c>
      <c r="C159" s="2" t="s">
        <v>112</v>
      </c>
      <c r="D159" s="2" t="s">
        <v>2882</v>
      </c>
      <c r="E159" s="2" t="s">
        <v>115</v>
      </c>
      <c r="F159" s="2" t="s">
        <v>15</v>
      </c>
      <c r="G159" s="2" t="s">
        <v>16</v>
      </c>
      <c r="H159" s="2" t="s">
        <v>116</v>
      </c>
      <c r="I159" s="2">
        <v>1.5</v>
      </c>
      <c r="J159" s="2" t="s">
        <v>2879</v>
      </c>
      <c r="K159" s="2" t="s">
        <v>2915</v>
      </c>
      <c r="L159" s="2" t="s">
        <v>2916</v>
      </c>
      <c r="M159" s="2">
        <v>26</v>
      </c>
      <c r="N159" s="2">
        <v>113</v>
      </c>
      <c r="O159" s="2" t="s">
        <v>3024</v>
      </c>
    </row>
    <row r="160" spans="1:15">
      <c r="A160" s="2" t="s">
        <v>110</v>
      </c>
      <c r="B160" s="2" t="s">
        <v>111</v>
      </c>
      <c r="C160" s="2" t="s">
        <v>112</v>
      </c>
      <c r="D160" s="2" t="s">
        <v>2882</v>
      </c>
      <c r="E160" s="2" t="s">
        <v>115</v>
      </c>
      <c r="F160" s="2" t="s">
        <v>15</v>
      </c>
      <c r="G160" s="2" t="s">
        <v>16</v>
      </c>
      <c r="H160" s="2" t="s">
        <v>116</v>
      </c>
      <c r="I160" s="2">
        <v>1.5</v>
      </c>
      <c r="J160" s="2" t="s">
        <v>2879</v>
      </c>
      <c r="K160" s="2" t="s">
        <v>2915</v>
      </c>
      <c r="L160" s="2" t="s">
        <v>2916</v>
      </c>
      <c r="M160" s="2">
        <v>308</v>
      </c>
      <c r="N160" s="2">
        <v>113</v>
      </c>
      <c r="O160" s="2" t="s">
        <v>3025</v>
      </c>
    </row>
    <row r="161" spans="1:15">
      <c r="A161" s="2" t="s">
        <v>110</v>
      </c>
      <c r="B161" s="2" t="s">
        <v>111</v>
      </c>
      <c r="C161" s="2" t="s">
        <v>112</v>
      </c>
      <c r="D161" s="2" t="s">
        <v>2886</v>
      </c>
      <c r="E161" s="2" t="s">
        <v>117</v>
      </c>
      <c r="F161" s="2" t="s">
        <v>15</v>
      </c>
      <c r="G161" s="2" t="s">
        <v>16</v>
      </c>
      <c r="H161" s="2" t="s">
        <v>118</v>
      </c>
      <c r="I161" s="2">
        <v>1.1499999999999999</v>
      </c>
      <c r="J161" s="2" t="s">
        <v>2879</v>
      </c>
      <c r="K161" s="2" t="s">
        <v>2915</v>
      </c>
      <c r="L161" s="2" t="s">
        <v>2916</v>
      </c>
      <c r="M161" s="2">
        <v>308</v>
      </c>
      <c r="N161" s="2">
        <v>25</v>
      </c>
      <c r="O161" s="2" t="s">
        <v>3026</v>
      </c>
    </row>
    <row r="162" spans="1:15">
      <c r="A162" s="2" t="s">
        <v>110</v>
      </c>
      <c r="B162" s="2" t="s">
        <v>111</v>
      </c>
      <c r="C162" s="2" t="s">
        <v>112</v>
      </c>
      <c r="D162" s="2" t="s">
        <v>2886</v>
      </c>
      <c r="E162" s="2" t="s">
        <v>117</v>
      </c>
      <c r="F162" s="2" t="s">
        <v>15</v>
      </c>
      <c r="G162" s="2" t="s">
        <v>16</v>
      </c>
      <c r="H162" s="2" t="s">
        <v>118</v>
      </c>
      <c r="I162" s="2">
        <v>1.1499999999999999</v>
      </c>
      <c r="J162" s="2" t="s">
        <v>2879</v>
      </c>
      <c r="K162" s="2" t="s">
        <v>2915</v>
      </c>
      <c r="L162" s="2" t="s">
        <v>2916</v>
      </c>
      <c r="M162" s="2">
        <v>26</v>
      </c>
      <c r="N162" s="2">
        <v>25</v>
      </c>
      <c r="O162" s="2" t="s">
        <v>3027</v>
      </c>
    </row>
    <row r="163" spans="1:15">
      <c r="A163" s="2" t="s">
        <v>110</v>
      </c>
      <c r="B163" s="2" t="s">
        <v>111</v>
      </c>
      <c r="C163" s="2" t="s">
        <v>112</v>
      </c>
      <c r="D163" s="2" t="s">
        <v>2886</v>
      </c>
      <c r="E163" s="2" t="s">
        <v>117</v>
      </c>
      <c r="F163" s="2" t="s">
        <v>15</v>
      </c>
      <c r="G163" s="2" t="s">
        <v>16</v>
      </c>
      <c r="H163" s="2" t="s">
        <v>118</v>
      </c>
      <c r="I163" s="2">
        <v>1.1499999999999999</v>
      </c>
      <c r="J163" s="2" t="s">
        <v>2879</v>
      </c>
      <c r="K163" s="2" t="s">
        <v>2915</v>
      </c>
      <c r="L163" s="2" t="s">
        <v>2916</v>
      </c>
      <c r="M163" s="2">
        <v>20</v>
      </c>
      <c r="N163" s="2">
        <v>25</v>
      </c>
      <c r="O163" s="2" t="s">
        <v>3028</v>
      </c>
    </row>
    <row r="164" spans="1:15">
      <c r="A164" s="2" t="s">
        <v>110</v>
      </c>
      <c r="B164" s="2" t="s">
        <v>111</v>
      </c>
      <c r="C164" s="2" t="s">
        <v>112</v>
      </c>
      <c r="D164" s="2" t="s">
        <v>2896</v>
      </c>
      <c r="E164" s="2" t="s">
        <v>119</v>
      </c>
      <c r="F164" s="2" t="s">
        <v>33</v>
      </c>
      <c r="G164" s="2" t="s">
        <v>44</v>
      </c>
      <c r="H164" s="2" t="s">
        <v>45</v>
      </c>
      <c r="I164" s="2" t="s">
        <v>12</v>
      </c>
      <c r="J164" s="2" t="s">
        <v>12</v>
      </c>
      <c r="K164" s="2" t="s">
        <v>12</v>
      </c>
      <c r="L164" s="2" t="s">
        <v>12</v>
      </c>
      <c r="M164" s="2" t="s">
        <v>12</v>
      </c>
      <c r="N164" s="2" t="s">
        <v>12</v>
      </c>
      <c r="O164" s="2" t="s">
        <v>12</v>
      </c>
    </row>
    <row r="165" spans="1:15">
      <c r="A165" s="2" t="s">
        <v>120</v>
      </c>
      <c r="B165" s="2" t="s">
        <v>121</v>
      </c>
      <c r="C165" s="2" t="s">
        <v>11</v>
      </c>
      <c r="D165" s="2" t="s">
        <v>2870</v>
      </c>
      <c r="E165" s="2" t="s">
        <v>122</v>
      </c>
      <c r="F165" s="2" t="s">
        <v>15</v>
      </c>
      <c r="G165" s="2" t="s">
        <v>16</v>
      </c>
      <c r="H165" s="2" t="s">
        <v>123</v>
      </c>
      <c r="I165" s="2">
        <v>1.43</v>
      </c>
      <c r="J165" s="2" t="s">
        <v>2871</v>
      </c>
      <c r="K165" s="2" t="s">
        <v>2875</v>
      </c>
      <c r="L165" s="2" t="s">
        <v>2873</v>
      </c>
      <c r="M165" s="2">
        <v>36</v>
      </c>
      <c r="N165" s="2">
        <v>56</v>
      </c>
      <c r="O165" s="2" t="s">
        <v>3029</v>
      </c>
    </row>
    <row r="166" spans="1:15">
      <c r="A166" s="2" t="s">
        <v>120</v>
      </c>
      <c r="B166" s="2" t="s">
        <v>121</v>
      </c>
      <c r="C166" s="2" t="s">
        <v>11</v>
      </c>
      <c r="D166" s="2" t="s">
        <v>2870</v>
      </c>
      <c r="E166" s="2" t="s">
        <v>122</v>
      </c>
      <c r="F166" s="2" t="s">
        <v>15</v>
      </c>
      <c r="G166" s="2" t="s">
        <v>16</v>
      </c>
      <c r="H166" s="2" t="s">
        <v>123</v>
      </c>
      <c r="I166" s="2">
        <v>1.43</v>
      </c>
      <c r="J166" s="2" t="s">
        <v>2871</v>
      </c>
      <c r="K166" s="2" t="s">
        <v>2872</v>
      </c>
      <c r="L166" s="2" t="s">
        <v>2873</v>
      </c>
      <c r="M166" s="2">
        <v>35</v>
      </c>
      <c r="N166" s="2">
        <v>44</v>
      </c>
      <c r="O166" s="2" t="s">
        <v>3030</v>
      </c>
    </row>
    <row r="167" spans="1:15">
      <c r="A167" s="2" t="s">
        <v>120</v>
      </c>
      <c r="B167" s="2" t="s">
        <v>121</v>
      </c>
      <c r="C167" s="2" t="s">
        <v>11</v>
      </c>
      <c r="D167" s="2" t="s">
        <v>2870</v>
      </c>
      <c r="E167" s="2" t="s">
        <v>122</v>
      </c>
      <c r="F167" s="2" t="s">
        <v>15</v>
      </c>
      <c r="G167" s="2" t="s">
        <v>16</v>
      </c>
      <c r="H167" s="2" t="s">
        <v>123</v>
      </c>
      <c r="I167" s="2">
        <v>1.43</v>
      </c>
      <c r="J167" s="2" t="s">
        <v>2879</v>
      </c>
      <c r="K167" s="2" t="s">
        <v>2894</v>
      </c>
      <c r="L167" s="2" t="s">
        <v>2873</v>
      </c>
      <c r="M167" s="2">
        <v>26</v>
      </c>
      <c r="N167" s="2">
        <v>1</v>
      </c>
      <c r="O167" s="2" t="s">
        <v>3031</v>
      </c>
    </row>
    <row r="168" spans="1:15">
      <c r="A168" s="2" t="s">
        <v>120</v>
      </c>
      <c r="B168" s="2" t="s">
        <v>121</v>
      </c>
      <c r="C168" s="2" t="s">
        <v>11</v>
      </c>
      <c r="D168" s="2" t="s">
        <v>2882</v>
      </c>
      <c r="E168" s="2" t="s">
        <v>124</v>
      </c>
      <c r="F168" s="2" t="s">
        <v>15</v>
      </c>
      <c r="G168" s="2" t="s">
        <v>16</v>
      </c>
      <c r="H168" s="2" t="s">
        <v>125</v>
      </c>
      <c r="I168" s="2">
        <v>1.5</v>
      </c>
      <c r="J168" s="2" t="s">
        <v>2871</v>
      </c>
      <c r="K168" s="2" t="s">
        <v>2875</v>
      </c>
      <c r="L168" s="2" t="s">
        <v>2873</v>
      </c>
      <c r="M168" s="2">
        <v>36</v>
      </c>
      <c r="N168" s="2">
        <v>57</v>
      </c>
      <c r="O168" s="2" t="s">
        <v>3032</v>
      </c>
    </row>
    <row r="169" spans="1:15">
      <c r="A169" s="2" t="s">
        <v>120</v>
      </c>
      <c r="B169" s="2" t="s">
        <v>121</v>
      </c>
      <c r="C169" s="2" t="s">
        <v>11</v>
      </c>
      <c r="D169" s="2" t="s">
        <v>2882</v>
      </c>
      <c r="E169" s="2" t="s">
        <v>124</v>
      </c>
      <c r="F169" s="2" t="s">
        <v>15</v>
      </c>
      <c r="G169" s="2" t="s">
        <v>16</v>
      </c>
      <c r="H169" s="2" t="s">
        <v>125</v>
      </c>
      <c r="I169" s="2">
        <v>1.5</v>
      </c>
      <c r="J169" s="2" t="s">
        <v>2871</v>
      </c>
      <c r="K169" s="2" t="s">
        <v>2872</v>
      </c>
      <c r="L169" s="2" t="s">
        <v>2873</v>
      </c>
      <c r="M169" s="2">
        <v>35</v>
      </c>
      <c r="N169" s="2">
        <v>55</v>
      </c>
      <c r="O169" s="2" t="s">
        <v>3033</v>
      </c>
    </row>
    <row r="170" spans="1:15">
      <c r="A170" s="2" t="s">
        <v>120</v>
      </c>
      <c r="B170" s="2" t="s">
        <v>121</v>
      </c>
      <c r="C170" s="2" t="s">
        <v>11</v>
      </c>
      <c r="D170" s="2" t="s">
        <v>2886</v>
      </c>
      <c r="E170" s="2" t="s">
        <v>126</v>
      </c>
      <c r="F170" s="2" t="s">
        <v>15</v>
      </c>
      <c r="G170" s="2" t="s">
        <v>16</v>
      </c>
      <c r="H170" s="2" t="s">
        <v>127</v>
      </c>
      <c r="I170" s="2">
        <v>1.5</v>
      </c>
      <c r="J170" s="2" t="s">
        <v>2871</v>
      </c>
      <c r="K170" s="2" t="s">
        <v>2875</v>
      </c>
      <c r="L170" s="2" t="s">
        <v>2873</v>
      </c>
      <c r="M170" s="2">
        <v>36</v>
      </c>
      <c r="N170" s="2">
        <v>91</v>
      </c>
      <c r="O170" s="2" t="s">
        <v>3034</v>
      </c>
    </row>
    <row r="171" spans="1:15">
      <c r="A171" s="2" t="s">
        <v>120</v>
      </c>
      <c r="B171" s="2" t="s">
        <v>121</v>
      </c>
      <c r="C171" s="2" t="s">
        <v>11</v>
      </c>
      <c r="D171" s="2" t="s">
        <v>2886</v>
      </c>
      <c r="E171" s="2" t="s">
        <v>126</v>
      </c>
      <c r="F171" s="2" t="s">
        <v>15</v>
      </c>
      <c r="G171" s="2" t="s">
        <v>16</v>
      </c>
      <c r="H171" s="2" t="s">
        <v>127</v>
      </c>
      <c r="I171" s="2">
        <v>1.5</v>
      </c>
      <c r="J171" s="2" t="s">
        <v>2871</v>
      </c>
      <c r="K171" s="2" t="s">
        <v>2872</v>
      </c>
      <c r="L171" s="2" t="s">
        <v>2873</v>
      </c>
      <c r="M171" s="2">
        <v>35</v>
      </c>
      <c r="N171" s="2">
        <v>113</v>
      </c>
      <c r="O171" s="2" t="s">
        <v>3035</v>
      </c>
    </row>
    <row r="172" spans="1:15">
      <c r="A172" s="2" t="s">
        <v>120</v>
      </c>
      <c r="B172" s="2" t="s">
        <v>121</v>
      </c>
      <c r="C172" s="2" t="s">
        <v>11</v>
      </c>
      <c r="D172" s="2" t="s">
        <v>2896</v>
      </c>
      <c r="E172" s="2" t="s">
        <v>128</v>
      </c>
      <c r="F172" s="2" t="s">
        <v>15</v>
      </c>
      <c r="G172" s="2" t="s">
        <v>16</v>
      </c>
      <c r="H172" s="2" t="s">
        <v>129</v>
      </c>
      <c r="I172" s="2">
        <v>1.5</v>
      </c>
      <c r="J172" s="2" t="s">
        <v>2871</v>
      </c>
      <c r="K172" s="2" t="s">
        <v>2877</v>
      </c>
      <c r="L172" s="2" t="s">
        <v>2873</v>
      </c>
      <c r="M172" s="2">
        <v>32</v>
      </c>
      <c r="N172" s="2">
        <v>47</v>
      </c>
      <c r="O172" s="2" t="s">
        <v>3036</v>
      </c>
    </row>
    <row r="173" spans="1:15">
      <c r="A173" s="2" t="s">
        <v>120</v>
      </c>
      <c r="B173" s="2" t="s">
        <v>121</v>
      </c>
      <c r="C173" s="2" t="s">
        <v>11</v>
      </c>
      <c r="D173" s="2" t="s">
        <v>2896</v>
      </c>
      <c r="E173" s="2" t="s">
        <v>128</v>
      </c>
      <c r="F173" s="2" t="s">
        <v>15</v>
      </c>
      <c r="G173" s="2" t="s">
        <v>16</v>
      </c>
      <c r="H173" s="2" t="s">
        <v>129</v>
      </c>
      <c r="I173" s="2">
        <v>1.5</v>
      </c>
      <c r="J173" s="2" t="s">
        <v>2871</v>
      </c>
      <c r="K173" s="2" t="s">
        <v>2872</v>
      </c>
      <c r="L173" s="2" t="s">
        <v>2873</v>
      </c>
      <c r="M173" s="2">
        <v>35</v>
      </c>
      <c r="N173" s="2">
        <v>50</v>
      </c>
      <c r="O173" s="2" t="s">
        <v>3037</v>
      </c>
    </row>
    <row r="174" spans="1:15">
      <c r="A174" s="2" t="s">
        <v>120</v>
      </c>
      <c r="B174" s="2" t="s">
        <v>121</v>
      </c>
      <c r="C174" s="2" t="s">
        <v>11</v>
      </c>
      <c r="D174" s="2" t="s">
        <v>2896</v>
      </c>
      <c r="E174" s="2" t="s">
        <v>128</v>
      </c>
      <c r="F174" s="2" t="s">
        <v>15</v>
      </c>
      <c r="G174" s="2" t="s">
        <v>16</v>
      </c>
      <c r="H174" s="2" t="s">
        <v>129</v>
      </c>
      <c r="I174" s="2">
        <v>1.5</v>
      </c>
      <c r="J174" s="2" t="s">
        <v>2871</v>
      </c>
      <c r="K174" s="2" t="s">
        <v>2875</v>
      </c>
      <c r="L174" s="2" t="s">
        <v>2873</v>
      </c>
      <c r="M174" s="2">
        <v>36</v>
      </c>
      <c r="N174" s="2">
        <v>20</v>
      </c>
      <c r="O174" s="2" t="s">
        <v>3038</v>
      </c>
    </row>
    <row r="175" spans="1:15">
      <c r="A175" s="2" t="s">
        <v>120</v>
      </c>
      <c r="B175" s="2" t="s">
        <v>121</v>
      </c>
      <c r="C175" s="2" t="s">
        <v>11</v>
      </c>
      <c r="D175" s="2" t="s">
        <v>2901</v>
      </c>
      <c r="E175" s="2" t="s">
        <v>130</v>
      </c>
      <c r="F175" s="2" t="s">
        <v>15</v>
      </c>
      <c r="G175" s="2" t="s">
        <v>16</v>
      </c>
      <c r="H175" s="2" t="s">
        <v>131</v>
      </c>
      <c r="I175" s="2">
        <v>1.1499999999999999</v>
      </c>
      <c r="J175" s="2" t="s">
        <v>2871</v>
      </c>
      <c r="K175" s="2" t="s">
        <v>2877</v>
      </c>
      <c r="L175" s="2" t="s">
        <v>2873</v>
      </c>
      <c r="M175" s="2">
        <v>32</v>
      </c>
      <c r="N175" s="2">
        <v>42</v>
      </c>
      <c r="O175" s="2" t="s">
        <v>3039</v>
      </c>
    </row>
    <row r="176" spans="1:15">
      <c r="A176" s="2" t="s">
        <v>120</v>
      </c>
      <c r="B176" s="2" t="s">
        <v>121</v>
      </c>
      <c r="C176" s="2" t="s">
        <v>11</v>
      </c>
      <c r="D176" s="2" t="s">
        <v>2901</v>
      </c>
      <c r="E176" s="2" t="s">
        <v>130</v>
      </c>
      <c r="F176" s="2" t="s">
        <v>15</v>
      </c>
      <c r="G176" s="2" t="s">
        <v>16</v>
      </c>
      <c r="H176" s="2" t="s">
        <v>131</v>
      </c>
      <c r="I176" s="2">
        <v>1.1499999999999999</v>
      </c>
      <c r="J176" s="2" t="s">
        <v>2871</v>
      </c>
      <c r="K176" s="2" t="s">
        <v>2872</v>
      </c>
      <c r="L176" s="2" t="s">
        <v>2873</v>
      </c>
      <c r="M176" s="2">
        <v>35</v>
      </c>
      <c r="N176" s="2">
        <v>21</v>
      </c>
      <c r="O176" s="2" t="s">
        <v>3040</v>
      </c>
    </row>
    <row r="177" spans="1:15">
      <c r="A177" s="2" t="s">
        <v>120</v>
      </c>
      <c r="B177" s="2" t="s">
        <v>121</v>
      </c>
      <c r="C177" s="2" t="s">
        <v>11</v>
      </c>
      <c r="D177" s="2" t="s">
        <v>2901</v>
      </c>
      <c r="E177" s="2" t="s">
        <v>130</v>
      </c>
      <c r="F177" s="2" t="s">
        <v>15</v>
      </c>
      <c r="G177" s="2" t="s">
        <v>16</v>
      </c>
      <c r="H177" s="2" t="s">
        <v>131</v>
      </c>
      <c r="I177" s="2">
        <v>1.1499999999999999</v>
      </c>
      <c r="J177" s="2" t="s">
        <v>2871</v>
      </c>
      <c r="K177" s="2" t="s">
        <v>2875</v>
      </c>
      <c r="L177" s="2" t="s">
        <v>2873</v>
      </c>
      <c r="M177" s="2">
        <v>36</v>
      </c>
      <c r="N177" s="2">
        <v>14</v>
      </c>
      <c r="O177" s="2" t="s">
        <v>3041</v>
      </c>
    </row>
    <row r="178" spans="1:15">
      <c r="A178" s="2" t="s">
        <v>120</v>
      </c>
      <c r="B178" s="2" t="s">
        <v>121</v>
      </c>
      <c r="C178" s="2" t="s">
        <v>11</v>
      </c>
      <c r="D178" s="2" t="s">
        <v>2904</v>
      </c>
      <c r="E178" s="2" t="s">
        <v>132</v>
      </c>
      <c r="F178" s="2" t="s">
        <v>33</v>
      </c>
      <c r="G178" s="2" t="s">
        <v>44</v>
      </c>
      <c r="H178" s="2" t="s">
        <v>45</v>
      </c>
      <c r="I178" s="2" t="s">
        <v>12</v>
      </c>
      <c r="J178" s="2" t="s">
        <v>12</v>
      </c>
      <c r="K178" s="2" t="s">
        <v>12</v>
      </c>
      <c r="L178" s="2" t="s">
        <v>12</v>
      </c>
      <c r="M178" s="2" t="s">
        <v>12</v>
      </c>
      <c r="N178" s="2" t="s">
        <v>12</v>
      </c>
      <c r="O178" s="2" t="s">
        <v>12</v>
      </c>
    </row>
    <row r="179" spans="1:15">
      <c r="A179" s="2" t="s">
        <v>133</v>
      </c>
      <c r="B179" s="2" t="s">
        <v>134</v>
      </c>
      <c r="C179" s="2" t="s">
        <v>112</v>
      </c>
      <c r="D179" s="2" t="s">
        <v>2870</v>
      </c>
      <c r="E179" s="2" t="s">
        <v>113</v>
      </c>
      <c r="F179" s="2" t="s">
        <v>15</v>
      </c>
      <c r="G179" s="2" t="s">
        <v>16</v>
      </c>
      <c r="H179" s="2" t="s">
        <v>135</v>
      </c>
      <c r="I179" s="2">
        <v>1.5</v>
      </c>
      <c r="J179" s="2" t="s">
        <v>2879</v>
      </c>
      <c r="K179" s="2" t="s">
        <v>2915</v>
      </c>
      <c r="L179" s="2" t="s">
        <v>2916</v>
      </c>
      <c r="M179" s="2">
        <v>308</v>
      </c>
      <c r="N179" s="2">
        <v>57</v>
      </c>
      <c r="O179" s="2" t="s">
        <v>3042</v>
      </c>
    </row>
    <row r="180" spans="1:15">
      <c r="A180" s="2" t="s">
        <v>133</v>
      </c>
      <c r="B180" s="2" t="s">
        <v>134</v>
      </c>
      <c r="C180" s="2" t="s">
        <v>112</v>
      </c>
      <c r="D180" s="2" t="s">
        <v>2870</v>
      </c>
      <c r="E180" s="2" t="s">
        <v>113</v>
      </c>
      <c r="F180" s="2" t="s">
        <v>15</v>
      </c>
      <c r="G180" s="2" t="s">
        <v>16</v>
      </c>
      <c r="H180" s="2" t="s">
        <v>135</v>
      </c>
      <c r="I180" s="2">
        <v>1.5</v>
      </c>
      <c r="J180" s="2" t="s">
        <v>2879</v>
      </c>
      <c r="K180" s="2" t="s">
        <v>2915</v>
      </c>
      <c r="L180" s="2" t="s">
        <v>2916</v>
      </c>
      <c r="M180" s="2">
        <v>26</v>
      </c>
      <c r="N180" s="2">
        <v>57</v>
      </c>
      <c r="O180" s="2" t="s">
        <v>3043</v>
      </c>
    </row>
    <row r="181" spans="1:15">
      <c r="A181" s="2" t="s">
        <v>133</v>
      </c>
      <c r="B181" s="2" t="s">
        <v>134</v>
      </c>
      <c r="C181" s="2" t="s">
        <v>112</v>
      </c>
      <c r="D181" s="2" t="s">
        <v>2870</v>
      </c>
      <c r="E181" s="2" t="s">
        <v>113</v>
      </c>
      <c r="F181" s="2" t="s">
        <v>15</v>
      </c>
      <c r="G181" s="2" t="s">
        <v>16</v>
      </c>
      <c r="H181" s="2" t="s">
        <v>135</v>
      </c>
      <c r="I181" s="2">
        <v>1.5</v>
      </c>
      <c r="J181" s="2" t="s">
        <v>2879</v>
      </c>
      <c r="K181" s="2" t="s">
        <v>2915</v>
      </c>
      <c r="L181" s="2" t="s">
        <v>2916</v>
      </c>
      <c r="M181" s="2">
        <v>20</v>
      </c>
      <c r="N181" s="2">
        <v>57</v>
      </c>
      <c r="O181" s="2" t="s">
        <v>3044</v>
      </c>
    </row>
    <row r="182" spans="1:15">
      <c r="A182" s="2" t="s">
        <v>133</v>
      </c>
      <c r="B182" s="2" t="s">
        <v>134</v>
      </c>
      <c r="C182" s="2" t="s">
        <v>112</v>
      </c>
      <c r="D182" s="2" t="s">
        <v>2882</v>
      </c>
      <c r="E182" s="2" t="s">
        <v>115</v>
      </c>
      <c r="F182" s="2" t="s">
        <v>15</v>
      </c>
      <c r="G182" s="2" t="s">
        <v>16</v>
      </c>
      <c r="H182" s="2" t="s">
        <v>136</v>
      </c>
      <c r="I182" s="2">
        <v>1.5</v>
      </c>
      <c r="J182" s="2" t="s">
        <v>2879</v>
      </c>
      <c r="K182" s="2" t="s">
        <v>2915</v>
      </c>
      <c r="L182" s="2" t="s">
        <v>2916</v>
      </c>
      <c r="M182" s="2">
        <v>20</v>
      </c>
      <c r="N182" s="2">
        <v>134</v>
      </c>
      <c r="O182" s="2" t="s">
        <v>3045</v>
      </c>
    </row>
    <row r="183" spans="1:15">
      <c r="A183" s="2" t="s">
        <v>133</v>
      </c>
      <c r="B183" s="2" t="s">
        <v>134</v>
      </c>
      <c r="C183" s="2" t="s">
        <v>112</v>
      </c>
      <c r="D183" s="2" t="s">
        <v>2882</v>
      </c>
      <c r="E183" s="2" t="s">
        <v>115</v>
      </c>
      <c r="F183" s="2" t="s">
        <v>15</v>
      </c>
      <c r="G183" s="2" t="s">
        <v>16</v>
      </c>
      <c r="H183" s="2" t="s">
        <v>136</v>
      </c>
      <c r="I183" s="2">
        <v>1.5</v>
      </c>
      <c r="J183" s="2" t="s">
        <v>2879</v>
      </c>
      <c r="K183" s="2" t="s">
        <v>2915</v>
      </c>
      <c r="L183" s="2" t="s">
        <v>2916</v>
      </c>
      <c r="M183" s="2">
        <v>26</v>
      </c>
      <c r="N183" s="2">
        <v>134</v>
      </c>
      <c r="O183" s="2" t="s">
        <v>3046</v>
      </c>
    </row>
    <row r="184" spans="1:15">
      <c r="A184" s="2" t="s">
        <v>133</v>
      </c>
      <c r="B184" s="2" t="s">
        <v>134</v>
      </c>
      <c r="C184" s="2" t="s">
        <v>112</v>
      </c>
      <c r="D184" s="2" t="s">
        <v>2882</v>
      </c>
      <c r="E184" s="2" t="s">
        <v>115</v>
      </c>
      <c r="F184" s="2" t="s">
        <v>15</v>
      </c>
      <c r="G184" s="2" t="s">
        <v>16</v>
      </c>
      <c r="H184" s="2" t="s">
        <v>136</v>
      </c>
      <c r="I184" s="2">
        <v>1.5</v>
      </c>
      <c r="J184" s="2" t="s">
        <v>2879</v>
      </c>
      <c r="K184" s="2" t="s">
        <v>2915</v>
      </c>
      <c r="L184" s="2" t="s">
        <v>2916</v>
      </c>
      <c r="M184" s="2">
        <v>308</v>
      </c>
      <c r="N184" s="2">
        <v>134</v>
      </c>
      <c r="O184" s="2" t="s">
        <v>3047</v>
      </c>
    </row>
    <row r="185" spans="1:15">
      <c r="A185" s="2" t="s">
        <v>133</v>
      </c>
      <c r="B185" s="2" t="s">
        <v>134</v>
      </c>
      <c r="C185" s="2" t="s">
        <v>112</v>
      </c>
      <c r="D185" s="2" t="s">
        <v>2886</v>
      </c>
      <c r="E185" s="2" t="s">
        <v>117</v>
      </c>
      <c r="F185" s="2" t="s">
        <v>15</v>
      </c>
      <c r="G185" s="2" t="s">
        <v>44</v>
      </c>
      <c r="H185" s="2" t="s">
        <v>137</v>
      </c>
      <c r="I185" s="2">
        <v>0.5</v>
      </c>
      <c r="J185" s="2" t="s">
        <v>2879</v>
      </c>
      <c r="K185" s="2" t="s">
        <v>2915</v>
      </c>
      <c r="L185" s="2" t="s">
        <v>2916</v>
      </c>
      <c r="M185" s="2">
        <v>308</v>
      </c>
      <c r="N185" s="2">
        <v>1</v>
      </c>
      <c r="O185" s="2" t="s">
        <v>3048</v>
      </c>
    </row>
    <row r="186" spans="1:15">
      <c r="A186" s="2" t="s">
        <v>133</v>
      </c>
      <c r="B186" s="2" t="s">
        <v>134</v>
      </c>
      <c r="C186" s="2" t="s">
        <v>112</v>
      </c>
      <c r="D186" s="2" t="s">
        <v>2886</v>
      </c>
      <c r="E186" s="2" t="s">
        <v>117</v>
      </c>
      <c r="F186" s="2" t="s">
        <v>15</v>
      </c>
      <c r="G186" s="2" t="s">
        <v>44</v>
      </c>
      <c r="H186" s="2" t="s">
        <v>137</v>
      </c>
      <c r="I186" s="2">
        <v>0.5</v>
      </c>
      <c r="J186" s="2" t="s">
        <v>2879</v>
      </c>
      <c r="K186" s="2" t="s">
        <v>2915</v>
      </c>
      <c r="L186" s="2" t="s">
        <v>2916</v>
      </c>
      <c r="M186" s="2">
        <v>26</v>
      </c>
      <c r="N186" s="2">
        <v>1</v>
      </c>
      <c r="O186" s="2" t="s">
        <v>3031</v>
      </c>
    </row>
    <row r="187" spans="1:15">
      <c r="A187" s="2" t="s">
        <v>133</v>
      </c>
      <c r="B187" s="2" t="s">
        <v>134</v>
      </c>
      <c r="C187" s="2" t="s">
        <v>112</v>
      </c>
      <c r="D187" s="2" t="s">
        <v>2886</v>
      </c>
      <c r="E187" s="2" t="s">
        <v>117</v>
      </c>
      <c r="F187" s="2" t="s">
        <v>15</v>
      </c>
      <c r="G187" s="2" t="s">
        <v>44</v>
      </c>
      <c r="H187" s="2" t="s">
        <v>137</v>
      </c>
      <c r="I187" s="2">
        <v>0.5</v>
      </c>
      <c r="J187" s="2" t="s">
        <v>2879</v>
      </c>
      <c r="K187" s="2" t="s">
        <v>2915</v>
      </c>
      <c r="L187" s="2" t="s">
        <v>2916</v>
      </c>
      <c r="M187" s="2">
        <v>20</v>
      </c>
      <c r="N187" s="2">
        <v>1</v>
      </c>
      <c r="O187" s="2" t="s">
        <v>3049</v>
      </c>
    </row>
    <row r="188" spans="1:15">
      <c r="A188" s="2" t="s">
        <v>133</v>
      </c>
      <c r="B188" s="2" t="s">
        <v>134</v>
      </c>
      <c r="C188" s="2" t="s">
        <v>112</v>
      </c>
      <c r="D188" s="2" t="s">
        <v>2896</v>
      </c>
      <c r="E188" s="2" t="s">
        <v>119</v>
      </c>
      <c r="F188" s="2" t="s">
        <v>33</v>
      </c>
      <c r="G188" s="2" t="s">
        <v>44</v>
      </c>
      <c r="H188" s="2" t="s">
        <v>45</v>
      </c>
      <c r="I188" s="2" t="s">
        <v>12</v>
      </c>
      <c r="J188" s="2" t="s">
        <v>12</v>
      </c>
      <c r="K188" s="2" t="s">
        <v>12</v>
      </c>
      <c r="L188" s="2" t="s">
        <v>12</v>
      </c>
      <c r="M188" s="2" t="s">
        <v>12</v>
      </c>
      <c r="N188" s="2" t="s">
        <v>12</v>
      </c>
      <c r="O188" s="2" t="s">
        <v>12</v>
      </c>
    </row>
    <row r="189" spans="1:15">
      <c r="A189" s="2" t="s">
        <v>138</v>
      </c>
      <c r="B189" s="2" t="s">
        <v>139</v>
      </c>
      <c r="C189" s="2" t="s">
        <v>140</v>
      </c>
      <c r="D189" s="2" t="s">
        <v>2870</v>
      </c>
      <c r="E189" s="2" t="s">
        <v>14</v>
      </c>
      <c r="F189" s="2" t="s">
        <v>15</v>
      </c>
      <c r="G189" s="2" t="s">
        <v>16</v>
      </c>
      <c r="H189" s="2" t="s">
        <v>141</v>
      </c>
      <c r="I189" s="2">
        <v>1.5</v>
      </c>
      <c r="J189" s="2" t="s">
        <v>2871</v>
      </c>
      <c r="K189" s="2" t="s">
        <v>3050</v>
      </c>
      <c r="L189" s="2" t="s">
        <v>2873</v>
      </c>
      <c r="M189" s="2">
        <v>14</v>
      </c>
      <c r="N189" s="2">
        <v>14</v>
      </c>
      <c r="O189" s="2" t="s">
        <v>2934</v>
      </c>
    </row>
    <row r="190" spans="1:15">
      <c r="A190" s="2" t="s">
        <v>138</v>
      </c>
      <c r="B190" s="2" t="s">
        <v>139</v>
      </c>
      <c r="C190" s="2" t="s">
        <v>140</v>
      </c>
      <c r="D190" s="2" t="s">
        <v>2870</v>
      </c>
      <c r="E190" s="2" t="s">
        <v>14</v>
      </c>
      <c r="F190" s="2" t="s">
        <v>15</v>
      </c>
      <c r="G190" s="2" t="s">
        <v>16</v>
      </c>
      <c r="H190" s="2" t="s">
        <v>141</v>
      </c>
      <c r="I190" s="2">
        <v>1.5</v>
      </c>
      <c r="J190" s="2" t="s">
        <v>2887</v>
      </c>
      <c r="K190" s="2" t="s">
        <v>3051</v>
      </c>
      <c r="L190" s="2" t="s">
        <v>2873</v>
      </c>
      <c r="M190" s="2">
        <v>14</v>
      </c>
      <c r="N190" s="2">
        <v>14</v>
      </c>
      <c r="O190" s="2" t="s">
        <v>2934</v>
      </c>
    </row>
    <row r="191" spans="1:15">
      <c r="A191" s="2" t="s">
        <v>138</v>
      </c>
      <c r="B191" s="2" t="s">
        <v>139</v>
      </c>
      <c r="C191" s="2" t="s">
        <v>140</v>
      </c>
      <c r="D191" s="2" t="s">
        <v>2870</v>
      </c>
      <c r="E191" s="2" t="s">
        <v>14</v>
      </c>
      <c r="F191" s="2" t="s">
        <v>15</v>
      </c>
      <c r="G191" s="2" t="s">
        <v>16</v>
      </c>
      <c r="H191" s="2" t="s">
        <v>141</v>
      </c>
      <c r="I191" s="2">
        <v>1.5</v>
      </c>
      <c r="J191" s="2" t="s">
        <v>2887</v>
      </c>
      <c r="K191" s="2" t="s">
        <v>3052</v>
      </c>
      <c r="L191" s="2" t="s">
        <v>2873</v>
      </c>
      <c r="M191" s="2">
        <v>25</v>
      </c>
      <c r="N191" s="2">
        <v>188</v>
      </c>
      <c r="O191" s="2" t="s">
        <v>3053</v>
      </c>
    </row>
    <row r="192" spans="1:15">
      <c r="A192" s="2" t="s">
        <v>138</v>
      </c>
      <c r="B192" s="2" t="s">
        <v>139</v>
      </c>
      <c r="C192" s="2" t="s">
        <v>140</v>
      </c>
      <c r="D192" s="2" t="s">
        <v>2882</v>
      </c>
      <c r="E192" s="2" t="s">
        <v>19</v>
      </c>
      <c r="F192" s="2" t="s">
        <v>15</v>
      </c>
      <c r="G192" s="2" t="s">
        <v>16</v>
      </c>
      <c r="H192" s="2" t="s">
        <v>142</v>
      </c>
      <c r="I192" s="2">
        <v>1.5</v>
      </c>
      <c r="J192" s="2" t="s">
        <v>2887</v>
      </c>
      <c r="K192" s="2" t="s">
        <v>3052</v>
      </c>
      <c r="L192" s="2" t="s">
        <v>2873</v>
      </c>
      <c r="M192" s="2">
        <v>25</v>
      </c>
      <c r="N192" s="2">
        <v>180</v>
      </c>
      <c r="O192" s="2" t="s">
        <v>3054</v>
      </c>
    </row>
    <row r="193" spans="1:15">
      <c r="A193" s="2" t="s">
        <v>138</v>
      </c>
      <c r="B193" s="2" t="s">
        <v>139</v>
      </c>
      <c r="C193" s="2" t="s">
        <v>140</v>
      </c>
      <c r="D193" s="2" t="s">
        <v>2882</v>
      </c>
      <c r="E193" s="2" t="s">
        <v>19</v>
      </c>
      <c r="F193" s="2" t="s">
        <v>15</v>
      </c>
      <c r="G193" s="2" t="s">
        <v>16</v>
      </c>
      <c r="H193" s="2" t="s">
        <v>142</v>
      </c>
      <c r="I193" s="2">
        <v>1.5</v>
      </c>
      <c r="J193" s="2" t="s">
        <v>2887</v>
      </c>
      <c r="K193" s="2" t="s">
        <v>3051</v>
      </c>
      <c r="L193" s="2" t="s">
        <v>2873</v>
      </c>
      <c r="M193" s="2">
        <v>14</v>
      </c>
      <c r="N193" s="2">
        <v>12</v>
      </c>
      <c r="O193" s="2" t="s">
        <v>3055</v>
      </c>
    </row>
    <row r="194" spans="1:15">
      <c r="A194" s="2" t="s">
        <v>138</v>
      </c>
      <c r="B194" s="2" t="s">
        <v>139</v>
      </c>
      <c r="C194" s="2" t="s">
        <v>140</v>
      </c>
      <c r="D194" s="2" t="s">
        <v>2882</v>
      </c>
      <c r="E194" s="2" t="s">
        <v>19</v>
      </c>
      <c r="F194" s="2" t="s">
        <v>15</v>
      </c>
      <c r="G194" s="2" t="s">
        <v>16</v>
      </c>
      <c r="H194" s="2" t="s">
        <v>142</v>
      </c>
      <c r="I194" s="2">
        <v>1.5</v>
      </c>
      <c r="J194" s="2" t="s">
        <v>2871</v>
      </c>
      <c r="K194" s="2" t="s">
        <v>3050</v>
      </c>
      <c r="L194" s="2" t="s">
        <v>2873</v>
      </c>
      <c r="M194" s="2">
        <v>14</v>
      </c>
      <c r="N194" s="2">
        <v>20</v>
      </c>
      <c r="O194" s="2" t="s">
        <v>3037</v>
      </c>
    </row>
    <row r="195" spans="1:15">
      <c r="A195" s="2" t="s">
        <v>138</v>
      </c>
      <c r="B195" s="2" t="s">
        <v>139</v>
      </c>
      <c r="C195" s="2" t="s">
        <v>140</v>
      </c>
      <c r="D195" s="2" t="s">
        <v>2886</v>
      </c>
      <c r="E195" s="2" t="s">
        <v>23</v>
      </c>
      <c r="F195" s="2" t="s">
        <v>15</v>
      </c>
      <c r="G195" s="2" t="s">
        <v>16</v>
      </c>
      <c r="H195" s="2" t="s">
        <v>143</v>
      </c>
      <c r="I195" s="2">
        <v>1.41</v>
      </c>
      <c r="J195" s="2" t="s">
        <v>2871</v>
      </c>
      <c r="K195" s="2" t="s">
        <v>3050</v>
      </c>
      <c r="L195" s="2" t="s">
        <v>2873</v>
      </c>
      <c r="M195" s="2">
        <v>14</v>
      </c>
      <c r="N195" s="2">
        <v>2</v>
      </c>
      <c r="O195" s="2" t="s">
        <v>3056</v>
      </c>
    </row>
    <row r="196" spans="1:15">
      <c r="A196" s="2" t="s">
        <v>138</v>
      </c>
      <c r="B196" s="2" t="s">
        <v>139</v>
      </c>
      <c r="C196" s="2" t="s">
        <v>140</v>
      </c>
      <c r="D196" s="2" t="s">
        <v>2886</v>
      </c>
      <c r="E196" s="2" t="s">
        <v>23</v>
      </c>
      <c r="F196" s="2" t="s">
        <v>15</v>
      </c>
      <c r="G196" s="2" t="s">
        <v>16</v>
      </c>
      <c r="H196" s="2" t="s">
        <v>143</v>
      </c>
      <c r="I196" s="2">
        <v>1.41</v>
      </c>
      <c r="J196" s="2" t="s">
        <v>2887</v>
      </c>
      <c r="K196" s="2" t="s">
        <v>3051</v>
      </c>
      <c r="L196" s="2" t="s">
        <v>2873</v>
      </c>
      <c r="M196" s="2">
        <v>14</v>
      </c>
      <c r="N196" s="2">
        <v>5</v>
      </c>
      <c r="O196" s="2" t="s">
        <v>2938</v>
      </c>
    </row>
    <row r="197" spans="1:15">
      <c r="A197" s="2" t="s">
        <v>138</v>
      </c>
      <c r="B197" s="2" t="s">
        <v>139</v>
      </c>
      <c r="C197" s="2" t="s">
        <v>140</v>
      </c>
      <c r="D197" s="2" t="s">
        <v>2886</v>
      </c>
      <c r="E197" s="2" t="s">
        <v>23</v>
      </c>
      <c r="F197" s="2" t="s">
        <v>15</v>
      </c>
      <c r="G197" s="2" t="s">
        <v>16</v>
      </c>
      <c r="H197" s="2" t="s">
        <v>143</v>
      </c>
      <c r="I197" s="2">
        <v>1.41</v>
      </c>
      <c r="J197" s="2" t="s">
        <v>2887</v>
      </c>
      <c r="K197" s="2" t="s">
        <v>3052</v>
      </c>
      <c r="L197" s="2" t="s">
        <v>2873</v>
      </c>
      <c r="M197" s="2">
        <v>25</v>
      </c>
      <c r="N197" s="2">
        <v>58</v>
      </c>
      <c r="O197" s="2" t="s">
        <v>3057</v>
      </c>
    </row>
    <row r="198" spans="1:15">
      <c r="A198" s="2" t="s">
        <v>138</v>
      </c>
      <c r="B198" s="2" t="s">
        <v>139</v>
      </c>
      <c r="C198" s="2" t="s">
        <v>140</v>
      </c>
      <c r="D198" s="2" t="s">
        <v>2896</v>
      </c>
      <c r="E198" s="2" t="s">
        <v>26</v>
      </c>
      <c r="F198" s="2" t="s">
        <v>15</v>
      </c>
      <c r="G198" s="2" t="s">
        <v>16</v>
      </c>
      <c r="H198" s="2" t="s">
        <v>144</v>
      </c>
      <c r="I198" s="2">
        <v>1.06</v>
      </c>
      <c r="J198" s="2" t="s">
        <v>2887</v>
      </c>
      <c r="K198" s="2" t="s">
        <v>3052</v>
      </c>
      <c r="L198" s="2" t="s">
        <v>2873</v>
      </c>
      <c r="M198" s="2">
        <v>25</v>
      </c>
      <c r="N198" s="2">
        <v>28</v>
      </c>
      <c r="O198" s="2" t="s">
        <v>3058</v>
      </c>
    </row>
    <row r="199" spans="1:15">
      <c r="A199" s="2" t="s">
        <v>138</v>
      </c>
      <c r="B199" s="2" t="s">
        <v>139</v>
      </c>
      <c r="C199" s="2" t="s">
        <v>140</v>
      </c>
      <c r="D199" s="2" t="s">
        <v>2896</v>
      </c>
      <c r="E199" s="2" t="s">
        <v>26</v>
      </c>
      <c r="F199" s="2" t="s">
        <v>15</v>
      </c>
      <c r="G199" s="2" t="s">
        <v>16</v>
      </c>
      <c r="H199" s="2" t="s">
        <v>144</v>
      </c>
      <c r="I199" s="2">
        <v>1.06</v>
      </c>
      <c r="J199" s="2" t="s">
        <v>2887</v>
      </c>
      <c r="K199" s="2" t="s">
        <v>3051</v>
      </c>
      <c r="L199" s="2" t="s">
        <v>2873</v>
      </c>
      <c r="M199" s="2">
        <v>14</v>
      </c>
      <c r="N199" s="2">
        <v>12</v>
      </c>
      <c r="O199" s="2" t="s">
        <v>3055</v>
      </c>
    </row>
    <row r="200" spans="1:15">
      <c r="A200" s="2" t="s">
        <v>138</v>
      </c>
      <c r="B200" s="2" t="s">
        <v>139</v>
      </c>
      <c r="C200" s="2" t="s">
        <v>140</v>
      </c>
      <c r="D200" s="2" t="s">
        <v>2896</v>
      </c>
      <c r="E200" s="2" t="s">
        <v>26</v>
      </c>
      <c r="F200" s="2" t="s">
        <v>15</v>
      </c>
      <c r="G200" s="2" t="s">
        <v>16</v>
      </c>
      <c r="H200" s="2" t="s">
        <v>144</v>
      </c>
      <c r="I200" s="2">
        <v>1.06</v>
      </c>
      <c r="J200" s="2" t="s">
        <v>2871</v>
      </c>
      <c r="K200" s="2" t="s">
        <v>3050</v>
      </c>
      <c r="L200" s="2" t="s">
        <v>2873</v>
      </c>
      <c r="M200" s="2">
        <v>14</v>
      </c>
      <c r="N200" s="2">
        <v>2</v>
      </c>
      <c r="O200" s="2" t="s">
        <v>3056</v>
      </c>
    </row>
    <row r="201" spans="1:15">
      <c r="A201" s="2" t="s">
        <v>138</v>
      </c>
      <c r="B201" s="2" t="s">
        <v>139</v>
      </c>
      <c r="C201" s="2" t="s">
        <v>140</v>
      </c>
      <c r="D201" s="2" t="s">
        <v>2901</v>
      </c>
      <c r="E201" s="2" t="s">
        <v>29</v>
      </c>
      <c r="F201" s="2" t="s">
        <v>15</v>
      </c>
      <c r="G201" s="2" t="s">
        <v>44</v>
      </c>
      <c r="H201" s="2" t="s">
        <v>45</v>
      </c>
      <c r="I201" s="2" t="s">
        <v>12</v>
      </c>
      <c r="J201" s="2" t="s">
        <v>12</v>
      </c>
      <c r="K201" s="2" t="s">
        <v>12</v>
      </c>
      <c r="L201" s="2" t="s">
        <v>12</v>
      </c>
      <c r="M201" s="2" t="s">
        <v>12</v>
      </c>
      <c r="N201" s="2" t="s">
        <v>12</v>
      </c>
      <c r="O201" s="2" t="s">
        <v>12</v>
      </c>
    </row>
    <row r="202" spans="1:15">
      <c r="A202" s="2" t="s">
        <v>138</v>
      </c>
      <c r="B202" s="2" t="s">
        <v>139</v>
      </c>
      <c r="C202" s="2" t="s">
        <v>140</v>
      </c>
      <c r="D202" s="2" t="s">
        <v>2904</v>
      </c>
      <c r="E202" s="2" t="s">
        <v>32</v>
      </c>
      <c r="F202" s="2" t="s">
        <v>33</v>
      </c>
      <c r="G202" s="2" t="s">
        <v>44</v>
      </c>
      <c r="H202" s="2" t="s">
        <v>45</v>
      </c>
      <c r="I202" s="2" t="s">
        <v>12</v>
      </c>
      <c r="J202" s="2" t="s">
        <v>12</v>
      </c>
      <c r="K202" s="2" t="s">
        <v>12</v>
      </c>
      <c r="L202" s="2" t="s">
        <v>12</v>
      </c>
      <c r="M202" s="2" t="s">
        <v>12</v>
      </c>
      <c r="N202" s="2" t="s">
        <v>12</v>
      </c>
      <c r="O202" s="2" t="s">
        <v>12</v>
      </c>
    </row>
    <row r="203" spans="1:15">
      <c r="A203" s="2" t="s">
        <v>145</v>
      </c>
      <c r="B203" s="2" t="s">
        <v>146</v>
      </c>
      <c r="C203" s="2" t="s">
        <v>76</v>
      </c>
      <c r="D203" s="2" t="s">
        <v>2870</v>
      </c>
      <c r="E203" s="2" t="s">
        <v>14</v>
      </c>
      <c r="F203" s="2" t="s">
        <v>15</v>
      </c>
      <c r="G203" s="2" t="s">
        <v>16</v>
      </c>
      <c r="H203" s="2" t="s">
        <v>147</v>
      </c>
      <c r="I203" s="2">
        <v>1.05</v>
      </c>
      <c r="J203" s="2" t="s">
        <v>2947</v>
      </c>
      <c r="K203" s="2" t="s">
        <v>2948</v>
      </c>
      <c r="L203" s="2" t="s">
        <v>2873</v>
      </c>
      <c r="M203" s="2">
        <v>110</v>
      </c>
      <c r="N203" s="2">
        <v>17</v>
      </c>
      <c r="O203" s="2" t="s">
        <v>3059</v>
      </c>
    </row>
    <row r="204" spans="1:15">
      <c r="A204" s="2" t="s">
        <v>145</v>
      </c>
      <c r="B204" s="2" t="s">
        <v>146</v>
      </c>
      <c r="C204" s="2" t="s">
        <v>76</v>
      </c>
      <c r="D204" s="2" t="s">
        <v>2870</v>
      </c>
      <c r="E204" s="2" t="s">
        <v>14</v>
      </c>
      <c r="F204" s="2" t="s">
        <v>15</v>
      </c>
      <c r="G204" s="2" t="s">
        <v>16</v>
      </c>
      <c r="H204" s="2" t="s">
        <v>147</v>
      </c>
      <c r="I204" s="2">
        <v>1.05</v>
      </c>
      <c r="J204" s="2" t="s">
        <v>2947</v>
      </c>
      <c r="K204" s="2" t="s">
        <v>2988</v>
      </c>
      <c r="L204" s="2" t="s">
        <v>2873</v>
      </c>
      <c r="M204" s="2">
        <v>103</v>
      </c>
      <c r="N204" s="2">
        <v>26</v>
      </c>
      <c r="O204" s="2" t="s">
        <v>3060</v>
      </c>
    </row>
    <row r="205" spans="1:15">
      <c r="A205" s="2" t="s">
        <v>145</v>
      </c>
      <c r="B205" s="2" t="s">
        <v>146</v>
      </c>
      <c r="C205" s="2" t="s">
        <v>76</v>
      </c>
      <c r="D205" s="2" t="s">
        <v>2870</v>
      </c>
      <c r="E205" s="2" t="s">
        <v>14</v>
      </c>
      <c r="F205" s="2" t="s">
        <v>15</v>
      </c>
      <c r="G205" s="2" t="s">
        <v>16</v>
      </c>
      <c r="H205" s="2" t="s">
        <v>147</v>
      </c>
      <c r="I205" s="2">
        <v>1.05</v>
      </c>
      <c r="J205" s="2" t="s">
        <v>2871</v>
      </c>
      <c r="K205" s="2" t="s">
        <v>3061</v>
      </c>
      <c r="L205" s="2" t="s">
        <v>2873</v>
      </c>
      <c r="M205" s="2">
        <v>66</v>
      </c>
      <c r="N205" s="2">
        <v>8</v>
      </c>
      <c r="O205" s="2" t="s">
        <v>3062</v>
      </c>
    </row>
    <row r="206" spans="1:15">
      <c r="A206" s="2" t="s">
        <v>145</v>
      </c>
      <c r="B206" s="2" t="s">
        <v>146</v>
      </c>
      <c r="C206" s="2" t="s">
        <v>76</v>
      </c>
      <c r="D206" s="2" t="s">
        <v>2870</v>
      </c>
      <c r="E206" s="2" t="s">
        <v>14</v>
      </c>
      <c r="F206" s="2" t="s">
        <v>15</v>
      </c>
      <c r="G206" s="2" t="s">
        <v>16</v>
      </c>
      <c r="H206" s="2" t="s">
        <v>147</v>
      </c>
      <c r="I206" s="2">
        <v>1.05</v>
      </c>
      <c r="J206" s="2" t="s">
        <v>2871</v>
      </c>
      <c r="K206" s="2" t="s">
        <v>2950</v>
      </c>
      <c r="L206" s="2" t="s">
        <v>2873</v>
      </c>
      <c r="M206" s="2">
        <v>88</v>
      </c>
      <c r="N206" s="2">
        <v>28</v>
      </c>
      <c r="O206" s="2" t="s">
        <v>3063</v>
      </c>
    </row>
    <row r="207" spans="1:15">
      <c r="A207" s="2" t="s">
        <v>145</v>
      </c>
      <c r="B207" s="2" t="s">
        <v>146</v>
      </c>
      <c r="C207" s="2" t="s">
        <v>76</v>
      </c>
      <c r="D207" s="2" t="s">
        <v>2870</v>
      </c>
      <c r="E207" s="2" t="s">
        <v>14</v>
      </c>
      <c r="F207" s="2" t="s">
        <v>15</v>
      </c>
      <c r="G207" s="2" t="s">
        <v>16</v>
      </c>
      <c r="H207" s="2" t="s">
        <v>147</v>
      </c>
      <c r="I207" s="2">
        <v>1.05</v>
      </c>
      <c r="J207" s="2" t="s">
        <v>2871</v>
      </c>
      <c r="K207" s="2" t="s">
        <v>2952</v>
      </c>
      <c r="L207" s="2" t="s">
        <v>2873</v>
      </c>
      <c r="M207" s="2">
        <v>257</v>
      </c>
      <c r="N207" s="2">
        <v>20</v>
      </c>
      <c r="O207" s="2" t="s">
        <v>3064</v>
      </c>
    </row>
    <row r="208" spans="1:15">
      <c r="A208" s="2" t="s">
        <v>145</v>
      </c>
      <c r="B208" s="2" t="s">
        <v>146</v>
      </c>
      <c r="C208" s="2" t="s">
        <v>76</v>
      </c>
      <c r="D208" s="2" t="s">
        <v>2870</v>
      </c>
      <c r="E208" s="2" t="s">
        <v>14</v>
      </c>
      <c r="F208" s="2" t="s">
        <v>15</v>
      </c>
      <c r="G208" s="2" t="s">
        <v>16</v>
      </c>
      <c r="H208" s="2" t="s">
        <v>147</v>
      </c>
      <c r="I208" s="2">
        <v>1.05</v>
      </c>
      <c r="J208" s="2" t="s">
        <v>2871</v>
      </c>
      <c r="K208" s="2" t="s">
        <v>2954</v>
      </c>
      <c r="L208" s="2" t="s">
        <v>2873</v>
      </c>
      <c r="M208" s="2">
        <v>220</v>
      </c>
      <c r="N208" s="2">
        <v>182</v>
      </c>
      <c r="O208" s="2" t="s">
        <v>3065</v>
      </c>
    </row>
    <row r="209" spans="1:15">
      <c r="A209" s="2" t="s">
        <v>145</v>
      </c>
      <c r="B209" s="2" t="s">
        <v>146</v>
      </c>
      <c r="C209" s="2" t="s">
        <v>76</v>
      </c>
      <c r="D209" s="2" t="s">
        <v>2870</v>
      </c>
      <c r="E209" s="2" t="s">
        <v>14</v>
      </c>
      <c r="F209" s="2" t="s">
        <v>15</v>
      </c>
      <c r="G209" s="2" t="s">
        <v>16</v>
      </c>
      <c r="H209" s="2" t="s">
        <v>147</v>
      </c>
      <c r="I209" s="2">
        <v>1.05</v>
      </c>
      <c r="J209" s="2" t="s">
        <v>2871</v>
      </c>
      <c r="K209" s="2" t="s">
        <v>2956</v>
      </c>
      <c r="L209" s="2" t="s">
        <v>2873</v>
      </c>
      <c r="M209" s="2">
        <v>298</v>
      </c>
      <c r="N209" s="2">
        <v>86</v>
      </c>
      <c r="O209" s="2" t="s">
        <v>3066</v>
      </c>
    </row>
    <row r="210" spans="1:15">
      <c r="A210" s="2" t="s">
        <v>145</v>
      </c>
      <c r="B210" s="2" t="s">
        <v>146</v>
      </c>
      <c r="C210" s="2" t="s">
        <v>76</v>
      </c>
      <c r="D210" s="2" t="s">
        <v>2870</v>
      </c>
      <c r="E210" s="2" t="s">
        <v>14</v>
      </c>
      <c r="F210" s="2" t="s">
        <v>15</v>
      </c>
      <c r="G210" s="2" t="s">
        <v>16</v>
      </c>
      <c r="H210" s="2" t="s">
        <v>147</v>
      </c>
      <c r="I210" s="2">
        <v>1.05</v>
      </c>
      <c r="J210" s="2" t="s">
        <v>2871</v>
      </c>
      <c r="K210" s="2" t="s">
        <v>2958</v>
      </c>
      <c r="L210" s="2" t="s">
        <v>2873</v>
      </c>
      <c r="M210" s="2">
        <v>154</v>
      </c>
      <c r="N210" s="2">
        <v>9</v>
      </c>
      <c r="O210" s="2" t="s">
        <v>3067</v>
      </c>
    </row>
    <row r="211" spans="1:15">
      <c r="A211" s="2" t="s">
        <v>145</v>
      </c>
      <c r="B211" s="2" t="s">
        <v>146</v>
      </c>
      <c r="C211" s="2" t="s">
        <v>76</v>
      </c>
      <c r="D211" s="2" t="s">
        <v>2882</v>
      </c>
      <c r="E211" s="2" t="s">
        <v>19</v>
      </c>
      <c r="F211" s="2" t="s">
        <v>15</v>
      </c>
      <c r="G211" s="2" t="s">
        <v>20</v>
      </c>
      <c r="H211" s="2" t="s">
        <v>148</v>
      </c>
      <c r="I211" s="2">
        <v>1</v>
      </c>
      <c r="J211" s="2" t="s">
        <v>2871</v>
      </c>
      <c r="K211" s="2" t="s">
        <v>2958</v>
      </c>
      <c r="L211" s="2" t="s">
        <v>2873</v>
      </c>
      <c r="M211" s="2">
        <v>154</v>
      </c>
      <c r="N211" s="2">
        <v>7</v>
      </c>
      <c r="O211" s="2" t="s">
        <v>3068</v>
      </c>
    </row>
    <row r="212" spans="1:15">
      <c r="A212" s="2" t="s">
        <v>145</v>
      </c>
      <c r="B212" s="2" t="s">
        <v>146</v>
      </c>
      <c r="C212" s="2" t="s">
        <v>76</v>
      </c>
      <c r="D212" s="2" t="s">
        <v>2882</v>
      </c>
      <c r="E212" s="2" t="s">
        <v>19</v>
      </c>
      <c r="F212" s="2" t="s">
        <v>15</v>
      </c>
      <c r="G212" s="2" t="s">
        <v>20</v>
      </c>
      <c r="H212" s="2" t="s">
        <v>148</v>
      </c>
      <c r="I212" s="2">
        <v>1</v>
      </c>
      <c r="J212" s="2" t="s">
        <v>2871</v>
      </c>
      <c r="K212" s="2" t="s">
        <v>2956</v>
      </c>
      <c r="L212" s="2" t="s">
        <v>2873</v>
      </c>
      <c r="M212" s="2">
        <v>298</v>
      </c>
      <c r="N212" s="2">
        <v>11</v>
      </c>
      <c r="O212" s="2" t="s">
        <v>3069</v>
      </c>
    </row>
    <row r="213" spans="1:15">
      <c r="A213" s="2" t="s">
        <v>145</v>
      </c>
      <c r="B213" s="2" t="s">
        <v>146</v>
      </c>
      <c r="C213" s="2" t="s">
        <v>76</v>
      </c>
      <c r="D213" s="2" t="s">
        <v>2882</v>
      </c>
      <c r="E213" s="2" t="s">
        <v>19</v>
      </c>
      <c r="F213" s="2" t="s">
        <v>15</v>
      </c>
      <c r="G213" s="2" t="s">
        <v>20</v>
      </c>
      <c r="H213" s="2" t="s">
        <v>148</v>
      </c>
      <c r="I213" s="2">
        <v>1</v>
      </c>
      <c r="J213" s="2" t="s">
        <v>2871</v>
      </c>
      <c r="K213" s="2" t="s">
        <v>2954</v>
      </c>
      <c r="L213" s="2" t="s">
        <v>2873</v>
      </c>
      <c r="M213" s="2">
        <v>220</v>
      </c>
      <c r="N213" s="2">
        <v>223</v>
      </c>
      <c r="O213" s="2" t="s">
        <v>3070</v>
      </c>
    </row>
    <row r="214" spans="1:15">
      <c r="A214" s="2" t="s">
        <v>145</v>
      </c>
      <c r="B214" s="2" t="s">
        <v>146</v>
      </c>
      <c r="C214" s="2" t="s">
        <v>76</v>
      </c>
      <c r="D214" s="2" t="s">
        <v>2882</v>
      </c>
      <c r="E214" s="2" t="s">
        <v>19</v>
      </c>
      <c r="F214" s="2" t="s">
        <v>15</v>
      </c>
      <c r="G214" s="2" t="s">
        <v>20</v>
      </c>
      <c r="H214" s="2" t="s">
        <v>148</v>
      </c>
      <c r="I214" s="2">
        <v>1</v>
      </c>
      <c r="J214" s="2" t="s">
        <v>2871</v>
      </c>
      <c r="K214" s="2" t="s">
        <v>2952</v>
      </c>
      <c r="L214" s="2" t="s">
        <v>2873</v>
      </c>
      <c r="M214" s="2">
        <v>257</v>
      </c>
      <c r="N214" s="2">
        <v>31</v>
      </c>
      <c r="O214" s="2" t="s">
        <v>3071</v>
      </c>
    </row>
    <row r="215" spans="1:15">
      <c r="A215" s="2" t="s">
        <v>145</v>
      </c>
      <c r="B215" s="2" t="s">
        <v>146</v>
      </c>
      <c r="C215" s="2" t="s">
        <v>76</v>
      </c>
      <c r="D215" s="2" t="s">
        <v>2882</v>
      </c>
      <c r="E215" s="2" t="s">
        <v>19</v>
      </c>
      <c r="F215" s="2" t="s">
        <v>15</v>
      </c>
      <c r="G215" s="2" t="s">
        <v>20</v>
      </c>
      <c r="H215" s="2" t="s">
        <v>148</v>
      </c>
      <c r="I215" s="2">
        <v>1</v>
      </c>
      <c r="J215" s="2" t="s">
        <v>2871</v>
      </c>
      <c r="K215" s="2" t="s">
        <v>2950</v>
      </c>
      <c r="L215" s="2" t="s">
        <v>2873</v>
      </c>
      <c r="M215" s="2">
        <v>88</v>
      </c>
      <c r="N215" s="2">
        <v>28</v>
      </c>
      <c r="O215" s="2" t="s">
        <v>3063</v>
      </c>
    </row>
    <row r="216" spans="1:15">
      <c r="A216" s="2" t="s">
        <v>145</v>
      </c>
      <c r="B216" s="2" t="s">
        <v>146</v>
      </c>
      <c r="C216" s="2" t="s">
        <v>76</v>
      </c>
      <c r="D216" s="2" t="s">
        <v>2882</v>
      </c>
      <c r="E216" s="2" t="s">
        <v>19</v>
      </c>
      <c r="F216" s="2" t="s">
        <v>15</v>
      </c>
      <c r="G216" s="2" t="s">
        <v>20</v>
      </c>
      <c r="H216" s="2" t="s">
        <v>148</v>
      </c>
      <c r="I216" s="2">
        <v>1</v>
      </c>
      <c r="J216" s="2" t="s">
        <v>2871</v>
      </c>
      <c r="K216" s="2" t="s">
        <v>3061</v>
      </c>
      <c r="L216" s="2" t="s">
        <v>2873</v>
      </c>
      <c r="M216" s="2">
        <v>66</v>
      </c>
      <c r="N216" s="2">
        <v>4</v>
      </c>
      <c r="O216" s="2" t="s">
        <v>3072</v>
      </c>
    </row>
    <row r="217" spans="1:15">
      <c r="A217" s="2" t="s">
        <v>145</v>
      </c>
      <c r="B217" s="2" t="s">
        <v>146</v>
      </c>
      <c r="C217" s="2" t="s">
        <v>76</v>
      </c>
      <c r="D217" s="2" t="s">
        <v>2882</v>
      </c>
      <c r="E217" s="2" t="s">
        <v>19</v>
      </c>
      <c r="F217" s="2" t="s">
        <v>15</v>
      </c>
      <c r="G217" s="2" t="s">
        <v>20</v>
      </c>
      <c r="H217" s="2" t="s">
        <v>148</v>
      </c>
      <c r="I217" s="2">
        <v>1</v>
      </c>
      <c r="J217" s="2" t="s">
        <v>2947</v>
      </c>
      <c r="K217" s="2" t="s">
        <v>2988</v>
      </c>
      <c r="L217" s="2" t="s">
        <v>2873</v>
      </c>
      <c r="M217" s="2">
        <v>103</v>
      </c>
      <c r="N217" s="2">
        <v>7</v>
      </c>
      <c r="O217" s="2" t="s">
        <v>3073</v>
      </c>
    </row>
    <row r="218" spans="1:15">
      <c r="A218" s="2" t="s">
        <v>145</v>
      </c>
      <c r="B218" s="2" t="s">
        <v>146</v>
      </c>
      <c r="C218" s="2" t="s">
        <v>76</v>
      </c>
      <c r="D218" s="2" t="s">
        <v>2882</v>
      </c>
      <c r="E218" s="2" t="s">
        <v>19</v>
      </c>
      <c r="F218" s="2" t="s">
        <v>15</v>
      </c>
      <c r="G218" s="2" t="s">
        <v>20</v>
      </c>
      <c r="H218" s="2" t="s">
        <v>148</v>
      </c>
      <c r="I218" s="2">
        <v>1</v>
      </c>
      <c r="J218" s="2" t="s">
        <v>2947</v>
      </c>
      <c r="K218" s="2" t="s">
        <v>2948</v>
      </c>
      <c r="L218" s="2" t="s">
        <v>2873</v>
      </c>
      <c r="M218" s="2">
        <v>110</v>
      </c>
      <c r="N218" s="2">
        <v>9</v>
      </c>
      <c r="O218" s="2" t="s">
        <v>3074</v>
      </c>
    </row>
    <row r="219" spans="1:15">
      <c r="A219" s="2" t="s">
        <v>145</v>
      </c>
      <c r="B219" s="2" t="s">
        <v>146</v>
      </c>
      <c r="C219" s="2" t="s">
        <v>76</v>
      </c>
      <c r="D219" s="2" t="s">
        <v>2886</v>
      </c>
      <c r="E219" s="2" t="s">
        <v>23</v>
      </c>
      <c r="F219" s="2" t="s">
        <v>15</v>
      </c>
      <c r="G219" s="2" t="s">
        <v>16</v>
      </c>
      <c r="H219" s="2" t="s">
        <v>149</v>
      </c>
      <c r="I219" s="2">
        <v>1.5</v>
      </c>
      <c r="J219" s="2" t="s">
        <v>2871</v>
      </c>
      <c r="K219" s="2" t="s">
        <v>2950</v>
      </c>
      <c r="L219" s="2" t="s">
        <v>2873</v>
      </c>
      <c r="M219" s="2">
        <v>88</v>
      </c>
      <c r="N219" s="2">
        <v>103</v>
      </c>
      <c r="O219" s="2" t="s">
        <v>3075</v>
      </c>
    </row>
    <row r="220" spans="1:15">
      <c r="A220" s="2" t="s">
        <v>145</v>
      </c>
      <c r="B220" s="2" t="s">
        <v>146</v>
      </c>
      <c r="C220" s="2" t="s">
        <v>76</v>
      </c>
      <c r="D220" s="2" t="s">
        <v>2886</v>
      </c>
      <c r="E220" s="2" t="s">
        <v>23</v>
      </c>
      <c r="F220" s="2" t="s">
        <v>15</v>
      </c>
      <c r="G220" s="2" t="s">
        <v>16</v>
      </c>
      <c r="H220" s="2" t="s">
        <v>149</v>
      </c>
      <c r="I220" s="2">
        <v>1.5</v>
      </c>
      <c r="J220" s="2" t="s">
        <v>2871</v>
      </c>
      <c r="K220" s="2" t="s">
        <v>2952</v>
      </c>
      <c r="L220" s="2" t="s">
        <v>2873</v>
      </c>
      <c r="M220" s="2">
        <v>257</v>
      </c>
      <c r="N220" s="2">
        <v>86</v>
      </c>
      <c r="O220" s="2" t="s">
        <v>3076</v>
      </c>
    </row>
    <row r="221" spans="1:15">
      <c r="A221" s="2" t="s">
        <v>145</v>
      </c>
      <c r="B221" s="2" t="s">
        <v>146</v>
      </c>
      <c r="C221" s="2" t="s">
        <v>76</v>
      </c>
      <c r="D221" s="2" t="s">
        <v>2886</v>
      </c>
      <c r="E221" s="2" t="s">
        <v>23</v>
      </c>
      <c r="F221" s="2" t="s">
        <v>15</v>
      </c>
      <c r="G221" s="2" t="s">
        <v>16</v>
      </c>
      <c r="H221" s="2" t="s">
        <v>149</v>
      </c>
      <c r="I221" s="2">
        <v>1.5</v>
      </c>
      <c r="J221" s="2" t="s">
        <v>2871</v>
      </c>
      <c r="K221" s="2" t="s">
        <v>2954</v>
      </c>
      <c r="L221" s="2" t="s">
        <v>2873</v>
      </c>
      <c r="M221" s="2">
        <v>220</v>
      </c>
      <c r="N221" s="2">
        <v>510</v>
      </c>
      <c r="O221" s="2" t="s">
        <v>3077</v>
      </c>
    </row>
    <row r="222" spans="1:15">
      <c r="A222" s="2" t="s">
        <v>145</v>
      </c>
      <c r="B222" s="2" t="s">
        <v>146</v>
      </c>
      <c r="C222" s="2" t="s">
        <v>76</v>
      </c>
      <c r="D222" s="2" t="s">
        <v>2886</v>
      </c>
      <c r="E222" s="2" t="s">
        <v>23</v>
      </c>
      <c r="F222" s="2" t="s">
        <v>15</v>
      </c>
      <c r="G222" s="2" t="s">
        <v>16</v>
      </c>
      <c r="H222" s="2" t="s">
        <v>149</v>
      </c>
      <c r="I222" s="2">
        <v>1.5</v>
      </c>
      <c r="J222" s="2" t="s">
        <v>2871</v>
      </c>
      <c r="K222" s="2" t="s">
        <v>2956</v>
      </c>
      <c r="L222" s="2" t="s">
        <v>2873</v>
      </c>
      <c r="M222" s="2">
        <v>298</v>
      </c>
      <c r="N222" s="2">
        <v>197</v>
      </c>
      <c r="O222" s="2" t="s">
        <v>3078</v>
      </c>
    </row>
    <row r="223" spans="1:15">
      <c r="A223" s="2" t="s">
        <v>145</v>
      </c>
      <c r="B223" s="2" t="s">
        <v>146</v>
      </c>
      <c r="C223" s="2" t="s">
        <v>76</v>
      </c>
      <c r="D223" s="2" t="s">
        <v>2886</v>
      </c>
      <c r="E223" s="2" t="s">
        <v>23</v>
      </c>
      <c r="F223" s="2" t="s">
        <v>15</v>
      </c>
      <c r="G223" s="2" t="s">
        <v>16</v>
      </c>
      <c r="H223" s="2" t="s">
        <v>149</v>
      </c>
      <c r="I223" s="2">
        <v>1.5</v>
      </c>
      <c r="J223" s="2" t="s">
        <v>2871</v>
      </c>
      <c r="K223" s="2" t="s">
        <v>2958</v>
      </c>
      <c r="L223" s="2" t="s">
        <v>2873</v>
      </c>
      <c r="M223" s="2">
        <v>154</v>
      </c>
      <c r="N223" s="2">
        <v>27</v>
      </c>
      <c r="O223" s="2" t="s">
        <v>3079</v>
      </c>
    </row>
    <row r="224" spans="1:15">
      <c r="A224" s="2" t="s">
        <v>145</v>
      </c>
      <c r="B224" s="2" t="s">
        <v>146</v>
      </c>
      <c r="C224" s="2" t="s">
        <v>76</v>
      </c>
      <c r="D224" s="2" t="s">
        <v>2886</v>
      </c>
      <c r="E224" s="2" t="s">
        <v>23</v>
      </c>
      <c r="F224" s="2" t="s">
        <v>15</v>
      </c>
      <c r="G224" s="2" t="s">
        <v>16</v>
      </c>
      <c r="H224" s="2" t="s">
        <v>149</v>
      </c>
      <c r="I224" s="2">
        <v>1.5</v>
      </c>
      <c r="J224" s="2" t="s">
        <v>2871</v>
      </c>
      <c r="K224" s="2" t="s">
        <v>3061</v>
      </c>
      <c r="L224" s="2" t="s">
        <v>2873</v>
      </c>
      <c r="M224" s="2">
        <v>66</v>
      </c>
      <c r="N224" s="2">
        <v>16</v>
      </c>
      <c r="O224" s="2" t="s">
        <v>3080</v>
      </c>
    </row>
    <row r="225" spans="1:15">
      <c r="A225" s="2" t="s">
        <v>145</v>
      </c>
      <c r="B225" s="2" t="s">
        <v>146</v>
      </c>
      <c r="C225" s="2" t="s">
        <v>76</v>
      </c>
      <c r="D225" s="2" t="s">
        <v>2886</v>
      </c>
      <c r="E225" s="2" t="s">
        <v>23</v>
      </c>
      <c r="F225" s="2" t="s">
        <v>15</v>
      </c>
      <c r="G225" s="2" t="s">
        <v>16</v>
      </c>
      <c r="H225" s="2" t="s">
        <v>149</v>
      </c>
      <c r="I225" s="2">
        <v>1.5</v>
      </c>
      <c r="J225" s="2" t="s">
        <v>2947</v>
      </c>
      <c r="K225" s="2" t="s">
        <v>2948</v>
      </c>
      <c r="L225" s="2" t="s">
        <v>2873</v>
      </c>
      <c r="M225" s="2">
        <v>110</v>
      </c>
      <c r="N225" s="2">
        <v>6</v>
      </c>
      <c r="O225" s="2" t="s">
        <v>3008</v>
      </c>
    </row>
    <row r="226" spans="1:15">
      <c r="A226" s="2" t="s">
        <v>145</v>
      </c>
      <c r="B226" s="2" t="s">
        <v>146</v>
      </c>
      <c r="C226" s="2" t="s">
        <v>76</v>
      </c>
      <c r="D226" s="2" t="s">
        <v>2886</v>
      </c>
      <c r="E226" s="2" t="s">
        <v>23</v>
      </c>
      <c r="F226" s="2" t="s">
        <v>15</v>
      </c>
      <c r="G226" s="2" t="s">
        <v>16</v>
      </c>
      <c r="H226" s="2" t="s">
        <v>149</v>
      </c>
      <c r="I226" s="2">
        <v>1.5</v>
      </c>
      <c r="J226" s="2" t="s">
        <v>2947</v>
      </c>
      <c r="K226" s="2" t="s">
        <v>2988</v>
      </c>
      <c r="L226" s="2" t="s">
        <v>2873</v>
      </c>
      <c r="M226" s="2">
        <v>103</v>
      </c>
      <c r="N226" s="2">
        <v>90</v>
      </c>
      <c r="O226" s="2" t="s">
        <v>3081</v>
      </c>
    </row>
    <row r="227" spans="1:15">
      <c r="A227" s="2" t="s">
        <v>145</v>
      </c>
      <c r="B227" s="2" t="s">
        <v>146</v>
      </c>
      <c r="C227" s="2" t="s">
        <v>76</v>
      </c>
      <c r="D227" s="2" t="s">
        <v>2896</v>
      </c>
      <c r="E227" s="2" t="s">
        <v>26</v>
      </c>
      <c r="F227" s="2" t="s">
        <v>15</v>
      </c>
      <c r="G227" s="2" t="s">
        <v>16</v>
      </c>
      <c r="H227" s="2" t="s">
        <v>150</v>
      </c>
      <c r="I227" s="2">
        <v>1.5</v>
      </c>
      <c r="J227" s="2" t="s">
        <v>2871</v>
      </c>
      <c r="K227" s="2" t="s">
        <v>2958</v>
      </c>
      <c r="L227" s="2" t="s">
        <v>2873</v>
      </c>
      <c r="M227" s="2">
        <v>154</v>
      </c>
      <c r="N227" s="2">
        <v>76</v>
      </c>
      <c r="O227" s="2" t="s">
        <v>3082</v>
      </c>
    </row>
    <row r="228" spans="1:15">
      <c r="A228" s="2" t="s">
        <v>145</v>
      </c>
      <c r="B228" s="2" t="s">
        <v>146</v>
      </c>
      <c r="C228" s="2" t="s">
        <v>76</v>
      </c>
      <c r="D228" s="2" t="s">
        <v>2896</v>
      </c>
      <c r="E228" s="2" t="s">
        <v>26</v>
      </c>
      <c r="F228" s="2" t="s">
        <v>15</v>
      </c>
      <c r="G228" s="2" t="s">
        <v>16</v>
      </c>
      <c r="H228" s="2" t="s">
        <v>150</v>
      </c>
      <c r="I228" s="2">
        <v>1.5</v>
      </c>
      <c r="J228" s="2" t="s">
        <v>2871</v>
      </c>
      <c r="K228" s="2" t="s">
        <v>2956</v>
      </c>
      <c r="L228" s="2" t="s">
        <v>2873</v>
      </c>
      <c r="M228" s="2">
        <v>298</v>
      </c>
      <c r="N228" s="2">
        <v>125</v>
      </c>
      <c r="O228" s="2" t="s">
        <v>3083</v>
      </c>
    </row>
    <row r="229" spans="1:15">
      <c r="A229" s="2" t="s">
        <v>145</v>
      </c>
      <c r="B229" s="2" t="s">
        <v>146</v>
      </c>
      <c r="C229" s="2" t="s">
        <v>76</v>
      </c>
      <c r="D229" s="2" t="s">
        <v>2896</v>
      </c>
      <c r="E229" s="2" t="s">
        <v>26</v>
      </c>
      <c r="F229" s="2" t="s">
        <v>15</v>
      </c>
      <c r="G229" s="2" t="s">
        <v>16</v>
      </c>
      <c r="H229" s="2" t="s">
        <v>150</v>
      </c>
      <c r="I229" s="2">
        <v>1.5</v>
      </c>
      <c r="J229" s="2" t="s">
        <v>2871</v>
      </c>
      <c r="K229" s="2" t="s">
        <v>2954</v>
      </c>
      <c r="L229" s="2" t="s">
        <v>2873</v>
      </c>
      <c r="M229" s="2">
        <v>220</v>
      </c>
      <c r="N229" s="2">
        <v>478</v>
      </c>
      <c r="O229" s="2" t="s">
        <v>3084</v>
      </c>
    </row>
    <row r="230" spans="1:15">
      <c r="A230" s="2" t="s">
        <v>145</v>
      </c>
      <c r="B230" s="2" t="s">
        <v>146</v>
      </c>
      <c r="C230" s="2" t="s">
        <v>76</v>
      </c>
      <c r="D230" s="2" t="s">
        <v>2896</v>
      </c>
      <c r="E230" s="2" t="s">
        <v>26</v>
      </c>
      <c r="F230" s="2" t="s">
        <v>15</v>
      </c>
      <c r="G230" s="2" t="s">
        <v>16</v>
      </c>
      <c r="H230" s="2" t="s">
        <v>150</v>
      </c>
      <c r="I230" s="2">
        <v>1.5</v>
      </c>
      <c r="J230" s="2" t="s">
        <v>2871</v>
      </c>
      <c r="K230" s="2" t="s">
        <v>2952</v>
      </c>
      <c r="L230" s="2" t="s">
        <v>2873</v>
      </c>
      <c r="M230" s="2">
        <v>257</v>
      </c>
      <c r="N230" s="2">
        <v>43</v>
      </c>
      <c r="O230" s="2" t="s">
        <v>3085</v>
      </c>
    </row>
    <row r="231" spans="1:15">
      <c r="A231" s="2" t="s">
        <v>145</v>
      </c>
      <c r="B231" s="2" t="s">
        <v>146</v>
      </c>
      <c r="C231" s="2" t="s">
        <v>76</v>
      </c>
      <c r="D231" s="2" t="s">
        <v>2896</v>
      </c>
      <c r="E231" s="2" t="s">
        <v>26</v>
      </c>
      <c r="F231" s="2" t="s">
        <v>15</v>
      </c>
      <c r="G231" s="2" t="s">
        <v>16</v>
      </c>
      <c r="H231" s="2" t="s">
        <v>150</v>
      </c>
      <c r="I231" s="2">
        <v>1.5</v>
      </c>
      <c r="J231" s="2" t="s">
        <v>2871</v>
      </c>
      <c r="K231" s="2" t="s">
        <v>2950</v>
      </c>
      <c r="L231" s="2" t="s">
        <v>2873</v>
      </c>
      <c r="M231" s="2">
        <v>88</v>
      </c>
      <c r="N231" s="2">
        <v>31</v>
      </c>
      <c r="O231" s="2" t="s">
        <v>3086</v>
      </c>
    </row>
    <row r="232" spans="1:15">
      <c r="A232" s="2" t="s">
        <v>145</v>
      </c>
      <c r="B232" s="2" t="s">
        <v>146</v>
      </c>
      <c r="C232" s="2" t="s">
        <v>76</v>
      </c>
      <c r="D232" s="2" t="s">
        <v>2896</v>
      </c>
      <c r="E232" s="2" t="s">
        <v>26</v>
      </c>
      <c r="F232" s="2" t="s">
        <v>15</v>
      </c>
      <c r="G232" s="2" t="s">
        <v>16</v>
      </c>
      <c r="H232" s="2" t="s">
        <v>150</v>
      </c>
      <c r="I232" s="2">
        <v>1.5</v>
      </c>
      <c r="J232" s="2" t="s">
        <v>2947</v>
      </c>
      <c r="K232" s="2" t="s">
        <v>2988</v>
      </c>
      <c r="L232" s="2" t="s">
        <v>2873</v>
      </c>
      <c r="M232" s="2">
        <v>103</v>
      </c>
      <c r="N232" s="2">
        <v>2</v>
      </c>
      <c r="O232" s="2" t="s">
        <v>3087</v>
      </c>
    </row>
    <row r="233" spans="1:15">
      <c r="A233" s="2" t="s">
        <v>145</v>
      </c>
      <c r="B233" s="2" t="s">
        <v>146</v>
      </c>
      <c r="C233" s="2" t="s">
        <v>76</v>
      </c>
      <c r="D233" s="2" t="s">
        <v>2896</v>
      </c>
      <c r="E233" s="2" t="s">
        <v>26</v>
      </c>
      <c r="F233" s="2" t="s">
        <v>15</v>
      </c>
      <c r="G233" s="2" t="s">
        <v>16</v>
      </c>
      <c r="H233" s="2" t="s">
        <v>150</v>
      </c>
      <c r="I233" s="2">
        <v>1.5</v>
      </c>
      <c r="J233" s="2" t="s">
        <v>2947</v>
      </c>
      <c r="K233" s="2" t="s">
        <v>2948</v>
      </c>
      <c r="L233" s="2" t="s">
        <v>2873</v>
      </c>
      <c r="M233" s="2">
        <v>110</v>
      </c>
      <c r="N233" s="2">
        <v>2</v>
      </c>
      <c r="O233" s="2" t="s">
        <v>3088</v>
      </c>
    </row>
    <row r="234" spans="1:15">
      <c r="A234" s="2" t="s">
        <v>145</v>
      </c>
      <c r="B234" s="2" t="s">
        <v>146</v>
      </c>
      <c r="C234" s="2" t="s">
        <v>76</v>
      </c>
      <c r="D234" s="2" t="s">
        <v>2901</v>
      </c>
      <c r="E234" s="2" t="s">
        <v>29</v>
      </c>
      <c r="F234" s="2" t="s">
        <v>15</v>
      </c>
      <c r="G234" s="2" t="s">
        <v>20</v>
      </c>
      <c r="H234" s="2" t="s">
        <v>151</v>
      </c>
      <c r="I234" s="2">
        <v>1</v>
      </c>
      <c r="J234" s="2" t="s">
        <v>2871</v>
      </c>
      <c r="K234" s="2" t="s">
        <v>2950</v>
      </c>
      <c r="L234" s="2" t="s">
        <v>2873</v>
      </c>
      <c r="M234" s="2">
        <v>88</v>
      </c>
      <c r="N234" s="2">
        <v>2</v>
      </c>
      <c r="O234" s="2" t="s">
        <v>3089</v>
      </c>
    </row>
    <row r="235" spans="1:15">
      <c r="A235" s="2" t="s">
        <v>145</v>
      </c>
      <c r="B235" s="2" t="s">
        <v>146</v>
      </c>
      <c r="C235" s="2" t="s">
        <v>76</v>
      </c>
      <c r="D235" s="2" t="s">
        <v>2901</v>
      </c>
      <c r="E235" s="2" t="s">
        <v>29</v>
      </c>
      <c r="F235" s="2" t="s">
        <v>15</v>
      </c>
      <c r="G235" s="2" t="s">
        <v>20</v>
      </c>
      <c r="H235" s="2" t="s">
        <v>151</v>
      </c>
      <c r="I235" s="2">
        <v>1</v>
      </c>
      <c r="J235" s="2" t="s">
        <v>2871</v>
      </c>
      <c r="K235" s="2" t="s">
        <v>3061</v>
      </c>
      <c r="L235" s="2" t="s">
        <v>2873</v>
      </c>
      <c r="M235" s="2">
        <v>66</v>
      </c>
      <c r="N235" s="2">
        <v>3</v>
      </c>
      <c r="O235" s="2" t="s">
        <v>3068</v>
      </c>
    </row>
    <row r="236" spans="1:15">
      <c r="A236" s="2" t="s">
        <v>145</v>
      </c>
      <c r="B236" s="2" t="s">
        <v>146</v>
      </c>
      <c r="C236" s="2" t="s">
        <v>76</v>
      </c>
      <c r="D236" s="2" t="s">
        <v>2901</v>
      </c>
      <c r="E236" s="2" t="s">
        <v>29</v>
      </c>
      <c r="F236" s="2" t="s">
        <v>15</v>
      </c>
      <c r="G236" s="2" t="s">
        <v>20</v>
      </c>
      <c r="H236" s="2" t="s">
        <v>151</v>
      </c>
      <c r="I236" s="2">
        <v>1</v>
      </c>
      <c r="J236" s="2" t="s">
        <v>2871</v>
      </c>
      <c r="K236" s="2" t="s">
        <v>2954</v>
      </c>
      <c r="L236" s="2" t="s">
        <v>2873</v>
      </c>
      <c r="M236" s="2">
        <v>220</v>
      </c>
      <c r="N236" s="2">
        <v>58</v>
      </c>
      <c r="O236" s="2" t="s">
        <v>3090</v>
      </c>
    </row>
    <row r="237" spans="1:15">
      <c r="A237" s="2" t="s">
        <v>145</v>
      </c>
      <c r="B237" s="2" t="s">
        <v>146</v>
      </c>
      <c r="C237" s="2" t="s">
        <v>76</v>
      </c>
      <c r="D237" s="2" t="s">
        <v>2901</v>
      </c>
      <c r="E237" s="2" t="s">
        <v>29</v>
      </c>
      <c r="F237" s="2" t="s">
        <v>15</v>
      </c>
      <c r="G237" s="2" t="s">
        <v>20</v>
      </c>
      <c r="H237" s="2" t="s">
        <v>151</v>
      </c>
      <c r="I237" s="2">
        <v>1</v>
      </c>
      <c r="J237" s="2" t="s">
        <v>2871</v>
      </c>
      <c r="K237" s="2" t="s">
        <v>2952</v>
      </c>
      <c r="L237" s="2" t="s">
        <v>2873</v>
      </c>
      <c r="M237" s="2">
        <v>257</v>
      </c>
      <c r="N237" s="2">
        <v>2</v>
      </c>
      <c r="O237" s="2" t="s">
        <v>3091</v>
      </c>
    </row>
    <row r="238" spans="1:15">
      <c r="A238" s="2" t="s">
        <v>145</v>
      </c>
      <c r="B238" s="2" t="s">
        <v>146</v>
      </c>
      <c r="C238" s="2" t="s">
        <v>76</v>
      </c>
      <c r="D238" s="2" t="s">
        <v>2901</v>
      </c>
      <c r="E238" s="2" t="s">
        <v>29</v>
      </c>
      <c r="F238" s="2" t="s">
        <v>15</v>
      </c>
      <c r="G238" s="2" t="s">
        <v>20</v>
      </c>
      <c r="H238" s="2" t="s">
        <v>151</v>
      </c>
      <c r="I238" s="2">
        <v>1</v>
      </c>
      <c r="J238" s="2" t="s">
        <v>2871</v>
      </c>
      <c r="K238" s="2" t="s">
        <v>2956</v>
      </c>
      <c r="L238" s="2" t="s">
        <v>2873</v>
      </c>
      <c r="M238" s="2">
        <v>298</v>
      </c>
      <c r="N238" s="2">
        <v>229</v>
      </c>
      <c r="O238" s="2" t="s">
        <v>3092</v>
      </c>
    </row>
    <row r="239" spans="1:15">
      <c r="A239" s="2" t="s">
        <v>145</v>
      </c>
      <c r="B239" s="2" t="s">
        <v>146</v>
      </c>
      <c r="C239" s="2" t="s">
        <v>76</v>
      </c>
      <c r="D239" s="2" t="s">
        <v>2901</v>
      </c>
      <c r="E239" s="2" t="s">
        <v>29</v>
      </c>
      <c r="F239" s="2" t="s">
        <v>15</v>
      </c>
      <c r="G239" s="2" t="s">
        <v>20</v>
      </c>
      <c r="H239" s="2" t="s">
        <v>151</v>
      </c>
      <c r="I239" s="2">
        <v>1</v>
      </c>
      <c r="J239" s="2" t="s">
        <v>2871</v>
      </c>
      <c r="K239" s="2" t="s">
        <v>2958</v>
      </c>
      <c r="L239" s="2" t="s">
        <v>2873</v>
      </c>
      <c r="M239" s="2">
        <v>154</v>
      </c>
      <c r="N239" s="2">
        <v>30</v>
      </c>
      <c r="O239" s="2" t="s">
        <v>3093</v>
      </c>
    </row>
    <row r="240" spans="1:15">
      <c r="A240" s="2" t="s">
        <v>145</v>
      </c>
      <c r="B240" s="2" t="s">
        <v>146</v>
      </c>
      <c r="C240" s="2" t="s">
        <v>76</v>
      </c>
      <c r="D240" s="2" t="s">
        <v>2901</v>
      </c>
      <c r="E240" s="2" t="s">
        <v>29</v>
      </c>
      <c r="F240" s="2" t="s">
        <v>15</v>
      </c>
      <c r="G240" s="2" t="s">
        <v>20</v>
      </c>
      <c r="H240" s="2" t="s">
        <v>151</v>
      </c>
      <c r="I240" s="2">
        <v>1</v>
      </c>
      <c r="J240" s="2" t="s">
        <v>2947</v>
      </c>
      <c r="K240" s="2" t="s">
        <v>2988</v>
      </c>
      <c r="L240" s="2" t="s">
        <v>2873</v>
      </c>
      <c r="M240" s="2">
        <v>103</v>
      </c>
      <c r="N240" s="2">
        <v>3</v>
      </c>
      <c r="O240" s="2" t="s">
        <v>3094</v>
      </c>
    </row>
    <row r="241" spans="1:15">
      <c r="A241" s="2" t="s">
        <v>145</v>
      </c>
      <c r="B241" s="2" t="s">
        <v>146</v>
      </c>
      <c r="C241" s="2" t="s">
        <v>76</v>
      </c>
      <c r="D241" s="2" t="s">
        <v>2904</v>
      </c>
      <c r="E241" s="2" t="s">
        <v>32</v>
      </c>
      <c r="F241" s="2" t="s">
        <v>33</v>
      </c>
      <c r="G241" s="2" t="s">
        <v>44</v>
      </c>
      <c r="H241" s="2" t="s">
        <v>152</v>
      </c>
      <c r="I241" s="2">
        <v>0.5</v>
      </c>
      <c r="J241" s="2" t="s">
        <v>2871</v>
      </c>
      <c r="K241" s="2" t="s">
        <v>2956</v>
      </c>
      <c r="L241" s="2" t="s">
        <v>2873</v>
      </c>
      <c r="M241" s="2">
        <v>298</v>
      </c>
      <c r="N241" s="2">
        <v>32</v>
      </c>
      <c r="O241" s="2" t="s">
        <v>3095</v>
      </c>
    </row>
    <row r="242" spans="1:15">
      <c r="A242" s="2" t="s">
        <v>145</v>
      </c>
      <c r="B242" s="2" t="s">
        <v>146</v>
      </c>
      <c r="C242" s="2" t="s">
        <v>76</v>
      </c>
      <c r="D242" s="2" t="s">
        <v>2904</v>
      </c>
      <c r="E242" s="2" t="s">
        <v>32</v>
      </c>
      <c r="F242" s="2" t="s">
        <v>33</v>
      </c>
      <c r="G242" s="2" t="s">
        <v>44</v>
      </c>
      <c r="H242" s="2" t="s">
        <v>152</v>
      </c>
      <c r="I242" s="2">
        <v>0.5</v>
      </c>
      <c r="J242" s="2" t="s">
        <v>2871</v>
      </c>
      <c r="K242" s="2" t="s">
        <v>2958</v>
      </c>
      <c r="L242" s="2" t="s">
        <v>2873</v>
      </c>
      <c r="M242" s="2">
        <v>154</v>
      </c>
      <c r="N242" s="2">
        <v>1</v>
      </c>
      <c r="O242" s="2" t="s">
        <v>3096</v>
      </c>
    </row>
    <row r="243" spans="1:15">
      <c r="A243" s="2" t="s">
        <v>145</v>
      </c>
      <c r="B243" s="2" t="s">
        <v>146</v>
      </c>
      <c r="C243" s="2" t="s">
        <v>76</v>
      </c>
      <c r="D243" s="2" t="s">
        <v>2904</v>
      </c>
      <c r="E243" s="2" t="s">
        <v>32</v>
      </c>
      <c r="F243" s="2" t="s">
        <v>33</v>
      </c>
      <c r="G243" s="2" t="s">
        <v>44</v>
      </c>
      <c r="H243" s="2" t="s">
        <v>152</v>
      </c>
      <c r="I243" s="2">
        <v>0.5</v>
      </c>
      <c r="J243" s="2" t="s">
        <v>2871</v>
      </c>
      <c r="K243" s="2" t="s">
        <v>2952</v>
      </c>
      <c r="L243" s="2" t="s">
        <v>2873</v>
      </c>
      <c r="M243" s="2">
        <v>257</v>
      </c>
      <c r="N243" s="2">
        <v>3</v>
      </c>
      <c r="O243" s="2" t="s">
        <v>3097</v>
      </c>
    </row>
    <row r="244" spans="1:15">
      <c r="A244" s="2" t="s">
        <v>145</v>
      </c>
      <c r="B244" s="2" t="s">
        <v>146</v>
      </c>
      <c r="C244" s="2" t="s">
        <v>76</v>
      </c>
      <c r="D244" s="2" t="s">
        <v>2904</v>
      </c>
      <c r="E244" s="2" t="s">
        <v>32</v>
      </c>
      <c r="F244" s="2" t="s">
        <v>33</v>
      </c>
      <c r="G244" s="2" t="s">
        <v>44</v>
      </c>
      <c r="H244" s="2" t="s">
        <v>152</v>
      </c>
      <c r="I244" s="2">
        <v>0.5</v>
      </c>
      <c r="J244" s="2" t="s">
        <v>2871</v>
      </c>
      <c r="K244" s="2" t="s">
        <v>2954</v>
      </c>
      <c r="L244" s="2" t="s">
        <v>2873</v>
      </c>
      <c r="M244" s="2">
        <v>220</v>
      </c>
      <c r="N244" s="2">
        <v>2</v>
      </c>
      <c r="O244" s="2" t="s">
        <v>2987</v>
      </c>
    </row>
    <row r="245" spans="1:15">
      <c r="A245" s="2" t="s">
        <v>153</v>
      </c>
      <c r="B245" s="2" t="s">
        <v>154</v>
      </c>
      <c r="C245" s="2" t="s">
        <v>155</v>
      </c>
      <c r="D245" s="2" t="s">
        <v>2870</v>
      </c>
      <c r="E245" s="2" t="s">
        <v>14</v>
      </c>
      <c r="F245" s="2" t="s">
        <v>15</v>
      </c>
      <c r="G245" s="2" t="s">
        <v>16</v>
      </c>
      <c r="H245" s="2" t="s">
        <v>156</v>
      </c>
      <c r="I245" s="2">
        <v>1.5</v>
      </c>
      <c r="J245" s="2" t="s">
        <v>3098</v>
      </c>
      <c r="K245" s="2" t="s">
        <v>3099</v>
      </c>
      <c r="L245" s="2" t="s">
        <v>2873</v>
      </c>
      <c r="M245" s="2">
        <v>26</v>
      </c>
      <c r="N245" s="2">
        <v>89</v>
      </c>
      <c r="O245" s="2" t="s">
        <v>3100</v>
      </c>
    </row>
    <row r="246" spans="1:15">
      <c r="A246" s="2" t="s">
        <v>153</v>
      </c>
      <c r="B246" s="2" t="s">
        <v>154</v>
      </c>
      <c r="C246" s="2" t="s">
        <v>155</v>
      </c>
      <c r="D246" s="2" t="s">
        <v>2882</v>
      </c>
      <c r="E246" s="2" t="s">
        <v>19</v>
      </c>
      <c r="F246" s="2" t="s">
        <v>15</v>
      </c>
      <c r="G246" s="2" t="s">
        <v>16</v>
      </c>
      <c r="H246" s="2" t="s">
        <v>157</v>
      </c>
      <c r="I246" s="2">
        <v>1.33</v>
      </c>
      <c r="J246" s="2" t="s">
        <v>3098</v>
      </c>
      <c r="K246" s="2" t="s">
        <v>3099</v>
      </c>
      <c r="L246" s="2" t="s">
        <v>2873</v>
      </c>
      <c r="M246" s="2">
        <v>26</v>
      </c>
      <c r="N246" s="2">
        <v>69</v>
      </c>
      <c r="O246" s="2" t="s">
        <v>3101</v>
      </c>
    </row>
    <row r="247" spans="1:15">
      <c r="A247" s="2" t="s">
        <v>153</v>
      </c>
      <c r="B247" s="2" t="s">
        <v>154</v>
      </c>
      <c r="C247" s="2" t="s">
        <v>155</v>
      </c>
      <c r="D247" s="2" t="s">
        <v>2886</v>
      </c>
      <c r="E247" s="2" t="s">
        <v>23</v>
      </c>
      <c r="F247" s="2" t="s">
        <v>15</v>
      </c>
      <c r="G247" s="2" t="s">
        <v>16</v>
      </c>
      <c r="H247" s="2" t="s">
        <v>158</v>
      </c>
      <c r="I247" s="2">
        <v>1.5</v>
      </c>
      <c r="J247" s="2" t="s">
        <v>3098</v>
      </c>
      <c r="K247" s="2" t="s">
        <v>3099</v>
      </c>
      <c r="L247" s="2" t="s">
        <v>2873</v>
      </c>
      <c r="M247" s="2">
        <v>26</v>
      </c>
      <c r="N247" s="2">
        <v>85</v>
      </c>
      <c r="O247" s="2" t="s">
        <v>3102</v>
      </c>
    </row>
    <row r="248" spans="1:15">
      <c r="A248" s="2" t="s">
        <v>153</v>
      </c>
      <c r="B248" s="2" t="s">
        <v>154</v>
      </c>
      <c r="C248" s="2" t="s">
        <v>155</v>
      </c>
      <c r="D248" s="2" t="s">
        <v>2896</v>
      </c>
      <c r="E248" s="2" t="s">
        <v>26</v>
      </c>
      <c r="F248" s="2" t="s">
        <v>15</v>
      </c>
      <c r="G248" s="2" t="s">
        <v>20</v>
      </c>
      <c r="H248" s="2" t="s">
        <v>159</v>
      </c>
      <c r="I248" s="2">
        <v>1</v>
      </c>
      <c r="J248" s="2" t="s">
        <v>3098</v>
      </c>
      <c r="K248" s="2" t="s">
        <v>3099</v>
      </c>
      <c r="L248" s="2" t="s">
        <v>2873</v>
      </c>
      <c r="M248" s="2">
        <v>26</v>
      </c>
      <c r="N248" s="2">
        <v>37</v>
      </c>
      <c r="O248" s="2" t="s">
        <v>3103</v>
      </c>
    </row>
    <row r="249" spans="1:15">
      <c r="A249" s="2" t="s">
        <v>153</v>
      </c>
      <c r="B249" s="2" t="s">
        <v>154</v>
      </c>
      <c r="C249" s="2" t="s">
        <v>155</v>
      </c>
      <c r="D249" s="2" t="s">
        <v>2901</v>
      </c>
      <c r="E249" s="2" t="s">
        <v>29</v>
      </c>
      <c r="F249" s="2" t="s">
        <v>15</v>
      </c>
      <c r="G249" s="2" t="s">
        <v>20</v>
      </c>
      <c r="H249" s="2" t="s">
        <v>160</v>
      </c>
      <c r="I249" s="2">
        <v>1</v>
      </c>
      <c r="J249" s="2" t="s">
        <v>3098</v>
      </c>
      <c r="K249" s="2" t="s">
        <v>3099</v>
      </c>
      <c r="L249" s="2" t="s">
        <v>2873</v>
      </c>
      <c r="M249" s="2">
        <v>26</v>
      </c>
      <c r="N249" s="2">
        <v>36</v>
      </c>
      <c r="O249" s="2" t="s">
        <v>3104</v>
      </c>
    </row>
    <row r="250" spans="1:15">
      <c r="A250" s="2" t="s">
        <v>153</v>
      </c>
      <c r="B250" s="2" t="s">
        <v>154</v>
      </c>
      <c r="C250" s="2" t="s">
        <v>155</v>
      </c>
      <c r="D250" s="2" t="s">
        <v>2904</v>
      </c>
      <c r="E250" s="2" t="s">
        <v>32</v>
      </c>
      <c r="F250" s="2" t="s">
        <v>33</v>
      </c>
      <c r="G250" s="2" t="s">
        <v>44</v>
      </c>
      <c r="H250" s="2" t="s">
        <v>161</v>
      </c>
      <c r="I250" s="2">
        <v>0.5</v>
      </c>
      <c r="J250" s="2" t="s">
        <v>3098</v>
      </c>
      <c r="K250" s="2" t="s">
        <v>3099</v>
      </c>
      <c r="L250" s="2" t="s">
        <v>2873</v>
      </c>
      <c r="M250" s="2">
        <v>26</v>
      </c>
      <c r="N250" s="2">
        <v>3</v>
      </c>
      <c r="O250" s="2" t="s">
        <v>2895</v>
      </c>
    </row>
    <row r="251" spans="1:15">
      <c r="A251" s="2" t="s">
        <v>162</v>
      </c>
      <c r="B251" s="2" t="s">
        <v>163</v>
      </c>
      <c r="C251" s="2" t="s">
        <v>11</v>
      </c>
      <c r="D251" s="2" t="s">
        <v>2870</v>
      </c>
      <c r="E251" s="2" t="s">
        <v>14</v>
      </c>
      <c r="F251" s="2" t="s">
        <v>15</v>
      </c>
      <c r="G251" s="2" t="s">
        <v>16</v>
      </c>
      <c r="H251" s="2" t="s">
        <v>164</v>
      </c>
      <c r="I251" s="2">
        <v>1.5</v>
      </c>
      <c r="J251" s="2" t="s">
        <v>2879</v>
      </c>
      <c r="K251" s="2" t="s">
        <v>2894</v>
      </c>
      <c r="L251" s="2" t="s">
        <v>2873</v>
      </c>
      <c r="M251" s="2">
        <v>26</v>
      </c>
      <c r="N251" s="2">
        <v>32</v>
      </c>
      <c r="O251" s="2" t="s">
        <v>3105</v>
      </c>
    </row>
    <row r="252" spans="1:15">
      <c r="A252" s="2" t="s">
        <v>162</v>
      </c>
      <c r="B252" s="2" t="s">
        <v>163</v>
      </c>
      <c r="C252" s="2" t="s">
        <v>11</v>
      </c>
      <c r="D252" s="2" t="s">
        <v>2870</v>
      </c>
      <c r="E252" s="2" t="s">
        <v>14</v>
      </c>
      <c r="F252" s="2" t="s">
        <v>15</v>
      </c>
      <c r="G252" s="2" t="s">
        <v>16</v>
      </c>
      <c r="H252" s="2" t="s">
        <v>164</v>
      </c>
      <c r="I252" s="2">
        <v>1.5</v>
      </c>
      <c r="J252" s="2" t="s">
        <v>2871</v>
      </c>
      <c r="K252" s="2" t="s">
        <v>2872</v>
      </c>
      <c r="L252" s="2" t="s">
        <v>2873</v>
      </c>
      <c r="M252" s="2">
        <v>35</v>
      </c>
      <c r="N252" s="2">
        <v>52</v>
      </c>
      <c r="O252" s="2" t="s">
        <v>3106</v>
      </c>
    </row>
    <row r="253" spans="1:15">
      <c r="A253" s="2" t="s">
        <v>162</v>
      </c>
      <c r="B253" s="2" t="s">
        <v>163</v>
      </c>
      <c r="C253" s="2" t="s">
        <v>11</v>
      </c>
      <c r="D253" s="2" t="s">
        <v>2870</v>
      </c>
      <c r="E253" s="2" t="s">
        <v>14</v>
      </c>
      <c r="F253" s="2" t="s">
        <v>15</v>
      </c>
      <c r="G253" s="2" t="s">
        <v>16</v>
      </c>
      <c r="H253" s="2" t="s">
        <v>164</v>
      </c>
      <c r="I253" s="2">
        <v>1.5</v>
      </c>
      <c r="J253" s="2" t="s">
        <v>2871</v>
      </c>
      <c r="K253" s="2" t="s">
        <v>2875</v>
      </c>
      <c r="L253" s="2" t="s">
        <v>2873</v>
      </c>
      <c r="M253" s="2">
        <v>36</v>
      </c>
      <c r="N253" s="2">
        <v>301</v>
      </c>
      <c r="O253" s="2" t="s">
        <v>3107</v>
      </c>
    </row>
    <row r="254" spans="1:15">
      <c r="A254" s="2" t="s">
        <v>162</v>
      </c>
      <c r="B254" s="2" t="s">
        <v>163</v>
      </c>
      <c r="C254" s="2" t="s">
        <v>11</v>
      </c>
      <c r="D254" s="2" t="s">
        <v>2870</v>
      </c>
      <c r="E254" s="2" t="s">
        <v>14</v>
      </c>
      <c r="F254" s="2" t="s">
        <v>15</v>
      </c>
      <c r="G254" s="2" t="s">
        <v>16</v>
      </c>
      <c r="H254" s="2" t="s">
        <v>164</v>
      </c>
      <c r="I254" s="2">
        <v>1.5</v>
      </c>
      <c r="J254" s="2" t="s">
        <v>2887</v>
      </c>
      <c r="K254" s="2" t="s">
        <v>2979</v>
      </c>
      <c r="L254" s="2" t="s">
        <v>2873</v>
      </c>
      <c r="M254" s="2">
        <v>205</v>
      </c>
      <c r="N254" s="2">
        <v>920</v>
      </c>
      <c r="O254" s="2" t="s">
        <v>3108</v>
      </c>
    </row>
    <row r="255" spans="1:15">
      <c r="A255" s="2" t="s">
        <v>162</v>
      </c>
      <c r="B255" s="2" t="s">
        <v>163</v>
      </c>
      <c r="C255" s="2" t="s">
        <v>11</v>
      </c>
      <c r="D255" s="2" t="s">
        <v>2870</v>
      </c>
      <c r="E255" s="2" t="s">
        <v>14</v>
      </c>
      <c r="F255" s="2" t="s">
        <v>15</v>
      </c>
      <c r="G255" s="2" t="s">
        <v>16</v>
      </c>
      <c r="H255" s="2" t="s">
        <v>164</v>
      </c>
      <c r="I255" s="2">
        <v>1.5</v>
      </c>
      <c r="J255" s="2" t="s">
        <v>2887</v>
      </c>
      <c r="K255" s="2" t="s">
        <v>2890</v>
      </c>
      <c r="L255" s="2" t="s">
        <v>2873</v>
      </c>
      <c r="M255" s="2">
        <v>205</v>
      </c>
      <c r="N255" s="2">
        <v>480</v>
      </c>
      <c r="O255" s="2" t="s">
        <v>3109</v>
      </c>
    </row>
    <row r="256" spans="1:15">
      <c r="A256" s="2" t="s">
        <v>162</v>
      </c>
      <c r="B256" s="2" t="s">
        <v>163</v>
      </c>
      <c r="C256" s="2" t="s">
        <v>11</v>
      </c>
      <c r="D256" s="2" t="s">
        <v>2882</v>
      </c>
      <c r="E256" s="2" t="s">
        <v>19</v>
      </c>
      <c r="F256" s="2" t="s">
        <v>15</v>
      </c>
      <c r="G256" s="2" t="s">
        <v>16</v>
      </c>
      <c r="H256" s="2" t="s">
        <v>165</v>
      </c>
      <c r="I256" s="2">
        <v>1.5</v>
      </c>
      <c r="J256" s="2" t="s">
        <v>2887</v>
      </c>
      <c r="K256" s="2" t="s">
        <v>2890</v>
      </c>
      <c r="L256" s="2" t="s">
        <v>2873</v>
      </c>
      <c r="M256" s="2">
        <v>205</v>
      </c>
      <c r="N256" s="2">
        <v>720</v>
      </c>
      <c r="O256" s="2" t="s">
        <v>3110</v>
      </c>
    </row>
    <row r="257" spans="1:15">
      <c r="A257" s="2" t="s">
        <v>162</v>
      </c>
      <c r="B257" s="2" t="s">
        <v>163</v>
      </c>
      <c r="C257" s="2" t="s">
        <v>11</v>
      </c>
      <c r="D257" s="2" t="s">
        <v>2882</v>
      </c>
      <c r="E257" s="2" t="s">
        <v>19</v>
      </c>
      <c r="F257" s="2" t="s">
        <v>15</v>
      </c>
      <c r="G257" s="2" t="s">
        <v>16</v>
      </c>
      <c r="H257" s="2" t="s">
        <v>165</v>
      </c>
      <c r="I257" s="2">
        <v>1.5</v>
      </c>
      <c r="J257" s="2" t="s">
        <v>2887</v>
      </c>
      <c r="K257" s="2" t="s">
        <v>2979</v>
      </c>
      <c r="L257" s="2" t="s">
        <v>2873</v>
      </c>
      <c r="M257" s="2">
        <v>205</v>
      </c>
      <c r="N257" s="2">
        <v>1322</v>
      </c>
      <c r="O257" s="2" t="s">
        <v>3111</v>
      </c>
    </row>
    <row r="258" spans="1:15">
      <c r="A258" s="2" t="s">
        <v>162</v>
      </c>
      <c r="B258" s="2" t="s">
        <v>163</v>
      </c>
      <c r="C258" s="2" t="s">
        <v>11</v>
      </c>
      <c r="D258" s="2" t="s">
        <v>2882</v>
      </c>
      <c r="E258" s="2" t="s">
        <v>19</v>
      </c>
      <c r="F258" s="2" t="s">
        <v>15</v>
      </c>
      <c r="G258" s="2" t="s">
        <v>16</v>
      </c>
      <c r="H258" s="2" t="s">
        <v>165</v>
      </c>
      <c r="I258" s="2">
        <v>1.5</v>
      </c>
      <c r="J258" s="2" t="s">
        <v>2871</v>
      </c>
      <c r="K258" s="2" t="s">
        <v>2875</v>
      </c>
      <c r="L258" s="2" t="s">
        <v>2873</v>
      </c>
      <c r="M258" s="2">
        <v>36</v>
      </c>
      <c r="N258" s="2">
        <v>302</v>
      </c>
      <c r="O258" s="2" t="s">
        <v>3112</v>
      </c>
    </row>
    <row r="259" spans="1:15">
      <c r="A259" s="2" t="s">
        <v>162</v>
      </c>
      <c r="B259" s="2" t="s">
        <v>163</v>
      </c>
      <c r="C259" s="2" t="s">
        <v>11</v>
      </c>
      <c r="D259" s="2" t="s">
        <v>2882</v>
      </c>
      <c r="E259" s="2" t="s">
        <v>19</v>
      </c>
      <c r="F259" s="2" t="s">
        <v>15</v>
      </c>
      <c r="G259" s="2" t="s">
        <v>16</v>
      </c>
      <c r="H259" s="2" t="s">
        <v>165</v>
      </c>
      <c r="I259" s="2">
        <v>1.5</v>
      </c>
      <c r="J259" s="2" t="s">
        <v>2871</v>
      </c>
      <c r="K259" s="2" t="s">
        <v>2872</v>
      </c>
      <c r="L259" s="2" t="s">
        <v>2873</v>
      </c>
      <c r="M259" s="2">
        <v>35</v>
      </c>
      <c r="N259" s="2">
        <v>63</v>
      </c>
      <c r="O259" s="2" t="s">
        <v>2933</v>
      </c>
    </row>
    <row r="260" spans="1:15">
      <c r="A260" s="2" t="s">
        <v>162</v>
      </c>
      <c r="B260" s="2" t="s">
        <v>163</v>
      </c>
      <c r="C260" s="2" t="s">
        <v>11</v>
      </c>
      <c r="D260" s="2" t="s">
        <v>2882</v>
      </c>
      <c r="E260" s="2" t="s">
        <v>19</v>
      </c>
      <c r="F260" s="2" t="s">
        <v>15</v>
      </c>
      <c r="G260" s="2" t="s">
        <v>16</v>
      </c>
      <c r="H260" s="2" t="s">
        <v>165</v>
      </c>
      <c r="I260" s="2">
        <v>1.5</v>
      </c>
      <c r="J260" s="2" t="s">
        <v>2879</v>
      </c>
      <c r="K260" s="2" t="s">
        <v>2894</v>
      </c>
      <c r="L260" s="2" t="s">
        <v>2873</v>
      </c>
      <c r="M260" s="2">
        <v>26</v>
      </c>
      <c r="N260" s="2">
        <v>37</v>
      </c>
      <c r="O260" s="2" t="s">
        <v>3103</v>
      </c>
    </row>
    <row r="261" spans="1:15">
      <c r="A261" s="2" t="s">
        <v>162</v>
      </c>
      <c r="B261" s="2" t="s">
        <v>163</v>
      </c>
      <c r="C261" s="2" t="s">
        <v>11</v>
      </c>
      <c r="D261" s="2" t="s">
        <v>2886</v>
      </c>
      <c r="E261" s="2" t="s">
        <v>23</v>
      </c>
      <c r="F261" s="2" t="s">
        <v>15</v>
      </c>
      <c r="G261" s="2" t="s">
        <v>16</v>
      </c>
      <c r="H261" s="2" t="s">
        <v>166</v>
      </c>
      <c r="I261" s="2">
        <v>1.5</v>
      </c>
      <c r="J261" s="2" t="s">
        <v>2879</v>
      </c>
      <c r="K261" s="2" t="s">
        <v>2894</v>
      </c>
      <c r="L261" s="2" t="s">
        <v>2873</v>
      </c>
      <c r="M261" s="2">
        <v>26</v>
      </c>
      <c r="N261" s="2">
        <v>34</v>
      </c>
      <c r="O261" s="2" t="s">
        <v>3113</v>
      </c>
    </row>
    <row r="262" spans="1:15">
      <c r="A262" s="2" t="s">
        <v>162</v>
      </c>
      <c r="B262" s="2" t="s">
        <v>163</v>
      </c>
      <c r="C262" s="2" t="s">
        <v>11</v>
      </c>
      <c r="D262" s="2" t="s">
        <v>2886</v>
      </c>
      <c r="E262" s="2" t="s">
        <v>23</v>
      </c>
      <c r="F262" s="2" t="s">
        <v>15</v>
      </c>
      <c r="G262" s="2" t="s">
        <v>16</v>
      </c>
      <c r="H262" s="2" t="s">
        <v>166</v>
      </c>
      <c r="I262" s="2">
        <v>1.5</v>
      </c>
      <c r="J262" s="2" t="s">
        <v>2887</v>
      </c>
      <c r="K262" s="2" t="s">
        <v>2977</v>
      </c>
      <c r="L262" s="2" t="s">
        <v>2873</v>
      </c>
      <c r="M262" s="2">
        <v>205</v>
      </c>
      <c r="N262" s="2">
        <v>406</v>
      </c>
      <c r="O262" s="2" t="s">
        <v>3114</v>
      </c>
    </row>
    <row r="263" spans="1:15">
      <c r="A263" s="2" t="s">
        <v>162</v>
      </c>
      <c r="B263" s="2" t="s">
        <v>163</v>
      </c>
      <c r="C263" s="2" t="s">
        <v>11</v>
      </c>
      <c r="D263" s="2" t="s">
        <v>2886</v>
      </c>
      <c r="E263" s="2" t="s">
        <v>23</v>
      </c>
      <c r="F263" s="2" t="s">
        <v>15</v>
      </c>
      <c r="G263" s="2" t="s">
        <v>16</v>
      </c>
      <c r="H263" s="2" t="s">
        <v>166</v>
      </c>
      <c r="I263" s="2">
        <v>1.5</v>
      </c>
      <c r="J263" s="2" t="s">
        <v>2887</v>
      </c>
      <c r="K263" s="2" t="s">
        <v>2890</v>
      </c>
      <c r="L263" s="2" t="s">
        <v>2873</v>
      </c>
      <c r="M263" s="2">
        <v>205</v>
      </c>
      <c r="N263" s="2">
        <v>4053</v>
      </c>
      <c r="O263" s="2" t="s">
        <v>3115</v>
      </c>
    </row>
    <row r="264" spans="1:15">
      <c r="A264" s="2" t="s">
        <v>162</v>
      </c>
      <c r="B264" s="2" t="s">
        <v>163</v>
      </c>
      <c r="C264" s="2" t="s">
        <v>11</v>
      </c>
      <c r="D264" s="2" t="s">
        <v>2886</v>
      </c>
      <c r="E264" s="2" t="s">
        <v>23</v>
      </c>
      <c r="F264" s="2" t="s">
        <v>15</v>
      </c>
      <c r="G264" s="2" t="s">
        <v>16</v>
      </c>
      <c r="H264" s="2" t="s">
        <v>166</v>
      </c>
      <c r="I264" s="2">
        <v>1.5</v>
      </c>
      <c r="J264" s="2" t="s">
        <v>2887</v>
      </c>
      <c r="K264" s="2" t="s">
        <v>2979</v>
      </c>
      <c r="L264" s="2" t="s">
        <v>2873</v>
      </c>
      <c r="M264" s="2">
        <v>205</v>
      </c>
      <c r="N264" s="2">
        <v>3985</v>
      </c>
      <c r="O264" s="2" t="s">
        <v>3116</v>
      </c>
    </row>
    <row r="265" spans="1:15">
      <c r="A265" s="2" t="s">
        <v>162</v>
      </c>
      <c r="B265" s="2" t="s">
        <v>163</v>
      </c>
      <c r="C265" s="2" t="s">
        <v>11</v>
      </c>
      <c r="D265" s="2" t="s">
        <v>2886</v>
      </c>
      <c r="E265" s="2" t="s">
        <v>23</v>
      </c>
      <c r="F265" s="2" t="s">
        <v>15</v>
      </c>
      <c r="G265" s="2" t="s">
        <v>16</v>
      </c>
      <c r="H265" s="2" t="s">
        <v>166</v>
      </c>
      <c r="I265" s="2">
        <v>1.5</v>
      </c>
      <c r="J265" s="2" t="s">
        <v>2871</v>
      </c>
      <c r="K265" s="2" t="s">
        <v>2875</v>
      </c>
      <c r="L265" s="2" t="s">
        <v>2873</v>
      </c>
      <c r="M265" s="2">
        <v>36</v>
      </c>
      <c r="N265" s="2">
        <v>12</v>
      </c>
      <c r="O265" s="2" t="s">
        <v>2928</v>
      </c>
    </row>
    <row r="266" spans="1:15">
      <c r="A266" s="2" t="s">
        <v>162</v>
      </c>
      <c r="B266" s="2" t="s">
        <v>163</v>
      </c>
      <c r="C266" s="2" t="s">
        <v>11</v>
      </c>
      <c r="D266" s="2" t="s">
        <v>2886</v>
      </c>
      <c r="E266" s="2" t="s">
        <v>23</v>
      </c>
      <c r="F266" s="2" t="s">
        <v>15</v>
      </c>
      <c r="G266" s="2" t="s">
        <v>16</v>
      </c>
      <c r="H266" s="2" t="s">
        <v>166</v>
      </c>
      <c r="I266" s="2">
        <v>1.5</v>
      </c>
      <c r="J266" s="2" t="s">
        <v>2871</v>
      </c>
      <c r="K266" s="2" t="s">
        <v>2872</v>
      </c>
      <c r="L266" s="2" t="s">
        <v>2873</v>
      </c>
      <c r="M266" s="2">
        <v>35</v>
      </c>
      <c r="N266" s="2">
        <v>48</v>
      </c>
      <c r="O266" s="2" t="s">
        <v>3117</v>
      </c>
    </row>
    <row r="267" spans="1:15">
      <c r="A267" s="2" t="s">
        <v>162</v>
      </c>
      <c r="B267" s="2" t="s">
        <v>163</v>
      </c>
      <c r="C267" s="2" t="s">
        <v>11</v>
      </c>
      <c r="D267" s="2" t="s">
        <v>2896</v>
      </c>
      <c r="E267" s="2" t="s">
        <v>26</v>
      </c>
      <c r="F267" s="2" t="s">
        <v>15</v>
      </c>
      <c r="G267" s="2" t="s">
        <v>16</v>
      </c>
      <c r="H267" s="2" t="s">
        <v>167</v>
      </c>
      <c r="I267" s="2">
        <v>1.5</v>
      </c>
      <c r="J267" s="2" t="s">
        <v>2887</v>
      </c>
      <c r="K267" s="2" t="s">
        <v>2890</v>
      </c>
      <c r="L267" s="2" t="s">
        <v>2873</v>
      </c>
      <c r="M267" s="2">
        <v>205</v>
      </c>
      <c r="N267" s="2">
        <v>609</v>
      </c>
      <c r="O267" s="2" t="s">
        <v>3118</v>
      </c>
    </row>
    <row r="268" spans="1:15">
      <c r="A268" s="2" t="s">
        <v>162</v>
      </c>
      <c r="B268" s="2" t="s">
        <v>163</v>
      </c>
      <c r="C268" s="2" t="s">
        <v>11</v>
      </c>
      <c r="D268" s="2" t="s">
        <v>2896</v>
      </c>
      <c r="E268" s="2" t="s">
        <v>26</v>
      </c>
      <c r="F268" s="2" t="s">
        <v>15</v>
      </c>
      <c r="G268" s="2" t="s">
        <v>16</v>
      </c>
      <c r="H268" s="2" t="s">
        <v>167</v>
      </c>
      <c r="I268" s="2">
        <v>1.5</v>
      </c>
      <c r="J268" s="2" t="s">
        <v>2887</v>
      </c>
      <c r="K268" s="2" t="s">
        <v>2979</v>
      </c>
      <c r="L268" s="2" t="s">
        <v>2873</v>
      </c>
      <c r="M268" s="2">
        <v>205</v>
      </c>
      <c r="N268" s="2">
        <v>861</v>
      </c>
      <c r="O268" s="2" t="s">
        <v>3119</v>
      </c>
    </row>
    <row r="269" spans="1:15">
      <c r="A269" s="2" t="s">
        <v>162</v>
      </c>
      <c r="B269" s="2" t="s">
        <v>163</v>
      </c>
      <c r="C269" s="2" t="s">
        <v>11</v>
      </c>
      <c r="D269" s="2" t="s">
        <v>2896</v>
      </c>
      <c r="E269" s="2" t="s">
        <v>26</v>
      </c>
      <c r="F269" s="2" t="s">
        <v>15</v>
      </c>
      <c r="G269" s="2" t="s">
        <v>16</v>
      </c>
      <c r="H269" s="2" t="s">
        <v>167</v>
      </c>
      <c r="I269" s="2">
        <v>1.5</v>
      </c>
      <c r="J269" s="2" t="s">
        <v>2871</v>
      </c>
      <c r="K269" s="2" t="s">
        <v>2875</v>
      </c>
      <c r="L269" s="2" t="s">
        <v>2873</v>
      </c>
      <c r="M269" s="2">
        <v>36</v>
      </c>
      <c r="N269" s="2">
        <v>9</v>
      </c>
      <c r="O269" s="2" t="s">
        <v>2891</v>
      </c>
    </row>
    <row r="270" spans="1:15">
      <c r="A270" s="2" t="s">
        <v>162</v>
      </c>
      <c r="B270" s="2" t="s">
        <v>163</v>
      </c>
      <c r="C270" s="2" t="s">
        <v>11</v>
      </c>
      <c r="D270" s="2" t="s">
        <v>2896</v>
      </c>
      <c r="E270" s="2" t="s">
        <v>26</v>
      </c>
      <c r="F270" s="2" t="s">
        <v>15</v>
      </c>
      <c r="G270" s="2" t="s">
        <v>16</v>
      </c>
      <c r="H270" s="2" t="s">
        <v>167</v>
      </c>
      <c r="I270" s="2">
        <v>1.5</v>
      </c>
      <c r="J270" s="2" t="s">
        <v>2871</v>
      </c>
      <c r="K270" s="2" t="s">
        <v>2872</v>
      </c>
      <c r="L270" s="2" t="s">
        <v>2873</v>
      </c>
      <c r="M270" s="2">
        <v>35</v>
      </c>
      <c r="N270" s="2">
        <v>9</v>
      </c>
      <c r="O270" s="2" t="s">
        <v>3120</v>
      </c>
    </row>
    <row r="271" spans="1:15">
      <c r="A271" s="2" t="s">
        <v>162</v>
      </c>
      <c r="B271" s="2" t="s">
        <v>163</v>
      </c>
      <c r="C271" s="2" t="s">
        <v>11</v>
      </c>
      <c r="D271" s="2" t="s">
        <v>2896</v>
      </c>
      <c r="E271" s="2" t="s">
        <v>26</v>
      </c>
      <c r="F271" s="2" t="s">
        <v>15</v>
      </c>
      <c r="G271" s="2" t="s">
        <v>16</v>
      </c>
      <c r="H271" s="2" t="s">
        <v>167</v>
      </c>
      <c r="I271" s="2">
        <v>1.5</v>
      </c>
      <c r="J271" s="2" t="s">
        <v>2879</v>
      </c>
      <c r="K271" s="2" t="s">
        <v>2894</v>
      </c>
      <c r="L271" s="2" t="s">
        <v>2873</v>
      </c>
      <c r="M271" s="2">
        <v>26</v>
      </c>
      <c r="N271" s="2">
        <v>37</v>
      </c>
      <c r="O271" s="2" t="s">
        <v>3103</v>
      </c>
    </row>
    <row r="272" spans="1:15">
      <c r="A272" s="2" t="s">
        <v>162</v>
      </c>
      <c r="B272" s="2" t="s">
        <v>163</v>
      </c>
      <c r="C272" s="2" t="s">
        <v>11</v>
      </c>
      <c r="D272" s="2" t="s">
        <v>2901</v>
      </c>
      <c r="E272" s="2" t="s">
        <v>29</v>
      </c>
      <c r="F272" s="2" t="s">
        <v>15</v>
      </c>
      <c r="G272" s="2" t="s">
        <v>16</v>
      </c>
      <c r="H272" s="2" t="s">
        <v>168</v>
      </c>
      <c r="I272" s="2">
        <v>1.5</v>
      </c>
      <c r="J272" s="2" t="s">
        <v>2871</v>
      </c>
      <c r="K272" s="2" t="s">
        <v>2875</v>
      </c>
      <c r="L272" s="2" t="s">
        <v>2873</v>
      </c>
      <c r="M272" s="2">
        <v>36</v>
      </c>
      <c r="N272" s="2">
        <v>3</v>
      </c>
      <c r="O272" s="2" t="s">
        <v>3121</v>
      </c>
    </row>
    <row r="273" spans="1:15">
      <c r="A273" s="2" t="s">
        <v>162</v>
      </c>
      <c r="B273" s="2" t="s">
        <v>163</v>
      </c>
      <c r="C273" s="2" t="s">
        <v>11</v>
      </c>
      <c r="D273" s="2" t="s">
        <v>2901</v>
      </c>
      <c r="E273" s="2" t="s">
        <v>29</v>
      </c>
      <c r="F273" s="2" t="s">
        <v>15</v>
      </c>
      <c r="G273" s="2" t="s">
        <v>16</v>
      </c>
      <c r="H273" s="2" t="s">
        <v>168</v>
      </c>
      <c r="I273" s="2">
        <v>1.5</v>
      </c>
      <c r="J273" s="2" t="s">
        <v>2879</v>
      </c>
      <c r="K273" s="2" t="s">
        <v>2894</v>
      </c>
      <c r="L273" s="2" t="s">
        <v>2873</v>
      </c>
      <c r="M273" s="2">
        <v>26</v>
      </c>
      <c r="N273" s="2">
        <v>5</v>
      </c>
      <c r="O273" s="2" t="s">
        <v>3122</v>
      </c>
    </row>
    <row r="274" spans="1:15">
      <c r="A274" s="2" t="s">
        <v>162</v>
      </c>
      <c r="B274" s="2" t="s">
        <v>163</v>
      </c>
      <c r="C274" s="2" t="s">
        <v>11</v>
      </c>
      <c r="D274" s="2" t="s">
        <v>2901</v>
      </c>
      <c r="E274" s="2" t="s">
        <v>29</v>
      </c>
      <c r="F274" s="2" t="s">
        <v>15</v>
      </c>
      <c r="G274" s="2" t="s">
        <v>16</v>
      </c>
      <c r="H274" s="2" t="s">
        <v>168</v>
      </c>
      <c r="I274" s="2">
        <v>1.5</v>
      </c>
      <c r="J274" s="2" t="s">
        <v>2887</v>
      </c>
      <c r="K274" s="2" t="s">
        <v>2888</v>
      </c>
      <c r="L274" s="2" t="s">
        <v>2873</v>
      </c>
      <c r="M274" s="2">
        <v>205</v>
      </c>
      <c r="N274" s="2">
        <v>245</v>
      </c>
      <c r="O274" s="2" t="s">
        <v>3123</v>
      </c>
    </row>
    <row r="275" spans="1:15">
      <c r="A275" s="2" t="s">
        <v>162</v>
      </c>
      <c r="B275" s="2" t="s">
        <v>163</v>
      </c>
      <c r="C275" s="2" t="s">
        <v>11</v>
      </c>
      <c r="D275" s="2" t="s">
        <v>2901</v>
      </c>
      <c r="E275" s="2" t="s">
        <v>29</v>
      </c>
      <c r="F275" s="2" t="s">
        <v>15</v>
      </c>
      <c r="G275" s="2" t="s">
        <v>16</v>
      </c>
      <c r="H275" s="2" t="s">
        <v>168</v>
      </c>
      <c r="I275" s="2">
        <v>1.5</v>
      </c>
      <c r="J275" s="2" t="s">
        <v>2887</v>
      </c>
      <c r="K275" s="2" t="s">
        <v>2890</v>
      </c>
      <c r="L275" s="2" t="s">
        <v>2873</v>
      </c>
      <c r="M275" s="2">
        <v>205</v>
      </c>
      <c r="N275" s="2">
        <v>259</v>
      </c>
      <c r="O275" s="2" t="s">
        <v>3124</v>
      </c>
    </row>
    <row r="276" spans="1:15">
      <c r="A276" s="2" t="s">
        <v>162</v>
      </c>
      <c r="B276" s="2" t="s">
        <v>163</v>
      </c>
      <c r="C276" s="2" t="s">
        <v>11</v>
      </c>
      <c r="D276" s="2" t="s">
        <v>2901</v>
      </c>
      <c r="E276" s="2" t="s">
        <v>29</v>
      </c>
      <c r="F276" s="2" t="s">
        <v>15</v>
      </c>
      <c r="G276" s="2" t="s">
        <v>16</v>
      </c>
      <c r="H276" s="2" t="s">
        <v>168</v>
      </c>
      <c r="I276" s="2">
        <v>1.5</v>
      </c>
      <c r="J276" s="2" t="s">
        <v>2887</v>
      </c>
      <c r="K276" s="2" t="s">
        <v>2979</v>
      </c>
      <c r="L276" s="2" t="s">
        <v>2873</v>
      </c>
      <c r="M276" s="2">
        <v>205</v>
      </c>
      <c r="N276" s="2">
        <v>240</v>
      </c>
      <c r="O276" s="2" t="s">
        <v>3125</v>
      </c>
    </row>
    <row r="277" spans="1:15">
      <c r="A277" s="2" t="s">
        <v>162</v>
      </c>
      <c r="B277" s="2" t="s">
        <v>163</v>
      </c>
      <c r="C277" s="2" t="s">
        <v>11</v>
      </c>
      <c r="D277" s="2" t="s">
        <v>2904</v>
      </c>
      <c r="E277" s="2" t="s">
        <v>32</v>
      </c>
      <c r="F277" s="2" t="s">
        <v>33</v>
      </c>
      <c r="G277" s="2" t="s">
        <v>44</v>
      </c>
      <c r="H277" s="2" t="s">
        <v>169</v>
      </c>
      <c r="I277" s="2">
        <v>0.5</v>
      </c>
      <c r="J277" s="2" t="s">
        <v>2871</v>
      </c>
      <c r="K277" s="2" t="s">
        <v>2872</v>
      </c>
      <c r="L277" s="2" t="s">
        <v>2873</v>
      </c>
      <c r="M277" s="2">
        <v>35</v>
      </c>
      <c r="N277" s="2">
        <v>1</v>
      </c>
      <c r="O277" s="2" t="s">
        <v>3126</v>
      </c>
    </row>
    <row r="278" spans="1:15">
      <c r="A278" s="2" t="s">
        <v>162</v>
      </c>
      <c r="B278" s="2" t="s">
        <v>163</v>
      </c>
      <c r="C278" s="2" t="s">
        <v>11</v>
      </c>
      <c r="D278" s="2" t="s">
        <v>2904</v>
      </c>
      <c r="E278" s="2" t="s">
        <v>32</v>
      </c>
      <c r="F278" s="2" t="s">
        <v>33</v>
      </c>
      <c r="G278" s="2" t="s">
        <v>44</v>
      </c>
      <c r="H278" s="2" t="s">
        <v>169</v>
      </c>
      <c r="I278" s="2">
        <v>0.5</v>
      </c>
      <c r="J278" s="2" t="s">
        <v>2871</v>
      </c>
      <c r="K278" s="2" t="s">
        <v>2875</v>
      </c>
      <c r="L278" s="2" t="s">
        <v>2873</v>
      </c>
      <c r="M278" s="2">
        <v>36</v>
      </c>
      <c r="N278" s="2">
        <v>12</v>
      </c>
      <c r="O278" s="2" t="s">
        <v>2928</v>
      </c>
    </row>
    <row r="279" spans="1:15">
      <c r="A279" s="2" t="s">
        <v>170</v>
      </c>
      <c r="B279" s="2" t="s">
        <v>171</v>
      </c>
      <c r="C279" s="2" t="s">
        <v>11</v>
      </c>
      <c r="D279" s="2" t="s">
        <v>2870</v>
      </c>
      <c r="E279" s="2" t="s">
        <v>122</v>
      </c>
      <c r="F279" s="2" t="s">
        <v>15</v>
      </c>
      <c r="G279" s="2" t="s">
        <v>16</v>
      </c>
      <c r="H279" s="2" t="s">
        <v>131</v>
      </c>
      <c r="I279" s="2">
        <v>1.1499999999999999</v>
      </c>
      <c r="J279" s="2" t="s">
        <v>2871</v>
      </c>
      <c r="K279" s="2" t="s">
        <v>2875</v>
      </c>
      <c r="L279" s="2" t="s">
        <v>2873</v>
      </c>
      <c r="M279" s="2">
        <v>36</v>
      </c>
      <c r="N279" s="2">
        <v>9</v>
      </c>
      <c r="O279" s="2" t="s">
        <v>2891</v>
      </c>
    </row>
    <row r="280" spans="1:15">
      <c r="A280" s="2" t="s">
        <v>170</v>
      </c>
      <c r="B280" s="2" t="s">
        <v>171</v>
      </c>
      <c r="C280" s="2" t="s">
        <v>11</v>
      </c>
      <c r="D280" s="2" t="s">
        <v>2870</v>
      </c>
      <c r="E280" s="2" t="s">
        <v>122</v>
      </c>
      <c r="F280" s="2" t="s">
        <v>15</v>
      </c>
      <c r="G280" s="2" t="s">
        <v>16</v>
      </c>
      <c r="H280" s="2" t="s">
        <v>131</v>
      </c>
      <c r="I280" s="2">
        <v>1.1499999999999999</v>
      </c>
      <c r="J280" s="2" t="s">
        <v>2871</v>
      </c>
      <c r="K280" s="2" t="s">
        <v>2872</v>
      </c>
      <c r="L280" s="2" t="s">
        <v>2873</v>
      </c>
      <c r="M280" s="2">
        <v>35</v>
      </c>
      <c r="N280" s="2">
        <v>16</v>
      </c>
      <c r="O280" s="2" t="s">
        <v>2932</v>
      </c>
    </row>
    <row r="281" spans="1:15">
      <c r="A281" s="2" t="s">
        <v>170</v>
      </c>
      <c r="B281" s="2" t="s">
        <v>171</v>
      </c>
      <c r="C281" s="2" t="s">
        <v>11</v>
      </c>
      <c r="D281" s="2" t="s">
        <v>2870</v>
      </c>
      <c r="E281" s="2" t="s">
        <v>122</v>
      </c>
      <c r="F281" s="2" t="s">
        <v>15</v>
      </c>
      <c r="G281" s="2" t="s">
        <v>16</v>
      </c>
      <c r="H281" s="2" t="s">
        <v>131</v>
      </c>
      <c r="I281" s="2">
        <v>1.1499999999999999</v>
      </c>
      <c r="J281" s="2" t="s">
        <v>2871</v>
      </c>
      <c r="K281" s="2" t="s">
        <v>2877</v>
      </c>
      <c r="L281" s="2" t="s">
        <v>2873</v>
      </c>
      <c r="M281" s="2">
        <v>32</v>
      </c>
      <c r="N281" s="2">
        <v>51</v>
      </c>
      <c r="O281" s="2" t="s">
        <v>3127</v>
      </c>
    </row>
    <row r="282" spans="1:15">
      <c r="A282" s="2" t="s">
        <v>170</v>
      </c>
      <c r="B282" s="2" t="s">
        <v>171</v>
      </c>
      <c r="C282" s="2" t="s">
        <v>11</v>
      </c>
      <c r="D282" s="2" t="s">
        <v>2882</v>
      </c>
      <c r="E282" s="2" t="s">
        <v>124</v>
      </c>
      <c r="F282" s="2" t="s">
        <v>15</v>
      </c>
      <c r="G282" s="2" t="s">
        <v>16</v>
      </c>
      <c r="H282" s="2" t="s">
        <v>172</v>
      </c>
      <c r="I282" s="2">
        <v>1.44</v>
      </c>
      <c r="J282" s="2" t="s">
        <v>2871</v>
      </c>
      <c r="K282" s="2" t="s">
        <v>2875</v>
      </c>
      <c r="L282" s="2" t="s">
        <v>2873</v>
      </c>
      <c r="M282" s="2">
        <v>36</v>
      </c>
      <c r="N282" s="2">
        <v>54</v>
      </c>
      <c r="O282" s="2" t="s">
        <v>2974</v>
      </c>
    </row>
    <row r="283" spans="1:15">
      <c r="A283" s="2" t="s">
        <v>170</v>
      </c>
      <c r="B283" s="2" t="s">
        <v>171</v>
      </c>
      <c r="C283" s="2" t="s">
        <v>11</v>
      </c>
      <c r="D283" s="2" t="s">
        <v>2882</v>
      </c>
      <c r="E283" s="2" t="s">
        <v>124</v>
      </c>
      <c r="F283" s="2" t="s">
        <v>15</v>
      </c>
      <c r="G283" s="2" t="s">
        <v>16</v>
      </c>
      <c r="H283" s="2" t="s">
        <v>172</v>
      </c>
      <c r="I283" s="2">
        <v>1.44</v>
      </c>
      <c r="J283" s="2" t="s">
        <v>2871</v>
      </c>
      <c r="K283" s="2" t="s">
        <v>2872</v>
      </c>
      <c r="L283" s="2" t="s">
        <v>2873</v>
      </c>
      <c r="M283" s="2">
        <v>35</v>
      </c>
      <c r="N283" s="2">
        <v>47</v>
      </c>
      <c r="O283" s="2" t="s">
        <v>3128</v>
      </c>
    </row>
    <row r="284" spans="1:15">
      <c r="A284" s="2" t="s">
        <v>170</v>
      </c>
      <c r="B284" s="2" t="s">
        <v>171</v>
      </c>
      <c r="C284" s="2" t="s">
        <v>11</v>
      </c>
      <c r="D284" s="2" t="s">
        <v>2882</v>
      </c>
      <c r="E284" s="2" t="s">
        <v>124</v>
      </c>
      <c r="F284" s="2" t="s">
        <v>15</v>
      </c>
      <c r="G284" s="2" t="s">
        <v>16</v>
      </c>
      <c r="H284" s="2" t="s">
        <v>172</v>
      </c>
      <c r="I284" s="2">
        <v>1.44</v>
      </c>
      <c r="J284" s="2" t="s">
        <v>2871</v>
      </c>
      <c r="K284" s="2" t="s">
        <v>2877</v>
      </c>
      <c r="L284" s="2" t="s">
        <v>2873</v>
      </c>
      <c r="M284" s="2">
        <v>32</v>
      </c>
      <c r="N284" s="2">
        <v>1</v>
      </c>
      <c r="O284" s="2" t="s">
        <v>3129</v>
      </c>
    </row>
    <row r="285" spans="1:15">
      <c r="A285" s="2" t="s">
        <v>170</v>
      </c>
      <c r="B285" s="2" t="s">
        <v>171</v>
      </c>
      <c r="C285" s="2" t="s">
        <v>11</v>
      </c>
      <c r="D285" s="2" t="s">
        <v>2886</v>
      </c>
      <c r="E285" s="2" t="s">
        <v>126</v>
      </c>
      <c r="F285" s="2" t="s">
        <v>15</v>
      </c>
      <c r="G285" s="2" t="s">
        <v>16</v>
      </c>
      <c r="H285" s="2" t="s">
        <v>173</v>
      </c>
      <c r="I285" s="2">
        <v>1.5</v>
      </c>
      <c r="J285" s="2" t="s">
        <v>2879</v>
      </c>
      <c r="K285" s="2" t="s">
        <v>2894</v>
      </c>
      <c r="L285" s="2" t="s">
        <v>2873</v>
      </c>
      <c r="M285" s="2">
        <v>26</v>
      </c>
      <c r="N285" s="2">
        <v>13</v>
      </c>
      <c r="O285" s="2" t="s">
        <v>3130</v>
      </c>
    </row>
    <row r="286" spans="1:15">
      <c r="A286" s="2" t="s">
        <v>170</v>
      </c>
      <c r="B286" s="2" t="s">
        <v>171</v>
      </c>
      <c r="C286" s="2" t="s">
        <v>11</v>
      </c>
      <c r="D286" s="2" t="s">
        <v>2886</v>
      </c>
      <c r="E286" s="2" t="s">
        <v>126</v>
      </c>
      <c r="F286" s="2" t="s">
        <v>15</v>
      </c>
      <c r="G286" s="2" t="s">
        <v>16</v>
      </c>
      <c r="H286" s="2" t="s">
        <v>173</v>
      </c>
      <c r="I286" s="2">
        <v>1.5</v>
      </c>
      <c r="J286" s="2" t="s">
        <v>2871</v>
      </c>
      <c r="K286" s="2" t="s">
        <v>2877</v>
      </c>
      <c r="L286" s="2" t="s">
        <v>2873</v>
      </c>
      <c r="M286" s="2">
        <v>32</v>
      </c>
      <c r="N286" s="2">
        <v>79</v>
      </c>
      <c r="O286" s="2" t="s">
        <v>3131</v>
      </c>
    </row>
    <row r="287" spans="1:15">
      <c r="A287" s="2" t="s">
        <v>170</v>
      </c>
      <c r="B287" s="2" t="s">
        <v>171</v>
      </c>
      <c r="C287" s="2" t="s">
        <v>11</v>
      </c>
      <c r="D287" s="2" t="s">
        <v>2886</v>
      </c>
      <c r="E287" s="2" t="s">
        <v>126</v>
      </c>
      <c r="F287" s="2" t="s">
        <v>15</v>
      </c>
      <c r="G287" s="2" t="s">
        <v>16</v>
      </c>
      <c r="H287" s="2" t="s">
        <v>173</v>
      </c>
      <c r="I287" s="2">
        <v>1.5</v>
      </c>
      <c r="J287" s="2" t="s">
        <v>2871</v>
      </c>
      <c r="K287" s="2" t="s">
        <v>2872</v>
      </c>
      <c r="L287" s="2" t="s">
        <v>2873</v>
      </c>
      <c r="M287" s="2">
        <v>35</v>
      </c>
      <c r="N287" s="2">
        <v>29</v>
      </c>
      <c r="O287" s="2" t="s">
        <v>3132</v>
      </c>
    </row>
    <row r="288" spans="1:15">
      <c r="A288" s="2" t="s">
        <v>170</v>
      </c>
      <c r="B288" s="2" t="s">
        <v>171</v>
      </c>
      <c r="C288" s="2" t="s">
        <v>11</v>
      </c>
      <c r="D288" s="2" t="s">
        <v>2886</v>
      </c>
      <c r="E288" s="2" t="s">
        <v>126</v>
      </c>
      <c r="F288" s="2" t="s">
        <v>15</v>
      </c>
      <c r="G288" s="2" t="s">
        <v>16</v>
      </c>
      <c r="H288" s="2" t="s">
        <v>173</v>
      </c>
      <c r="I288" s="2">
        <v>1.5</v>
      </c>
      <c r="J288" s="2" t="s">
        <v>2871</v>
      </c>
      <c r="K288" s="2" t="s">
        <v>2875</v>
      </c>
      <c r="L288" s="2" t="s">
        <v>2873</v>
      </c>
      <c r="M288" s="2">
        <v>36</v>
      </c>
      <c r="N288" s="2">
        <v>13</v>
      </c>
      <c r="O288" s="2" t="s">
        <v>3133</v>
      </c>
    </row>
    <row r="289" spans="1:15">
      <c r="A289" s="2" t="s">
        <v>170</v>
      </c>
      <c r="B289" s="2" t="s">
        <v>171</v>
      </c>
      <c r="C289" s="2" t="s">
        <v>11</v>
      </c>
      <c r="D289" s="2" t="s">
        <v>2896</v>
      </c>
      <c r="E289" s="2" t="s">
        <v>128</v>
      </c>
      <c r="F289" s="2" t="s">
        <v>15</v>
      </c>
      <c r="G289" s="2" t="s">
        <v>16</v>
      </c>
      <c r="H289" s="2" t="s">
        <v>174</v>
      </c>
      <c r="I289" s="2">
        <v>1.5</v>
      </c>
      <c r="J289" s="2" t="s">
        <v>2871</v>
      </c>
      <c r="K289" s="2" t="s">
        <v>2875</v>
      </c>
      <c r="L289" s="2" t="s">
        <v>2873</v>
      </c>
      <c r="M289" s="2">
        <v>36</v>
      </c>
      <c r="N289" s="2">
        <v>21</v>
      </c>
      <c r="O289" s="2" t="s">
        <v>3134</v>
      </c>
    </row>
    <row r="290" spans="1:15">
      <c r="A290" s="2" t="s">
        <v>170</v>
      </c>
      <c r="B290" s="2" t="s">
        <v>171</v>
      </c>
      <c r="C290" s="2" t="s">
        <v>11</v>
      </c>
      <c r="D290" s="2" t="s">
        <v>2896</v>
      </c>
      <c r="E290" s="2" t="s">
        <v>128</v>
      </c>
      <c r="F290" s="2" t="s">
        <v>15</v>
      </c>
      <c r="G290" s="2" t="s">
        <v>16</v>
      </c>
      <c r="H290" s="2" t="s">
        <v>174</v>
      </c>
      <c r="I290" s="2">
        <v>1.5</v>
      </c>
      <c r="J290" s="2" t="s">
        <v>2871</v>
      </c>
      <c r="K290" s="2" t="s">
        <v>2872</v>
      </c>
      <c r="L290" s="2" t="s">
        <v>2873</v>
      </c>
      <c r="M290" s="2">
        <v>35</v>
      </c>
      <c r="N290" s="2">
        <v>28</v>
      </c>
      <c r="O290" s="2" t="s">
        <v>2925</v>
      </c>
    </row>
    <row r="291" spans="1:15">
      <c r="A291" s="2" t="s">
        <v>170</v>
      </c>
      <c r="B291" s="2" t="s">
        <v>171</v>
      </c>
      <c r="C291" s="2" t="s">
        <v>11</v>
      </c>
      <c r="D291" s="2" t="s">
        <v>2896</v>
      </c>
      <c r="E291" s="2" t="s">
        <v>128</v>
      </c>
      <c r="F291" s="2" t="s">
        <v>15</v>
      </c>
      <c r="G291" s="2" t="s">
        <v>16</v>
      </c>
      <c r="H291" s="2" t="s">
        <v>174</v>
      </c>
      <c r="I291" s="2">
        <v>1.5</v>
      </c>
      <c r="J291" s="2" t="s">
        <v>2871</v>
      </c>
      <c r="K291" s="2" t="s">
        <v>2877</v>
      </c>
      <c r="L291" s="2" t="s">
        <v>2873</v>
      </c>
      <c r="M291" s="2">
        <v>32</v>
      </c>
      <c r="N291" s="2">
        <v>17</v>
      </c>
      <c r="O291" s="2" t="s">
        <v>3135</v>
      </c>
    </row>
    <row r="292" spans="1:15">
      <c r="A292" s="2" t="s">
        <v>170</v>
      </c>
      <c r="B292" s="2" t="s">
        <v>171</v>
      </c>
      <c r="C292" s="2" t="s">
        <v>11</v>
      </c>
      <c r="D292" s="2" t="s">
        <v>2896</v>
      </c>
      <c r="E292" s="2" t="s">
        <v>128</v>
      </c>
      <c r="F292" s="2" t="s">
        <v>15</v>
      </c>
      <c r="G292" s="2" t="s">
        <v>16</v>
      </c>
      <c r="H292" s="2" t="s">
        <v>174</v>
      </c>
      <c r="I292" s="2">
        <v>1.5</v>
      </c>
      <c r="J292" s="2" t="s">
        <v>2879</v>
      </c>
      <c r="K292" s="2" t="s">
        <v>2894</v>
      </c>
      <c r="L292" s="2" t="s">
        <v>2873</v>
      </c>
      <c r="M292" s="2">
        <v>26</v>
      </c>
      <c r="N292" s="2">
        <v>60</v>
      </c>
      <c r="O292" s="2" t="s">
        <v>3136</v>
      </c>
    </row>
    <row r="293" spans="1:15">
      <c r="A293" s="2" t="s">
        <v>170</v>
      </c>
      <c r="B293" s="2" t="s">
        <v>171</v>
      </c>
      <c r="C293" s="2" t="s">
        <v>11</v>
      </c>
      <c r="D293" s="2" t="s">
        <v>2896</v>
      </c>
      <c r="E293" s="2" t="s">
        <v>128</v>
      </c>
      <c r="F293" s="2" t="s">
        <v>15</v>
      </c>
      <c r="G293" s="2" t="s">
        <v>16</v>
      </c>
      <c r="H293" s="2" t="s">
        <v>174</v>
      </c>
      <c r="I293" s="2">
        <v>1.5</v>
      </c>
      <c r="J293" s="2" t="s">
        <v>2879</v>
      </c>
      <c r="K293" s="2" t="s">
        <v>2880</v>
      </c>
      <c r="L293" s="2" t="s">
        <v>2873</v>
      </c>
      <c r="M293" s="2">
        <v>13</v>
      </c>
      <c r="N293" s="2">
        <v>6</v>
      </c>
      <c r="O293" s="2" t="s">
        <v>2907</v>
      </c>
    </row>
    <row r="294" spans="1:15">
      <c r="A294" s="2" t="s">
        <v>170</v>
      </c>
      <c r="B294" s="2" t="s">
        <v>171</v>
      </c>
      <c r="C294" s="2" t="s">
        <v>11</v>
      </c>
      <c r="D294" s="2" t="s">
        <v>2901</v>
      </c>
      <c r="E294" s="2" t="s">
        <v>130</v>
      </c>
      <c r="F294" s="2" t="s">
        <v>15</v>
      </c>
      <c r="G294" s="2" t="s">
        <v>16</v>
      </c>
      <c r="H294" s="2" t="s">
        <v>175</v>
      </c>
      <c r="I294" s="2">
        <v>1.5</v>
      </c>
      <c r="J294" s="2" t="s">
        <v>2871</v>
      </c>
      <c r="K294" s="2" t="s">
        <v>2875</v>
      </c>
      <c r="L294" s="2" t="s">
        <v>2873</v>
      </c>
      <c r="M294" s="2">
        <v>36</v>
      </c>
      <c r="N294" s="2">
        <v>11</v>
      </c>
      <c r="O294" s="2" t="s">
        <v>2900</v>
      </c>
    </row>
    <row r="295" spans="1:15">
      <c r="A295" s="2" t="s">
        <v>170</v>
      </c>
      <c r="B295" s="2" t="s">
        <v>171</v>
      </c>
      <c r="C295" s="2" t="s">
        <v>11</v>
      </c>
      <c r="D295" s="2" t="s">
        <v>2901</v>
      </c>
      <c r="E295" s="2" t="s">
        <v>130</v>
      </c>
      <c r="F295" s="2" t="s">
        <v>15</v>
      </c>
      <c r="G295" s="2" t="s">
        <v>16</v>
      </c>
      <c r="H295" s="2" t="s">
        <v>175</v>
      </c>
      <c r="I295" s="2">
        <v>1.5</v>
      </c>
      <c r="J295" s="2" t="s">
        <v>2871</v>
      </c>
      <c r="K295" s="2" t="s">
        <v>2872</v>
      </c>
      <c r="L295" s="2" t="s">
        <v>2873</v>
      </c>
      <c r="M295" s="2">
        <v>35</v>
      </c>
      <c r="N295" s="2">
        <v>23</v>
      </c>
      <c r="O295" s="2" t="s">
        <v>3137</v>
      </c>
    </row>
    <row r="296" spans="1:15">
      <c r="A296" s="2" t="s">
        <v>170</v>
      </c>
      <c r="B296" s="2" t="s">
        <v>171</v>
      </c>
      <c r="C296" s="2" t="s">
        <v>11</v>
      </c>
      <c r="D296" s="2" t="s">
        <v>2901</v>
      </c>
      <c r="E296" s="2" t="s">
        <v>130</v>
      </c>
      <c r="F296" s="2" t="s">
        <v>15</v>
      </c>
      <c r="G296" s="2" t="s">
        <v>16</v>
      </c>
      <c r="H296" s="2" t="s">
        <v>175</v>
      </c>
      <c r="I296" s="2">
        <v>1.5</v>
      </c>
      <c r="J296" s="2" t="s">
        <v>2871</v>
      </c>
      <c r="K296" s="2" t="s">
        <v>2877</v>
      </c>
      <c r="L296" s="2" t="s">
        <v>2873</v>
      </c>
      <c r="M296" s="2">
        <v>32</v>
      </c>
      <c r="N296" s="2">
        <v>15</v>
      </c>
      <c r="O296" s="2" t="s">
        <v>3138</v>
      </c>
    </row>
    <row r="297" spans="1:15">
      <c r="A297" s="2" t="s">
        <v>170</v>
      </c>
      <c r="B297" s="2" t="s">
        <v>171</v>
      </c>
      <c r="C297" s="2" t="s">
        <v>11</v>
      </c>
      <c r="D297" s="2" t="s">
        <v>2901</v>
      </c>
      <c r="E297" s="2" t="s">
        <v>130</v>
      </c>
      <c r="F297" s="2" t="s">
        <v>15</v>
      </c>
      <c r="G297" s="2" t="s">
        <v>16</v>
      </c>
      <c r="H297" s="2" t="s">
        <v>175</v>
      </c>
      <c r="I297" s="2">
        <v>1.5</v>
      </c>
      <c r="J297" s="2" t="s">
        <v>2879</v>
      </c>
      <c r="K297" s="2" t="s">
        <v>2894</v>
      </c>
      <c r="L297" s="2" t="s">
        <v>2873</v>
      </c>
      <c r="M297" s="2">
        <v>26</v>
      </c>
      <c r="N297" s="2">
        <v>35</v>
      </c>
      <c r="O297" s="2" t="s">
        <v>3139</v>
      </c>
    </row>
    <row r="298" spans="1:15">
      <c r="A298" s="2" t="s">
        <v>170</v>
      </c>
      <c r="B298" s="2" t="s">
        <v>171</v>
      </c>
      <c r="C298" s="2" t="s">
        <v>11</v>
      </c>
      <c r="D298" s="2" t="s">
        <v>2901</v>
      </c>
      <c r="E298" s="2" t="s">
        <v>130</v>
      </c>
      <c r="F298" s="2" t="s">
        <v>15</v>
      </c>
      <c r="G298" s="2" t="s">
        <v>16</v>
      </c>
      <c r="H298" s="2" t="s">
        <v>175</v>
      </c>
      <c r="I298" s="2">
        <v>1.5</v>
      </c>
      <c r="J298" s="2" t="s">
        <v>2879</v>
      </c>
      <c r="K298" s="2" t="s">
        <v>2880</v>
      </c>
      <c r="L298" s="2" t="s">
        <v>2873</v>
      </c>
      <c r="M298" s="2">
        <v>13</v>
      </c>
      <c r="N298" s="2">
        <v>5</v>
      </c>
      <c r="O298" s="2" t="s">
        <v>3140</v>
      </c>
    </row>
    <row r="299" spans="1:15">
      <c r="A299" s="2" t="s">
        <v>170</v>
      </c>
      <c r="B299" s="2" t="s">
        <v>171</v>
      </c>
      <c r="C299" s="2" t="s">
        <v>11</v>
      </c>
      <c r="D299" s="2" t="s">
        <v>2904</v>
      </c>
      <c r="E299" s="2" t="s">
        <v>132</v>
      </c>
      <c r="F299" s="2" t="s">
        <v>33</v>
      </c>
      <c r="G299" s="2" t="s">
        <v>20</v>
      </c>
      <c r="H299" s="2" t="s">
        <v>176</v>
      </c>
      <c r="I299" s="2">
        <v>1</v>
      </c>
      <c r="J299" s="2" t="s">
        <v>2871</v>
      </c>
      <c r="K299" s="2" t="s">
        <v>2872</v>
      </c>
      <c r="L299" s="2" t="s">
        <v>2873</v>
      </c>
      <c r="M299" s="2">
        <v>35</v>
      </c>
      <c r="N299" s="2">
        <v>2</v>
      </c>
      <c r="O299" s="2" t="s">
        <v>2874</v>
      </c>
    </row>
    <row r="300" spans="1:15">
      <c r="A300" s="2" t="s">
        <v>170</v>
      </c>
      <c r="B300" s="2" t="s">
        <v>171</v>
      </c>
      <c r="C300" s="2" t="s">
        <v>11</v>
      </c>
      <c r="D300" s="2" t="s">
        <v>2904</v>
      </c>
      <c r="E300" s="2" t="s">
        <v>132</v>
      </c>
      <c r="F300" s="2" t="s">
        <v>33</v>
      </c>
      <c r="G300" s="2" t="s">
        <v>20</v>
      </c>
      <c r="H300" s="2" t="s">
        <v>176</v>
      </c>
      <c r="I300" s="2">
        <v>1</v>
      </c>
      <c r="J300" s="2" t="s">
        <v>2871</v>
      </c>
      <c r="K300" s="2" t="s">
        <v>2877</v>
      </c>
      <c r="L300" s="2" t="s">
        <v>2873</v>
      </c>
      <c r="M300" s="2">
        <v>32</v>
      </c>
      <c r="N300" s="2">
        <v>29</v>
      </c>
      <c r="O300" s="2" t="s">
        <v>3141</v>
      </c>
    </row>
    <row r="301" spans="1:15">
      <c r="A301" s="2" t="s">
        <v>170</v>
      </c>
      <c r="B301" s="2" t="s">
        <v>171</v>
      </c>
      <c r="C301" s="2" t="s">
        <v>11</v>
      </c>
      <c r="D301" s="2" t="s">
        <v>2904</v>
      </c>
      <c r="E301" s="2" t="s">
        <v>132</v>
      </c>
      <c r="F301" s="2" t="s">
        <v>33</v>
      </c>
      <c r="G301" s="2" t="s">
        <v>20</v>
      </c>
      <c r="H301" s="2" t="s">
        <v>176</v>
      </c>
      <c r="I301" s="2">
        <v>1</v>
      </c>
      <c r="J301" s="2" t="s">
        <v>2871</v>
      </c>
      <c r="K301" s="2" t="s">
        <v>2875</v>
      </c>
      <c r="L301" s="2" t="s">
        <v>2873</v>
      </c>
      <c r="M301" s="2">
        <v>36</v>
      </c>
      <c r="N301" s="2">
        <v>2</v>
      </c>
      <c r="O301" s="2" t="s">
        <v>2876</v>
      </c>
    </row>
    <row r="302" spans="1:15">
      <c r="A302" s="2" t="s">
        <v>177</v>
      </c>
      <c r="B302" s="2" t="s">
        <v>178</v>
      </c>
      <c r="C302" s="2" t="s">
        <v>76</v>
      </c>
      <c r="D302" s="2" t="s">
        <v>2870</v>
      </c>
      <c r="E302" s="2" t="s">
        <v>14</v>
      </c>
      <c r="F302" s="2" t="s">
        <v>15</v>
      </c>
      <c r="G302" s="2" t="s">
        <v>16</v>
      </c>
      <c r="H302" s="2" t="s">
        <v>179</v>
      </c>
      <c r="I302" s="2">
        <v>1.03</v>
      </c>
      <c r="J302" s="2" t="s">
        <v>2947</v>
      </c>
      <c r="K302" s="2" t="s">
        <v>2948</v>
      </c>
      <c r="L302" s="2" t="s">
        <v>2873</v>
      </c>
      <c r="M302" s="2">
        <v>110</v>
      </c>
      <c r="N302" s="2">
        <v>5</v>
      </c>
      <c r="O302" s="2" t="s">
        <v>3068</v>
      </c>
    </row>
    <row r="303" spans="1:15">
      <c r="A303" s="2" t="s">
        <v>177</v>
      </c>
      <c r="B303" s="2" t="s">
        <v>178</v>
      </c>
      <c r="C303" s="2" t="s">
        <v>76</v>
      </c>
      <c r="D303" s="2" t="s">
        <v>2870</v>
      </c>
      <c r="E303" s="2" t="s">
        <v>14</v>
      </c>
      <c r="F303" s="2" t="s">
        <v>15</v>
      </c>
      <c r="G303" s="2" t="s">
        <v>16</v>
      </c>
      <c r="H303" s="2" t="s">
        <v>179</v>
      </c>
      <c r="I303" s="2">
        <v>1.03</v>
      </c>
      <c r="J303" s="2" t="s">
        <v>2947</v>
      </c>
      <c r="K303" s="2" t="s">
        <v>2988</v>
      </c>
      <c r="L303" s="2" t="s">
        <v>2873</v>
      </c>
      <c r="M303" s="2">
        <v>103</v>
      </c>
      <c r="N303" s="2">
        <v>32</v>
      </c>
      <c r="O303" s="2" t="s">
        <v>3142</v>
      </c>
    </row>
    <row r="304" spans="1:15">
      <c r="A304" s="2" t="s">
        <v>177</v>
      </c>
      <c r="B304" s="2" t="s">
        <v>178</v>
      </c>
      <c r="C304" s="2" t="s">
        <v>76</v>
      </c>
      <c r="D304" s="2" t="s">
        <v>2870</v>
      </c>
      <c r="E304" s="2" t="s">
        <v>14</v>
      </c>
      <c r="F304" s="2" t="s">
        <v>15</v>
      </c>
      <c r="G304" s="2" t="s">
        <v>16</v>
      </c>
      <c r="H304" s="2" t="s">
        <v>179</v>
      </c>
      <c r="I304" s="2">
        <v>1.03</v>
      </c>
      <c r="J304" s="2" t="s">
        <v>2871</v>
      </c>
      <c r="K304" s="2" t="s">
        <v>2954</v>
      </c>
      <c r="L304" s="2" t="s">
        <v>2873</v>
      </c>
      <c r="M304" s="2">
        <v>220</v>
      </c>
      <c r="N304" s="2">
        <v>153</v>
      </c>
      <c r="O304" s="2" t="s">
        <v>3143</v>
      </c>
    </row>
    <row r="305" spans="1:15">
      <c r="A305" s="2" t="s">
        <v>177</v>
      </c>
      <c r="B305" s="2" t="s">
        <v>178</v>
      </c>
      <c r="C305" s="2" t="s">
        <v>76</v>
      </c>
      <c r="D305" s="2" t="s">
        <v>2870</v>
      </c>
      <c r="E305" s="2" t="s">
        <v>14</v>
      </c>
      <c r="F305" s="2" t="s">
        <v>15</v>
      </c>
      <c r="G305" s="2" t="s">
        <v>16</v>
      </c>
      <c r="H305" s="2" t="s">
        <v>179</v>
      </c>
      <c r="I305" s="2">
        <v>1.03</v>
      </c>
      <c r="J305" s="2" t="s">
        <v>2871</v>
      </c>
      <c r="K305" s="2" t="s">
        <v>2956</v>
      </c>
      <c r="L305" s="2" t="s">
        <v>2873</v>
      </c>
      <c r="M305" s="2">
        <v>298</v>
      </c>
      <c r="N305" s="2">
        <v>221</v>
      </c>
      <c r="O305" s="2" t="s">
        <v>3144</v>
      </c>
    </row>
    <row r="306" spans="1:15">
      <c r="A306" s="2" t="s">
        <v>177</v>
      </c>
      <c r="B306" s="2" t="s">
        <v>178</v>
      </c>
      <c r="C306" s="2" t="s">
        <v>76</v>
      </c>
      <c r="D306" s="2" t="s">
        <v>2870</v>
      </c>
      <c r="E306" s="2" t="s">
        <v>14</v>
      </c>
      <c r="F306" s="2" t="s">
        <v>15</v>
      </c>
      <c r="G306" s="2" t="s">
        <v>16</v>
      </c>
      <c r="H306" s="2" t="s">
        <v>179</v>
      </c>
      <c r="I306" s="2">
        <v>1.03</v>
      </c>
      <c r="J306" s="2" t="s">
        <v>2887</v>
      </c>
      <c r="K306" s="2" t="s">
        <v>2992</v>
      </c>
      <c r="L306" s="2" t="s">
        <v>2873</v>
      </c>
      <c r="M306" s="2">
        <v>220</v>
      </c>
      <c r="N306" s="2">
        <v>59</v>
      </c>
      <c r="O306" s="2" t="s">
        <v>3145</v>
      </c>
    </row>
    <row r="307" spans="1:15">
      <c r="A307" s="2" t="s">
        <v>177</v>
      </c>
      <c r="B307" s="2" t="s">
        <v>178</v>
      </c>
      <c r="C307" s="2" t="s">
        <v>76</v>
      </c>
      <c r="D307" s="2" t="s">
        <v>2882</v>
      </c>
      <c r="E307" s="2" t="s">
        <v>19</v>
      </c>
      <c r="F307" s="2" t="s">
        <v>15</v>
      </c>
      <c r="G307" s="2" t="s">
        <v>20</v>
      </c>
      <c r="H307" s="2" t="s">
        <v>180</v>
      </c>
      <c r="I307" s="2">
        <v>1</v>
      </c>
      <c r="J307" s="2" t="s">
        <v>2947</v>
      </c>
      <c r="K307" s="2" t="s">
        <v>2948</v>
      </c>
      <c r="L307" s="2" t="s">
        <v>2873</v>
      </c>
      <c r="M307" s="2">
        <v>110</v>
      </c>
      <c r="N307" s="2">
        <v>3</v>
      </c>
      <c r="O307" s="2" t="s">
        <v>3146</v>
      </c>
    </row>
    <row r="308" spans="1:15">
      <c r="A308" s="2" t="s">
        <v>177</v>
      </c>
      <c r="B308" s="2" t="s">
        <v>178</v>
      </c>
      <c r="C308" s="2" t="s">
        <v>76</v>
      </c>
      <c r="D308" s="2" t="s">
        <v>2882</v>
      </c>
      <c r="E308" s="2" t="s">
        <v>19</v>
      </c>
      <c r="F308" s="2" t="s">
        <v>15</v>
      </c>
      <c r="G308" s="2" t="s">
        <v>20</v>
      </c>
      <c r="H308" s="2" t="s">
        <v>180</v>
      </c>
      <c r="I308" s="2">
        <v>1</v>
      </c>
      <c r="J308" s="2" t="s">
        <v>2947</v>
      </c>
      <c r="K308" s="2" t="s">
        <v>2988</v>
      </c>
      <c r="L308" s="2" t="s">
        <v>2873</v>
      </c>
      <c r="M308" s="2">
        <v>103</v>
      </c>
      <c r="N308" s="2">
        <v>29</v>
      </c>
      <c r="O308" s="2" t="s">
        <v>3147</v>
      </c>
    </row>
    <row r="309" spans="1:15">
      <c r="A309" s="2" t="s">
        <v>177</v>
      </c>
      <c r="B309" s="2" t="s">
        <v>178</v>
      </c>
      <c r="C309" s="2" t="s">
        <v>76</v>
      </c>
      <c r="D309" s="2" t="s">
        <v>2882</v>
      </c>
      <c r="E309" s="2" t="s">
        <v>19</v>
      </c>
      <c r="F309" s="2" t="s">
        <v>15</v>
      </c>
      <c r="G309" s="2" t="s">
        <v>20</v>
      </c>
      <c r="H309" s="2" t="s">
        <v>180</v>
      </c>
      <c r="I309" s="2">
        <v>1</v>
      </c>
      <c r="J309" s="2" t="s">
        <v>2871</v>
      </c>
      <c r="K309" s="2" t="s">
        <v>2954</v>
      </c>
      <c r="L309" s="2" t="s">
        <v>2873</v>
      </c>
      <c r="M309" s="2">
        <v>220</v>
      </c>
      <c r="N309" s="2">
        <v>90</v>
      </c>
      <c r="O309" s="2" t="s">
        <v>2998</v>
      </c>
    </row>
    <row r="310" spans="1:15">
      <c r="A310" s="2" t="s">
        <v>177</v>
      </c>
      <c r="B310" s="2" t="s">
        <v>178</v>
      </c>
      <c r="C310" s="2" t="s">
        <v>76</v>
      </c>
      <c r="D310" s="2" t="s">
        <v>2882</v>
      </c>
      <c r="E310" s="2" t="s">
        <v>19</v>
      </c>
      <c r="F310" s="2" t="s">
        <v>15</v>
      </c>
      <c r="G310" s="2" t="s">
        <v>20</v>
      </c>
      <c r="H310" s="2" t="s">
        <v>180</v>
      </c>
      <c r="I310" s="2">
        <v>1</v>
      </c>
      <c r="J310" s="2" t="s">
        <v>2871</v>
      </c>
      <c r="K310" s="2" t="s">
        <v>2956</v>
      </c>
      <c r="L310" s="2" t="s">
        <v>2873</v>
      </c>
      <c r="M310" s="2">
        <v>298</v>
      </c>
      <c r="N310" s="2">
        <v>94</v>
      </c>
      <c r="O310" s="2" t="s">
        <v>3148</v>
      </c>
    </row>
    <row r="311" spans="1:15">
      <c r="A311" s="2" t="s">
        <v>177</v>
      </c>
      <c r="B311" s="2" t="s">
        <v>178</v>
      </c>
      <c r="C311" s="2" t="s">
        <v>76</v>
      </c>
      <c r="D311" s="2" t="s">
        <v>2882</v>
      </c>
      <c r="E311" s="2" t="s">
        <v>19</v>
      </c>
      <c r="F311" s="2" t="s">
        <v>15</v>
      </c>
      <c r="G311" s="2" t="s">
        <v>20</v>
      </c>
      <c r="H311" s="2" t="s">
        <v>180</v>
      </c>
      <c r="I311" s="2">
        <v>1</v>
      </c>
      <c r="J311" s="2" t="s">
        <v>2887</v>
      </c>
      <c r="K311" s="2" t="s">
        <v>2992</v>
      </c>
      <c r="L311" s="2" t="s">
        <v>2873</v>
      </c>
      <c r="M311" s="2">
        <v>220</v>
      </c>
      <c r="N311" s="2">
        <v>33</v>
      </c>
      <c r="O311" s="2" t="s">
        <v>3149</v>
      </c>
    </row>
    <row r="312" spans="1:15">
      <c r="A312" s="2" t="s">
        <v>177</v>
      </c>
      <c r="B312" s="2" t="s">
        <v>178</v>
      </c>
      <c r="C312" s="2" t="s">
        <v>76</v>
      </c>
      <c r="D312" s="2" t="s">
        <v>2886</v>
      </c>
      <c r="E312" s="2" t="s">
        <v>23</v>
      </c>
      <c r="F312" s="2" t="s">
        <v>15</v>
      </c>
      <c r="G312" s="2" t="s">
        <v>20</v>
      </c>
      <c r="H312" s="2" t="s">
        <v>181</v>
      </c>
      <c r="I312" s="2">
        <v>1</v>
      </c>
      <c r="J312" s="2" t="s">
        <v>2887</v>
      </c>
      <c r="K312" s="2" t="s">
        <v>2992</v>
      </c>
      <c r="L312" s="2" t="s">
        <v>2873</v>
      </c>
      <c r="M312" s="2">
        <v>220</v>
      </c>
      <c r="N312" s="2">
        <v>56</v>
      </c>
      <c r="O312" s="2" t="s">
        <v>3150</v>
      </c>
    </row>
    <row r="313" spans="1:15">
      <c r="A313" s="2" t="s">
        <v>177</v>
      </c>
      <c r="B313" s="2" t="s">
        <v>178</v>
      </c>
      <c r="C313" s="2" t="s">
        <v>76</v>
      </c>
      <c r="D313" s="2" t="s">
        <v>2886</v>
      </c>
      <c r="E313" s="2" t="s">
        <v>23</v>
      </c>
      <c r="F313" s="2" t="s">
        <v>15</v>
      </c>
      <c r="G313" s="2" t="s">
        <v>20</v>
      </c>
      <c r="H313" s="2" t="s">
        <v>181</v>
      </c>
      <c r="I313" s="2">
        <v>1</v>
      </c>
      <c r="J313" s="2" t="s">
        <v>2871</v>
      </c>
      <c r="K313" s="2" t="s">
        <v>2956</v>
      </c>
      <c r="L313" s="2" t="s">
        <v>2873</v>
      </c>
      <c r="M313" s="2">
        <v>298</v>
      </c>
      <c r="N313" s="2">
        <v>136</v>
      </c>
      <c r="O313" s="2" t="s">
        <v>3151</v>
      </c>
    </row>
    <row r="314" spans="1:15">
      <c r="A314" s="2" t="s">
        <v>177</v>
      </c>
      <c r="B314" s="2" t="s">
        <v>178</v>
      </c>
      <c r="C314" s="2" t="s">
        <v>76</v>
      </c>
      <c r="D314" s="2" t="s">
        <v>2886</v>
      </c>
      <c r="E314" s="2" t="s">
        <v>23</v>
      </c>
      <c r="F314" s="2" t="s">
        <v>15</v>
      </c>
      <c r="G314" s="2" t="s">
        <v>20</v>
      </c>
      <c r="H314" s="2" t="s">
        <v>181</v>
      </c>
      <c r="I314" s="2">
        <v>1</v>
      </c>
      <c r="J314" s="2" t="s">
        <v>2871</v>
      </c>
      <c r="K314" s="2" t="s">
        <v>2954</v>
      </c>
      <c r="L314" s="2" t="s">
        <v>2873</v>
      </c>
      <c r="M314" s="2">
        <v>220</v>
      </c>
      <c r="N314" s="2">
        <v>127</v>
      </c>
      <c r="O314" s="2" t="s">
        <v>3152</v>
      </c>
    </row>
    <row r="315" spans="1:15">
      <c r="A315" s="2" t="s">
        <v>177</v>
      </c>
      <c r="B315" s="2" t="s">
        <v>178</v>
      </c>
      <c r="C315" s="2" t="s">
        <v>76</v>
      </c>
      <c r="D315" s="2" t="s">
        <v>2886</v>
      </c>
      <c r="E315" s="2" t="s">
        <v>23</v>
      </c>
      <c r="F315" s="2" t="s">
        <v>15</v>
      </c>
      <c r="G315" s="2" t="s">
        <v>20</v>
      </c>
      <c r="H315" s="2" t="s">
        <v>181</v>
      </c>
      <c r="I315" s="2">
        <v>1</v>
      </c>
      <c r="J315" s="2" t="s">
        <v>2947</v>
      </c>
      <c r="K315" s="2" t="s">
        <v>2988</v>
      </c>
      <c r="L315" s="2" t="s">
        <v>2873</v>
      </c>
      <c r="M315" s="2">
        <v>103</v>
      </c>
      <c r="N315" s="2">
        <v>23</v>
      </c>
      <c r="O315" s="2" t="s">
        <v>3153</v>
      </c>
    </row>
    <row r="316" spans="1:15">
      <c r="A316" s="2" t="s">
        <v>177</v>
      </c>
      <c r="B316" s="2" t="s">
        <v>178</v>
      </c>
      <c r="C316" s="2" t="s">
        <v>76</v>
      </c>
      <c r="D316" s="2" t="s">
        <v>2886</v>
      </c>
      <c r="E316" s="2" t="s">
        <v>23</v>
      </c>
      <c r="F316" s="2" t="s">
        <v>15</v>
      </c>
      <c r="G316" s="2" t="s">
        <v>20</v>
      </c>
      <c r="H316" s="2" t="s">
        <v>181</v>
      </c>
      <c r="I316" s="2">
        <v>1</v>
      </c>
      <c r="J316" s="2" t="s">
        <v>2947</v>
      </c>
      <c r="K316" s="2" t="s">
        <v>2948</v>
      </c>
      <c r="L316" s="2" t="s">
        <v>2873</v>
      </c>
      <c r="M316" s="2">
        <v>110</v>
      </c>
      <c r="N316" s="2">
        <v>1</v>
      </c>
      <c r="O316" s="2" t="s">
        <v>2987</v>
      </c>
    </row>
    <row r="317" spans="1:15">
      <c r="A317" s="2" t="s">
        <v>177</v>
      </c>
      <c r="B317" s="2" t="s">
        <v>178</v>
      </c>
      <c r="C317" s="2" t="s">
        <v>76</v>
      </c>
      <c r="D317" s="2" t="s">
        <v>2896</v>
      </c>
      <c r="E317" s="2" t="s">
        <v>26</v>
      </c>
      <c r="F317" s="2" t="s">
        <v>15</v>
      </c>
      <c r="G317" s="2" t="s">
        <v>44</v>
      </c>
      <c r="H317" s="2" t="s">
        <v>182</v>
      </c>
      <c r="I317" s="2">
        <v>0.86</v>
      </c>
      <c r="J317" s="2" t="s">
        <v>2887</v>
      </c>
      <c r="K317" s="2" t="s">
        <v>3154</v>
      </c>
      <c r="L317" s="2" t="s">
        <v>2916</v>
      </c>
      <c r="M317" s="2">
        <v>110</v>
      </c>
      <c r="N317" s="2">
        <v>1</v>
      </c>
      <c r="O317" s="2" t="s">
        <v>2987</v>
      </c>
    </row>
    <row r="318" spans="1:15">
      <c r="A318" s="2" t="s">
        <v>177</v>
      </c>
      <c r="B318" s="2" t="s">
        <v>178</v>
      </c>
      <c r="C318" s="2" t="s">
        <v>76</v>
      </c>
      <c r="D318" s="2" t="s">
        <v>2896</v>
      </c>
      <c r="E318" s="2" t="s">
        <v>26</v>
      </c>
      <c r="F318" s="2" t="s">
        <v>15</v>
      </c>
      <c r="G318" s="2" t="s">
        <v>44</v>
      </c>
      <c r="H318" s="2" t="s">
        <v>182</v>
      </c>
      <c r="I318" s="2">
        <v>0.86</v>
      </c>
      <c r="J318" s="2" t="s">
        <v>2887</v>
      </c>
      <c r="K318" s="2" t="s">
        <v>2992</v>
      </c>
      <c r="L318" s="2" t="s">
        <v>2873</v>
      </c>
      <c r="M318" s="2">
        <v>220</v>
      </c>
      <c r="N318" s="2">
        <v>68</v>
      </c>
      <c r="O318" s="2" t="s">
        <v>3155</v>
      </c>
    </row>
    <row r="319" spans="1:15">
      <c r="A319" s="2" t="s">
        <v>177</v>
      </c>
      <c r="B319" s="2" t="s">
        <v>178</v>
      </c>
      <c r="C319" s="2" t="s">
        <v>76</v>
      </c>
      <c r="D319" s="2" t="s">
        <v>2896</v>
      </c>
      <c r="E319" s="2" t="s">
        <v>26</v>
      </c>
      <c r="F319" s="2" t="s">
        <v>15</v>
      </c>
      <c r="G319" s="2" t="s">
        <v>44</v>
      </c>
      <c r="H319" s="2" t="s">
        <v>182</v>
      </c>
      <c r="I319" s="2">
        <v>0.86</v>
      </c>
      <c r="J319" s="2" t="s">
        <v>2871</v>
      </c>
      <c r="K319" s="2" t="s">
        <v>2956</v>
      </c>
      <c r="L319" s="2" t="s">
        <v>2873</v>
      </c>
      <c r="M319" s="2">
        <v>298</v>
      </c>
      <c r="N319" s="2">
        <v>88</v>
      </c>
      <c r="O319" s="2" t="s">
        <v>3156</v>
      </c>
    </row>
    <row r="320" spans="1:15">
      <c r="A320" s="2" t="s">
        <v>177</v>
      </c>
      <c r="B320" s="2" t="s">
        <v>178</v>
      </c>
      <c r="C320" s="2" t="s">
        <v>76</v>
      </c>
      <c r="D320" s="2" t="s">
        <v>2896</v>
      </c>
      <c r="E320" s="2" t="s">
        <v>26</v>
      </c>
      <c r="F320" s="2" t="s">
        <v>15</v>
      </c>
      <c r="G320" s="2" t="s">
        <v>44</v>
      </c>
      <c r="H320" s="2" t="s">
        <v>182</v>
      </c>
      <c r="I320" s="2">
        <v>0.86</v>
      </c>
      <c r="J320" s="2" t="s">
        <v>2871</v>
      </c>
      <c r="K320" s="2" t="s">
        <v>2954</v>
      </c>
      <c r="L320" s="2" t="s">
        <v>2873</v>
      </c>
      <c r="M320" s="2">
        <v>220</v>
      </c>
      <c r="N320" s="2">
        <v>51</v>
      </c>
      <c r="O320" s="2" t="s">
        <v>3157</v>
      </c>
    </row>
    <row r="321" spans="1:15">
      <c r="A321" s="2" t="s">
        <v>177</v>
      </c>
      <c r="B321" s="2" t="s">
        <v>178</v>
      </c>
      <c r="C321" s="2" t="s">
        <v>76</v>
      </c>
      <c r="D321" s="2" t="s">
        <v>2896</v>
      </c>
      <c r="E321" s="2" t="s">
        <v>26</v>
      </c>
      <c r="F321" s="2" t="s">
        <v>15</v>
      </c>
      <c r="G321" s="2" t="s">
        <v>44</v>
      </c>
      <c r="H321" s="2" t="s">
        <v>182</v>
      </c>
      <c r="I321" s="2">
        <v>0.86</v>
      </c>
      <c r="J321" s="2" t="s">
        <v>2947</v>
      </c>
      <c r="K321" s="2" t="s">
        <v>2988</v>
      </c>
      <c r="L321" s="2" t="s">
        <v>2873</v>
      </c>
      <c r="M321" s="2">
        <v>103</v>
      </c>
      <c r="N321" s="2">
        <v>1</v>
      </c>
      <c r="O321" s="2" t="s">
        <v>3158</v>
      </c>
    </row>
    <row r="322" spans="1:15">
      <c r="A322" s="2" t="s">
        <v>177</v>
      </c>
      <c r="B322" s="2" t="s">
        <v>178</v>
      </c>
      <c r="C322" s="2" t="s">
        <v>76</v>
      </c>
      <c r="D322" s="2" t="s">
        <v>2901</v>
      </c>
      <c r="E322" s="2" t="s">
        <v>29</v>
      </c>
      <c r="F322" s="2" t="s">
        <v>15</v>
      </c>
      <c r="G322" s="2" t="s">
        <v>44</v>
      </c>
      <c r="H322" s="2" t="s">
        <v>183</v>
      </c>
      <c r="I322" s="2">
        <v>0.5</v>
      </c>
      <c r="J322" s="2" t="s">
        <v>2947</v>
      </c>
      <c r="K322" s="2" t="s">
        <v>2988</v>
      </c>
      <c r="L322" s="2" t="s">
        <v>2873</v>
      </c>
      <c r="M322" s="2">
        <v>103</v>
      </c>
      <c r="N322" s="2">
        <v>12</v>
      </c>
      <c r="O322" s="2" t="s">
        <v>3159</v>
      </c>
    </row>
    <row r="323" spans="1:15">
      <c r="A323" s="2" t="s">
        <v>177</v>
      </c>
      <c r="B323" s="2" t="s">
        <v>178</v>
      </c>
      <c r="C323" s="2" t="s">
        <v>76</v>
      </c>
      <c r="D323" s="2" t="s">
        <v>2901</v>
      </c>
      <c r="E323" s="2" t="s">
        <v>29</v>
      </c>
      <c r="F323" s="2" t="s">
        <v>15</v>
      </c>
      <c r="G323" s="2" t="s">
        <v>44</v>
      </c>
      <c r="H323" s="2" t="s">
        <v>183</v>
      </c>
      <c r="I323" s="2">
        <v>0.5</v>
      </c>
      <c r="J323" s="2" t="s">
        <v>2871</v>
      </c>
      <c r="K323" s="2" t="s">
        <v>2954</v>
      </c>
      <c r="L323" s="2" t="s">
        <v>2873</v>
      </c>
      <c r="M323" s="2">
        <v>220</v>
      </c>
      <c r="N323" s="2">
        <v>38</v>
      </c>
      <c r="O323" s="2" t="s">
        <v>3160</v>
      </c>
    </row>
    <row r="324" spans="1:15">
      <c r="A324" s="2" t="s">
        <v>177</v>
      </c>
      <c r="B324" s="2" t="s">
        <v>178</v>
      </c>
      <c r="C324" s="2" t="s">
        <v>76</v>
      </c>
      <c r="D324" s="2" t="s">
        <v>2901</v>
      </c>
      <c r="E324" s="2" t="s">
        <v>29</v>
      </c>
      <c r="F324" s="2" t="s">
        <v>15</v>
      </c>
      <c r="G324" s="2" t="s">
        <v>44</v>
      </c>
      <c r="H324" s="2" t="s">
        <v>183</v>
      </c>
      <c r="I324" s="2">
        <v>0.5</v>
      </c>
      <c r="J324" s="2" t="s">
        <v>2871</v>
      </c>
      <c r="K324" s="2" t="s">
        <v>2956</v>
      </c>
      <c r="L324" s="2" t="s">
        <v>2873</v>
      </c>
      <c r="M324" s="2">
        <v>298</v>
      </c>
      <c r="N324" s="2">
        <v>6</v>
      </c>
      <c r="O324" s="2" t="s">
        <v>3161</v>
      </c>
    </row>
    <row r="325" spans="1:15">
      <c r="A325" s="2" t="s">
        <v>177</v>
      </c>
      <c r="B325" s="2" t="s">
        <v>178</v>
      </c>
      <c r="C325" s="2" t="s">
        <v>76</v>
      </c>
      <c r="D325" s="2" t="s">
        <v>2901</v>
      </c>
      <c r="E325" s="2" t="s">
        <v>29</v>
      </c>
      <c r="F325" s="2" t="s">
        <v>15</v>
      </c>
      <c r="G325" s="2" t="s">
        <v>44</v>
      </c>
      <c r="H325" s="2" t="s">
        <v>183</v>
      </c>
      <c r="I325" s="2">
        <v>0.5</v>
      </c>
      <c r="J325" s="2" t="s">
        <v>2887</v>
      </c>
      <c r="K325" s="2" t="s">
        <v>2992</v>
      </c>
      <c r="L325" s="2" t="s">
        <v>2873</v>
      </c>
      <c r="M325" s="2">
        <v>220</v>
      </c>
      <c r="N325" s="2">
        <v>19</v>
      </c>
      <c r="O325" s="2" t="s">
        <v>3162</v>
      </c>
    </row>
    <row r="326" spans="1:15">
      <c r="A326" s="2" t="s">
        <v>177</v>
      </c>
      <c r="B326" s="2" t="s">
        <v>178</v>
      </c>
      <c r="C326" s="2" t="s">
        <v>76</v>
      </c>
      <c r="D326" s="2" t="s">
        <v>2904</v>
      </c>
      <c r="E326" s="2" t="s">
        <v>32</v>
      </c>
      <c r="F326" s="2" t="s">
        <v>33</v>
      </c>
      <c r="G326" s="2" t="s">
        <v>44</v>
      </c>
      <c r="H326" s="2" t="s">
        <v>184</v>
      </c>
      <c r="I326" s="2">
        <v>0.5</v>
      </c>
      <c r="J326" s="2" t="s">
        <v>2947</v>
      </c>
      <c r="K326" s="2" t="s">
        <v>2988</v>
      </c>
      <c r="L326" s="2" t="s">
        <v>2873</v>
      </c>
      <c r="M326" s="2">
        <v>103</v>
      </c>
      <c r="N326" s="2">
        <v>6</v>
      </c>
      <c r="O326" s="2" t="s">
        <v>3163</v>
      </c>
    </row>
    <row r="327" spans="1:15">
      <c r="A327" s="2" t="s">
        <v>177</v>
      </c>
      <c r="B327" s="2" t="s">
        <v>178</v>
      </c>
      <c r="C327" s="2" t="s">
        <v>76</v>
      </c>
      <c r="D327" s="2" t="s">
        <v>2904</v>
      </c>
      <c r="E327" s="2" t="s">
        <v>32</v>
      </c>
      <c r="F327" s="2" t="s">
        <v>33</v>
      </c>
      <c r="G327" s="2" t="s">
        <v>44</v>
      </c>
      <c r="H327" s="2" t="s">
        <v>184</v>
      </c>
      <c r="I327" s="2">
        <v>0.5</v>
      </c>
      <c r="J327" s="2" t="s">
        <v>2887</v>
      </c>
      <c r="K327" s="2" t="s">
        <v>2992</v>
      </c>
      <c r="L327" s="2" t="s">
        <v>2873</v>
      </c>
      <c r="M327" s="2">
        <v>220</v>
      </c>
      <c r="N327" s="2">
        <v>1</v>
      </c>
      <c r="O327" s="2" t="s">
        <v>3164</v>
      </c>
    </row>
    <row r="328" spans="1:15">
      <c r="A328" s="2" t="s">
        <v>185</v>
      </c>
      <c r="B328" s="2" t="s">
        <v>186</v>
      </c>
      <c r="C328" s="2" t="s">
        <v>76</v>
      </c>
      <c r="D328" s="2" t="s">
        <v>2870</v>
      </c>
      <c r="E328" s="2" t="s">
        <v>14</v>
      </c>
      <c r="F328" s="2" t="s">
        <v>15</v>
      </c>
      <c r="G328" s="2" t="s">
        <v>16</v>
      </c>
      <c r="H328" s="2" t="s">
        <v>187</v>
      </c>
      <c r="I328" s="2">
        <v>1.5</v>
      </c>
      <c r="J328" s="2" t="s">
        <v>2887</v>
      </c>
      <c r="K328" s="2" t="s">
        <v>3019</v>
      </c>
      <c r="L328" s="2" t="s">
        <v>2916</v>
      </c>
      <c r="M328" s="2">
        <v>4</v>
      </c>
      <c r="N328" s="2">
        <v>98</v>
      </c>
      <c r="O328" s="2" t="s">
        <v>3165</v>
      </c>
    </row>
    <row r="329" spans="1:15">
      <c r="A329" s="2" t="s">
        <v>185</v>
      </c>
      <c r="B329" s="2" t="s">
        <v>186</v>
      </c>
      <c r="C329" s="2" t="s">
        <v>76</v>
      </c>
      <c r="D329" s="2" t="s">
        <v>2882</v>
      </c>
      <c r="E329" s="2" t="s">
        <v>19</v>
      </c>
      <c r="F329" s="2" t="s">
        <v>15</v>
      </c>
      <c r="G329" s="2" t="s">
        <v>16</v>
      </c>
      <c r="H329" s="2" t="s">
        <v>188</v>
      </c>
      <c r="I329" s="2">
        <v>1.5</v>
      </c>
      <c r="J329" s="2" t="s">
        <v>3017</v>
      </c>
      <c r="K329" s="2" t="s">
        <v>3014</v>
      </c>
      <c r="L329" s="2" t="s">
        <v>2916</v>
      </c>
      <c r="M329" s="2">
        <v>31</v>
      </c>
      <c r="N329" s="2">
        <v>156</v>
      </c>
      <c r="O329" s="2" t="s">
        <v>3166</v>
      </c>
    </row>
    <row r="330" spans="1:15">
      <c r="A330" s="2" t="s">
        <v>185</v>
      </c>
      <c r="B330" s="2" t="s">
        <v>186</v>
      </c>
      <c r="C330" s="2" t="s">
        <v>76</v>
      </c>
      <c r="D330" s="2" t="s">
        <v>2886</v>
      </c>
      <c r="E330" s="2" t="s">
        <v>23</v>
      </c>
      <c r="F330" s="2" t="s">
        <v>15</v>
      </c>
      <c r="G330" s="2" t="s">
        <v>20</v>
      </c>
      <c r="H330" s="2" t="s">
        <v>189</v>
      </c>
      <c r="I330" s="2">
        <v>1</v>
      </c>
      <c r="J330" s="2" t="s">
        <v>2887</v>
      </c>
      <c r="K330" s="2" t="s">
        <v>3014</v>
      </c>
      <c r="L330" s="2" t="s">
        <v>2916</v>
      </c>
      <c r="M330" s="2" t="s">
        <v>12</v>
      </c>
      <c r="N330" s="2">
        <v>38</v>
      </c>
      <c r="O330" s="2" t="s">
        <v>12</v>
      </c>
    </row>
    <row r="331" spans="1:15">
      <c r="A331" s="2" t="s">
        <v>185</v>
      </c>
      <c r="B331" s="2" t="s">
        <v>186</v>
      </c>
      <c r="C331" s="2" t="s">
        <v>76</v>
      </c>
      <c r="D331" s="2" t="s">
        <v>2886</v>
      </c>
      <c r="E331" s="2" t="s">
        <v>23</v>
      </c>
      <c r="F331" s="2" t="s">
        <v>15</v>
      </c>
      <c r="G331" s="2" t="s">
        <v>20</v>
      </c>
      <c r="H331" s="2" t="s">
        <v>189</v>
      </c>
      <c r="I331" s="2">
        <v>1</v>
      </c>
      <c r="J331" s="2" t="s">
        <v>3017</v>
      </c>
      <c r="K331" s="2" t="s">
        <v>3014</v>
      </c>
      <c r="L331" s="2" t="s">
        <v>2916</v>
      </c>
      <c r="M331" s="2">
        <v>31</v>
      </c>
      <c r="N331" s="2">
        <v>47</v>
      </c>
      <c r="O331" s="2" t="s">
        <v>3167</v>
      </c>
    </row>
    <row r="332" spans="1:15">
      <c r="A332" s="2" t="s">
        <v>185</v>
      </c>
      <c r="B332" s="2" t="s">
        <v>186</v>
      </c>
      <c r="C332" s="2" t="s">
        <v>76</v>
      </c>
      <c r="D332" s="2" t="s">
        <v>2886</v>
      </c>
      <c r="E332" s="2" t="s">
        <v>23</v>
      </c>
      <c r="F332" s="2" t="s">
        <v>15</v>
      </c>
      <c r="G332" s="2" t="s">
        <v>20</v>
      </c>
      <c r="H332" s="2" t="s">
        <v>189</v>
      </c>
      <c r="I332" s="2">
        <v>1</v>
      </c>
      <c r="J332" s="2" t="s">
        <v>3017</v>
      </c>
      <c r="K332" s="2" t="s">
        <v>3014</v>
      </c>
      <c r="L332" s="2" t="s">
        <v>2916</v>
      </c>
      <c r="M332" s="2" t="s">
        <v>12</v>
      </c>
      <c r="N332" s="2">
        <v>47</v>
      </c>
      <c r="O332" s="2" t="s">
        <v>12</v>
      </c>
    </row>
    <row r="333" spans="1:15">
      <c r="A333" s="2" t="s">
        <v>185</v>
      </c>
      <c r="B333" s="2" t="s">
        <v>186</v>
      </c>
      <c r="C333" s="2" t="s">
        <v>76</v>
      </c>
      <c r="D333" s="2" t="s">
        <v>2896</v>
      </c>
      <c r="E333" s="2" t="s">
        <v>26</v>
      </c>
      <c r="F333" s="2" t="s">
        <v>15</v>
      </c>
      <c r="G333" s="2" t="s">
        <v>16</v>
      </c>
      <c r="H333" s="2" t="s">
        <v>190</v>
      </c>
      <c r="I333" s="2">
        <v>1.5</v>
      </c>
      <c r="J333" s="2" t="s">
        <v>2887</v>
      </c>
      <c r="K333" s="2" t="s">
        <v>3019</v>
      </c>
      <c r="L333" s="2" t="s">
        <v>2916</v>
      </c>
      <c r="M333" s="2">
        <v>4</v>
      </c>
      <c r="N333" s="2">
        <v>173</v>
      </c>
      <c r="O333" s="2" t="s">
        <v>3168</v>
      </c>
    </row>
    <row r="334" spans="1:15">
      <c r="A334" s="2" t="s">
        <v>185</v>
      </c>
      <c r="B334" s="2" t="s">
        <v>186</v>
      </c>
      <c r="C334" s="2" t="s">
        <v>76</v>
      </c>
      <c r="D334" s="2" t="s">
        <v>2901</v>
      </c>
      <c r="E334" s="2" t="s">
        <v>29</v>
      </c>
      <c r="F334" s="2" t="s">
        <v>15</v>
      </c>
      <c r="G334" s="2" t="s">
        <v>16</v>
      </c>
      <c r="H334" s="2" t="s">
        <v>191</v>
      </c>
      <c r="I334" s="2">
        <v>1.5</v>
      </c>
      <c r="J334" s="2" t="s">
        <v>2879</v>
      </c>
      <c r="K334" s="2" t="s">
        <v>3014</v>
      </c>
      <c r="L334" s="2" t="s">
        <v>2916</v>
      </c>
      <c r="M334" s="2">
        <v>31</v>
      </c>
      <c r="N334" s="2">
        <v>96</v>
      </c>
      <c r="O334" s="2" t="s">
        <v>3169</v>
      </c>
    </row>
    <row r="335" spans="1:15">
      <c r="A335" s="2" t="s">
        <v>185</v>
      </c>
      <c r="B335" s="2" t="s">
        <v>186</v>
      </c>
      <c r="C335" s="2" t="s">
        <v>76</v>
      </c>
      <c r="D335" s="2" t="s">
        <v>2904</v>
      </c>
      <c r="E335" s="2" t="s">
        <v>32</v>
      </c>
      <c r="F335" s="2" t="s">
        <v>33</v>
      </c>
      <c r="G335" s="2" t="s">
        <v>44</v>
      </c>
      <c r="H335" s="2" t="s">
        <v>45</v>
      </c>
      <c r="I335" s="2" t="s">
        <v>12</v>
      </c>
      <c r="J335" s="2" t="s">
        <v>12</v>
      </c>
      <c r="K335" s="2" t="s">
        <v>12</v>
      </c>
      <c r="L335" s="2" t="s">
        <v>12</v>
      </c>
      <c r="M335" s="2" t="s">
        <v>12</v>
      </c>
      <c r="N335" s="2" t="s">
        <v>12</v>
      </c>
      <c r="O335" s="2" t="s">
        <v>12</v>
      </c>
    </row>
    <row r="336" spans="1:15">
      <c r="A336" s="2" t="s">
        <v>192</v>
      </c>
      <c r="B336" s="2" t="s">
        <v>193</v>
      </c>
      <c r="C336" s="2" t="s">
        <v>112</v>
      </c>
      <c r="D336" s="2" t="s">
        <v>2870</v>
      </c>
      <c r="E336" s="2" t="s">
        <v>14</v>
      </c>
      <c r="F336" s="2" t="s">
        <v>15</v>
      </c>
      <c r="G336" s="2" t="s">
        <v>16</v>
      </c>
      <c r="H336" s="2" t="s">
        <v>194</v>
      </c>
      <c r="I336" s="2">
        <v>1.01</v>
      </c>
      <c r="J336" s="2" t="s">
        <v>2879</v>
      </c>
      <c r="K336" s="2" t="s">
        <v>2915</v>
      </c>
      <c r="L336" s="2" t="s">
        <v>2916</v>
      </c>
      <c r="M336" s="2">
        <v>308</v>
      </c>
      <c r="N336" s="2">
        <v>22</v>
      </c>
      <c r="O336" s="2" t="s">
        <v>3170</v>
      </c>
    </row>
    <row r="337" spans="1:15">
      <c r="A337" s="2" t="s">
        <v>192</v>
      </c>
      <c r="B337" s="2" t="s">
        <v>193</v>
      </c>
      <c r="C337" s="2" t="s">
        <v>112</v>
      </c>
      <c r="D337" s="2" t="s">
        <v>2870</v>
      </c>
      <c r="E337" s="2" t="s">
        <v>14</v>
      </c>
      <c r="F337" s="2" t="s">
        <v>15</v>
      </c>
      <c r="G337" s="2" t="s">
        <v>16</v>
      </c>
      <c r="H337" s="2" t="s">
        <v>194</v>
      </c>
      <c r="I337" s="2">
        <v>1.01</v>
      </c>
      <c r="J337" s="2" t="s">
        <v>2879</v>
      </c>
      <c r="K337" s="2" t="s">
        <v>2915</v>
      </c>
      <c r="L337" s="2" t="s">
        <v>2916</v>
      </c>
      <c r="M337" s="2">
        <v>26</v>
      </c>
      <c r="N337" s="2">
        <v>22</v>
      </c>
      <c r="O337" s="2" t="s">
        <v>3171</v>
      </c>
    </row>
    <row r="338" spans="1:15">
      <c r="A338" s="2" t="s">
        <v>192</v>
      </c>
      <c r="B338" s="2" t="s">
        <v>193</v>
      </c>
      <c r="C338" s="2" t="s">
        <v>112</v>
      </c>
      <c r="D338" s="2" t="s">
        <v>2870</v>
      </c>
      <c r="E338" s="2" t="s">
        <v>14</v>
      </c>
      <c r="F338" s="2" t="s">
        <v>15</v>
      </c>
      <c r="G338" s="2" t="s">
        <v>16</v>
      </c>
      <c r="H338" s="2" t="s">
        <v>194</v>
      </c>
      <c r="I338" s="2">
        <v>1.01</v>
      </c>
      <c r="J338" s="2" t="s">
        <v>2879</v>
      </c>
      <c r="K338" s="2" t="s">
        <v>2915</v>
      </c>
      <c r="L338" s="2" t="s">
        <v>2916</v>
      </c>
      <c r="M338" s="2">
        <v>20</v>
      </c>
      <c r="N338" s="2">
        <v>22</v>
      </c>
      <c r="O338" s="2" t="s">
        <v>3172</v>
      </c>
    </row>
    <row r="339" spans="1:15">
      <c r="A339" s="2" t="s">
        <v>192</v>
      </c>
      <c r="B339" s="2" t="s">
        <v>193</v>
      </c>
      <c r="C339" s="2" t="s">
        <v>112</v>
      </c>
      <c r="D339" s="2" t="s">
        <v>2882</v>
      </c>
      <c r="E339" s="2" t="s">
        <v>19</v>
      </c>
      <c r="F339" s="2" t="s">
        <v>15</v>
      </c>
      <c r="G339" s="2" t="s">
        <v>20</v>
      </c>
      <c r="H339" s="2" t="s">
        <v>195</v>
      </c>
      <c r="I339" s="2">
        <v>1</v>
      </c>
      <c r="J339" s="2" t="s">
        <v>2879</v>
      </c>
      <c r="K339" s="2" t="s">
        <v>2915</v>
      </c>
      <c r="L339" s="2" t="s">
        <v>2916</v>
      </c>
      <c r="M339" s="2">
        <v>308</v>
      </c>
      <c r="N339" s="2">
        <v>21</v>
      </c>
      <c r="O339" s="2" t="s">
        <v>2996</v>
      </c>
    </row>
    <row r="340" spans="1:15">
      <c r="A340" s="2" t="s">
        <v>192</v>
      </c>
      <c r="B340" s="2" t="s">
        <v>193</v>
      </c>
      <c r="C340" s="2" t="s">
        <v>112</v>
      </c>
      <c r="D340" s="2" t="s">
        <v>2882</v>
      </c>
      <c r="E340" s="2" t="s">
        <v>19</v>
      </c>
      <c r="F340" s="2" t="s">
        <v>15</v>
      </c>
      <c r="G340" s="2" t="s">
        <v>20</v>
      </c>
      <c r="H340" s="2" t="s">
        <v>195</v>
      </c>
      <c r="I340" s="2">
        <v>1</v>
      </c>
      <c r="J340" s="2" t="s">
        <v>2879</v>
      </c>
      <c r="K340" s="2" t="s">
        <v>2915</v>
      </c>
      <c r="L340" s="2" t="s">
        <v>2916</v>
      </c>
      <c r="M340" s="2">
        <v>26</v>
      </c>
      <c r="N340" s="2">
        <v>21</v>
      </c>
      <c r="O340" s="2" t="s">
        <v>3173</v>
      </c>
    </row>
    <row r="341" spans="1:15">
      <c r="A341" s="2" t="s">
        <v>192</v>
      </c>
      <c r="B341" s="2" t="s">
        <v>193</v>
      </c>
      <c r="C341" s="2" t="s">
        <v>112</v>
      </c>
      <c r="D341" s="2" t="s">
        <v>2882</v>
      </c>
      <c r="E341" s="2" t="s">
        <v>19</v>
      </c>
      <c r="F341" s="2" t="s">
        <v>15</v>
      </c>
      <c r="G341" s="2" t="s">
        <v>20</v>
      </c>
      <c r="H341" s="2" t="s">
        <v>195</v>
      </c>
      <c r="I341" s="2">
        <v>1</v>
      </c>
      <c r="J341" s="2" t="s">
        <v>2879</v>
      </c>
      <c r="K341" s="2" t="s">
        <v>2915</v>
      </c>
      <c r="L341" s="2" t="s">
        <v>2916</v>
      </c>
      <c r="M341" s="2">
        <v>20</v>
      </c>
      <c r="N341" s="2">
        <v>21</v>
      </c>
      <c r="O341" s="2" t="s">
        <v>3174</v>
      </c>
    </row>
    <row r="342" spans="1:15">
      <c r="A342" s="2" t="s">
        <v>192</v>
      </c>
      <c r="B342" s="2" t="s">
        <v>193</v>
      </c>
      <c r="C342" s="2" t="s">
        <v>112</v>
      </c>
      <c r="D342" s="2" t="s">
        <v>2886</v>
      </c>
      <c r="E342" s="2" t="s">
        <v>23</v>
      </c>
      <c r="F342" s="2" t="s">
        <v>15</v>
      </c>
      <c r="G342" s="2" t="s">
        <v>44</v>
      </c>
      <c r="H342" s="2" t="s">
        <v>196</v>
      </c>
      <c r="I342" s="2">
        <v>0.83</v>
      </c>
      <c r="J342" s="2" t="s">
        <v>2879</v>
      </c>
      <c r="K342" s="2" t="s">
        <v>2915</v>
      </c>
      <c r="L342" s="2" t="s">
        <v>2916</v>
      </c>
      <c r="M342" s="2">
        <v>20</v>
      </c>
      <c r="N342" s="2">
        <v>9</v>
      </c>
      <c r="O342" s="2" t="s">
        <v>3175</v>
      </c>
    </row>
    <row r="343" spans="1:15">
      <c r="A343" s="2" t="s">
        <v>192</v>
      </c>
      <c r="B343" s="2" t="s">
        <v>193</v>
      </c>
      <c r="C343" s="2" t="s">
        <v>112</v>
      </c>
      <c r="D343" s="2" t="s">
        <v>2886</v>
      </c>
      <c r="E343" s="2" t="s">
        <v>23</v>
      </c>
      <c r="F343" s="2" t="s">
        <v>15</v>
      </c>
      <c r="G343" s="2" t="s">
        <v>44</v>
      </c>
      <c r="H343" s="2" t="s">
        <v>196</v>
      </c>
      <c r="I343" s="2">
        <v>0.83</v>
      </c>
      <c r="J343" s="2" t="s">
        <v>2879</v>
      </c>
      <c r="K343" s="2" t="s">
        <v>2915</v>
      </c>
      <c r="L343" s="2" t="s">
        <v>2916</v>
      </c>
      <c r="M343" s="2">
        <v>26</v>
      </c>
      <c r="N343" s="2">
        <v>9</v>
      </c>
      <c r="O343" s="2" t="s">
        <v>3176</v>
      </c>
    </row>
    <row r="344" spans="1:15">
      <c r="A344" s="2" t="s">
        <v>192</v>
      </c>
      <c r="B344" s="2" t="s">
        <v>193</v>
      </c>
      <c r="C344" s="2" t="s">
        <v>112</v>
      </c>
      <c r="D344" s="2" t="s">
        <v>2886</v>
      </c>
      <c r="E344" s="2" t="s">
        <v>23</v>
      </c>
      <c r="F344" s="2" t="s">
        <v>15</v>
      </c>
      <c r="G344" s="2" t="s">
        <v>44</v>
      </c>
      <c r="H344" s="2" t="s">
        <v>196</v>
      </c>
      <c r="I344" s="2">
        <v>0.83</v>
      </c>
      <c r="J344" s="2" t="s">
        <v>2879</v>
      </c>
      <c r="K344" s="2" t="s">
        <v>2915</v>
      </c>
      <c r="L344" s="2" t="s">
        <v>2916</v>
      </c>
      <c r="M344" s="2">
        <v>308</v>
      </c>
      <c r="N344" s="2">
        <v>9</v>
      </c>
      <c r="O344" s="2" t="s">
        <v>3177</v>
      </c>
    </row>
    <row r="345" spans="1:15">
      <c r="A345" s="2" t="s">
        <v>192</v>
      </c>
      <c r="B345" s="2" t="s">
        <v>193</v>
      </c>
      <c r="C345" s="2" t="s">
        <v>112</v>
      </c>
      <c r="D345" s="2" t="s">
        <v>2896</v>
      </c>
      <c r="E345" s="2" t="s">
        <v>26</v>
      </c>
      <c r="F345" s="2" t="s">
        <v>15</v>
      </c>
      <c r="G345" s="2" t="s">
        <v>16</v>
      </c>
      <c r="H345" s="2" t="s">
        <v>197</v>
      </c>
      <c r="I345" s="2">
        <v>1.5</v>
      </c>
      <c r="J345" s="2" t="s">
        <v>2879</v>
      </c>
      <c r="K345" s="2" t="s">
        <v>2915</v>
      </c>
      <c r="L345" s="2" t="s">
        <v>2916</v>
      </c>
      <c r="M345" s="2">
        <v>308</v>
      </c>
      <c r="N345" s="2">
        <v>36</v>
      </c>
      <c r="O345" s="2" t="s">
        <v>3178</v>
      </c>
    </row>
    <row r="346" spans="1:15">
      <c r="A346" s="2" t="s">
        <v>192</v>
      </c>
      <c r="B346" s="2" t="s">
        <v>193</v>
      </c>
      <c r="C346" s="2" t="s">
        <v>112</v>
      </c>
      <c r="D346" s="2" t="s">
        <v>2896</v>
      </c>
      <c r="E346" s="2" t="s">
        <v>26</v>
      </c>
      <c r="F346" s="2" t="s">
        <v>15</v>
      </c>
      <c r="G346" s="2" t="s">
        <v>16</v>
      </c>
      <c r="H346" s="2" t="s">
        <v>197</v>
      </c>
      <c r="I346" s="2">
        <v>1.5</v>
      </c>
      <c r="J346" s="2" t="s">
        <v>2879</v>
      </c>
      <c r="K346" s="2" t="s">
        <v>2915</v>
      </c>
      <c r="L346" s="2" t="s">
        <v>2916</v>
      </c>
      <c r="M346" s="2">
        <v>26</v>
      </c>
      <c r="N346" s="2">
        <v>36</v>
      </c>
      <c r="O346" s="2" t="s">
        <v>3104</v>
      </c>
    </row>
    <row r="347" spans="1:15">
      <c r="A347" s="2" t="s">
        <v>192</v>
      </c>
      <c r="B347" s="2" t="s">
        <v>193</v>
      </c>
      <c r="C347" s="2" t="s">
        <v>112</v>
      </c>
      <c r="D347" s="2" t="s">
        <v>2896</v>
      </c>
      <c r="E347" s="2" t="s">
        <v>26</v>
      </c>
      <c r="F347" s="2" t="s">
        <v>15</v>
      </c>
      <c r="G347" s="2" t="s">
        <v>16</v>
      </c>
      <c r="H347" s="2" t="s">
        <v>197</v>
      </c>
      <c r="I347" s="2">
        <v>1.5</v>
      </c>
      <c r="J347" s="2" t="s">
        <v>2879</v>
      </c>
      <c r="K347" s="2" t="s">
        <v>2915</v>
      </c>
      <c r="L347" s="2" t="s">
        <v>2916</v>
      </c>
      <c r="M347" s="2">
        <v>20</v>
      </c>
      <c r="N347" s="2">
        <v>36</v>
      </c>
      <c r="O347" s="2" t="s">
        <v>2933</v>
      </c>
    </row>
    <row r="348" spans="1:15">
      <c r="A348" s="2" t="s">
        <v>192</v>
      </c>
      <c r="B348" s="2" t="s">
        <v>193</v>
      </c>
      <c r="C348" s="2" t="s">
        <v>112</v>
      </c>
      <c r="D348" s="2" t="s">
        <v>2901</v>
      </c>
      <c r="E348" s="2" t="s">
        <v>29</v>
      </c>
      <c r="F348" s="2" t="s">
        <v>15</v>
      </c>
      <c r="G348" s="2" t="s">
        <v>44</v>
      </c>
      <c r="H348" s="2" t="s">
        <v>45</v>
      </c>
      <c r="I348" s="2" t="s">
        <v>12</v>
      </c>
      <c r="J348" s="2" t="s">
        <v>12</v>
      </c>
      <c r="K348" s="2" t="s">
        <v>12</v>
      </c>
      <c r="L348" s="2" t="s">
        <v>12</v>
      </c>
      <c r="M348" s="2" t="s">
        <v>12</v>
      </c>
      <c r="N348" s="2" t="s">
        <v>12</v>
      </c>
      <c r="O348" s="2" t="s">
        <v>12</v>
      </c>
    </row>
    <row r="349" spans="1:15">
      <c r="A349" s="2" t="s">
        <v>192</v>
      </c>
      <c r="B349" s="2" t="s">
        <v>193</v>
      </c>
      <c r="C349" s="2" t="s">
        <v>112</v>
      </c>
      <c r="D349" s="2" t="s">
        <v>2904</v>
      </c>
      <c r="E349" s="2" t="s">
        <v>32</v>
      </c>
      <c r="F349" s="2" t="s">
        <v>33</v>
      </c>
      <c r="G349" s="2" t="s">
        <v>44</v>
      </c>
      <c r="H349" s="2" t="s">
        <v>45</v>
      </c>
      <c r="I349" s="2" t="s">
        <v>12</v>
      </c>
      <c r="J349" s="2" t="s">
        <v>12</v>
      </c>
      <c r="K349" s="2" t="s">
        <v>12</v>
      </c>
      <c r="L349" s="2" t="s">
        <v>12</v>
      </c>
      <c r="M349" s="2" t="s">
        <v>12</v>
      </c>
      <c r="N349" s="2" t="s">
        <v>12</v>
      </c>
      <c r="O349" s="2" t="s">
        <v>12</v>
      </c>
    </row>
    <row r="350" spans="1:15">
      <c r="A350" s="2" t="s">
        <v>198</v>
      </c>
      <c r="B350" s="2" t="s">
        <v>199</v>
      </c>
      <c r="C350" s="2" t="s">
        <v>48</v>
      </c>
      <c r="D350" s="2" t="s">
        <v>2870</v>
      </c>
      <c r="E350" s="2" t="s">
        <v>200</v>
      </c>
      <c r="F350" s="2" t="s">
        <v>15</v>
      </c>
      <c r="G350" s="2" t="s">
        <v>16</v>
      </c>
      <c r="H350" s="2" t="s">
        <v>201</v>
      </c>
      <c r="I350" s="2">
        <v>1.5</v>
      </c>
      <c r="J350" s="2" t="s">
        <v>2879</v>
      </c>
      <c r="K350" s="2" t="s">
        <v>3179</v>
      </c>
      <c r="L350" s="2" t="s">
        <v>2873</v>
      </c>
      <c r="M350" s="2">
        <v>231</v>
      </c>
      <c r="N350" s="2">
        <v>4036</v>
      </c>
      <c r="O350" s="2" t="s">
        <v>3180</v>
      </c>
    </row>
    <row r="351" spans="1:15">
      <c r="A351" s="2" t="s">
        <v>198</v>
      </c>
      <c r="B351" s="2" t="s">
        <v>199</v>
      </c>
      <c r="C351" s="2" t="s">
        <v>48</v>
      </c>
      <c r="D351" s="2" t="s">
        <v>2882</v>
      </c>
      <c r="E351" s="2" t="s">
        <v>202</v>
      </c>
      <c r="F351" s="2" t="s">
        <v>15</v>
      </c>
      <c r="G351" s="2" t="s">
        <v>16</v>
      </c>
      <c r="H351" s="2" t="s">
        <v>203</v>
      </c>
      <c r="I351" s="2">
        <v>1.5</v>
      </c>
      <c r="J351" s="2" t="s">
        <v>2879</v>
      </c>
      <c r="K351" s="2" t="s">
        <v>3179</v>
      </c>
      <c r="L351" s="2" t="s">
        <v>2873</v>
      </c>
      <c r="M351" s="2">
        <v>231</v>
      </c>
      <c r="N351" s="2">
        <v>20957</v>
      </c>
      <c r="O351" s="2" t="s">
        <v>3181</v>
      </c>
    </row>
    <row r="352" spans="1:15">
      <c r="A352" s="2" t="s">
        <v>198</v>
      </c>
      <c r="B352" s="2" t="s">
        <v>199</v>
      </c>
      <c r="C352" s="2" t="s">
        <v>48</v>
      </c>
      <c r="D352" s="2" t="s">
        <v>2886</v>
      </c>
      <c r="E352" s="2" t="s">
        <v>204</v>
      </c>
      <c r="F352" s="2" t="s">
        <v>15</v>
      </c>
      <c r="G352" s="2" t="s">
        <v>16</v>
      </c>
      <c r="H352" s="2" t="s">
        <v>205</v>
      </c>
      <c r="I352" s="2">
        <v>1.5</v>
      </c>
      <c r="J352" s="2" t="s">
        <v>2879</v>
      </c>
      <c r="K352" s="2" t="s">
        <v>3014</v>
      </c>
      <c r="L352" s="2" t="s">
        <v>2916</v>
      </c>
      <c r="M352" s="2">
        <v>31</v>
      </c>
      <c r="N352" s="2">
        <v>1</v>
      </c>
      <c r="O352" s="2" t="s">
        <v>3182</v>
      </c>
    </row>
    <row r="353" spans="1:15">
      <c r="A353" s="2" t="s">
        <v>198</v>
      </c>
      <c r="B353" s="2" t="s">
        <v>199</v>
      </c>
      <c r="C353" s="2" t="s">
        <v>48</v>
      </c>
      <c r="D353" s="2" t="s">
        <v>2886</v>
      </c>
      <c r="E353" s="2" t="s">
        <v>204</v>
      </c>
      <c r="F353" s="2" t="s">
        <v>15</v>
      </c>
      <c r="G353" s="2" t="s">
        <v>16</v>
      </c>
      <c r="H353" s="2" t="s">
        <v>205</v>
      </c>
      <c r="I353" s="2">
        <v>1.5</v>
      </c>
      <c r="J353" s="2" t="s">
        <v>2879</v>
      </c>
      <c r="K353" s="2" t="s">
        <v>3183</v>
      </c>
      <c r="L353" s="2" t="s">
        <v>2916</v>
      </c>
      <c r="M353" s="2">
        <v>924</v>
      </c>
      <c r="N353" s="2">
        <v>2</v>
      </c>
      <c r="O353" s="2" t="s">
        <v>3184</v>
      </c>
    </row>
    <row r="354" spans="1:15">
      <c r="A354" s="2" t="s">
        <v>198</v>
      </c>
      <c r="B354" s="2" t="s">
        <v>199</v>
      </c>
      <c r="C354" s="2" t="s">
        <v>48</v>
      </c>
      <c r="D354" s="2" t="s">
        <v>2886</v>
      </c>
      <c r="E354" s="2" t="s">
        <v>204</v>
      </c>
      <c r="F354" s="2" t="s">
        <v>15</v>
      </c>
      <c r="G354" s="2" t="s">
        <v>16</v>
      </c>
      <c r="H354" s="2" t="s">
        <v>205</v>
      </c>
      <c r="I354" s="2">
        <v>1.5</v>
      </c>
      <c r="J354" s="2" t="s">
        <v>2879</v>
      </c>
      <c r="K354" s="2" t="s">
        <v>3179</v>
      </c>
      <c r="L354" s="2" t="s">
        <v>2873</v>
      </c>
      <c r="M354" s="2">
        <v>231</v>
      </c>
      <c r="N354" s="2">
        <v>7033</v>
      </c>
      <c r="O354" s="2" t="s">
        <v>3185</v>
      </c>
    </row>
    <row r="355" spans="1:15">
      <c r="A355" s="2" t="s">
        <v>198</v>
      </c>
      <c r="B355" s="2" t="s">
        <v>199</v>
      </c>
      <c r="C355" s="2" t="s">
        <v>48</v>
      </c>
      <c r="D355" s="2" t="s">
        <v>2896</v>
      </c>
      <c r="E355" s="2" t="s">
        <v>206</v>
      </c>
      <c r="F355" s="2" t="s">
        <v>15</v>
      </c>
      <c r="G355" s="2" t="s">
        <v>16</v>
      </c>
      <c r="H355" s="2" t="s">
        <v>207</v>
      </c>
      <c r="I355" s="2">
        <v>1.5</v>
      </c>
      <c r="J355" s="2" t="s">
        <v>2879</v>
      </c>
      <c r="K355" s="2" t="s">
        <v>3179</v>
      </c>
      <c r="L355" s="2" t="s">
        <v>2873</v>
      </c>
      <c r="M355" s="2">
        <v>231</v>
      </c>
      <c r="N355" s="2">
        <v>2437</v>
      </c>
      <c r="O355" s="2" t="s">
        <v>3186</v>
      </c>
    </row>
    <row r="356" spans="1:15">
      <c r="A356" s="2" t="s">
        <v>198</v>
      </c>
      <c r="B356" s="2" t="s">
        <v>199</v>
      </c>
      <c r="C356" s="2" t="s">
        <v>48</v>
      </c>
      <c r="D356" s="2" t="s">
        <v>2896</v>
      </c>
      <c r="E356" s="2" t="s">
        <v>206</v>
      </c>
      <c r="F356" s="2" t="s">
        <v>15</v>
      </c>
      <c r="G356" s="2" t="s">
        <v>16</v>
      </c>
      <c r="H356" s="2" t="s">
        <v>207</v>
      </c>
      <c r="I356" s="2">
        <v>1.5</v>
      </c>
      <c r="J356" s="2" t="s">
        <v>2879</v>
      </c>
      <c r="K356" s="2" t="s">
        <v>3014</v>
      </c>
      <c r="L356" s="2" t="s">
        <v>2916</v>
      </c>
      <c r="M356" s="2">
        <v>31</v>
      </c>
      <c r="N356" s="2">
        <v>91</v>
      </c>
      <c r="O356" s="2" t="s">
        <v>3187</v>
      </c>
    </row>
    <row r="357" spans="1:15">
      <c r="A357" s="2" t="s">
        <v>198</v>
      </c>
      <c r="B357" s="2" t="s">
        <v>199</v>
      </c>
      <c r="C357" s="2" t="s">
        <v>48</v>
      </c>
      <c r="D357" s="2" t="s">
        <v>2901</v>
      </c>
      <c r="E357" s="2" t="s">
        <v>208</v>
      </c>
      <c r="F357" s="2" t="s">
        <v>15</v>
      </c>
      <c r="G357" s="2" t="s">
        <v>16</v>
      </c>
      <c r="H357" s="2" t="s">
        <v>209</v>
      </c>
      <c r="I357" s="2">
        <v>1.5</v>
      </c>
      <c r="J357" s="2" t="s">
        <v>2879</v>
      </c>
      <c r="K357" s="2" t="s">
        <v>3179</v>
      </c>
      <c r="L357" s="2" t="s">
        <v>2873</v>
      </c>
      <c r="M357" s="2">
        <v>231</v>
      </c>
      <c r="N357" s="2">
        <v>1518</v>
      </c>
      <c r="O357" s="2" t="s">
        <v>3188</v>
      </c>
    </row>
    <row r="358" spans="1:15">
      <c r="A358" s="2" t="s">
        <v>198</v>
      </c>
      <c r="B358" s="2" t="s">
        <v>199</v>
      </c>
      <c r="C358" s="2" t="s">
        <v>48</v>
      </c>
      <c r="D358" s="2" t="s">
        <v>2901</v>
      </c>
      <c r="E358" s="2" t="s">
        <v>208</v>
      </c>
      <c r="F358" s="2" t="s">
        <v>15</v>
      </c>
      <c r="G358" s="2" t="s">
        <v>16</v>
      </c>
      <c r="H358" s="2" t="s">
        <v>209</v>
      </c>
      <c r="I358" s="2">
        <v>1.5</v>
      </c>
      <c r="J358" s="2" t="s">
        <v>2879</v>
      </c>
      <c r="K358" s="2" t="s">
        <v>3014</v>
      </c>
      <c r="L358" s="2" t="s">
        <v>2916</v>
      </c>
      <c r="M358" s="2">
        <v>31</v>
      </c>
      <c r="N358" s="2">
        <v>241</v>
      </c>
      <c r="O358" s="2" t="s">
        <v>3189</v>
      </c>
    </row>
    <row r="359" spans="1:15">
      <c r="A359" s="2" t="s">
        <v>198</v>
      </c>
      <c r="B359" s="2" t="s">
        <v>199</v>
      </c>
      <c r="C359" s="2" t="s">
        <v>48</v>
      </c>
      <c r="D359" s="2" t="s">
        <v>2904</v>
      </c>
      <c r="E359" s="2" t="s">
        <v>210</v>
      </c>
      <c r="F359" s="2" t="s">
        <v>33</v>
      </c>
      <c r="G359" s="2" t="s">
        <v>44</v>
      </c>
      <c r="H359" s="2" t="s">
        <v>45</v>
      </c>
      <c r="I359" s="2" t="s">
        <v>12</v>
      </c>
      <c r="J359" s="2" t="s">
        <v>12</v>
      </c>
      <c r="K359" s="2" t="s">
        <v>12</v>
      </c>
      <c r="L359" s="2" t="s">
        <v>12</v>
      </c>
      <c r="M359" s="2" t="s">
        <v>12</v>
      </c>
      <c r="N359" s="2" t="s">
        <v>12</v>
      </c>
      <c r="O359" s="2" t="s">
        <v>12</v>
      </c>
    </row>
    <row r="360" spans="1:15">
      <c r="A360" s="2" t="s">
        <v>211</v>
      </c>
      <c r="B360" s="2" t="s">
        <v>212</v>
      </c>
      <c r="C360" s="2" t="s">
        <v>48</v>
      </c>
      <c r="D360" s="2" t="s">
        <v>2870</v>
      </c>
      <c r="E360" s="2" t="s">
        <v>200</v>
      </c>
      <c r="F360" s="2" t="s">
        <v>15</v>
      </c>
      <c r="G360" s="2" t="s">
        <v>16</v>
      </c>
      <c r="H360" s="2" t="s">
        <v>213</v>
      </c>
      <c r="I360" s="2">
        <v>1.05</v>
      </c>
      <c r="J360" s="2" t="s">
        <v>2871</v>
      </c>
      <c r="K360" s="2" t="s">
        <v>3190</v>
      </c>
      <c r="L360" s="2" t="s">
        <v>2873</v>
      </c>
      <c r="M360" s="2">
        <v>168</v>
      </c>
      <c r="N360" s="2">
        <v>140</v>
      </c>
      <c r="O360" s="2" t="s">
        <v>3191</v>
      </c>
    </row>
    <row r="361" spans="1:15">
      <c r="A361" s="2" t="s">
        <v>211</v>
      </c>
      <c r="B361" s="2" t="s">
        <v>212</v>
      </c>
      <c r="C361" s="2" t="s">
        <v>48</v>
      </c>
      <c r="D361" s="2" t="s">
        <v>2870</v>
      </c>
      <c r="E361" s="2" t="s">
        <v>200</v>
      </c>
      <c r="F361" s="2" t="s">
        <v>15</v>
      </c>
      <c r="G361" s="2" t="s">
        <v>16</v>
      </c>
      <c r="H361" s="2" t="s">
        <v>213</v>
      </c>
      <c r="I361" s="2">
        <v>1.05</v>
      </c>
      <c r="J361" s="2" t="s">
        <v>2871</v>
      </c>
      <c r="K361" s="2" t="s">
        <v>3192</v>
      </c>
      <c r="L361" s="2" t="s">
        <v>2873</v>
      </c>
      <c r="M361" s="2">
        <v>154</v>
      </c>
      <c r="N361" s="2">
        <v>108</v>
      </c>
      <c r="O361" s="2" t="s">
        <v>3193</v>
      </c>
    </row>
    <row r="362" spans="1:15">
      <c r="A362" s="2" t="s">
        <v>211</v>
      </c>
      <c r="B362" s="2" t="s">
        <v>212</v>
      </c>
      <c r="C362" s="2" t="s">
        <v>48</v>
      </c>
      <c r="D362" s="2" t="s">
        <v>2870</v>
      </c>
      <c r="E362" s="2" t="s">
        <v>200</v>
      </c>
      <c r="F362" s="2" t="s">
        <v>15</v>
      </c>
      <c r="G362" s="2" t="s">
        <v>16</v>
      </c>
      <c r="H362" s="2" t="s">
        <v>213</v>
      </c>
      <c r="I362" s="2">
        <v>1.05</v>
      </c>
      <c r="J362" s="2" t="s">
        <v>2887</v>
      </c>
      <c r="K362" s="2" t="s">
        <v>3194</v>
      </c>
      <c r="L362" s="2" t="s">
        <v>2873</v>
      </c>
      <c r="M362" s="2">
        <v>616</v>
      </c>
      <c r="N362" s="2">
        <v>344</v>
      </c>
      <c r="O362" s="2" t="s">
        <v>3195</v>
      </c>
    </row>
    <row r="363" spans="1:15">
      <c r="A363" s="2" t="s">
        <v>211</v>
      </c>
      <c r="B363" s="2" t="s">
        <v>212</v>
      </c>
      <c r="C363" s="2" t="s">
        <v>48</v>
      </c>
      <c r="D363" s="2" t="s">
        <v>2882</v>
      </c>
      <c r="E363" s="2" t="s">
        <v>202</v>
      </c>
      <c r="F363" s="2" t="s">
        <v>15</v>
      </c>
      <c r="G363" s="2" t="s">
        <v>16</v>
      </c>
      <c r="H363" s="2" t="s">
        <v>214</v>
      </c>
      <c r="I363" s="2">
        <v>1.17</v>
      </c>
      <c r="J363" s="2" t="s">
        <v>2887</v>
      </c>
      <c r="K363" s="2" t="s">
        <v>3194</v>
      </c>
      <c r="L363" s="2" t="s">
        <v>2873</v>
      </c>
      <c r="M363" s="2">
        <v>616</v>
      </c>
      <c r="N363" s="2">
        <v>326</v>
      </c>
      <c r="O363" s="2" t="s">
        <v>3196</v>
      </c>
    </row>
    <row r="364" spans="1:15">
      <c r="A364" s="2" t="s">
        <v>211</v>
      </c>
      <c r="B364" s="2" t="s">
        <v>212</v>
      </c>
      <c r="C364" s="2" t="s">
        <v>48</v>
      </c>
      <c r="D364" s="2" t="s">
        <v>2882</v>
      </c>
      <c r="E364" s="2" t="s">
        <v>202</v>
      </c>
      <c r="F364" s="2" t="s">
        <v>15</v>
      </c>
      <c r="G364" s="2" t="s">
        <v>16</v>
      </c>
      <c r="H364" s="2" t="s">
        <v>214</v>
      </c>
      <c r="I364" s="2">
        <v>1.17</v>
      </c>
      <c r="J364" s="2" t="s">
        <v>2871</v>
      </c>
      <c r="K364" s="2" t="s">
        <v>3192</v>
      </c>
      <c r="L364" s="2" t="s">
        <v>2873</v>
      </c>
      <c r="M364" s="2">
        <v>154</v>
      </c>
      <c r="N364" s="2">
        <v>113</v>
      </c>
      <c r="O364" s="2" t="s">
        <v>3197</v>
      </c>
    </row>
    <row r="365" spans="1:15">
      <c r="A365" s="2" t="s">
        <v>211</v>
      </c>
      <c r="B365" s="2" t="s">
        <v>212</v>
      </c>
      <c r="C365" s="2" t="s">
        <v>48</v>
      </c>
      <c r="D365" s="2" t="s">
        <v>2882</v>
      </c>
      <c r="E365" s="2" t="s">
        <v>202</v>
      </c>
      <c r="F365" s="2" t="s">
        <v>15</v>
      </c>
      <c r="G365" s="2" t="s">
        <v>16</v>
      </c>
      <c r="H365" s="2" t="s">
        <v>214</v>
      </c>
      <c r="I365" s="2">
        <v>1.17</v>
      </c>
      <c r="J365" s="2" t="s">
        <v>2871</v>
      </c>
      <c r="K365" s="2" t="s">
        <v>3190</v>
      </c>
      <c r="L365" s="2" t="s">
        <v>2873</v>
      </c>
      <c r="M365" s="2">
        <v>168</v>
      </c>
      <c r="N365" s="2">
        <v>180</v>
      </c>
      <c r="O365" s="2" t="s">
        <v>3198</v>
      </c>
    </row>
    <row r="366" spans="1:15">
      <c r="A366" s="2" t="s">
        <v>211</v>
      </c>
      <c r="B366" s="2" t="s">
        <v>212</v>
      </c>
      <c r="C366" s="2" t="s">
        <v>48</v>
      </c>
      <c r="D366" s="2" t="s">
        <v>2886</v>
      </c>
      <c r="E366" s="2" t="s">
        <v>204</v>
      </c>
      <c r="F366" s="2" t="s">
        <v>15</v>
      </c>
      <c r="G366" s="2" t="s">
        <v>16</v>
      </c>
      <c r="H366" s="2" t="s">
        <v>215</v>
      </c>
      <c r="I366" s="2">
        <v>1.5</v>
      </c>
      <c r="J366" s="2" t="s">
        <v>2887</v>
      </c>
      <c r="K366" s="2" t="s">
        <v>3199</v>
      </c>
      <c r="L366" s="2" t="s">
        <v>2916</v>
      </c>
      <c r="M366" s="2" t="s">
        <v>12</v>
      </c>
      <c r="N366" s="2">
        <v>239</v>
      </c>
      <c r="O366" s="2" t="s">
        <v>12</v>
      </c>
    </row>
    <row r="367" spans="1:15">
      <c r="A367" s="2" t="s">
        <v>211</v>
      </c>
      <c r="B367" s="2" t="s">
        <v>212</v>
      </c>
      <c r="C367" s="2" t="s">
        <v>48</v>
      </c>
      <c r="D367" s="2" t="s">
        <v>2886</v>
      </c>
      <c r="E367" s="2" t="s">
        <v>204</v>
      </c>
      <c r="F367" s="2" t="s">
        <v>15</v>
      </c>
      <c r="G367" s="2" t="s">
        <v>16</v>
      </c>
      <c r="H367" s="2" t="s">
        <v>215</v>
      </c>
      <c r="I367" s="2">
        <v>1.5</v>
      </c>
      <c r="J367" s="2" t="s">
        <v>2887</v>
      </c>
      <c r="K367" s="2" t="s">
        <v>3200</v>
      </c>
      <c r="L367" s="2" t="s">
        <v>2916</v>
      </c>
      <c r="M367" s="2">
        <v>308</v>
      </c>
      <c r="N367" s="2">
        <v>6</v>
      </c>
      <c r="O367" s="2" t="s">
        <v>3201</v>
      </c>
    </row>
    <row r="368" spans="1:15">
      <c r="A368" s="2" t="s">
        <v>211</v>
      </c>
      <c r="B368" s="2" t="s">
        <v>212</v>
      </c>
      <c r="C368" s="2" t="s">
        <v>48</v>
      </c>
      <c r="D368" s="2" t="s">
        <v>2886</v>
      </c>
      <c r="E368" s="2" t="s">
        <v>204</v>
      </c>
      <c r="F368" s="2" t="s">
        <v>15</v>
      </c>
      <c r="G368" s="2" t="s">
        <v>16</v>
      </c>
      <c r="H368" s="2" t="s">
        <v>215</v>
      </c>
      <c r="I368" s="2">
        <v>1.5</v>
      </c>
      <c r="J368" s="2" t="s">
        <v>2887</v>
      </c>
      <c r="K368" s="2" t="s">
        <v>3194</v>
      </c>
      <c r="L368" s="2" t="s">
        <v>2873</v>
      </c>
      <c r="M368" s="2">
        <v>616</v>
      </c>
      <c r="N368" s="2">
        <v>72</v>
      </c>
      <c r="O368" s="2" t="s">
        <v>3178</v>
      </c>
    </row>
    <row r="369" spans="1:15">
      <c r="A369" s="2" t="s">
        <v>211</v>
      </c>
      <c r="B369" s="2" t="s">
        <v>212</v>
      </c>
      <c r="C369" s="2" t="s">
        <v>48</v>
      </c>
      <c r="D369" s="2" t="s">
        <v>2886</v>
      </c>
      <c r="E369" s="2" t="s">
        <v>204</v>
      </c>
      <c r="F369" s="2" t="s">
        <v>15</v>
      </c>
      <c r="G369" s="2" t="s">
        <v>16</v>
      </c>
      <c r="H369" s="2" t="s">
        <v>215</v>
      </c>
      <c r="I369" s="2">
        <v>1.5</v>
      </c>
      <c r="J369" s="2" t="s">
        <v>2871</v>
      </c>
      <c r="K369" s="2" t="s">
        <v>3192</v>
      </c>
      <c r="L369" s="2" t="s">
        <v>2873</v>
      </c>
      <c r="M369" s="2">
        <v>154</v>
      </c>
      <c r="N369" s="2">
        <v>149</v>
      </c>
      <c r="O369" s="2" t="s">
        <v>3202</v>
      </c>
    </row>
    <row r="370" spans="1:15">
      <c r="A370" s="2" t="s">
        <v>211</v>
      </c>
      <c r="B370" s="2" t="s">
        <v>212</v>
      </c>
      <c r="C370" s="2" t="s">
        <v>48</v>
      </c>
      <c r="D370" s="2" t="s">
        <v>2886</v>
      </c>
      <c r="E370" s="2" t="s">
        <v>204</v>
      </c>
      <c r="F370" s="2" t="s">
        <v>15</v>
      </c>
      <c r="G370" s="2" t="s">
        <v>16</v>
      </c>
      <c r="H370" s="2" t="s">
        <v>215</v>
      </c>
      <c r="I370" s="2">
        <v>1.5</v>
      </c>
      <c r="J370" s="2" t="s">
        <v>2871</v>
      </c>
      <c r="K370" s="2" t="s">
        <v>3190</v>
      </c>
      <c r="L370" s="2" t="s">
        <v>2873</v>
      </c>
      <c r="M370" s="2">
        <v>168</v>
      </c>
      <c r="N370" s="2">
        <v>340</v>
      </c>
      <c r="O370" s="2" t="s">
        <v>3203</v>
      </c>
    </row>
    <row r="371" spans="1:15">
      <c r="A371" s="2" t="s">
        <v>211</v>
      </c>
      <c r="B371" s="2" t="s">
        <v>212</v>
      </c>
      <c r="C371" s="2" t="s">
        <v>48</v>
      </c>
      <c r="D371" s="2" t="s">
        <v>2886</v>
      </c>
      <c r="E371" s="2" t="s">
        <v>204</v>
      </c>
      <c r="F371" s="2" t="s">
        <v>15</v>
      </c>
      <c r="G371" s="2" t="s">
        <v>16</v>
      </c>
      <c r="H371" s="2" t="s">
        <v>215</v>
      </c>
      <c r="I371" s="2">
        <v>1.5</v>
      </c>
      <c r="J371" s="2" t="s">
        <v>2879</v>
      </c>
      <c r="K371" s="2" t="s">
        <v>3200</v>
      </c>
      <c r="L371" s="2" t="s">
        <v>2916</v>
      </c>
      <c r="M371" s="2">
        <v>308</v>
      </c>
      <c r="N371" s="2">
        <v>31</v>
      </c>
      <c r="O371" s="2" t="s">
        <v>3204</v>
      </c>
    </row>
    <row r="372" spans="1:15">
      <c r="A372" s="2" t="s">
        <v>211</v>
      </c>
      <c r="B372" s="2" t="s">
        <v>212</v>
      </c>
      <c r="C372" s="2" t="s">
        <v>48</v>
      </c>
      <c r="D372" s="2" t="s">
        <v>2896</v>
      </c>
      <c r="E372" s="2" t="s">
        <v>206</v>
      </c>
      <c r="F372" s="2" t="s">
        <v>15</v>
      </c>
      <c r="G372" s="2" t="s">
        <v>16</v>
      </c>
      <c r="H372" s="2" t="s">
        <v>216</v>
      </c>
      <c r="I372" s="2">
        <v>1.5</v>
      </c>
      <c r="J372" s="2" t="s">
        <v>12</v>
      </c>
      <c r="K372" s="2" t="s">
        <v>3199</v>
      </c>
      <c r="L372" s="2" t="s">
        <v>2873</v>
      </c>
      <c r="M372" s="2" t="s">
        <v>12</v>
      </c>
      <c r="N372" s="2">
        <v>695</v>
      </c>
      <c r="O372" s="2" t="s">
        <v>12</v>
      </c>
    </row>
    <row r="373" spans="1:15">
      <c r="A373" s="2" t="s">
        <v>211</v>
      </c>
      <c r="B373" s="2" t="s">
        <v>212</v>
      </c>
      <c r="C373" s="2" t="s">
        <v>48</v>
      </c>
      <c r="D373" s="2" t="s">
        <v>2896</v>
      </c>
      <c r="E373" s="2" t="s">
        <v>206</v>
      </c>
      <c r="F373" s="2" t="s">
        <v>15</v>
      </c>
      <c r="G373" s="2" t="s">
        <v>16</v>
      </c>
      <c r="H373" s="2" t="s">
        <v>216</v>
      </c>
      <c r="I373" s="2">
        <v>1.5</v>
      </c>
      <c r="J373" s="2" t="s">
        <v>2887</v>
      </c>
      <c r="K373" s="2" t="s">
        <v>3194</v>
      </c>
      <c r="L373" s="2" t="s">
        <v>2873</v>
      </c>
      <c r="M373" s="2">
        <v>616</v>
      </c>
      <c r="N373" s="2">
        <v>289</v>
      </c>
      <c r="O373" s="2" t="s">
        <v>3205</v>
      </c>
    </row>
    <row r="374" spans="1:15">
      <c r="A374" s="2" t="s">
        <v>211</v>
      </c>
      <c r="B374" s="2" t="s">
        <v>212</v>
      </c>
      <c r="C374" s="2" t="s">
        <v>48</v>
      </c>
      <c r="D374" s="2" t="s">
        <v>2896</v>
      </c>
      <c r="E374" s="2" t="s">
        <v>206</v>
      </c>
      <c r="F374" s="2" t="s">
        <v>15</v>
      </c>
      <c r="G374" s="2" t="s">
        <v>16</v>
      </c>
      <c r="H374" s="2" t="s">
        <v>216</v>
      </c>
      <c r="I374" s="2">
        <v>1.5</v>
      </c>
      <c r="J374" s="2" t="s">
        <v>2887</v>
      </c>
      <c r="K374" s="2" t="s">
        <v>3199</v>
      </c>
      <c r="L374" s="2" t="s">
        <v>2873</v>
      </c>
      <c r="M374" s="2">
        <v>462</v>
      </c>
      <c r="N374" s="2">
        <v>544</v>
      </c>
      <c r="O374" s="2" t="s">
        <v>3206</v>
      </c>
    </row>
    <row r="375" spans="1:15">
      <c r="A375" s="2" t="s">
        <v>211</v>
      </c>
      <c r="B375" s="2" t="s">
        <v>212</v>
      </c>
      <c r="C375" s="2" t="s">
        <v>48</v>
      </c>
      <c r="D375" s="2" t="s">
        <v>2896</v>
      </c>
      <c r="E375" s="2" t="s">
        <v>206</v>
      </c>
      <c r="F375" s="2" t="s">
        <v>15</v>
      </c>
      <c r="G375" s="2" t="s">
        <v>16</v>
      </c>
      <c r="H375" s="2" t="s">
        <v>216</v>
      </c>
      <c r="I375" s="2">
        <v>1.5</v>
      </c>
      <c r="J375" s="2" t="s">
        <v>2871</v>
      </c>
      <c r="K375" s="2" t="s">
        <v>3192</v>
      </c>
      <c r="L375" s="2" t="s">
        <v>2873</v>
      </c>
      <c r="M375" s="2">
        <v>154</v>
      </c>
      <c r="N375" s="2">
        <v>187</v>
      </c>
      <c r="O375" s="2" t="s">
        <v>3207</v>
      </c>
    </row>
    <row r="376" spans="1:15">
      <c r="A376" s="2" t="s">
        <v>211</v>
      </c>
      <c r="B376" s="2" t="s">
        <v>212</v>
      </c>
      <c r="C376" s="2" t="s">
        <v>48</v>
      </c>
      <c r="D376" s="2" t="s">
        <v>2896</v>
      </c>
      <c r="E376" s="2" t="s">
        <v>206</v>
      </c>
      <c r="F376" s="2" t="s">
        <v>15</v>
      </c>
      <c r="G376" s="2" t="s">
        <v>16</v>
      </c>
      <c r="H376" s="2" t="s">
        <v>216</v>
      </c>
      <c r="I376" s="2">
        <v>1.5</v>
      </c>
      <c r="J376" s="2" t="s">
        <v>2871</v>
      </c>
      <c r="K376" s="2" t="s">
        <v>3190</v>
      </c>
      <c r="L376" s="2" t="s">
        <v>2873</v>
      </c>
      <c r="M376" s="2">
        <v>168</v>
      </c>
      <c r="N376" s="2">
        <v>154</v>
      </c>
      <c r="O376" s="2" t="s">
        <v>3208</v>
      </c>
    </row>
    <row r="377" spans="1:15">
      <c r="A377" s="2" t="s">
        <v>211</v>
      </c>
      <c r="B377" s="2" t="s">
        <v>212</v>
      </c>
      <c r="C377" s="2" t="s">
        <v>48</v>
      </c>
      <c r="D377" s="2" t="s">
        <v>2896</v>
      </c>
      <c r="E377" s="2" t="s">
        <v>206</v>
      </c>
      <c r="F377" s="2" t="s">
        <v>15</v>
      </c>
      <c r="G377" s="2" t="s">
        <v>16</v>
      </c>
      <c r="H377" s="2" t="s">
        <v>216</v>
      </c>
      <c r="I377" s="2">
        <v>1.5</v>
      </c>
      <c r="J377" s="2" t="s">
        <v>2879</v>
      </c>
      <c r="K377" s="2" t="s">
        <v>3200</v>
      </c>
      <c r="L377" s="2" t="s">
        <v>2916</v>
      </c>
      <c r="M377" s="2">
        <v>308</v>
      </c>
      <c r="N377" s="2">
        <v>36</v>
      </c>
      <c r="O377" s="2" t="s">
        <v>3178</v>
      </c>
    </row>
    <row r="378" spans="1:15">
      <c r="A378" s="2" t="s">
        <v>211</v>
      </c>
      <c r="B378" s="2" t="s">
        <v>212</v>
      </c>
      <c r="C378" s="2" t="s">
        <v>48</v>
      </c>
      <c r="D378" s="2" t="s">
        <v>2901</v>
      </c>
      <c r="E378" s="2" t="s">
        <v>208</v>
      </c>
      <c r="F378" s="2" t="s">
        <v>15</v>
      </c>
      <c r="G378" s="2" t="s">
        <v>20</v>
      </c>
      <c r="H378" s="2" t="s">
        <v>217</v>
      </c>
      <c r="I378" s="2">
        <v>1</v>
      </c>
      <c r="J378" s="2" t="s">
        <v>2871</v>
      </c>
      <c r="K378" s="2" t="s">
        <v>3192</v>
      </c>
      <c r="L378" s="2" t="s">
        <v>2873</v>
      </c>
      <c r="M378" s="2">
        <v>154</v>
      </c>
      <c r="N378" s="2">
        <v>50</v>
      </c>
      <c r="O378" s="2" t="s">
        <v>2919</v>
      </c>
    </row>
    <row r="379" spans="1:15">
      <c r="A379" s="2" t="s">
        <v>211</v>
      </c>
      <c r="B379" s="2" t="s">
        <v>212</v>
      </c>
      <c r="C379" s="2" t="s">
        <v>48</v>
      </c>
      <c r="D379" s="2" t="s">
        <v>2901</v>
      </c>
      <c r="E379" s="2" t="s">
        <v>208</v>
      </c>
      <c r="F379" s="2" t="s">
        <v>15</v>
      </c>
      <c r="G379" s="2" t="s">
        <v>20</v>
      </c>
      <c r="H379" s="2" t="s">
        <v>217</v>
      </c>
      <c r="I379" s="2">
        <v>1</v>
      </c>
      <c r="J379" s="2" t="s">
        <v>2879</v>
      </c>
      <c r="K379" s="2" t="s">
        <v>3200</v>
      </c>
      <c r="L379" s="2" t="s">
        <v>2916</v>
      </c>
      <c r="M379" s="2">
        <v>308</v>
      </c>
      <c r="N379" s="2">
        <v>32</v>
      </c>
      <c r="O379" s="2" t="s">
        <v>3209</v>
      </c>
    </row>
    <row r="380" spans="1:15">
      <c r="A380" s="2" t="s">
        <v>211</v>
      </c>
      <c r="B380" s="2" t="s">
        <v>212</v>
      </c>
      <c r="C380" s="2" t="s">
        <v>48</v>
      </c>
      <c r="D380" s="2" t="s">
        <v>2901</v>
      </c>
      <c r="E380" s="2" t="s">
        <v>208</v>
      </c>
      <c r="F380" s="2" t="s">
        <v>15</v>
      </c>
      <c r="G380" s="2" t="s">
        <v>20</v>
      </c>
      <c r="H380" s="2" t="s">
        <v>217</v>
      </c>
      <c r="I380" s="2">
        <v>1</v>
      </c>
      <c r="J380" s="2" t="s">
        <v>12</v>
      </c>
      <c r="K380" s="2" t="s">
        <v>3199</v>
      </c>
      <c r="L380" s="2" t="s">
        <v>2873</v>
      </c>
      <c r="M380" s="2" t="s">
        <v>12</v>
      </c>
      <c r="N380" s="2">
        <v>421</v>
      </c>
      <c r="O380" s="2" t="s">
        <v>12</v>
      </c>
    </row>
    <row r="381" spans="1:15">
      <c r="A381" s="2" t="s">
        <v>211</v>
      </c>
      <c r="B381" s="2" t="s">
        <v>212</v>
      </c>
      <c r="C381" s="2" t="s">
        <v>48</v>
      </c>
      <c r="D381" s="2" t="s">
        <v>2901</v>
      </c>
      <c r="E381" s="2" t="s">
        <v>208</v>
      </c>
      <c r="F381" s="2" t="s">
        <v>15</v>
      </c>
      <c r="G381" s="2" t="s">
        <v>20</v>
      </c>
      <c r="H381" s="2" t="s">
        <v>217</v>
      </c>
      <c r="I381" s="2">
        <v>1</v>
      </c>
      <c r="J381" s="2" t="s">
        <v>2887</v>
      </c>
      <c r="K381" s="2" t="s">
        <v>3199</v>
      </c>
      <c r="L381" s="2" t="s">
        <v>2873</v>
      </c>
      <c r="M381" s="2">
        <v>462</v>
      </c>
      <c r="N381" s="2">
        <v>533</v>
      </c>
      <c r="O381" s="2" t="s">
        <v>3210</v>
      </c>
    </row>
    <row r="382" spans="1:15">
      <c r="A382" s="2" t="s">
        <v>211</v>
      </c>
      <c r="B382" s="2" t="s">
        <v>212</v>
      </c>
      <c r="C382" s="2" t="s">
        <v>48</v>
      </c>
      <c r="D382" s="2" t="s">
        <v>2901</v>
      </c>
      <c r="E382" s="2" t="s">
        <v>208</v>
      </c>
      <c r="F382" s="2" t="s">
        <v>15</v>
      </c>
      <c r="G382" s="2" t="s">
        <v>20</v>
      </c>
      <c r="H382" s="2" t="s">
        <v>217</v>
      </c>
      <c r="I382" s="2">
        <v>1</v>
      </c>
      <c r="J382" s="2" t="s">
        <v>2887</v>
      </c>
      <c r="K382" s="2" t="s">
        <v>3194</v>
      </c>
      <c r="L382" s="2" t="s">
        <v>2873</v>
      </c>
      <c r="M382" s="2">
        <v>616</v>
      </c>
      <c r="N382" s="2">
        <v>50</v>
      </c>
      <c r="O382" s="2" t="s">
        <v>3026</v>
      </c>
    </row>
    <row r="383" spans="1:15">
      <c r="A383" s="2" t="s">
        <v>211</v>
      </c>
      <c r="B383" s="2" t="s">
        <v>212</v>
      </c>
      <c r="C383" s="2" t="s">
        <v>48</v>
      </c>
      <c r="D383" s="2" t="s">
        <v>2904</v>
      </c>
      <c r="E383" s="2" t="s">
        <v>210</v>
      </c>
      <c r="F383" s="2" t="s">
        <v>33</v>
      </c>
      <c r="G383" s="2" t="s">
        <v>44</v>
      </c>
      <c r="H383" s="2" t="s">
        <v>45</v>
      </c>
      <c r="I383" s="2" t="s">
        <v>12</v>
      </c>
      <c r="J383" s="2" t="s">
        <v>12</v>
      </c>
      <c r="K383" s="2" t="s">
        <v>12</v>
      </c>
      <c r="L383" s="2" t="s">
        <v>12</v>
      </c>
      <c r="M383" s="2" t="s">
        <v>12</v>
      </c>
      <c r="N383" s="2" t="s">
        <v>12</v>
      </c>
      <c r="O383" s="2" t="s">
        <v>12</v>
      </c>
    </row>
    <row r="384" spans="1:15">
      <c r="A384" s="2" t="s">
        <v>218</v>
      </c>
      <c r="B384" s="2" t="s">
        <v>219</v>
      </c>
      <c r="C384" s="2" t="s">
        <v>76</v>
      </c>
      <c r="D384" s="2" t="s">
        <v>2870</v>
      </c>
      <c r="E384" s="2" t="s">
        <v>220</v>
      </c>
      <c r="F384" s="2" t="s">
        <v>15</v>
      </c>
      <c r="G384" s="2" t="s">
        <v>16</v>
      </c>
      <c r="H384" s="2" t="s">
        <v>221</v>
      </c>
      <c r="I384" s="2">
        <v>1.5</v>
      </c>
      <c r="J384" s="2" t="s">
        <v>2887</v>
      </c>
      <c r="K384" s="2" t="s">
        <v>3019</v>
      </c>
      <c r="L384" s="2" t="s">
        <v>2916</v>
      </c>
      <c r="M384" s="2">
        <v>4</v>
      </c>
      <c r="N384" s="2">
        <v>156</v>
      </c>
      <c r="O384" s="2" t="s">
        <v>3211</v>
      </c>
    </row>
    <row r="385" spans="1:15">
      <c r="A385" s="2" t="s">
        <v>218</v>
      </c>
      <c r="B385" s="2" t="s">
        <v>219</v>
      </c>
      <c r="C385" s="2" t="s">
        <v>76</v>
      </c>
      <c r="D385" s="2" t="s">
        <v>2882</v>
      </c>
      <c r="E385" s="2" t="s">
        <v>222</v>
      </c>
      <c r="F385" s="2" t="s">
        <v>33</v>
      </c>
      <c r="G385" s="2" t="s">
        <v>16</v>
      </c>
      <c r="H385" s="2" t="s">
        <v>223</v>
      </c>
      <c r="I385" s="2">
        <v>1.5</v>
      </c>
      <c r="J385" s="2" t="s">
        <v>2887</v>
      </c>
      <c r="K385" s="2" t="s">
        <v>3019</v>
      </c>
      <c r="L385" s="2" t="s">
        <v>2916</v>
      </c>
      <c r="M385" s="2">
        <v>4</v>
      </c>
      <c r="N385" s="2">
        <v>258</v>
      </c>
      <c r="O385" s="2" t="s">
        <v>3212</v>
      </c>
    </row>
    <row r="386" spans="1:15">
      <c r="A386" s="2" t="s">
        <v>218</v>
      </c>
      <c r="B386" s="2" t="s">
        <v>219</v>
      </c>
      <c r="C386" s="2" t="s">
        <v>76</v>
      </c>
      <c r="D386" s="2" t="s">
        <v>2886</v>
      </c>
      <c r="E386" s="2" t="s">
        <v>224</v>
      </c>
      <c r="F386" s="2" t="s">
        <v>225</v>
      </c>
      <c r="G386" s="2" t="s">
        <v>44</v>
      </c>
      <c r="H386" s="2" t="s">
        <v>45</v>
      </c>
      <c r="I386" s="2" t="s">
        <v>12</v>
      </c>
      <c r="J386" s="2" t="s">
        <v>12</v>
      </c>
      <c r="K386" s="2" t="s">
        <v>12</v>
      </c>
      <c r="L386" s="2" t="s">
        <v>12</v>
      </c>
      <c r="M386" s="2" t="s">
        <v>12</v>
      </c>
      <c r="N386" s="2" t="s">
        <v>12</v>
      </c>
      <c r="O386" s="2" t="s">
        <v>12</v>
      </c>
    </row>
    <row r="387" spans="1:15">
      <c r="A387" s="2" t="s">
        <v>226</v>
      </c>
      <c r="B387" s="2" t="s">
        <v>227</v>
      </c>
      <c r="C387" s="2" t="s">
        <v>76</v>
      </c>
      <c r="D387" s="2" t="s">
        <v>2870</v>
      </c>
      <c r="E387" s="2" t="s">
        <v>228</v>
      </c>
      <c r="F387" s="2" t="s">
        <v>15</v>
      </c>
      <c r="G387" s="2" t="s">
        <v>16</v>
      </c>
      <c r="H387" s="2" t="s">
        <v>229</v>
      </c>
      <c r="I387" s="2">
        <v>1.5</v>
      </c>
      <c r="J387" s="2" t="s">
        <v>2887</v>
      </c>
      <c r="K387" s="2" t="s">
        <v>3019</v>
      </c>
      <c r="L387" s="2" t="s">
        <v>2916</v>
      </c>
      <c r="M387" s="2">
        <v>4</v>
      </c>
      <c r="N387" s="2">
        <v>198</v>
      </c>
      <c r="O387" s="2" t="s">
        <v>3213</v>
      </c>
    </row>
    <row r="388" spans="1:15">
      <c r="A388" s="2" t="s">
        <v>226</v>
      </c>
      <c r="B388" s="2" t="s">
        <v>227</v>
      </c>
      <c r="C388" s="2" t="s">
        <v>76</v>
      </c>
      <c r="D388" s="2" t="s">
        <v>2882</v>
      </c>
      <c r="E388" s="2" t="s">
        <v>230</v>
      </c>
      <c r="F388" s="2" t="s">
        <v>33</v>
      </c>
      <c r="G388" s="2" t="s">
        <v>44</v>
      </c>
      <c r="H388" s="2" t="s">
        <v>45</v>
      </c>
      <c r="I388" s="2" t="s">
        <v>12</v>
      </c>
      <c r="J388" s="2" t="s">
        <v>12</v>
      </c>
      <c r="K388" s="2" t="s">
        <v>12</v>
      </c>
      <c r="L388" s="2" t="s">
        <v>12</v>
      </c>
      <c r="M388" s="2" t="s">
        <v>12</v>
      </c>
      <c r="N388" s="2" t="s">
        <v>12</v>
      </c>
      <c r="O388" s="2" t="s">
        <v>12</v>
      </c>
    </row>
    <row r="389" spans="1:15">
      <c r="A389" s="2" t="s">
        <v>226</v>
      </c>
      <c r="B389" s="2" t="s">
        <v>227</v>
      </c>
      <c r="C389" s="2" t="s">
        <v>76</v>
      </c>
      <c r="D389" s="2" t="s">
        <v>2886</v>
      </c>
      <c r="E389" s="2" t="s">
        <v>231</v>
      </c>
      <c r="F389" s="2" t="s">
        <v>225</v>
      </c>
      <c r="G389" s="2" t="s">
        <v>44</v>
      </c>
      <c r="H389" s="2" t="s">
        <v>45</v>
      </c>
      <c r="I389" s="2" t="s">
        <v>12</v>
      </c>
      <c r="J389" s="2" t="s">
        <v>12</v>
      </c>
      <c r="K389" s="2" t="s">
        <v>12</v>
      </c>
      <c r="L389" s="2" t="s">
        <v>12</v>
      </c>
      <c r="M389" s="2" t="s">
        <v>12</v>
      </c>
      <c r="N389" s="2" t="s">
        <v>12</v>
      </c>
      <c r="O389" s="2" t="s">
        <v>12</v>
      </c>
    </row>
    <row r="390" spans="1:15">
      <c r="A390" s="2" t="s">
        <v>232</v>
      </c>
      <c r="B390" s="2" t="s">
        <v>233</v>
      </c>
      <c r="C390" s="2" t="s">
        <v>48</v>
      </c>
      <c r="D390" s="2" t="s">
        <v>2870</v>
      </c>
      <c r="E390" s="2" t="s">
        <v>122</v>
      </c>
      <c r="F390" s="2" t="s">
        <v>15</v>
      </c>
      <c r="G390" s="2" t="s">
        <v>20</v>
      </c>
      <c r="H390" s="2" t="s">
        <v>234</v>
      </c>
      <c r="I390" s="2">
        <v>1</v>
      </c>
      <c r="J390" s="2" t="s">
        <v>12</v>
      </c>
      <c r="K390" s="2" t="s">
        <v>3214</v>
      </c>
      <c r="L390" s="2" t="s">
        <v>2916</v>
      </c>
      <c r="M390" s="2">
        <v>924</v>
      </c>
      <c r="N390" s="2">
        <v>2</v>
      </c>
      <c r="O390" s="2" t="s">
        <v>3184</v>
      </c>
    </row>
    <row r="391" spans="1:15">
      <c r="A391" s="2" t="s">
        <v>232</v>
      </c>
      <c r="B391" s="2" t="s">
        <v>233</v>
      </c>
      <c r="C391" s="2" t="s">
        <v>48</v>
      </c>
      <c r="D391" s="2" t="s">
        <v>2870</v>
      </c>
      <c r="E391" s="2" t="s">
        <v>122</v>
      </c>
      <c r="F391" s="2" t="s">
        <v>15</v>
      </c>
      <c r="G391" s="2" t="s">
        <v>20</v>
      </c>
      <c r="H391" s="2" t="s">
        <v>234</v>
      </c>
      <c r="I391" s="2">
        <v>1</v>
      </c>
      <c r="J391" s="2" t="s">
        <v>2871</v>
      </c>
      <c r="K391" s="2" t="s">
        <v>3190</v>
      </c>
      <c r="L391" s="2" t="s">
        <v>2873</v>
      </c>
      <c r="M391" s="2">
        <v>168</v>
      </c>
      <c r="N391" s="2">
        <v>109</v>
      </c>
      <c r="O391" s="2" t="s">
        <v>2976</v>
      </c>
    </row>
    <row r="392" spans="1:15">
      <c r="A392" s="2" t="s">
        <v>232</v>
      </c>
      <c r="B392" s="2" t="s">
        <v>233</v>
      </c>
      <c r="C392" s="2" t="s">
        <v>48</v>
      </c>
      <c r="D392" s="2" t="s">
        <v>2870</v>
      </c>
      <c r="E392" s="2" t="s">
        <v>122</v>
      </c>
      <c r="F392" s="2" t="s">
        <v>15</v>
      </c>
      <c r="G392" s="2" t="s">
        <v>20</v>
      </c>
      <c r="H392" s="2" t="s">
        <v>234</v>
      </c>
      <c r="I392" s="2">
        <v>1</v>
      </c>
      <c r="J392" s="2" t="s">
        <v>2871</v>
      </c>
      <c r="K392" s="2" t="s">
        <v>3192</v>
      </c>
      <c r="L392" s="2" t="s">
        <v>2873</v>
      </c>
      <c r="M392" s="2">
        <v>154</v>
      </c>
      <c r="N392" s="2">
        <v>69</v>
      </c>
      <c r="O392" s="2" t="s">
        <v>3215</v>
      </c>
    </row>
    <row r="393" spans="1:15">
      <c r="A393" s="2" t="s">
        <v>232</v>
      </c>
      <c r="B393" s="2" t="s">
        <v>233</v>
      </c>
      <c r="C393" s="2" t="s">
        <v>48</v>
      </c>
      <c r="D393" s="2" t="s">
        <v>2870</v>
      </c>
      <c r="E393" s="2" t="s">
        <v>122</v>
      </c>
      <c r="F393" s="2" t="s">
        <v>15</v>
      </c>
      <c r="G393" s="2" t="s">
        <v>20</v>
      </c>
      <c r="H393" s="2" t="s">
        <v>234</v>
      </c>
      <c r="I393" s="2">
        <v>1</v>
      </c>
      <c r="J393" s="2" t="s">
        <v>2871</v>
      </c>
      <c r="K393" s="2" t="s">
        <v>3214</v>
      </c>
      <c r="L393" s="2" t="s">
        <v>2916</v>
      </c>
      <c r="M393" s="2">
        <v>924</v>
      </c>
      <c r="N393" s="2">
        <v>17</v>
      </c>
      <c r="O393" s="2" t="s">
        <v>3216</v>
      </c>
    </row>
    <row r="394" spans="1:15">
      <c r="A394" s="2" t="s">
        <v>232</v>
      </c>
      <c r="B394" s="2" t="s">
        <v>233</v>
      </c>
      <c r="C394" s="2" t="s">
        <v>48</v>
      </c>
      <c r="D394" s="2" t="s">
        <v>2870</v>
      </c>
      <c r="E394" s="2" t="s">
        <v>122</v>
      </c>
      <c r="F394" s="2" t="s">
        <v>15</v>
      </c>
      <c r="G394" s="2" t="s">
        <v>20</v>
      </c>
      <c r="H394" s="2" t="s">
        <v>234</v>
      </c>
      <c r="I394" s="2">
        <v>1</v>
      </c>
      <c r="J394" s="2" t="s">
        <v>2887</v>
      </c>
      <c r="K394" s="2" t="s">
        <v>3194</v>
      </c>
      <c r="L394" s="2" t="s">
        <v>2873</v>
      </c>
      <c r="M394" s="2">
        <v>616</v>
      </c>
      <c r="N394" s="2">
        <v>34</v>
      </c>
      <c r="O394" s="2" t="s">
        <v>3217</v>
      </c>
    </row>
    <row r="395" spans="1:15">
      <c r="A395" s="2" t="s">
        <v>232</v>
      </c>
      <c r="B395" s="2" t="s">
        <v>233</v>
      </c>
      <c r="C395" s="2" t="s">
        <v>48</v>
      </c>
      <c r="D395" s="2" t="s">
        <v>2882</v>
      </c>
      <c r="E395" s="2" t="s">
        <v>124</v>
      </c>
      <c r="F395" s="2" t="s">
        <v>15</v>
      </c>
      <c r="G395" s="2" t="s">
        <v>44</v>
      </c>
      <c r="H395" s="2" t="s">
        <v>235</v>
      </c>
      <c r="I395" s="2">
        <v>0.75</v>
      </c>
      <c r="J395" s="2" t="s">
        <v>2871</v>
      </c>
      <c r="K395" s="2" t="s">
        <v>3214</v>
      </c>
      <c r="L395" s="2" t="s">
        <v>2916</v>
      </c>
      <c r="M395" s="2">
        <v>924</v>
      </c>
      <c r="N395" s="2">
        <v>8</v>
      </c>
      <c r="O395" s="2" t="s">
        <v>3218</v>
      </c>
    </row>
    <row r="396" spans="1:15">
      <c r="A396" s="2" t="s">
        <v>232</v>
      </c>
      <c r="B396" s="2" t="s">
        <v>233</v>
      </c>
      <c r="C396" s="2" t="s">
        <v>48</v>
      </c>
      <c r="D396" s="2" t="s">
        <v>2882</v>
      </c>
      <c r="E396" s="2" t="s">
        <v>124</v>
      </c>
      <c r="F396" s="2" t="s">
        <v>15</v>
      </c>
      <c r="G396" s="2" t="s">
        <v>44</v>
      </c>
      <c r="H396" s="2" t="s">
        <v>235</v>
      </c>
      <c r="I396" s="2">
        <v>0.75</v>
      </c>
      <c r="J396" s="2" t="s">
        <v>2871</v>
      </c>
      <c r="K396" s="2" t="s">
        <v>3192</v>
      </c>
      <c r="L396" s="2" t="s">
        <v>2873</v>
      </c>
      <c r="M396" s="2">
        <v>154</v>
      </c>
      <c r="N396" s="2">
        <v>48</v>
      </c>
      <c r="O396" s="2" t="s">
        <v>3219</v>
      </c>
    </row>
    <row r="397" spans="1:15">
      <c r="A397" s="2" t="s">
        <v>232</v>
      </c>
      <c r="B397" s="2" t="s">
        <v>233</v>
      </c>
      <c r="C397" s="2" t="s">
        <v>48</v>
      </c>
      <c r="D397" s="2" t="s">
        <v>2882</v>
      </c>
      <c r="E397" s="2" t="s">
        <v>124</v>
      </c>
      <c r="F397" s="2" t="s">
        <v>15</v>
      </c>
      <c r="G397" s="2" t="s">
        <v>44</v>
      </c>
      <c r="H397" s="2" t="s">
        <v>235</v>
      </c>
      <c r="I397" s="2">
        <v>0.75</v>
      </c>
      <c r="J397" s="2" t="s">
        <v>2871</v>
      </c>
      <c r="K397" s="2" t="s">
        <v>3190</v>
      </c>
      <c r="L397" s="2" t="s">
        <v>2873</v>
      </c>
      <c r="M397" s="2">
        <v>168</v>
      </c>
      <c r="N397" s="2">
        <v>55</v>
      </c>
      <c r="O397" s="2" t="s">
        <v>3220</v>
      </c>
    </row>
    <row r="398" spans="1:15">
      <c r="A398" s="2" t="s">
        <v>232</v>
      </c>
      <c r="B398" s="2" t="s">
        <v>233</v>
      </c>
      <c r="C398" s="2" t="s">
        <v>48</v>
      </c>
      <c r="D398" s="2" t="s">
        <v>2882</v>
      </c>
      <c r="E398" s="2" t="s">
        <v>124</v>
      </c>
      <c r="F398" s="2" t="s">
        <v>15</v>
      </c>
      <c r="G398" s="2" t="s">
        <v>44</v>
      </c>
      <c r="H398" s="2" t="s">
        <v>235</v>
      </c>
      <c r="I398" s="2">
        <v>0.75</v>
      </c>
      <c r="J398" s="2" t="s">
        <v>2887</v>
      </c>
      <c r="K398" s="2" t="s">
        <v>3194</v>
      </c>
      <c r="L398" s="2" t="s">
        <v>2873</v>
      </c>
      <c r="M398" s="2">
        <v>616</v>
      </c>
      <c r="N398" s="2">
        <v>66</v>
      </c>
      <c r="O398" s="2" t="s">
        <v>3221</v>
      </c>
    </row>
    <row r="399" spans="1:15">
      <c r="A399" s="2" t="s">
        <v>232</v>
      </c>
      <c r="B399" s="2" t="s">
        <v>233</v>
      </c>
      <c r="C399" s="2" t="s">
        <v>48</v>
      </c>
      <c r="D399" s="2" t="s">
        <v>2886</v>
      </c>
      <c r="E399" s="2" t="s">
        <v>126</v>
      </c>
      <c r="F399" s="2" t="s">
        <v>15</v>
      </c>
      <c r="G399" s="2" t="s">
        <v>20</v>
      </c>
      <c r="H399" s="2" t="s">
        <v>236</v>
      </c>
      <c r="I399" s="2">
        <v>1</v>
      </c>
      <c r="J399" s="2" t="s">
        <v>2871</v>
      </c>
      <c r="K399" s="2" t="s">
        <v>3190</v>
      </c>
      <c r="L399" s="2" t="s">
        <v>2873</v>
      </c>
      <c r="M399" s="2">
        <v>168</v>
      </c>
      <c r="N399" s="2">
        <v>194</v>
      </c>
      <c r="O399" s="2" t="s">
        <v>3222</v>
      </c>
    </row>
    <row r="400" spans="1:15">
      <c r="A400" s="2" t="s">
        <v>232</v>
      </c>
      <c r="B400" s="2" t="s">
        <v>233</v>
      </c>
      <c r="C400" s="2" t="s">
        <v>48</v>
      </c>
      <c r="D400" s="2" t="s">
        <v>2886</v>
      </c>
      <c r="E400" s="2" t="s">
        <v>126</v>
      </c>
      <c r="F400" s="2" t="s">
        <v>15</v>
      </c>
      <c r="G400" s="2" t="s">
        <v>20</v>
      </c>
      <c r="H400" s="2" t="s">
        <v>236</v>
      </c>
      <c r="I400" s="2">
        <v>1</v>
      </c>
      <c r="J400" s="2" t="s">
        <v>2871</v>
      </c>
      <c r="K400" s="2" t="s">
        <v>3192</v>
      </c>
      <c r="L400" s="2" t="s">
        <v>2873</v>
      </c>
      <c r="M400" s="2">
        <v>154</v>
      </c>
      <c r="N400" s="2">
        <v>69</v>
      </c>
      <c r="O400" s="2" t="s">
        <v>3215</v>
      </c>
    </row>
    <row r="401" spans="1:15">
      <c r="A401" s="2" t="s">
        <v>232</v>
      </c>
      <c r="B401" s="2" t="s">
        <v>233</v>
      </c>
      <c r="C401" s="2" t="s">
        <v>48</v>
      </c>
      <c r="D401" s="2" t="s">
        <v>2886</v>
      </c>
      <c r="E401" s="2" t="s">
        <v>126</v>
      </c>
      <c r="F401" s="2" t="s">
        <v>15</v>
      </c>
      <c r="G401" s="2" t="s">
        <v>20</v>
      </c>
      <c r="H401" s="2" t="s">
        <v>236</v>
      </c>
      <c r="I401" s="2">
        <v>1</v>
      </c>
      <c r="J401" s="2" t="s">
        <v>2887</v>
      </c>
      <c r="K401" s="2" t="s">
        <v>3194</v>
      </c>
      <c r="L401" s="2" t="s">
        <v>2873</v>
      </c>
      <c r="M401" s="2">
        <v>616</v>
      </c>
      <c r="N401" s="2">
        <v>58</v>
      </c>
      <c r="O401" s="2" t="s">
        <v>3223</v>
      </c>
    </row>
    <row r="402" spans="1:15">
      <c r="A402" s="2" t="s">
        <v>232</v>
      </c>
      <c r="B402" s="2" t="s">
        <v>233</v>
      </c>
      <c r="C402" s="2" t="s">
        <v>48</v>
      </c>
      <c r="D402" s="2" t="s">
        <v>2896</v>
      </c>
      <c r="E402" s="2" t="s">
        <v>128</v>
      </c>
      <c r="F402" s="2" t="s">
        <v>15</v>
      </c>
      <c r="G402" s="2" t="s">
        <v>16</v>
      </c>
      <c r="H402" s="2" t="s">
        <v>237</v>
      </c>
      <c r="I402" s="2">
        <v>1.44</v>
      </c>
      <c r="J402" s="2" t="s">
        <v>2871</v>
      </c>
      <c r="K402" s="2" t="s">
        <v>3190</v>
      </c>
      <c r="L402" s="2" t="s">
        <v>2873</v>
      </c>
      <c r="M402" s="2">
        <v>168</v>
      </c>
      <c r="N402" s="2">
        <v>214</v>
      </c>
      <c r="O402" s="2" t="s">
        <v>3224</v>
      </c>
    </row>
    <row r="403" spans="1:15">
      <c r="A403" s="2" t="s">
        <v>232</v>
      </c>
      <c r="B403" s="2" t="s">
        <v>233</v>
      </c>
      <c r="C403" s="2" t="s">
        <v>48</v>
      </c>
      <c r="D403" s="2" t="s">
        <v>2896</v>
      </c>
      <c r="E403" s="2" t="s">
        <v>128</v>
      </c>
      <c r="F403" s="2" t="s">
        <v>15</v>
      </c>
      <c r="G403" s="2" t="s">
        <v>16</v>
      </c>
      <c r="H403" s="2" t="s">
        <v>237</v>
      </c>
      <c r="I403" s="2">
        <v>1.44</v>
      </c>
      <c r="J403" s="2" t="s">
        <v>2871</v>
      </c>
      <c r="K403" s="2" t="s">
        <v>3192</v>
      </c>
      <c r="L403" s="2" t="s">
        <v>2873</v>
      </c>
      <c r="M403" s="2">
        <v>154</v>
      </c>
      <c r="N403" s="2">
        <v>206</v>
      </c>
      <c r="O403" s="2" t="s">
        <v>3225</v>
      </c>
    </row>
    <row r="404" spans="1:15">
      <c r="A404" s="2" t="s">
        <v>232</v>
      </c>
      <c r="B404" s="2" t="s">
        <v>233</v>
      </c>
      <c r="C404" s="2" t="s">
        <v>48</v>
      </c>
      <c r="D404" s="2" t="s">
        <v>2896</v>
      </c>
      <c r="E404" s="2" t="s">
        <v>128</v>
      </c>
      <c r="F404" s="2" t="s">
        <v>15</v>
      </c>
      <c r="G404" s="2" t="s">
        <v>16</v>
      </c>
      <c r="H404" s="2" t="s">
        <v>237</v>
      </c>
      <c r="I404" s="2">
        <v>1.44</v>
      </c>
      <c r="J404" s="2" t="s">
        <v>2887</v>
      </c>
      <c r="K404" s="2" t="s">
        <v>3194</v>
      </c>
      <c r="L404" s="2" t="s">
        <v>2873</v>
      </c>
      <c r="M404" s="2">
        <v>616</v>
      </c>
      <c r="N404" s="2">
        <v>146</v>
      </c>
      <c r="O404" s="2" t="s">
        <v>3226</v>
      </c>
    </row>
    <row r="405" spans="1:15">
      <c r="A405" s="2" t="s">
        <v>232</v>
      </c>
      <c r="B405" s="2" t="s">
        <v>233</v>
      </c>
      <c r="C405" s="2" t="s">
        <v>48</v>
      </c>
      <c r="D405" s="2" t="s">
        <v>2896</v>
      </c>
      <c r="E405" s="2" t="s">
        <v>128</v>
      </c>
      <c r="F405" s="2" t="s">
        <v>15</v>
      </c>
      <c r="G405" s="2" t="s">
        <v>16</v>
      </c>
      <c r="H405" s="2" t="s">
        <v>237</v>
      </c>
      <c r="I405" s="2">
        <v>1.44</v>
      </c>
      <c r="J405" s="2" t="s">
        <v>2887</v>
      </c>
      <c r="K405" s="2" t="s">
        <v>3199</v>
      </c>
      <c r="L405" s="2" t="s">
        <v>2873</v>
      </c>
      <c r="M405" s="2">
        <v>462</v>
      </c>
      <c r="N405" s="2">
        <v>14</v>
      </c>
      <c r="O405" s="2" t="s">
        <v>3227</v>
      </c>
    </row>
    <row r="406" spans="1:15">
      <c r="A406" s="2" t="s">
        <v>232</v>
      </c>
      <c r="B406" s="2" t="s">
        <v>233</v>
      </c>
      <c r="C406" s="2" t="s">
        <v>48</v>
      </c>
      <c r="D406" s="2" t="s">
        <v>2901</v>
      </c>
      <c r="E406" s="2" t="s">
        <v>130</v>
      </c>
      <c r="F406" s="2" t="s">
        <v>15</v>
      </c>
      <c r="G406" s="2" t="s">
        <v>16</v>
      </c>
      <c r="H406" s="2" t="s">
        <v>238</v>
      </c>
      <c r="I406" s="2">
        <v>1.01</v>
      </c>
      <c r="J406" s="2" t="s">
        <v>2871</v>
      </c>
      <c r="K406" s="2" t="s">
        <v>3192</v>
      </c>
      <c r="L406" s="2" t="s">
        <v>2873</v>
      </c>
      <c r="M406" s="2">
        <v>154</v>
      </c>
      <c r="N406" s="2">
        <v>142</v>
      </c>
      <c r="O406" s="2" t="s">
        <v>3228</v>
      </c>
    </row>
    <row r="407" spans="1:15">
      <c r="A407" s="2" t="s">
        <v>232</v>
      </c>
      <c r="B407" s="2" t="s">
        <v>233</v>
      </c>
      <c r="C407" s="2" t="s">
        <v>48</v>
      </c>
      <c r="D407" s="2" t="s">
        <v>2901</v>
      </c>
      <c r="E407" s="2" t="s">
        <v>130</v>
      </c>
      <c r="F407" s="2" t="s">
        <v>15</v>
      </c>
      <c r="G407" s="2" t="s">
        <v>16</v>
      </c>
      <c r="H407" s="2" t="s">
        <v>238</v>
      </c>
      <c r="I407" s="2">
        <v>1.01</v>
      </c>
      <c r="J407" s="2" t="s">
        <v>2871</v>
      </c>
      <c r="K407" s="2" t="s">
        <v>3190</v>
      </c>
      <c r="L407" s="2" t="s">
        <v>2873</v>
      </c>
      <c r="M407" s="2">
        <v>168</v>
      </c>
      <c r="N407" s="2">
        <v>181</v>
      </c>
      <c r="O407" s="2" t="s">
        <v>3229</v>
      </c>
    </row>
    <row r="408" spans="1:15">
      <c r="A408" s="2" t="s">
        <v>232</v>
      </c>
      <c r="B408" s="2" t="s">
        <v>233</v>
      </c>
      <c r="C408" s="2" t="s">
        <v>48</v>
      </c>
      <c r="D408" s="2" t="s">
        <v>2901</v>
      </c>
      <c r="E408" s="2" t="s">
        <v>130</v>
      </c>
      <c r="F408" s="2" t="s">
        <v>15</v>
      </c>
      <c r="G408" s="2" t="s">
        <v>16</v>
      </c>
      <c r="H408" s="2" t="s">
        <v>238</v>
      </c>
      <c r="I408" s="2">
        <v>1.01</v>
      </c>
      <c r="J408" s="2" t="s">
        <v>2887</v>
      </c>
      <c r="K408" s="2" t="s">
        <v>3194</v>
      </c>
      <c r="L408" s="2" t="s">
        <v>2873</v>
      </c>
      <c r="M408" s="2">
        <v>616</v>
      </c>
      <c r="N408" s="2">
        <v>11</v>
      </c>
      <c r="O408" s="2" t="s">
        <v>3230</v>
      </c>
    </row>
    <row r="409" spans="1:15">
      <c r="A409" s="2" t="s">
        <v>232</v>
      </c>
      <c r="B409" s="2" t="s">
        <v>233</v>
      </c>
      <c r="C409" s="2" t="s">
        <v>48</v>
      </c>
      <c r="D409" s="2" t="s">
        <v>2904</v>
      </c>
      <c r="E409" s="2" t="s">
        <v>132</v>
      </c>
      <c r="F409" s="2" t="s">
        <v>33</v>
      </c>
      <c r="G409" s="2" t="s">
        <v>44</v>
      </c>
      <c r="H409" s="2" t="s">
        <v>239</v>
      </c>
      <c r="I409" s="2">
        <v>0.5</v>
      </c>
      <c r="J409" s="2" t="s">
        <v>2871</v>
      </c>
      <c r="K409" s="2" t="s">
        <v>3190</v>
      </c>
      <c r="L409" s="2" t="s">
        <v>2873</v>
      </c>
      <c r="M409" s="2">
        <v>168</v>
      </c>
      <c r="N409" s="2">
        <v>21</v>
      </c>
      <c r="O409" s="2" t="s">
        <v>3231</v>
      </c>
    </row>
    <row r="410" spans="1:15">
      <c r="A410" s="2" t="s">
        <v>240</v>
      </c>
      <c r="B410" s="2" t="s">
        <v>241</v>
      </c>
      <c r="C410" s="2" t="s">
        <v>11</v>
      </c>
      <c r="D410" s="2" t="s">
        <v>2870</v>
      </c>
      <c r="E410" s="2" t="s">
        <v>49</v>
      </c>
      <c r="F410" s="2" t="s">
        <v>15</v>
      </c>
      <c r="G410" s="2" t="s">
        <v>20</v>
      </c>
      <c r="H410" s="2" t="s">
        <v>242</v>
      </c>
      <c r="I410" s="2">
        <v>1</v>
      </c>
      <c r="J410" s="2" t="s">
        <v>2871</v>
      </c>
      <c r="K410" s="2" t="s">
        <v>2872</v>
      </c>
      <c r="L410" s="2" t="s">
        <v>2873</v>
      </c>
      <c r="M410" s="2">
        <v>35</v>
      </c>
      <c r="N410" s="2">
        <v>27</v>
      </c>
      <c r="O410" s="2" t="s">
        <v>3232</v>
      </c>
    </row>
    <row r="411" spans="1:15">
      <c r="A411" s="2" t="s">
        <v>240</v>
      </c>
      <c r="B411" s="2" t="s">
        <v>241</v>
      </c>
      <c r="C411" s="2" t="s">
        <v>11</v>
      </c>
      <c r="D411" s="2" t="s">
        <v>2870</v>
      </c>
      <c r="E411" s="2" t="s">
        <v>49</v>
      </c>
      <c r="F411" s="2" t="s">
        <v>15</v>
      </c>
      <c r="G411" s="2" t="s">
        <v>20</v>
      </c>
      <c r="H411" s="2" t="s">
        <v>242</v>
      </c>
      <c r="I411" s="2">
        <v>1</v>
      </c>
      <c r="J411" s="2" t="s">
        <v>2871</v>
      </c>
      <c r="K411" s="2" t="s">
        <v>2875</v>
      </c>
      <c r="L411" s="2" t="s">
        <v>2873</v>
      </c>
      <c r="M411" s="2">
        <v>36</v>
      </c>
      <c r="N411" s="2">
        <v>35</v>
      </c>
      <c r="O411" s="2" t="s">
        <v>3233</v>
      </c>
    </row>
    <row r="412" spans="1:15">
      <c r="A412" s="2" t="s">
        <v>240</v>
      </c>
      <c r="B412" s="2" t="s">
        <v>241</v>
      </c>
      <c r="C412" s="2" t="s">
        <v>11</v>
      </c>
      <c r="D412" s="2" t="s">
        <v>2882</v>
      </c>
      <c r="E412" s="2" t="s">
        <v>51</v>
      </c>
      <c r="F412" s="2" t="s">
        <v>15</v>
      </c>
      <c r="G412" s="2" t="s">
        <v>20</v>
      </c>
      <c r="H412" s="2" t="s">
        <v>243</v>
      </c>
      <c r="I412" s="2">
        <v>1</v>
      </c>
      <c r="J412" s="2" t="s">
        <v>2871</v>
      </c>
      <c r="K412" s="2" t="s">
        <v>2872</v>
      </c>
      <c r="L412" s="2" t="s">
        <v>2873</v>
      </c>
      <c r="M412" s="2">
        <v>35</v>
      </c>
      <c r="N412" s="2">
        <v>39</v>
      </c>
      <c r="O412" s="2" t="s">
        <v>3234</v>
      </c>
    </row>
    <row r="413" spans="1:15">
      <c r="A413" s="2" t="s">
        <v>240</v>
      </c>
      <c r="B413" s="2" t="s">
        <v>241</v>
      </c>
      <c r="C413" s="2" t="s">
        <v>11</v>
      </c>
      <c r="D413" s="2" t="s">
        <v>2882</v>
      </c>
      <c r="E413" s="2" t="s">
        <v>51</v>
      </c>
      <c r="F413" s="2" t="s">
        <v>15</v>
      </c>
      <c r="G413" s="2" t="s">
        <v>20</v>
      </c>
      <c r="H413" s="2" t="s">
        <v>243</v>
      </c>
      <c r="I413" s="2">
        <v>1</v>
      </c>
      <c r="J413" s="2" t="s">
        <v>2871</v>
      </c>
      <c r="K413" s="2" t="s">
        <v>2875</v>
      </c>
      <c r="L413" s="2" t="s">
        <v>2873</v>
      </c>
      <c r="M413" s="2">
        <v>36</v>
      </c>
      <c r="N413" s="2">
        <v>27</v>
      </c>
      <c r="O413" s="2" t="s">
        <v>3235</v>
      </c>
    </row>
    <row r="414" spans="1:15">
      <c r="A414" s="2" t="s">
        <v>240</v>
      </c>
      <c r="B414" s="2" t="s">
        <v>241</v>
      </c>
      <c r="C414" s="2" t="s">
        <v>11</v>
      </c>
      <c r="D414" s="2" t="s">
        <v>2886</v>
      </c>
      <c r="E414" s="2" t="s">
        <v>52</v>
      </c>
      <c r="F414" s="2" t="s">
        <v>15</v>
      </c>
      <c r="G414" s="2" t="s">
        <v>16</v>
      </c>
      <c r="H414" s="2" t="s">
        <v>244</v>
      </c>
      <c r="I414" s="2">
        <v>1.5</v>
      </c>
      <c r="J414" s="2" t="s">
        <v>2879</v>
      </c>
      <c r="K414" s="2" t="s">
        <v>2894</v>
      </c>
      <c r="L414" s="2" t="s">
        <v>2873</v>
      </c>
      <c r="M414" s="2">
        <v>26</v>
      </c>
      <c r="N414" s="2">
        <v>3</v>
      </c>
      <c r="O414" s="2" t="s">
        <v>2895</v>
      </c>
    </row>
    <row r="415" spans="1:15">
      <c r="A415" s="2" t="s">
        <v>240</v>
      </c>
      <c r="B415" s="2" t="s">
        <v>241</v>
      </c>
      <c r="C415" s="2" t="s">
        <v>11</v>
      </c>
      <c r="D415" s="2" t="s">
        <v>2886</v>
      </c>
      <c r="E415" s="2" t="s">
        <v>52</v>
      </c>
      <c r="F415" s="2" t="s">
        <v>15</v>
      </c>
      <c r="G415" s="2" t="s">
        <v>16</v>
      </c>
      <c r="H415" s="2" t="s">
        <v>244</v>
      </c>
      <c r="I415" s="2">
        <v>1.5</v>
      </c>
      <c r="J415" s="2" t="s">
        <v>2871</v>
      </c>
      <c r="K415" s="2" t="s">
        <v>2875</v>
      </c>
      <c r="L415" s="2" t="s">
        <v>2873</v>
      </c>
      <c r="M415" s="2">
        <v>36</v>
      </c>
      <c r="N415" s="2">
        <v>71</v>
      </c>
      <c r="O415" s="2" t="s">
        <v>3236</v>
      </c>
    </row>
    <row r="416" spans="1:15">
      <c r="A416" s="2" t="s">
        <v>240</v>
      </c>
      <c r="B416" s="2" t="s">
        <v>241</v>
      </c>
      <c r="C416" s="2" t="s">
        <v>11</v>
      </c>
      <c r="D416" s="2" t="s">
        <v>2886</v>
      </c>
      <c r="E416" s="2" t="s">
        <v>52</v>
      </c>
      <c r="F416" s="2" t="s">
        <v>15</v>
      </c>
      <c r="G416" s="2" t="s">
        <v>16</v>
      </c>
      <c r="H416" s="2" t="s">
        <v>244</v>
      </c>
      <c r="I416" s="2">
        <v>1.5</v>
      </c>
      <c r="J416" s="2" t="s">
        <v>2871</v>
      </c>
      <c r="K416" s="2" t="s">
        <v>2872</v>
      </c>
      <c r="L416" s="2" t="s">
        <v>2873</v>
      </c>
      <c r="M416" s="2">
        <v>35</v>
      </c>
      <c r="N416" s="2">
        <v>73</v>
      </c>
      <c r="O416" s="2" t="s">
        <v>3237</v>
      </c>
    </row>
    <row r="417" spans="1:15">
      <c r="A417" s="2" t="s">
        <v>240</v>
      </c>
      <c r="B417" s="2" t="s">
        <v>241</v>
      </c>
      <c r="C417" s="2" t="s">
        <v>11</v>
      </c>
      <c r="D417" s="2" t="s">
        <v>2896</v>
      </c>
      <c r="E417" s="2" t="s">
        <v>54</v>
      </c>
      <c r="F417" s="2" t="s">
        <v>15</v>
      </c>
      <c r="G417" s="2" t="s">
        <v>16</v>
      </c>
      <c r="H417" s="2" t="s">
        <v>245</v>
      </c>
      <c r="I417" s="2">
        <v>1.5</v>
      </c>
      <c r="J417" s="2" t="s">
        <v>2871</v>
      </c>
      <c r="K417" s="2" t="s">
        <v>2872</v>
      </c>
      <c r="L417" s="2" t="s">
        <v>2873</v>
      </c>
      <c r="M417" s="2">
        <v>35</v>
      </c>
      <c r="N417" s="2">
        <v>32</v>
      </c>
      <c r="O417" s="2" t="s">
        <v>3238</v>
      </c>
    </row>
    <row r="418" spans="1:15">
      <c r="A418" s="2" t="s">
        <v>240</v>
      </c>
      <c r="B418" s="2" t="s">
        <v>241</v>
      </c>
      <c r="C418" s="2" t="s">
        <v>11</v>
      </c>
      <c r="D418" s="2" t="s">
        <v>2896</v>
      </c>
      <c r="E418" s="2" t="s">
        <v>54</v>
      </c>
      <c r="F418" s="2" t="s">
        <v>15</v>
      </c>
      <c r="G418" s="2" t="s">
        <v>16</v>
      </c>
      <c r="H418" s="2" t="s">
        <v>245</v>
      </c>
      <c r="I418" s="2">
        <v>1.5</v>
      </c>
      <c r="J418" s="2" t="s">
        <v>2871</v>
      </c>
      <c r="K418" s="2" t="s">
        <v>2875</v>
      </c>
      <c r="L418" s="2" t="s">
        <v>2873</v>
      </c>
      <c r="M418" s="2">
        <v>36</v>
      </c>
      <c r="N418" s="2">
        <v>48</v>
      </c>
      <c r="O418" s="2" t="s">
        <v>3239</v>
      </c>
    </row>
    <row r="419" spans="1:15">
      <c r="A419" s="2" t="s">
        <v>240</v>
      </c>
      <c r="B419" s="2" t="s">
        <v>241</v>
      </c>
      <c r="C419" s="2" t="s">
        <v>11</v>
      </c>
      <c r="D419" s="2" t="s">
        <v>2896</v>
      </c>
      <c r="E419" s="2" t="s">
        <v>54</v>
      </c>
      <c r="F419" s="2" t="s">
        <v>15</v>
      </c>
      <c r="G419" s="2" t="s">
        <v>16</v>
      </c>
      <c r="H419" s="2" t="s">
        <v>245</v>
      </c>
      <c r="I419" s="2">
        <v>1.5</v>
      </c>
      <c r="J419" s="2" t="s">
        <v>2879</v>
      </c>
      <c r="K419" s="2" t="s">
        <v>2894</v>
      </c>
      <c r="L419" s="2" t="s">
        <v>2873</v>
      </c>
      <c r="M419" s="2">
        <v>26</v>
      </c>
      <c r="N419" s="2">
        <v>50</v>
      </c>
      <c r="O419" s="2" t="s">
        <v>2945</v>
      </c>
    </row>
    <row r="420" spans="1:15">
      <c r="A420" s="2" t="s">
        <v>240</v>
      </c>
      <c r="B420" s="2" t="s">
        <v>241</v>
      </c>
      <c r="C420" s="2" t="s">
        <v>11</v>
      </c>
      <c r="D420" s="2" t="s">
        <v>2901</v>
      </c>
      <c r="E420" s="2" t="s">
        <v>56</v>
      </c>
      <c r="F420" s="2" t="s">
        <v>15</v>
      </c>
      <c r="G420" s="2" t="s">
        <v>16</v>
      </c>
      <c r="H420" s="2" t="s">
        <v>246</v>
      </c>
      <c r="I420" s="2">
        <v>1.5</v>
      </c>
      <c r="J420" s="2" t="s">
        <v>2871</v>
      </c>
      <c r="K420" s="2" t="s">
        <v>2872</v>
      </c>
      <c r="L420" s="2" t="s">
        <v>2873</v>
      </c>
      <c r="M420" s="2">
        <v>35</v>
      </c>
      <c r="N420" s="2">
        <v>64</v>
      </c>
      <c r="O420" s="2" t="s">
        <v>3240</v>
      </c>
    </row>
    <row r="421" spans="1:15">
      <c r="A421" s="2" t="s">
        <v>240</v>
      </c>
      <c r="B421" s="2" t="s">
        <v>241</v>
      </c>
      <c r="C421" s="2" t="s">
        <v>11</v>
      </c>
      <c r="D421" s="2" t="s">
        <v>2901</v>
      </c>
      <c r="E421" s="2" t="s">
        <v>56</v>
      </c>
      <c r="F421" s="2" t="s">
        <v>15</v>
      </c>
      <c r="G421" s="2" t="s">
        <v>16</v>
      </c>
      <c r="H421" s="2" t="s">
        <v>246</v>
      </c>
      <c r="I421" s="2">
        <v>1.5</v>
      </c>
      <c r="J421" s="2" t="s">
        <v>2871</v>
      </c>
      <c r="K421" s="2" t="s">
        <v>2875</v>
      </c>
      <c r="L421" s="2" t="s">
        <v>2873</v>
      </c>
      <c r="M421" s="2">
        <v>36</v>
      </c>
      <c r="N421" s="2">
        <v>64</v>
      </c>
      <c r="O421" s="2" t="s">
        <v>3241</v>
      </c>
    </row>
    <row r="422" spans="1:15">
      <c r="A422" s="2" t="s">
        <v>240</v>
      </c>
      <c r="B422" s="2" t="s">
        <v>241</v>
      </c>
      <c r="C422" s="2" t="s">
        <v>11</v>
      </c>
      <c r="D422" s="2" t="s">
        <v>2904</v>
      </c>
      <c r="E422" s="2" t="s">
        <v>57</v>
      </c>
      <c r="F422" s="2" t="s">
        <v>33</v>
      </c>
      <c r="G422" s="2" t="s">
        <v>16</v>
      </c>
      <c r="H422" s="2" t="s">
        <v>247</v>
      </c>
      <c r="I422" s="2">
        <v>1.34</v>
      </c>
      <c r="J422" s="2" t="s">
        <v>2871</v>
      </c>
      <c r="K422" s="2" t="s">
        <v>2875</v>
      </c>
      <c r="L422" s="2" t="s">
        <v>2873</v>
      </c>
      <c r="M422" s="2">
        <v>36</v>
      </c>
      <c r="N422" s="2">
        <v>49</v>
      </c>
      <c r="O422" s="2" t="s">
        <v>3242</v>
      </c>
    </row>
    <row r="423" spans="1:15">
      <c r="A423" s="2" t="s">
        <v>240</v>
      </c>
      <c r="B423" s="2" t="s">
        <v>241</v>
      </c>
      <c r="C423" s="2" t="s">
        <v>11</v>
      </c>
      <c r="D423" s="2" t="s">
        <v>2904</v>
      </c>
      <c r="E423" s="2" t="s">
        <v>57</v>
      </c>
      <c r="F423" s="2" t="s">
        <v>33</v>
      </c>
      <c r="G423" s="2" t="s">
        <v>16</v>
      </c>
      <c r="H423" s="2" t="s">
        <v>247</v>
      </c>
      <c r="I423" s="2">
        <v>1.34</v>
      </c>
      <c r="J423" s="2" t="s">
        <v>2871</v>
      </c>
      <c r="K423" s="2" t="s">
        <v>2872</v>
      </c>
      <c r="L423" s="2" t="s">
        <v>2873</v>
      </c>
      <c r="M423" s="2">
        <v>35</v>
      </c>
      <c r="N423" s="2">
        <v>46</v>
      </c>
      <c r="O423" s="2" t="s">
        <v>3243</v>
      </c>
    </row>
    <row r="424" spans="1:15">
      <c r="A424" s="2" t="s">
        <v>248</v>
      </c>
      <c r="B424" s="2" t="s">
        <v>249</v>
      </c>
      <c r="C424" s="2" t="s">
        <v>250</v>
      </c>
      <c r="D424" s="2" t="s">
        <v>2870</v>
      </c>
      <c r="E424" s="2" t="s">
        <v>251</v>
      </c>
      <c r="F424" s="2" t="s">
        <v>15</v>
      </c>
      <c r="G424" s="2" t="s">
        <v>20</v>
      </c>
      <c r="H424" s="2" t="s">
        <v>252</v>
      </c>
      <c r="I424" s="2">
        <v>1</v>
      </c>
      <c r="J424" s="2" t="s">
        <v>2887</v>
      </c>
      <c r="K424" s="2" t="s">
        <v>3244</v>
      </c>
      <c r="L424" s="2" t="s">
        <v>2873</v>
      </c>
      <c r="M424" s="2">
        <v>50</v>
      </c>
      <c r="N424" s="2">
        <v>50</v>
      </c>
      <c r="O424" s="2" t="s">
        <v>2934</v>
      </c>
    </row>
    <row r="425" spans="1:15">
      <c r="A425" s="2" t="s">
        <v>248</v>
      </c>
      <c r="B425" s="2" t="s">
        <v>249</v>
      </c>
      <c r="C425" s="2" t="s">
        <v>250</v>
      </c>
      <c r="D425" s="2" t="s">
        <v>2882</v>
      </c>
      <c r="E425" s="2" t="s">
        <v>253</v>
      </c>
      <c r="F425" s="2" t="s">
        <v>15</v>
      </c>
      <c r="G425" s="2" t="s">
        <v>20</v>
      </c>
      <c r="H425" s="2" t="s">
        <v>254</v>
      </c>
      <c r="I425" s="2">
        <v>1</v>
      </c>
      <c r="J425" s="2" t="s">
        <v>2887</v>
      </c>
      <c r="K425" s="2" t="s">
        <v>3244</v>
      </c>
      <c r="L425" s="2" t="s">
        <v>2873</v>
      </c>
      <c r="M425" s="2">
        <v>50</v>
      </c>
      <c r="N425" s="2">
        <v>64</v>
      </c>
      <c r="O425" s="2" t="s">
        <v>3245</v>
      </c>
    </row>
    <row r="426" spans="1:15">
      <c r="A426" s="2" t="s">
        <v>248</v>
      </c>
      <c r="B426" s="2" t="s">
        <v>249</v>
      </c>
      <c r="C426" s="2" t="s">
        <v>250</v>
      </c>
      <c r="D426" s="2" t="s">
        <v>2886</v>
      </c>
      <c r="E426" s="2" t="s">
        <v>255</v>
      </c>
      <c r="F426" s="2" t="s">
        <v>15</v>
      </c>
      <c r="G426" s="2" t="s">
        <v>20</v>
      </c>
      <c r="H426" s="2" t="s">
        <v>256</v>
      </c>
      <c r="I426" s="2">
        <v>1</v>
      </c>
      <c r="J426" s="2" t="s">
        <v>2887</v>
      </c>
      <c r="K426" s="2" t="s">
        <v>3244</v>
      </c>
      <c r="L426" s="2" t="s">
        <v>2873</v>
      </c>
      <c r="M426" s="2">
        <v>50</v>
      </c>
      <c r="N426" s="2">
        <v>52</v>
      </c>
      <c r="O426" s="2" t="s">
        <v>3246</v>
      </c>
    </row>
    <row r="427" spans="1:15">
      <c r="A427" s="2" t="s">
        <v>248</v>
      </c>
      <c r="B427" s="2" t="s">
        <v>249</v>
      </c>
      <c r="C427" s="2" t="s">
        <v>250</v>
      </c>
      <c r="D427" s="2" t="s">
        <v>2896</v>
      </c>
      <c r="E427" s="2" t="s">
        <v>257</v>
      </c>
      <c r="F427" s="2" t="s">
        <v>33</v>
      </c>
      <c r="G427" s="2" t="s">
        <v>44</v>
      </c>
      <c r="H427" s="2" t="s">
        <v>45</v>
      </c>
      <c r="I427" s="2" t="s">
        <v>12</v>
      </c>
      <c r="J427" s="2" t="s">
        <v>12</v>
      </c>
      <c r="K427" s="2" t="s">
        <v>12</v>
      </c>
      <c r="L427" s="2" t="s">
        <v>12</v>
      </c>
      <c r="M427" s="2" t="s">
        <v>12</v>
      </c>
      <c r="N427" s="2" t="s">
        <v>12</v>
      </c>
      <c r="O427" s="2" t="s">
        <v>12</v>
      </c>
    </row>
    <row r="428" spans="1:15">
      <c r="A428" s="2" t="s">
        <v>258</v>
      </c>
      <c r="B428" s="2" t="s">
        <v>259</v>
      </c>
      <c r="C428" s="2" t="s">
        <v>11</v>
      </c>
      <c r="D428" s="2" t="s">
        <v>2870</v>
      </c>
      <c r="E428" s="2" t="s">
        <v>49</v>
      </c>
      <c r="F428" s="2" t="s">
        <v>15</v>
      </c>
      <c r="G428" s="2" t="s">
        <v>20</v>
      </c>
      <c r="H428" s="2" t="s">
        <v>260</v>
      </c>
      <c r="I428" s="2">
        <v>1</v>
      </c>
      <c r="J428" s="2" t="s">
        <v>2871</v>
      </c>
      <c r="K428" s="2" t="s">
        <v>2875</v>
      </c>
      <c r="L428" s="2" t="s">
        <v>2873</v>
      </c>
      <c r="M428" s="2">
        <v>36</v>
      </c>
      <c r="N428" s="2">
        <v>2</v>
      </c>
      <c r="O428" s="2" t="s">
        <v>2876</v>
      </c>
    </row>
    <row r="429" spans="1:15">
      <c r="A429" s="2" t="s">
        <v>258</v>
      </c>
      <c r="B429" s="2" t="s">
        <v>259</v>
      </c>
      <c r="C429" s="2" t="s">
        <v>11</v>
      </c>
      <c r="D429" s="2" t="s">
        <v>2870</v>
      </c>
      <c r="E429" s="2" t="s">
        <v>49</v>
      </c>
      <c r="F429" s="2" t="s">
        <v>15</v>
      </c>
      <c r="G429" s="2" t="s">
        <v>20</v>
      </c>
      <c r="H429" s="2" t="s">
        <v>260</v>
      </c>
      <c r="I429" s="2">
        <v>1</v>
      </c>
      <c r="J429" s="2" t="s">
        <v>2871</v>
      </c>
      <c r="K429" s="2" t="s">
        <v>2872</v>
      </c>
      <c r="L429" s="2" t="s">
        <v>2873</v>
      </c>
      <c r="M429" s="2">
        <v>35</v>
      </c>
      <c r="N429" s="2">
        <v>7</v>
      </c>
      <c r="O429" s="2" t="s">
        <v>3247</v>
      </c>
    </row>
    <row r="430" spans="1:15">
      <c r="A430" s="2" t="s">
        <v>258</v>
      </c>
      <c r="B430" s="2" t="s">
        <v>259</v>
      </c>
      <c r="C430" s="2" t="s">
        <v>11</v>
      </c>
      <c r="D430" s="2" t="s">
        <v>2870</v>
      </c>
      <c r="E430" s="2" t="s">
        <v>49</v>
      </c>
      <c r="F430" s="2" t="s">
        <v>15</v>
      </c>
      <c r="G430" s="2" t="s">
        <v>20</v>
      </c>
      <c r="H430" s="2" t="s">
        <v>260</v>
      </c>
      <c r="I430" s="2">
        <v>1</v>
      </c>
      <c r="J430" s="2" t="s">
        <v>2879</v>
      </c>
      <c r="K430" s="2" t="s">
        <v>2894</v>
      </c>
      <c r="L430" s="2" t="s">
        <v>2873</v>
      </c>
      <c r="M430" s="2">
        <v>26</v>
      </c>
      <c r="N430" s="2">
        <v>32</v>
      </c>
      <c r="O430" s="2" t="s">
        <v>3105</v>
      </c>
    </row>
    <row r="431" spans="1:15">
      <c r="A431" s="2" t="s">
        <v>258</v>
      </c>
      <c r="B431" s="2" t="s">
        <v>259</v>
      </c>
      <c r="C431" s="2" t="s">
        <v>11</v>
      </c>
      <c r="D431" s="2" t="s">
        <v>2882</v>
      </c>
      <c r="E431" s="2" t="s">
        <v>51</v>
      </c>
      <c r="F431" s="2" t="s">
        <v>15</v>
      </c>
      <c r="G431" s="2" t="s">
        <v>16</v>
      </c>
      <c r="H431" s="2" t="s">
        <v>261</v>
      </c>
      <c r="I431" s="2">
        <v>1.24</v>
      </c>
      <c r="J431" s="2" t="s">
        <v>2871</v>
      </c>
      <c r="K431" s="2" t="s">
        <v>2875</v>
      </c>
      <c r="L431" s="2" t="s">
        <v>2873</v>
      </c>
      <c r="M431" s="2">
        <v>36</v>
      </c>
      <c r="N431" s="2">
        <v>5</v>
      </c>
      <c r="O431" s="2" t="s">
        <v>3248</v>
      </c>
    </row>
    <row r="432" spans="1:15">
      <c r="A432" s="2" t="s">
        <v>258</v>
      </c>
      <c r="B432" s="2" t="s">
        <v>259</v>
      </c>
      <c r="C432" s="2" t="s">
        <v>11</v>
      </c>
      <c r="D432" s="2" t="s">
        <v>2882</v>
      </c>
      <c r="E432" s="2" t="s">
        <v>51</v>
      </c>
      <c r="F432" s="2" t="s">
        <v>15</v>
      </c>
      <c r="G432" s="2" t="s">
        <v>16</v>
      </c>
      <c r="H432" s="2" t="s">
        <v>261</v>
      </c>
      <c r="I432" s="2">
        <v>1.24</v>
      </c>
      <c r="J432" s="2" t="s">
        <v>2871</v>
      </c>
      <c r="K432" s="2" t="s">
        <v>2872</v>
      </c>
      <c r="L432" s="2" t="s">
        <v>2873</v>
      </c>
      <c r="M432" s="2">
        <v>35</v>
      </c>
      <c r="N432" s="2">
        <v>5</v>
      </c>
      <c r="O432" s="2" t="s">
        <v>3056</v>
      </c>
    </row>
    <row r="433" spans="1:15">
      <c r="A433" s="2" t="s">
        <v>258</v>
      </c>
      <c r="B433" s="2" t="s">
        <v>259</v>
      </c>
      <c r="C433" s="2" t="s">
        <v>11</v>
      </c>
      <c r="D433" s="2" t="s">
        <v>2882</v>
      </c>
      <c r="E433" s="2" t="s">
        <v>51</v>
      </c>
      <c r="F433" s="2" t="s">
        <v>15</v>
      </c>
      <c r="G433" s="2" t="s">
        <v>16</v>
      </c>
      <c r="H433" s="2" t="s">
        <v>261</v>
      </c>
      <c r="I433" s="2">
        <v>1.24</v>
      </c>
      <c r="J433" s="2" t="s">
        <v>2879</v>
      </c>
      <c r="K433" s="2" t="s">
        <v>2894</v>
      </c>
      <c r="L433" s="2" t="s">
        <v>2873</v>
      </c>
      <c r="M433" s="2">
        <v>26</v>
      </c>
      <c r="N433" s="2">
        <v>57</v>
      </c>
      <c r="O433" s="2" t="s">
        <v>3043</v>
      </c>
    </row>
    <row r="434" spans="1:15">
      <c r="A434" s="2" t="s">
        <v>258</v>
      </c>
      <c r="B434" s="2" t="s">
        <v>259</v>
      </c>
      <c r="C434" s="2" t="s">
        <v>11</v>
      </c>
      <c r="D434" s="2" t="s">
        <v>2886</v>
      </c>
      <c r="E434" s="2" t="s">
        <v>52</v>
      </c>
      <c r="F434" s="2" t="s">
        <v>15</v>
      </c>
      <c r="G434" s="2" t="s">
        <v>20</v>
      </c>
      <c r="H434" s="2" t="s">
        <v>262</v>
      </c>
      <c r="I434" s="2">
        <v>1</v>
      </c>
      <c r="J434" s="2" t="s">
        <v>2879</v>
      </c>
      <c r="K434" s="2" t="s">
        <v>2894</v>
      </c>
      <c r="L434" s="2" t="s">
        <v>2873</v>
      </c>
      <c r="M434" s="2">
        <v>26</v>
      </c>
      <c r="N434" s="2">
        <v>11</v>
      </c>
      <c r="O434" s="2" t="s">
        <v>3249</v>
      </c>
    </row>
    <row r="435" spans="1:15">
      <c r="A435" s="2" t="s">
        <v>258</v>
      </c>
      <c r="B435" s="2" t="s">
        <v>259</v>
      </c>
      <c r="C435" s="2" t="s">
        <v>11</v>
      </c>
      <c r="D435" s="2" t="s">
        <v>2886</v>
      </c>
      <c r="E435" s="2" t="s">
        <v>52</v>
      </c>
      <c r="F435" s="2" t="s">
        <v>15</v>
      </c>
      <c r="G435" s="2" t="s">
        <v>20</v>
      </c>
      <c r="H435" s="2" t="s">
        <v>262</v>
      </c>
      <c r="I435" s="2">
        <v>1</v>
      </c>
      <c r="J435" s="2" t="s">
        <v>2871</v>
      </c>
      <c r="K435" s="2" t="s">
        <v>2872</v>
      </c>
      <c r="L435" s="2" t="s">
        <v>2873</v>
      </c>
      <c r="M435" s="2">
        <v>35</v>
      </c>
      <c r="N435" s="2">
        <v>2</v>
      </c>
      <c r="O435" s="2" t="s">
        <v>2874</v>
      </c>
    </row>
    <row r="436" spans="1:15">
      <c r="A436" s="2" t="s">
        <v>258</v>
      </c>
      <c r="B436" s="2" t="s">
        <v>259</v>
      </c>
      <c r="C436" s="2" t="s">
        <v>11</v>
      </c>
      <c r="D436" s="2" t="s">
        <v>2886</v>
      </c>
      <c r="E436" s="2" t="s">
        <v>52</v>
      </c>
      <c r="F436" s="2" t="s">
        <v>15</v>
      </c>
      <c r="G436" s="2" t="s">
        <v>20</v>
      </c>
      <c r="H436" s="2" t="s">
        <v>262</v>
      </c>
      <c r="I436" s="2">
        <v>1</v>
      </c>
      <c r="J436" s="2" t="s">
        <v>2871</v>
      </c>
      <c r="K436" s="2" t="s">
        <v>2875</v>
      </c>
      <c r="L436" s="2" t="s">
        <v>2873</v>
      </c>
      <c r="M436" s="2">
        <v>36</v>
      </c>
      <c r="N436" s="2">
        <v>27</v>
      </c>
      <c r="O436" s="2" t="s">
        <v>3235</v>
      </c>
    </row>
    <row r="437" spans="1:15">
      <c r="A437" s="2" t="s">
        <v>258</v>
      </c>
      <c r="B437" s="2" t="s">
        <v>259</v>
      </c>
      <c r="C437" s="2" t="s">
        <v>11</v>
      </c>
      <c r="D437" s="2" t="s">
        <v>2896</v>
      </c>
      <c r="E437" s="2" t="s">
        <v>54</v>
      </c>
      <c r="F437" s="2" t="s">
        <v>15</v>
      </c>
      <c r="G437" s="2" t="s">
        <v>16</v>
      </c>
      <c r="H437" s="2" t="s">
        <v>263</v>
      </c>
      <c r="I437" s="2">
        <v>1.5</v>
      </c>
      <c r="J437" s="2" t="s">
        <v>2879</v>
      </c>
      <c r="K437" s="2" t="s">
        <v>2894</v>
      </c>
      <c r="L437" s="2" t="s">
        <v>2873</v>
      </c>
      <c r="M437" s="2">
        <v>26</v>
      </c>
      <c r="N437" s="2">
        <v>100</v>
      </c>
      <c r="O437" s="2" t="s">
        <v>2918</v>
      </c>
    </row>
    <row r="438" spans="1:15">
      <c r="A438" s="2" t="s">
        <v>258</v>
      </c>
      <c r="B438" s="2" t="s">
        <v>259</v>
      </c>
      <c r="C438" s="2" t="s">
        <v>11</v>
      </c>
      <c r="D438" s="2" t="s">
        <v>2896</v>
      </c>
      <c r="E438" s="2" t="s">
        <v>54</v>
      </c>
      <c r="F438" s="2" t="s">
        <v>15</v>
      </c>
      <c r="G438" s="2" t="s">
        <v>16</v>
      </c>
      <c r="H438" s="2" t="s">
        <v>263</v>
      </c>
      <c r="I438" s="2">
        <v>1.5</v>
      </c>
      <c r="J438" s="2" t="s">
        <v>2871</v>
      </c>
      <c r="K438" s="2" t="s">
        <v>2872</v>
      </c>
      <c r="L438" s="2" t="s">
        <v>2873</v>
      </c>
      <c r="M438" s="2">
        <v>35</v>
      </c>
      <c r="N438" s="2">
        <v>2</v>
      </c>
      <c r="O438" s="2" t="s">
        <v>2874</v>
      </c>
    </row>
    <row r="439" spans="1:15">
      <c r="A439" s="2" t="s">
        <v>258</v>
      </c>
      <c r="B439" s="2" t="s">
        <v>259</v>
      </c>
      <c r="C439" s="2" t="s">
        <v>11</v>
      </c>
      <c r="D439" s="2" t="s">
        <v>2896</v>
      </c>
      <c r="E439" s="2" t="s">
        <v>54</v>
      </c>
      <c r="F439" s="2" t="s">
        <v>15</v>
      </c>
      <c r="G439" s="2" t="s">
        <v>16</v>
      </c>
      <c r="H439" s="2" t="s">
        <v>263</v>
      </c>
      <c r="I439" s="2">
        <v>1.5</v>
      </c>
      <c r="J439" s="2" t="s">
        <v>2871</v>
      </c>
      <c r="K439" s="2" t="s">
        <v>2875</v>
      </c>
      <c r="L439" s="2" t="s">
        <v>2873</v>
      </c>
      <c r="M439" s="2">
        <v>36</v>
      </c>
      <c r="N439" s="2">
        <v>44</v>
      </c>
      <c r="O439" s="2" t="s">
        <v>3250</v>
      </c>
    </row>
    <row r="440" spans="1:15">
      <c r="A440" s="2" t="s">
        <v>258</v>
      </c>
      <c r="B440" s="2" t="s">
        <v>259</v>
      </c>
      <c r="C440" s="2" t="s">
        <v>11</v>
      </c>
      <c r="D440" s="2" t="s">
        <v>2901</v>
      </c>
      <c r="E440" s="2" t="s">
        <v>56</v>
      </c>
      <c r="F440" s="2" t="s">
        <v>15</v>
      </c>
      <c r="G440" s="2" t="s">
        <v>16</v>
      </c>
      <c r="H440" s="2" t="s">
        <v>264</v>
      </c>
      <c r="I440" s="2">
        <v>1.01</v>
      </c>
      <c r="J440" s="2" t="s">
        <v>2879</v>
      </c>
      <c r="K440" s="2" t="s">
        <v>2894</v>
      </c>
      <c r="L440" s="2" t="s">
        <v>2873</v>
      </c>
      <c r="M440" s="2">
        <v>26</v>
      </c>
      <c r="N440" s="2">
        <v>10</v>
      </c>
      <c r="O440" s="2" t="s">
        <v>3140</v>
      </c>
    </row>
    <row r="441" spans="1:15">
      <c r="A441" s="2" t="s">
        <v>258</v>
      </c>
      <c r="B441" s="2" t="s">
        <v>259</v>
      </c>
      <c r="C441" s="2" t="s">
        <v>11</v>
      </c>
      <c r="D441" s="2" t="s">
        <v>2901</v>
      </c>
      <c r="E441" s="2" t="s">
        <v>56</v>
      </c>
      <c r="F441" s="2" t="s">
        <v>15</v>
      </c>
      <c r="G441" s="2" t="s">
        <v>16</v>
      </c>
      <c r="H441" s="2" t="s">
        <v>264</v>
      </c>
      <c r="I441" s="2">
        <v>1.01</v>
      </c>
      <c r="J441" s="2" t="s">
        <v>2871</v>
      </c>
      <c r="K441" s="2" t="s">
        <v>2877</v>
      </c>
      <c r="L441" s="2" t="s">
        <v>2873</v>
      </c>
      <c r="M441" s="2">
        <v>32</v>
      </c>
      <c r="N441" s="2">
        <v>13</v>
      </c>
      <c r="O441" s="2" t="s">
        <v>3251</v>
      </c>
    </row>
    <row r="442" spans="1:15">
      <c r="A442" s="2" t="s">
        <v>258</v>
      </c>
      <c r="B442" s="2" t="s">
        <v>259</v>
      </c>
      <c r="C442" s="2" t="s">
        <v>11</v>
      </c>
      <c r="D442" s="2" t="s">
        <v>2901</v>
      </c>
      <c r="E442" s="2" t="s">
        <v>56</v>
      </c>
      <c r="F442" s="2" t="s">
        <v>15</v>
      </c>
      <c r="G442" s="2" t="s">
        <v>16</v>
      </c>
      <c r="H442" s="2" t="s">
        <v>264</v>
      </c>
      <c r="I442" s="2">
        <v>1.01</v>
      </c>
      <c r="J442" s="2" t="s">
        <v>2871</v>
      </c>
      <c r="K442" s="2" t="s">
        <v>2872</v>
      </c>
      <c r="L442" s="2" t="s">
        <v>2873</v>
      </c>
      <c r="M442" s="2">
        <v>35</v>
      </c>
      <c r="N442" s="2">
        <v>2</v>
      </c>
      <c r="O442" s="2" t="s">
        <v>2874</v>
      </c>
    </row>
    <row r="443" spans="1:15">
      <c r="A443" s="2" t="s">
        <v>258</v>
      </c>
      <c r="B443" s="2" t="s">
        <v>259</v>
      </c>
      <c r="C443" s="2" t="s">
        <v>11</v>
      </c>
      <c r="D443" s="2" t="s">
        <v>2901</v>
      </c>
      <c r="E443" s="2" t="s">
        <v>56</v>
      </c>
      <c r="F443" s="2" t="s">
        <v>15</v>
      </c>
      <c r="G443" s="2" t="s">
        <v>16</v>
      </c>
      <c r="H443" s="2" t="s">
        <v>264</v>
      </c>
      <c r="I443" s="2">
        <v>1.01</v>
      </c>
      <c r="J443" s="2" t="s">
        <v>2871</v>
      </c>
      <c r="K443" s="2" t="s">
        <v>2875</v>
      </c>
      <c r="L443" s="2" t="s">
        <v>2873</v>
      </c>
      <c r="M443" s="2">
        <v>36</v>
      </c>
      <c r="N443" s="2">
        <v>42</v>
      </c>
      <c r="O443" s="2" t="s">
        <v>3252</v>
      </c>
    </row>
    <row r="444" spans="1:15">
      <c r="A444" s="2" t="s">
        <v>258</v>
      </c>
      <c r="B444" s="2" t="s">
        <v>259</v>
      </c>
      <c r="C444" s="2" t="s">
        <v>11</v>
      </c>
      <c r="D444" s="2" t="s">
        <v>2904</v>
      </c>
      <c r="E444" s="2" t="s">
        <v>57</v>
      </c>
      <c r="F444" s="2" t="s">
        <v>33</v>
      </c>
      <c r="G444" s="2" t="s">
        <v>44</v>
      </c>
      <c r="H444" s="2" t="s">
        <v>265</v>
      </c>
      <c r="I444" s="2">
        <v>0.69</v>
      </c>
      <c r="J444" s="2" t="s">
        <v>2871</v>
      </c>
      <c r="K444" s="2" t="s">
        <v>2872</v>
      </c>
      <c r="L444" s="2" t="s">
        <v>2873</v>
      </c>
      <c r="M444" s="2">
        <v>35</v>
      </c>
      <c r="N444" s="2">
        <v>24</v>
      </c>
      <c r="O444" s="2" t="s">
        <v>2912</v>
      </c>
    </row>
    <row r="445" spans="1:15">
      <c r="A445" s="2" t="s">
        <v>266</v>
      </c>
      <c r="B445" s="2" t="s">
        <v>267</v>
      </c>
      <c r="C445" s="2" t="s">
        <v>250</v>
      </c>
      <c r="D445" s="2" t="s">
        <v>2870</v>
      </c>
      <c r="E445" s="2" t="s">
        <v>268</v>
      </c>
      <c r="F445" s="2" t="s">
        <v>15</v>
      </c>
      <c r="G445" s="2" t="s">
        <v>20</v>
      </c>
      <c r="H445" s="2" t="s">
        <v>269</v>
      </c>
      <c r="I445" s="2">
        <v>1</v>
      </c>
      <c r="J445" s="2" t="s">
        <v>2887</v>
      </c>
      <c r="K445" s="2" t="s">
        <v>3244</v>
      </c>
      <c r="L445" s="2" t="s">
        <v>2873</v>
      </c>
      <c r="M445" s="2">
        <v>50</v>
      </c>
      <c r="N445" s="2">
        <v>51</v>
      </c>
      <c r="O445" s="2" t="s">
        <v>3253</v>
      </c>
    </row>
    <row r="446" spans="1:15">
      <c r="A446" s="2" t="s">
        <v>266</v>
      </c>
      <c r="B446" s="2" t="s">
        <v>267</v>
      </c>
      <c r="C446" s="2" t="s">
        <v>250</v>
      </c>
      <c r="D446" s="2" t="s">
        <v>2882</v>
      </c>
      <c r="E446" s="2" t="s">
        <v>270</v>
      </c>
      <c r="F446" s="2" t="s">
        <v>15</v>
      </c>
      <c r="G446" s="2" t="s">
        <v>20</v>
      </c>
      <c r="H446" s="2" t="s">
        <v>271</v>
      </c>
      <c r="I446" s="2">
        <v>1</v>
      </c>
      <c r="J446" s="2" t="s">
        <v>2887</v>
      </c>
      <c r="K446" s="2" t="s">
        <v>3244</v>
      </c>
      <c r="L446" s="2" t="s">
        <v>2873</v>
      </c>
      <c r="M446" s="2">
        <v>50</v>
      </c>
      <c r="N446" s="2">
        <v>65</v>
      </c>
      <c r="O446" s="2" t="s">
        <v>3254</v>
      </c>
    </row>
    <row r="447" spans="1:15">
      <c r="A447" s="2" t="s">
        <v>266</v>
      </c>
      <c r="B447" s="2" t="s">
        <v>267</v>
      </c>
      <c r="C447" s="2" t="s">
        <v>250</v>
      </c>
      <c r="D447" s="2" t="s">
        <v>2886</v>
      </c>
      <c r="E447" s="2" t="s">
        <v>272</v>
      </c>
      <c r="F447" s="2" t="s">
        <v>33</v>
      </c>
      <c r="G447" s="2" t="s">
        <v>20</v>
      </c>
      <c r="H447" s="2" t="s">
        <v>273</v>
      </c>
      <c r="I447" s="2">
        <v>1</v>
      </c>
      <c r="J447" s="2" t="s">
        <v>2887</v>
      </c>
      <c r="K447" s="2" t="s">
        <v>3244</v>
      </c>
      <c r="L447" s="2" t="s">
        <v>2873</v>
      </c>
      <c r="M447" s="2">
        <v>50</v>
      </c>
      <c r="N447" s="2">
        <v>56</v>
      </c>
      <c r="O447" s="2" t="s">
        <v>3058</v>
      </c>
    </row>
    <row r="448" spans="1:15">
      <c r="A448" s="2" t="s">
        <v>266</v>
      </c>
      <c r="B448" s="2" t="s">
        <v>267</v>
      </c>
      <c r="C448" s="2" t="s">
        <v>250</v>
      </c>
      <c r="D448" s="2" t="s">
        <v>2896</v>
      </c>
      <c r="E448" s="2" t="s">
        <v>274</v>
      </c>
      <c r="F448" s="2" t="s">
        <v>225</v>
      </c>
      <c r="G448" s="2" t="s">
        <v>44</v>
      </c>
      <c r="H448" s="2" t="s">
        <v>45</v>
      </c>
      <c r="I448" s="2" t="s">
        <v>12</v>
      </c>
      <c r="J448" s="2" t="s">
        <v>12</v>
      </c>
      <c r="K448" s="2" t="s">
        <v>12</v>
      </c>
      <c r="L448" s="2" t="s">
        <v>12</v>
      </c>
      <c r="M448" s="2" t="s">
        <v>12</v>
      </c>
      <c r="N448" s="2" t="s">
        <v>12</v>
      </c>
      <c r="O448" s="2" t="s">
        <v>12</v>
      </c>
    </row>
    <row r="449" spans="1:15">
      <c r="A449" s="2" t="s">
        <v>275</v>
      </c>
      <c r="B449" s="2" t="s">
        <v>276</v>
      </c>
      <c r="C449" s="2" t="s">
        <v>48</v>
      </c>
      <c r="D449" s="2" t="s">
        <v>2870</v>
      </c>
      <c r="E449" s="2" t="s">
        <v>200</v>
      </c>
      <c r="F449" s="2" t="s">
        <v>15</v>
      </c>
      <c r="G449" s="2" t="s">
        <v>20</v>
      </c>
      <c r="H449" s="2" t="s">
        <v>277</v>
      </c>
      <c r="I449" s="2">
        <v>1</v>
      </c>
      <c r="J449" s="2" t="s">
        <v>2887</v>
      </c>
      <c r="K449" s="2" t="s">
        <v>3255</v>
      </c>
      <c r="L449" s="2" t="s">
        <v>2916</v>
      </c>
      <c r="M449" s="2">
        <v>26</v>
      </c>
      <c r="N449" s="2">
        <v>46</v>
      </c>
      <c r="O449" s="2" t="s">
        <v>3256</v>
      </c>
    </row>
    <row r="450" spans="1:15">
      <c r="A450" s="2" t="s">
        <v>275</v>
      </c>
      <c r="B450" s="2" t="s">
        <v>276</v>
      </c>
      <c r="C450" s="2" t="s">
        <v>48</v>
      </c>
      <c r="D450" s="2" t="s">
        <v>2882</v>
      </c>
      <c r="E450" s="2" t="s">
        <v>202</v>
      </c>
      <c r="F450" s="2" t="s">
        <v>15</v>
      </c>
      <c r="G450" s="2" t="s">
        <v>16</v>
      </c>
      <c r="H450" s="2" t="s">
        <v>278</v>
      </c>
      <c r="I450" s="2">
        <v>1.5</v>
      </c>
      <c r="J450" s="2" t="s">
        <v>2887</v>
      </c>
      <c r="K450" s="2" t="s">
        <v>3255</v>
      </c>
      <c r="L450" s="2" t="s">
        <v>2916</v>
      </c>
      <c r="M450" s="2">
        <v>26</v>
      </c>
      <c r="N450" s="2">
        <v>83</v>
      </c>
      <c r="O450" s="2" t="s">
        <v>3257</v>
      </c>
    </row>
    <row r="451" spans="1:15">
      <c r="A451" s="2" t="s">
        <v>275</v>
      </c>
      <c r="B451" s="2" t="s">
        <v>276</v>
      </c>
      <c r="C451" s="2" t="s">
        <v>48</v>
      </c>
      <c r="D451" s="2" t="s">
        <v>2886</v>
      </c>
      <c r="E451" s="2" t="s">
        <v>204</v>
      </c>
      <c r="F451" s="2" t="s">
        <v>15</v>
      </c>
      <c r="G451" s="2" t="s">
        <v>20</v>
      </c>
      <c r="H451" s="2" t="s">
        <v>279</v>
      </c>
      <c r="I451" s="2">
        <v>1</v>
      </c>
      <c r="J451" s="2" t="s">
        <v>2887</v>
      </c>
      <c r="K451" s="2" t="s">
        <v>3255</v>
      </c>
      <c r="L451" s="2" t="s">
        <v>2916</v>
      </c>
      <c r="M451" s="2">
        <v>26</v>
      </c>
      <c r="N451" s="2">
        <v>40</v>
      </c>
      <c r="O451" s="2" t="s">
        <v>3258</v>
      </c>
    </row>
    <row r="452" spans="1:15">
      <c r="A452" s="2" t="s">
        <v>275</v>
      </c>
      <c r="B452" s="2" t="s">
        <v>276</v>
      </c>
      <c r="C452" s="2" t="s">
        <v>48</v>
      </c>
      <c r="D452" s="2" t="s">
        <v>2896</v>
      </c>
      <c r="E452" s="2" t="s">
        <v>206</v>
      </c>
      <c r="F452" s="2" t="s">
        <v>15</v>
      </c>
      <c r="G452" s="2" t="s">
        <v>20</v>
      </c>
      <c r="H452" s="2" t="s">
        <v>280</v>
      </c>
      <c r="I452" s="2">
        <v>1</v>
      </c>
      <c r="J452" s="2" t="s">
        <v>2887</v>
      </c>
      <c r="K452" s="2" t="s">
        <v>3255</v>
      </c>
      <c r="L452" s="2" t="s">
        <v>2916</v>
      </c>
      <c r="M452" s="2">
        <v>26</v>
      </c>
      <c r="N452" s="2">
        <v>50</v>
      </c>
      <c r="O452" s="2" t="s">
        <v>2945</v>
      </c>
    </row>
    <row r="453" spans="1:15">
      <c r="A453" s="2" t="s">
        <v>275</v>
      </c>
      <c r="B453" s="2" t="s">
        <v>276</v>
      </c>
      <c r="C453" s="2" t="s">
        <v>48</v>
      </c>
      <c r="D453" s="2" t="s">
        <v>2901</v>
      </c>
      <c r="E453" s="2" t="s">
        <v>208</v>
      </c>
      <c r="F453" s="2" t="s">
        <v>15</v>
      </c>
      <c r="G453" s="2" t="s">
        <v>20</v>
      </c>
      <c r="H453" s="2" t="s">
        <v>281</v>
      </c>
      <c r="I453" s="2">
        <v>1</v>
      </c>
      <c r="J453" s="2" t="s">
        <v>2887</v>
      </c>
      <c r="K453" s="2" t="s">
        <v>3255</v>
      </c>
      <c r="L453" s="2" t="s">
        <v>2916</v>
      </c>
      <c r="M453" s="2">
        <v>26</v>
      </c>
      <c r="N453" s="2">
        <v>41</v>
      </c>
      <c r="O453" s="2" t="s">
        <v>3259</v>
      </c>
    </row>
    <row r="454" spans="1:15">
      <c r="A454" s="2" t="s">
        <v>275</v>
      </c>
      <c r="B454" s="2" t="s">
        <v>276</v>
      </c>
      <c r="C454" s="2" t="s">
        <v>48</v>
      </c>
      <c r="D454" s="2" t="s">
        <v>2904</v>
      </c>
      <c r="E454" s="2" t="s">
        <v>210</v>
      </c>
      <c r="F454" s="2" t="s">
        <v>33</v>
      </c>
      <c r="G454" s="2" t="s">
        <v>44</v>
      </c>
      <c r="H454" s="2" t="s">
        <v>45</v>
      </c>
      <c r="I454" s="2" t="s">
        <v>12</v>
      </c>
      <c r="J454" s="2" t="s">
        <v>12</v>
      </c>
      <c r="K454" s="2" t="s">
        <v>12</v>
      </c>
      <c r="L454" s="2" t="s">
        <v>12</v>
      </c>
      <c r="M454" s="2" t="s">
        <v>12</v>
      </c>
      <c r="N454" s="2" t="s">
        <v>12</v>
      </c>
      <c r="O454" s="2" t="s">
        <v>12</v>
      </c>
    </row>
    <row r="455" spans="1:15">
      <c r="A455" s="2" t="s">
        <v>282</v>
      </c>
      <c r="B455" s="2" t="s">
        <v>283</v>
      </c>
      <c r="C455" s="2" t="s">
        <v>48</v>
      </c>
      <c r="D455" s="2" t="s">
        <v>2870</v>
      </c>
      <c r="E455" s="2" t="s">
        <v>284</v>
      </c>
      <c r="F455" s="2" t="s">
        <v>33</v>
      </c>
      <c r="G455" s="2" t="s">
        <v>44</v>
      </c>
      <c r="H455" s="2" t="s">
        <v>45</v>
      </c>
      <c r="I455" s="2" t="s">
        <v>12</v>
      </c>
      <c r="J455" s="2" t="s">
        <v>12</v>
      </c>
      <c r="K455" s="2" t="s">
        <v>12</v>
      </c>
      <c r="L455" s="2" t="s">
        <v>12</v>
      </c>
      <c r="M455" s="2" t="s">
        <v>12</v>
      </c>
      <c r="N455" s="2" t="s">
        <v>12</v>
      </c>
      <c r="O455" s="2" t="s">
        <v>12</v>
      </c>
    </row>
    <row r="456" spans="1:15">
      <c r="A456" s="2" t="s">
        <v>282</v>
      </c>
      <c r="B456" s="2" t="s">
        <v>283</v>
      </c>
      <c r="C456" s="2" t="s">
        <v>48</v>
      </c>
      <c r="D456" s="2" t="s">
        <v>2882</v>
      </c>
      <c r="E456" s="2" t="s">
        <v>285</v>
      </c>
      <c r="F456" s="2" t="s">
        <v>225</v>
      </c>
      <c r="G456" s="2" t="s">
        <v>44</v>
      </c>
      <c r="H456" s="2" t="s">
        <v>45</v>
      </c>
      <c r="I456" s="2" t="s">
        <v>12</v>
      </c>
      <c r="J456" s="2" t="s">
        <v>12</v>
      </c>
      <c r="K456" s="2" t="s">
        <v>12</v>
      </c>
      <c r="L456" s="2" t="s">
        <v>12</v>
      </c>
      <c r="M456" s="2" t="s">
        <v>12</v>
      </c>
      <c r="N456" s="2" t="s">
        <v>12</v>
      </c>
      <c r="O456" s="2" t="s">
        <v>12</v>
      </c>
    </row>
    <row r="457" spans="1:15">
      <c r="A457" s="2" t="s">
        <v>286</v>
      </c>
      <c r="B457" s="2" t="s">
        <v>287</v>
      </c>
      <c r="C457" s="2" t="s">
        <v>76</v>
      </c>
      <c r="D457" s="2" t="s">
        <v>2870</v>
      </c>
      <c r="E457" s="2" t="s">
        <v>49</v>
      </c>
      <c r="F457" s="2" t="s">
        <v>15</v>
      </c>
      <c r="G457" s="2" t="s">
        <v>44</v>
      </c>
      <c r="H457" s="2" t="s">
        <v>45</v>
      </c>
      <c r="I457" s="2" t="s">
        <v>12</v>
      </c>
      <c r="J457" s="2" t="s">
        <v>12</v>
      </c>
      <c r="K457" s="2" t="s">
        <v>12</v>
      </c>
      <c r="L457" s="2" t="s">
        <v>12</v>
      </c>
      <c r="M457" s="2" t="s">
        <v>12</v>
      </c>
      <c r="N457" s="2" t="s">
        <v>12</v>
      </c>
      <c r="O457" s="2" t="s">
        <v>12</v>
      </c>
    </row>
    <row r="458" spans="1:15">
      <c r="A458" s="2" t="s">
        <v>286</v>
      </c>
      <c r="B458" s="2" t="s">
        <v>287</v>
      </c>
      <c r="C458" s="2" t="s">
        <v>76</v>
      </c>
      <c r="D458" s="2" t="s">
        <v>2882</v>
      </c>
      <c r="E458" s="2" t="s">
        <v>51</v>
      </c>
      <c r="F458" s="2" t="s">
        <v>15</v>
      </c>
      <c r="G458" s="2" t="s">
        <v>44</v>
      </c>
      <c r="H458" s="2" t="s">
        <v>45</v>
      </c>
      <c r="I458" s="2" t="s">
        <v>12</v>
      </c>
      <c r="J458" s="2" t="s">
        <v>12</v>
      </c>
      <c r="K458" s="2" t="s">
        <v>12</v>
      </c>
      <c r="L458" s="2" t="s">
        <v>12</v>
      </c>
      <c r="M458" s="2" t="s">
        <v>12</v>
      </c>
      <c r="N458" s="2" t="s">
        <v>12</v>
      </c>
      <c r="O458" s="2" t="s">
        <v>12</v>
      </c>
    </row>
    <row r="459" spans="1:15">
      <c r="A459" s="2" t="s">
        <v>286</v>
      </c>
      <c r="B459" s="2" t="s">
        <v>287</v>
      </c>
      <c r="C459" s="2" t="s">
        <v>76</v>
      </c>
      <c r="D459" s="2" t="s">
        <v>2886</v>
      </c>
      <c r="E459" s="2" t="s">
        <v>52</v>
      </c>
      <c r="F459" s="2" t="s">
        <v>15</v>
      </c>
      <c r="G459" s="2" t="s">
        <v>44</v>
      </c>
      <c r="H459" s="2" t="s">
        <v>45</v>
      </c>
      <c r="I459" s="2" t="s">
        <v>12</v>
      </c>
      <c r="J459" s="2" t="s">
        <v>12</v>
      </c>
      <c r="K459" s="2" t="s">
        <v>12</v>
      </c>
      <c r="L459" s="2" t="s">
        <v>12</v>
      </c>
      <c r="M459" s="2" t="s">
        <v>12</v>
      </c>
      <c r="N459" s="2" t="s">
        <v>12</v>
      </c>
      <c r="O459" s="2" t="s">
        <v>12</v>
      </c>
    </row>
    <row r="460" spans="1:15">
      <c r="A460" s="2" t="s">
        <v>286</v>
      </c>
      <c r="B460" s="2" t="s">
        <v>287</v>
      </c>
      <c r="C460" s="2" t="s">
        <v>76</v>
      </c>
      <c r="D460" s="2" t="s">
        <v>2896</v>
      </c>
      <c r="E460" s="2" t="s">
        <v>54</v>
      </c>
      <c r="F460" s="2" t="s">
        <v>15</v>
      </c>
      <c r="G460" s="2" t="s">
        <v>44</v>
      </c>
      <c r="H460" s="2" t="s">
        <v>45</v>
      </c>
      <c r="I460" s="2" t="s">
        <v>12</v>
      </c>
      <c r="J460" s="2" t="s">
        <v>12</v>
      </c>
      <c r="K460" s="2" t="s">
        <v>12</v>
      </c>
      <c r="L460" s="2" t="s">
        <v>12</v>
      </c>
      <c r="M460" s="2" t="s">
        <v>12</v>
      </c>
      <c r="N460" s="2" t="s">
        <v>12</v>
      </c>
      <c r="O460" s="2" t="s">
        <v>12</v>
      </c>
    </row>
    <row r="461" spans="1:15">
      <c r="A461" s="2" t="s">
        <v>286</v>
      </c>
      <c r="B461" s="2" t="s">
        <v>287</v>
      </c>
      <c r="C461" s="2" t="s">
        <v>76</v>
      </c>
      <c r="D461" s="2" t="s">
        <v>2901</v>
      </c>
      <c r="E461" s="2" t="s">
        <v>56</v>
      </c>
      <c r="F461" s="2" t="s">
        <v>15</v>
      </c>
      <c r="G461" s="2" t="s">
        <v>44</v>
      </c>
      <c r="H461" s="2" t="s">
        <v>45</v>
      </c>
      <c r="I461" s="2" t="s">
        <v>12</v>
      </c>
      <c r="J461" s="2" t="s">
        <v>12</v>
      </c>
      <c r="K461" s="2" t="s">
        <v>12</v>
      </c>
      <c r="L461" s="2" t="s">
        <v>12</v>
      </c>
      <c r="M461" s="2" t="s">
        <v>12</v>
      </c>
      <c r="N461" s="2" t="s">
        <v>12</v>
      </c>
      <c r="O461" s="2" t="s">
        <v>12</v>
      </c>
    </row>
    <row r="462" spans="1:15">
      <c r="A462" s="2" t="s">
        <v>286</v>
      </c>
      <c r="B462" s="2" t="s">
        <v>287</v>
      </c>
      <c r="C462" s="2" t="s">
        <v>76</v>
      </c>
      <c r="D462" s="2" t="s">
        <v>2904</v>
      </c>
      <c r="E462" s="2" t="s">
        <v>57</v>
      </c>
      <c r="F462" s="2" t="s">
        <v>33</v>
      </c>
      <c r="G462" s="2" t="s">
        <v>44</v>
      </c>
      <c r="H462" s="2" t="s">
        <v>45</v>
      </c>
      <c r="I462" s="2" t="s">
        <v>12</v>
      </c>
      <c r="J462" s="2" t="s">
        <v>12</v>
      </c>
      <c r="K462" s="2" t="s">
        <v>12</v>
      </c>
      <c r="L462" s="2" t="s">
        <v>12</v>
      </c>
      <c r="M462" s="2" t="s">
        <v>12</v>
      </c>
      <c r="N462" s="2" t="s">
        <v>12</v>
      </c>
      <c r="O462" s="2" t="s">
        <v>12</v>
      </c>
    </row>
    <row r="463" spans="1:15">
      <c r="A463" s="2" t="s">
        <v>288</v>
      </c>
      <c r="B463" s="2" t="s">
        <v>289</v>
      </c>
      <c r="C463" s="2" t="s">
        <v>290</v>
      </c>
      <c r="D463" s="2" t="s">
        <v>2870</v>
      </c>
      <c r="E463" s="2" t="s">
        <v>230</v>
      </c>
      <c r="F463" s="2" t="s">
        <v>33</v>
      </c>
      <c r="G463" s="2" t="s">
        <v>44</v>
      </c>
      <c r="H463" s="2" t="s">
        <v>45</v>
      </c>
      <c r="I463" s="2" t="s">
        <v>12</v>
      </c>
      <c r="J463" s="2" t="s">
        <v>12</v>
      </c>
      <c r="K463" s="2" t="s">
        <v>12</v>
      </c>
      <c r="L463" s="2" t="s">
        <v>12</v>
      </c>
      <c r="M463" s="2" t="s">
        <v>12</v>
      </c>
      <c r="N463" s="2" t="s">
        <v>12</v>
      </c>
      <c r="O463" s="2" t="s">
        <v>12</v>
      </c>
    </row>
    <row r="464" spans="1:15">
      <c r="A464" s="2" t="s">
        <v>288</v>
      </c>
      <c r="B464" s="2" t="s">
        <v>289</v>
      </c>
      <c r="C464" s="2" t="s">
        <v>290</v>
      </c>
      <c r="D464" s="2" t="s">
        <v>2882</v>
      </c>
      <c r="E464" s="2" t="s">
        <v>231</v>
      </c>
      <c r="F464" s="2" t="s">
        <v>225</v>
      </c>
      <c r="G464" s="2" t="s">
        <v>44</v>
      </c>
      <c r="H464" s="2" t="s">
        <v>45</v>
      </c>
      <c r="I464" s="2" t="s">
        <v>12</v>
      </c>
      <c r="J464" s="2" t="s">
        <v>12</v>
      </c>
      <c r="K464" s="2" t="s">
        <v>12</v>
      </c>
      <c r="L464" s="2" t="s">
        <v>12</v>
      </c>
      <c r="M464" s="2" t="s">
        <v>12</v>
      </c>
      <c r="N464" s="2" t="s">
        <v>12</v>
      </c>
      <c r="O464" s="2" t="s">
        <v>12</v>
      </c>
    </row>
    <row r="465" spans="1:15">
      <c r="A465" s="2" t="s">
        <v>291</v>
      </c>
      <c r="B465" s="2" t="s">
        <v>292</v>
      </c>
      <c r="C465" s="2" t="s">
        <v>76</v>
      </c>
      <c r="D465" s="2" t="s">
        <v>2870</v>
      </c>
      <c r="E465" s="2" t="s">
        <v>293</v>
      </c>
      <c r="F465" s="2" t="s">
        <v>15</v>
      </c>
      <c r="G465" s="2" t="s">
        <v>44</v>
      </c>
      <c r="H465" s="2" t="s">
        <v>45</v>
      </c>
      <c r="I465" s="2" t="s">
        <v>12</v>
      </c>
      <c r="J465" s="2" t="s">
        <v>12</v>
      </c>
      <c r="K465" s="2" t="s">
        <v>12</v>
      </c>
      <c r="L465" s="2" t="s">
        <v>12</v>
      </c>
      <c r="M465" s="2" t="s">
        <v>12</v>
      </c>
      <c r="N465" s="2" t="s">
        <v>12</v>
      </c>
      <c r="O465" s="2" t="s">
        <v>12</v>
      </c>
    </row>
    <row r="466" spans="1:15">
      <c r="A466" s="2" t="s">
        <v>291</v>
      </c>
      <c r="B466" s="2" t="s">
        <v>292</v>
      </c>
      <c r="C466" s="2" t="s">
        <v>76</v>
      </c>
      <c r="D466" s="2" t="s">
        <v>2882</v>
      </c>
      <c r="E466" s="2" t="s">
        <v>294</v>
      </c>
      <c r="F466" s="2" t="s">
        <v>33</v>
      </c>
      <c r="G466" s="2" t="s">
        <v>44</v>
      </c>
      <c r="H466" s="2" t="s">
        <v>45</v>
      </c>
      <c r="I466" s="2" t="s">
        <v>12</v>
      </c>
      <c r="J466" s="2" t="s">
        <v>12</v>
      </c>
      <c r="K466" s="2" t="s">
        <v>12</v>
      </c>
      <c r="L466" s="2" t="s">
        <v>12</v>
      </c>
      <c r="M466" s="2" t="s">
        <v>12</v>
      </c>
      <c r="N466" s="2" t="s">
        <v>12</v>
      </c>
      <c r="O466" s="2" t="s">
        <v>12</v>
      </c>
    </row>
    <row r="467" spans="1:15">
      <c r="A467" s="2" t="s">
        <v>295</v>
      </c>
      <c r="B467" s="2" t="s">
        <v>296</v>
      </c>
      <c r="C467" s="2" t="s">
        <v>112</v>
      </c>
      <c r="D467" s="2" t="s">
        <v>2870</v>
      </c>
      <c r="E467" s="2" t="s">
        <v>71</v>
      </c>
      <c r="F467" s="2" t="s">
        <v>15</v>
      </c>
      <c r="G467" s="2" t="s">
        <v>44</v>
      </c>
      <c r="H467" s="2" t="s">
        <v>45</v>
      </c>
      <c r="I467" s="2" t="s">
        <v>12</v>
      </c>
      <c r="J467" s="2" t="s">
        <v>12</v>
      </c>
      <c r="K467" s="2" t="s">
        <v>12</v>
      </c>
      <c r="L467" s="2" t="s">
        <v>12</v>
      </c>
      <c r="M467" s="2" t="s">
        <v>12</v>
      </c>
      <c r="N467" s="2" t="s">
        <v>12</v>
      </c>
      <c r="O467" s="2" t="s">
        <v>12</v>
      </c>
    </row>
    <row r="468" spans="1:15">
      <c r="A468" s="2" t="s">
        <v>295</v>
      </c>
      <c r="B468" s="2" t="s">
        <v>296</v>
      </c>
      <c r="C468" s="2" t="s">
        <v>112</v>
      </c>
      <c r="D468" s="2" t="s">
        <v>2882</v>
      </c>
      <c r="E468" s="2" t="s">
        <v>73</v>
      </c>
      <c r="F468" s="2" t="s">
        <v>33</v>
      </c>
      <c r="G468" s="2" t="s">
        <v>44</v>
      </c>
      <c r="H468" s="2" t="s">
        <v>45</v>
      </c>
      <c r="I468" s="2" t="s">
        <v>12</v>
      </c>
      <c r="J468" s="2" t="s">
        <v>12</v>
      </c>
      <c r="K468" s="2" t="s">
        <v>12</v>
      </c>
      <c r="L468" s="2" t="s">
        <v>12</v>
      </c>
      <c r="M468" s="2" t="s">
        <v>12</v>
      </c>
      <c r="N468" s="2" t="s">
        <v>12</v>
      </c>
      <c r="O468" s="2" t="s">
        <v>12</v>
      </c>
    </row>
    <row r="469" spans="1:15">
      <c r="A469" s="2" t="s">
        <v>297</v>
      </c>
      <c r="B469" s="2" t="s">
        <v>298</v>
      </c>
      <c r="C469" s="2" t="s">
        <v>48</v>
      </c>
      <c r="D469" s="2" t="s">
        <v>2870</v>
      </c>
      <c r="E469" s="2" t="s">
        <v>71</v>
      </c>
      <c r="F469" s="2" t="s">
        <v>15</v>
      </c>
      <c r="G469" s="2" t="s">
        <v>44</v>
      </c>
      <c r="H469" s="2" t="s">
        <v>45</v>
      </c>
      <c r="I469" s="2" t="s">
        <v>12</v>
      </c>
      <c r="J469" s="2" t="s">
        <v>12</v>
      </c>
      <c r="K469" s="2" t="s">
        <v>12</v>
      </c>
      <c r="L469" s="2" t="s">
        <v>12</v>
      </c>
      <c r="M469" s="2" t="s">
        <v>12</v>
      </c>
      <c r="N469" s="2" t="s">
        <v>12</v>
      </c>
      <c r="O469" s="2" t="s">
        <v>12</v>
      </c>
    </row>
    <row r="470" spans="1:15">
      <c r="A470" s="2" t="s">
        <v>297</v>
      </c>
      <c r="B470" s="2" t="s">
        <v>298</v>
      </c>
      <c r="C470" s="2" t="s">
        <v>48</v>
      </c>
      <c r="D470" s="2" t="s">
        <v>2882</v>
      </c>
      <c r="E470" s="2" t="s">
        <v>73</v>
      </c>
      <c r="F470" s="2" t="s">
        <v>33</v>
      </c>
      <c r="G470" s="2" t="s">
        <v>44</v>
      </c>
      <c r="H470" s="2" t="s">
        <v>45</v>
      </c>
      <c r="I470" s="2" t="s">
        <v>12</v>
      </c>
      <c r="J470" s="2" t="s">
        <v>12</v>
      </c>
      <c r="K470" s="2" t="s">
        <v>12</v>
      </c>
      <c r="L470" s="2" t="s">
        <v>12</v>
      </c>
      <c r="M470" s="2" t="s">
        <v>12</v>
      </c>
      <c r="N470" s="2" t="s">
        <v>12</v>
      </c>
      <c r="O470" s="2" t="s">
        <v>12</v>
      </c>
    </row>
    <row r="471" spans="1:15">
      <c r="A471" s="2" t="s">
        <v>299</v>
      </c>
      <c r="B471" s="2" t="s">
        <v>300</v>
      </c>
      <c r="C471" s="2" t="s">
        <v>301</v>
      </c>
      <c r="D471" s="2" t="s">
        <v>2870</v>
      </c>
      <c r="E471" s="2" t="s">
        <v>302</v>
      </c>
      <c r="F471" s="2" t="s">
        <v>33</v>
      </c>
      <c r="G471" s="2" t="s">
        <v>44</v>
      </c>
      <c r="H471" s="2" t="s">
        <v>45</v>
      </c>
      <c r="I471" s="2" t="s">
        <v>12</v>
      </c>
      <c r="J471" s="2" t="s">
        <v>12</v>
      </c>
      <c r="K471" s="2" t="s">
        <v>12</v>
      </c>
      <c r="L471" s="2" t="s">
        <v>12</v>
      </c>
      <c r="M471" s="2" t="s">
        <v>12</v>
      </c>
      <c r="N471" s="2" t="s">
        <v>12</v>
      </c>
      <c r="O471" s="2" t="s">
        <v>12</v>
      </c>
    </row>
    <row r="472" spans="1:15">
      <c r="A472" s="2" t="s">
        <v>299</v>
      </c>
      <c r="B472" s="2" t="s">
        <v>300</v>
      </c>
      <c r="C472" s="2" t="s">
        <v>301</v>
      </c>
      <c r="D472" s="2" t="s">
        <v>2882</v>
      </c>
      <c r="E472" s="2" t="s">
        <v>303</v>
      </c>
      <c r="F472" s="2" t="s">
        <v>225</v>
      </c>
      <c r="G472" s="2" t="s">
        <v>44</v>
      </c>
      <c r="H472" s="2" t="s">
        <v>45</v>
      </c>
      <c r="I472" s="2" t="s">
        <v>12</v>
      </c>
      <c r="J472" s="2" t="s">
        <v>12</v>
      </c>
      <c r="K472" s="2" t="s">
        <v>12</v>
      </c>
      <c r="L472" s="2" t="s">
        <v>12</v>
      </c>
      <c r="M472" s="2" t="s">
        <v>12</v>
      </c>
      <c r="N472" s="2" t="s">
        <v>12</v>
      </c>
      <c r="O472" s="2" t="s">
        <v>12</v>
      </c>
    </row>
    <row r="473" spans="1:15">
      <c r="A473" s="2" t="s">
        <v>304</v>
      </c>
      <c r="B473" s="2" t="s">
        <v>305</v>
      </c>
      <c r="C473" s="2" t="s">
        <v>76</v>
      </c>
      <c r="D473" s="2" t="s">
        <v>2870</v>
      </c>
      <c r="E473" s="2" t="s">
        <v>14</v>
      </c>
      <c r="F473" s="2" t="s">
        <v>15</v>
      </c>
      <c r="G473" s="2" t="s">
        <v>44</v>
      </c>
      <c r="H473" s="2" t="s">
        <v>306</v>
      </c>
      <c r="I473" s="2">
        <v>0.5</v>
      </c>
      <c r="J473" s="2" t="s">
        <v>2947</v>
      </c>
      <c r="K473" s="2" t="s">
        <v>2948</v>
      </c>
      <c r="L473" s="2" t="s">
        <v>2873</v>
      </c>
      <c r="M473" s="2">
        <v>110</v>
      </c>
      <c r="N473" s="2">
        <v>6</v>
      </c>
      <c r="O473" s="2" t="s">
        <v>3008</v>
      </c>
    </row>
    <row r="474" spans="1:15">
      <c r="A474" s="2" t="s">
        <v>304</v>
      </c>
      <c r="B474" s="2" t="s">
        <v>305</v>
      </c>
      <c r="C474" s="2" t="s">
        <v>76</v>
      </c>
      <c r="D474" s="2" t="s">
        <v>2870</v>
      </c>
      <c r="E474" s="2" t="s">
        <v>14</v>
      </c>
      <c r="F474" s="2" t="s">
        <v>15</v>
      </c>
      <c r="G474" s="2" t="s">
        <v>44</v>
      </c>
      <c r="H474" s="2" t="s">
        <v>306</v>
      </c>
      <c r="I474" s="2">
        <v>0.5</v>
      </c>
      <c r="J474" s="2" t="s">
        <v>2947</v>
      </c>
      <c r="K474" s="2" t="s">
        <v>2988</v>
      </c>
      <c r="L474" s="2" t="s">
        <v>2873</v>
      </c>
      <c r="M474" s="2">
        <v>103</v>
      </c>
      <c r="N474" s="2">
        <v>9</v>
      </c>
      <c r="O474" s="2" t="s">
        <v>3260</v>
      </c>
    </row>
    <row r="475" spans="1:15">
      <c r="A475" s="2" t="s">
        <v>304</v>
      </c>
      <c r="B475" s="2" t="s">
        <v>305</v>
      </c>
      <c r="C475" s="2" t="s">
        <v>76</v>
      </c>
      <c r="D475" s="2" t="s">
        <v>2870</v>
      </c>
      <c r="E475" s="2" t="s">
        <v>14</v>
      </c>
      <c r="F475" s="2" t="s">
        <v>15</v>
      </c>
      <c r="G475" s="2" t="s">
        <v>44</v>
      </c>
      <c r="H475" s="2" t="s">
        <v>306</v>
      </c>
      <c r="I475" s="2">
        <v>0.5</v>
      </c>
      <c r="J475" s="2" t="s">
        <v>2871</v>
      </c>
      <c r="K475" s="2" t="s">
        <v>3061</v>
      </c>
      <c r="L475" s="2" t="s">
        <v>2873</v>
      </c>
      <c r="M475" s="2">
        <v>66</v>
      </c>
      <c r="N475" s="2">
        <v>4</v>
      </c>
      <c r="O475" s="2" t="s">
        <v>3072</v>
      </c>
    </row>
    <row r="476" spans="1:15">
      <c r="A476" s="2" t="s">
        <v>304</v>
      </c>
      <c r="B476" s="2" t="s">
        <v>305</v>
      </c>
      <c r="C476" s="2" t="s">
        <v>76</v>
      </c>
      <c r="D476" s="2" t="s">
        <v>2870</v>
      </c>
      <c r="E476" s="2" t="s">
        <v>14</v>
      </c>
      <c r="F476" s="2" t="s">
        <v>15</v>
      </c>
      <c r="G476" s="2" t="s">
        <v>44</v>
      </c>
      <c r="H476" s="2" t="s">
        <v>306</v>
      </c>
      <c r="I476" s="2">
        <v>0.5</v>
      </c>
      <c r="J476" s="2" t="s">
        <v>2871</v>
      </c>
      <c r="K476" s="2" t="s">
        <v>2952</v>
      </c>
      <c r="L476" s="2" t="s">
        <v>2873</v>
      </c>
      <c r="M476" s="2">
        <v>257</v>
      </c>
      <c r="N476" s="2">
        <v>1</v>
      </c>
      <c r="O476" s="2" t="s">
        <v>2971</v>
      </c>
    </row>
    <row r="477" spans="1:15">
      <c r="A477" s="2" t="s">
        <v>304</v>
      </c>
      <c r="B477" s="2" t="s">
        <v>305</v>
      </c>
      <c r="C477" s="2" t="s">
        <v>76</v>
      </c>
      <c r="D477" s="2" t="s">
        <v>2870</v>
      </c>
      <c r="E477" s="2" t="s">
        <v>14</v>
      </c>
      <c r="F477" s="2" t="s">
        <v>15</v>
      </c>
      <c r="G477" s="2" t="s">
        <v>44</v>
      </c>
      <c r="H477" s="2" t="s">
        <v>306</v>
      </c>
      <c r="I477" s="2">
        <v>0.5</v>
      </c>
      <c r="J477" s="2" t="s">
        <v>2871</v>
      </c>
      <c r="K477" s="2" t="s">
        <v>2954</v>
      </c>
      <c r="L477" s="2" t="s">
        <v>2873</v>
      </c>
      <c r="M477" s="2">
        <v>220</v>
      </c>
      <c r="N477" s="2">
        <v>1</v>
      </c>
      <c r="O477" s="2" t="s">
        <v>3164</v>
      </c>
    </row>
    <row r="478" spans="1:15">
      <c r="A478" s="2" t="s">
        <v>304</v>
      </c>
      <c r="B478" s="2" t="s">
        <v>305</v>
      </c>
      <c r="C478" s="2" t="s">
        <v>76</v>
      </c>
      <c r="D478" s="2" t="s">
        <v>2870</v>
      </c>
      <c r="E478" s="2" t="s">
        <v>14</v>
      </c>
      <c r="F478" s="2" t="s">
        <v>15</v>
      </c>
      <c r="G478" s="2" t="s">
        <v>44</v>
      </c>
      <c r="H478" s="2" t="s">
        <v>306</v>
      </c>
      <c r="I478" s="2">
        <v>0.5</v>
      </c>
      <c r="J478" s="2" t="s">
        <v>2871</v>
      </c>
      <c r="K478" s="2" t="s">
        <v>2958</v>
      </c>
      <c r="L478" s="2" t="s">
        <v>2873</v>
      </c>
      <c r="M478" s="2">
        <v>154</v>
      </c>
      <c r="N478" s="2">
        <v>6</v>
      </c>
      <c r="O478" s="2" t="s">
        <v>3261</v>
      </c>
    </row>
    <row r="479" spans="1:15">
      <c r="A479" s="2" t="s">
        <v>304</v>
      </c>
      <c r="B479" s="2" t="s">
        <v>305</v>
      </c>
      <c r="C479" s="2" t="s">
        <v>76</v>
      </c>
      <c r="D479" s="2" t="s">
        <v>2870</v>
      </c>
      <c r="E479" s="2" t="s">
        <v>14</v>
      </c>
      <c r="F479" s="2" t="s">
        <v>15</v>
      </c>
      <c r="G479" s="2" t="s">
        <v>44</v>
      </c>
      <c r="H479" s="2" t="s">
        <v>306</v>
      </c>
      <c r="I479" s="2">
        <v>0.5</v>
      </c>
      <c r="J479" s="2" t="s">
        <v>2871</v>
      </c>
      <c r="K479" s="2" t="s">
        <v>2956</v>
      </c>
      <c r="L479" s="2" t="s">
        <v>2873</v>
      </c>
      <c r="M479" s="2">
        <v>298</v>
      </c>
      <c r="N479" s="2">
        <v>3</v>
      </c>
      <c r="O479" s="2" t="s">
        <v>3262</v>
      </c>
    </row>
    <row r="480" spans="1:15">
      <c r="A480" s="2" t="s">
        <v>304</v>
      </c>
      <c r="B480" s="2" t="s">
        <v>305</v>
      </c>
      <c r="C480" s="2" t="s">
        <v>76</v>
      </c>
      <c r="D480" s="2" t="s">
        <v>2870</v>
      </c>
      <c r="E480" s="2" t="s">
        <v>14</v>
      </c>
      <c r="F480" s="2" t="s">
        <v>15</v>
      </c>
      <c r="G480" s="2" t="s">
        <v>44</v>
      </c>
      <c r="H480" s="2" t="s">
        <v>306</v>
      </c>
      <c r="I480" s="2">
        <v>0.5</v>
      </c>
      <c r="J480" s="2" t="s">
        <v>2887</v>
      </c>
      <c r="K480" s="2" t="s">
        <v>2992</v>
      </c>
      <c r="L480" s="2" t="s">
        <v>2873</v>
      </c>
      <c r="M480" s="2">
        <v>220</v>
      </c>
      <c r="N480" s="2">
        <v>2</v>
      </c>
      <c r="O480" s="2" t="s">
        <v>2987</v>
      </c>
    </row>
    <row r="481" spans="1:15">
      <c r="A481" s="2" t="s">
        <v>304</v>
      </c>
      <c r="B481" s="2" t="s">
        <v>305</v>
      </c>
      <c r="C481" s="2" t="s">
        <v>76</v>
      </c>
      <c r="D481" s="2" t="s">
        <v>2882</v>
      </c>
      <c r="E481" s="2" t="s">
        <v>19</v>
      </c>
      <c r="F481" s="2" t="s">
        <v>15</v>
      </c>
      <c r="G481" s="2" t="s">
        <v>44</v>
      </c>
      <c r="H481" s="2" t="s">
        <v>307</v>
      </c>
      <c r="I481" s="2">
        <v>0.5</v>
      </c>
      <c r="J481" s="2" t="s">
        <v>2887</v>
      </c>
      <c r="K481" s="2" t="s">
        <v>2992</v>
      </c>
      <c r="L481" s="2" t="s">
        <v>2873</v>
      </c>
      <c r="M481" s="2">
        <v>220</v>
      </c>
      <c r="N481" s="2">
        <v>1</v>
      </c>
      <c r="O481" s="2" t="s">
        <v>3164</v>
      </c>
    </row>
    <row r="482" spans="1:15">
      <c r="A482" s="2" t="s">
        <v>304</v>
      </c>
      <c r="B482" s="2" t="s">
        <v>305</v>
      </c>
      <c r="C482" s="2" t="s">
        <v>76</v>
      </c>
      <c r="D482" s="2" t="s">
        <v>2882</v>
      </c>
      <c r="E482" s="2" t="s">
        <v>19</v>
      </c>
      <c r="F482" s="2" t="s">
        <v>15</v>
      </c>
      <c r="G482" s="2" t="s">
        <v>44</v>
      </c>
      <c r="H482" s="2" t="s">
        <v>307</v>
      </c>
      <c r="I482" s="2">
        <v>0.5</v>
      </c>
      <c r="J482" s="2" t="s">
        <v>2871</v>
      </c>
      <c r="K482" s="2" t="s">
        <v>2958</v>
      </c>
      <c r="L482" s="2" t="s">
        <v>2873</v>
      </c>
      <c r="M482" s="2">
        <v>154</v>
      </c>
      <c r="N482" s="2">
        <v>1</v>
      </c>
      <c r="O482" s="2" t="s">
        <v>3096</v>
      </c>
    </row>
    <row r="483" spans="1:15">
      <c r="A483" s="2" t="s">
        <v>304</v>
      </c>
      <c r="B483" s="2" t="s">
        <v>305</v>
      </c>
      <c r="C483" s="2" t="s">
        <v>76</v>
      </c>
      <c r="D483" s="2" t="s">
        <v>2882</v>
      </c>
      <c r="E483" s="2" t="s">
        <v>19</v>
      </c>
      <c r="F483" s="2" t="s">
        <v>15</v>
      </c>
      <c r="G483" s="2" t="s">
        <v>44</v>
      </c>
      <c r="H483" s="2" t="s">
        <v>307</v>
      </c>
      <c r="I483" s="2">
        <v>0.5</v>
      </c>
      <c r="J483" s="2" t="s">
        <v>2871</v>
      </c>
      <c r="K483" s="2" t="s">
        <v>2956</v>
      </c>
      <c r="L483" s="2" t="s">
        <v>2873</v>
      </c>
      <c r="M483" s="2">
        <v>298</v>
      </c>
      <c r="N483" s="2">
        <v>3</v>
      </c>
      <c r="O483" s="2" t="s">
        <v>3262</v>
      </c>
    </row>
    <row r="484" spans="1:15">
      <c r="A484" s="2" t="s">
        <v>304</v>
      </c>
      <c r="B484" s="2" t="s">
        <v>305</v>
      </c>
      <c r="C484" s="2" t="s">
        <v>76</v>
      </c>
      <c r="D484" s="2" t="s">
        <v>2882</v>
      </c>
      <c r="E484" s="2" t="s">
        <v>19</v>
      </c>
      <c r="F484" s="2" t="s">
        <v>15</v>
      </c>
      <c r="G484" s="2" t="s">
        <v>44</v>
      </c>
      <c r="H484" s="2" t="s">
        <v>307</v>
      </c>
      <c r="I484" s="2">
        <v>0.5</v>
      </c>
      <c r="J484" s="2" t="s">
        <v>2871</v>
      </c>
      <c r="K484" s="2" t="s">
        <v>2954</v>
      </c>
      <c r="L484" s="2" t="s">
        <v>2873</v>
      </c>
      <c r="M484" s="2">
        <v>220</v>
      </c>
      <c r="N484" s="2">
        <v>8</v>
      </c>
      <c r="O484" s="2" t="s">
        <v>2965</v>
      </c>
    </row>
    <row r="485" spans="1:15">
      <c r="A485" s="2" t="s">
        <v>304</v>
      </c>
      <c r="B485" s="2" t="s">
        <v>305</v>
      </c>
      <c r="C485" s="2" t="s">
        <v>76</v>
      </c>
      <c r="D485" s="2" t="s">
        <v>2882</v>
      </c>
      <c r="E485" s="2" t="s">
        <v>19</v>
      </c>
      <c r="F485" s="2" t="s">
        <v>15</v>
      </c>
      <c r="G485" s="2" t="s">
        <v>44</v>
      </c>
      <c r="H485" s="2" t="s">
        <v>307</v>
      </c>
      <c r="I485" s="2">
        <v>0.5</v>
      </c>
      <c r="J485" s="2" t="s">
        <v>2871</v>
      </c>
      <c r="K485" s="2" t="s">
        <v>3061</v>
      </c>
      <c r="L485" s="2" t="s">
        <v>2873</v>
      </c>
      <c r="M485" s="2">
        <v>66</v>
      </c>
      <c r="N485" s="2">
        <v>2</v>
      </c>
      <c r="O485" s="2" t="s">
        <v>3227</v>
      </c>
    </row>
    <row r="486" spans="1:15">
      <c r="A486" s="2" t="s">
        <v>304</v>
      </c>
      <c r="B486" s="2" t="s">
        <v>305</v>
      </c>
      <c r="C486" s="2" t="s">
        <v>76</v>
      </c>
      <c r="D486" s="2" t="s">
        <v>2882</v>
      </c>
      <c r="E486" s="2" t="s">
        <v>19</v>
      </c>
      <c r="F486" s="2" t="s">
        <v>15</v>
      </c>
      <c r="G486" s="2" t="s">
        <v>44</v>
      </c>
      <c r="H486" s="2" t="s">
        <v>307</v>
      </c>
      <c r="I486" s="2">
        <v>0.5</v>
      </c>
      <c r="J486" s="2" t="s">
        <v>2947</v>
      </c>
      <c r="K486" s="2" t="s">
        <v>2988</v>
      </c>
      <c r="L486" s="2" t="s">
        <v>2873</v>
      </c>
      <c r="M486" s="2">
        <v>103</v>
      </c>
      <c r="N486" s="2">
        <v>31</v>
      </c>
      <c r="O486" s="2" t="s">
        <v>3263</v>
      </c>
    </row>
    <row r="487" spans="1:15">
      <c r="A487" s="2" t="s">
        <v>304</v>
      </c>
      <c r="B487" s="2" t="s">
        <v>305</v>
      </c>
      <c r="C487" s="2" t="s">
        <v>76</v>
      </c>
      <c r="D487" s="2" t="s">
        <v>2882</v>
      </c>
      <c r="E487" s="2" t="s">
        <v>19</v>
      </c>
      <c r="F487" s="2" t="s">
        <v>15</v>
      </c>
      <c r="G487" s="2" t="s">
        <v>44</v>
      </c>
      <c r="H487" s="2" t="s">
        <v>307</v>
      </c>
      <c r="I487" s="2">
        <v>0.5</v>
      </c>
      <c r="J487" s="2" t="s">
        <v>2947</v>
      </c>
      <c r="K487" s="2" t="s">
        <v>2948</v>
      </c>
      <c r="L487" s="2" t="s">
        <v>2873</v>
      </c>
      <c r="M487" s="2">
        <v>110</v>
      </c>
      <c r="N487" s="2">
        <v>6</v>
      </c>
      <c r="O487" s="2" t="s">
        <v>3008</v>
      </c>
    </row>
    <row r="488" spans="1:15">
      <c r="A488" s="2" t="s">
        <v>304</v>
      </c>
      <c r="B488" s="2" t="s">
        <v>305</v>
      </c>
      <c r="C488" s="2" t="s">
        <v>76</v>
      </c>
      <c r="D488" s="2" t="s">
        <v>2886</v>
      </c>
      <c r="E488" s="2" t="s">
        <v>23</v>
      </c>
      <c r="F488" s="2" t="s">
        <v>15</v>
      </c>
      <c r="G488" s="2" t="s">
        <v>44</v>
      </c>
      <c r="H488" s="2" t="s">
        <v>308</v>
      </c>
      <c r="I488" s="2">
        <v>0.5</v>
      </c>
      <c r="J488" s="2" t="s">
        <v>2947</v>
      </c>
      <c r="K488" s="2" t="s">
        <v>3264</v>
      </c>
      <c r="L488" s="2" t="s">
        <v>2916</v>
      </c>
      <c r="M488" s="2">
        <v>1027</v>
      </c>
      <c r="N488" s="2">
        <v>28</v>
      </c>
      <c r="O488" s="2" t="s">
        <v>3146</v>
      </c>
    </row>
    <row r="489" spans="1:15">
      <c r="A489" s="2" t="s">
        <v>304</v>
      </c>
      <c r="B489" s="2" t="s">
        <v>305</v>
      </c>
      <c r="C489" s="2" t="s">
        <v>76</v>
      </c>
      <c r="D489" s="2" t="s">
        <v>2886</v>
      </c>
      <c r="E489" s="2" t="s">
        <v>23</v>
      </c>
      <c r="F489" s="2" t="s">
        <v>15</v>
      </c>
      <c r="G489" s="2" t="s">
        <v>44</v>
      </c>
      <c r="H489" s="2" t="s">
        <v>308</v>
      </c>
      <c r="I489" s="2">
        <v>0.5</v>
      </c>
      <c r="J489" s="2" t="s">
        <v>2947</v>
      </c>
      <c r="K489" s="2" t="s">
        <v>2948</v>
      </c>
      <c r="L489" s="2" t="s">
        <v>2873</v>
      </c>
      <c r="M489" s="2">
        <v>110</v>
      </c>
      <c r="N489" s="2">
        <v>2</v>
      </c>
      <c r="O489" s="2" t="s">
        <v>3088</v>
      </c>
    </row>
    <row r="490" spans="1:15">
      <c r="A490" s="2" t="s">
        <v>304</v>
      </c>
      <c r="B490" s="2" t="s">
        <v>305</v>
      </c>
      <c r="C490" s="2" t="s">
        <v>76</v>
      </c>
      <c r="D490" s="2" t="s">
        <v>2886</v>
      </c>
      <c r="E490" s="2" t="s">
        <v>23</v>
      </c>
      <c r="F490" s="2" t="s">
        <v>15</v>
      </c>
      <c r="G490" s="2" t="s">
        <v>44</v>
      </c>
      <c r="H490" s="2" t="s">
        <v>308</v>
      </c>
      <c r="I490" s="2">
        <v>0.5</v>
      </c>
      <c r="J490" s="2" t="s">
        <v>2947</v>
      </c>
      <c r="K490" s="2" t="s">
        <v>2988</v>
      </c>
      <c r="L490" s="2" t="s">
        <v>2873</v>
      </c>
      <c r="M490" s="2">
        <v>103</v>
      </c>
      <c r="N490" s="2">
        <v>31</v>
      </c>
      <c r="O490" s="2" t="s">
        <v>3263</v>
      </c>
    </row>
    <row r="491" spans="1:15">
      <c r="A491" s="2" t="s">
        <v>304</v>
      </c>
      <c r="B491" s="2" t="s">
        <v>305</v>
      </c>
      <c r="C491" s="2" t="s">
        <v>76</v>
      </c>
      <c r="D491" s="2" t="s">
        <v>2886</v>
      </c>
      <c r="E491" s="2" t="s">
        <v>23</v>
      </c>
      <c r="F491" s="2" t="s">
        <v>15</v>
      </c>
      <c r="G491" s="2" t="s">
        <v>44</v>
      </c>
      <c r="H491" s="2" t="s">
        <v>308</v>
      </c>
      <c r="I491" s="2">
        <v>0.5</v>
      </c>
      <c r="J491" s="2" t="s">
        <v>2871</v>
      </c>
      <c r="K491" s="2" t="s">
        <v>2954</v>
      </c>
      <c r="L491" s="2" t="s">
        <v>2873</v>
      </c>
      <c r="M491" s="2">
        <v>220</v>
      </c>
      <c r="N491" s="2">
        <v>2</v>
      </c>
      <c r="O491" s="2" t="s">
        <v>2987</v>
      </c>
    </row>
    <row r="492" spans="1:15">
      <c r="A492" s="2" t="s">
        <v>304</v>
      </c>
      <c r="B492" s="2" t="s">
        <v>305</v>
      </c>
      <c r="C492" s="2" t="s">
        <v>76</v>
      </c>
      <c r="D492" s="2" t="s">
        <v>2886</v>
      </c>
      <c r="E492" s="2" t="s">
        <v>23</v>
      </c>
      <c r="F492" s="2" t="s">
        <v>15</v>
      </c>
      <c r="G492" s="2" t="s">
        <v>44</v>
      </c>
      <c r="H492" s="2" t="s">
        <v>308</v>
      </c>
      <c r="I492" s="2">
        <v>0.5</v>
      </c>
      <c r="J492" s="2" t="s">
        <v>2871</v>
      </c>
      <c r="K492" s="2" t="s">
        <v>2956</v>
      </c>
      <c r="L492" s="2" t="s">
        <v>2873</v>
      </c>
      <c r="M492" s="2">
        <v>298</v>
      </c>
      <c r="N492" s="2">
        <v>3</v>
      </c>
      <c r="O492" s="2" t="s">
        <v>3262</v>
      </c>
    </row>
    <row r="493" spans="1:15">
      <c r="A493" s="2" t="s">
        <v>304</v>
      </c>
      <c r="B493" s="2" t="s">
        <v>305</v>
      </c>
      <c r="C493" s="2" t="s">
        <v>76</v>
      </c>
      <c r="D493" s="2" t="s">
        <v>2886</v>
      </c>
      <c r="E493" s="2" t="s">
        <v>23</v>
      </c>
      <c r="F493" s="2" t="s">
        <v>15</v>
      </c>
      <c r="G493" s="2" t="s">
        <v>44</v>
      </c>
      <c r="H493" s="2" t="s">
        <v>308</v>
      </c>
      <c r="I493" s="2">
        <v>0.5</v>
      </c>
      <c r="J493" s="2" t="s">
        <v>2871</v>
      </c>
      <c r="K493" s="2" t="s">
        <v>2958</v>
      </c>
      <c r="L493" s="2" t="s">
        <v>2873</v>
      </c>
      <c r="M493" s="2">
        <v>154</v>
      </c>
      <c r="N493" s="2">
        <v>1</v>
      </c>
      <c r="O493" s="2" t="s">
        <v>3096</v>
      </c>
    </row>
    <row r="494" spans="1:15">
      <c r="A494" s="2" t="s">
        <v>304</v>
      </c>
      <c r="B494" s="2" t="s">
        <v>305</v>
      </c>
      <c r="C494" s="2" t="s">
        <v>76</v>
      </c>
      <c r="D494" s="2" t="s">
        <v>2896</v>
      </c>
      <c r="E494" s="2" t="s">
        <v>26</v>
      </c>
      <c r="F494" s="2" t="s">
        <v>15</v>
      </c>
      <c r="G494" s="2" t="s">
        <v>20</v>
      </c>
      <c r="H494" s="2" t="s">
        <v>309</v>
      </c>
      <c r="I494" s="2">
        <v>1</v>
      </c>
      <c r="J494" s="2" t="s">
        <v>2871</v>
      </c>
      <c r="K494" s="2" t="s">
        <v>2950</v>
      </c>
      <c r="L494" s="2" t="s">
        <v>2873</v>
      </c>
      <c r="M494" s="2">
        <v>88</v>
      </c>
      <c r="N494" s="2">
        <v>100</v>
      </c>
      <c r="O494" s="2" t="s">
        <v>3265</v>
      </c>
    </row>
    <row r="495" spans="1:15">
      <c r="A495" s="2" t="s">
        <v>304</v>
      </c>
      <c r="B495" s="2" t="s">
        <v>305</v>
      </c>
      <c r="C495" s="2" t="s">
        <v>76</v>
      </c>
      <c r="D495" s="2" t="s">
        <v>2896</v>
      </c>
      <c r="E495" s="2" t="s">
        <v>26</v>
      </c>
      <c r="F495" s="2" t="s">
        <v>15</v>
      </c>
      <c r="G495" s="2" t="s">
        <v>20</v>
      </c>
      <c r="H495" s="2" t="s">
        <v>309</v>
      </c>
      <c r="I495" s="2">
        <v>1</v>
      </c>
      <c r="J495" s="2" t="s">
        <v>2871</v>
      </c>
      <c r="K495" s="2" t="s">
        <v>2956</v>
      </c>
      <c r="L495" s="2" t="s">
        <v>2873</v>
      </c>
      <c r="M495" s="2">
        <v>298</v>
      </c>
      <c r="N495" s="2">
        <v>2</v>
      </c>
      <c r="O495" s="2" t="s">
        <v>3266</v>
      </c>
    </row>
    <row r="496" spans="1:15">
      <c r="A496" s="2" t="s">
        <v>304</v>
      </c>
      <c r="B496" s="2" t="s">
        <v>305</v>
      </c>
      <c r="C496" s="2" t="s">
        <v>76</v>
      </c>
      <c r="D496" s="2" t="s">
        <v>2896</v>
      </c>
      <c r="E496" s="2" t="s">
        <v>26</v>
      </c>
      <c r="F496" s="2" t="s">
        <v>15</v>
      </c>
      <c r="G496" s="2" t="s">
        <v>20</v>
      </c>
      <c r="H496" s="2" t="s">
        <v>309</v>
      </c>
      <c r="I496" s="2">
        <v>1</v>
      </c>
      <c r="J496" s="2" t="s">
        <v>2871</v>
      </c>
      <c r="K496" s="2" t="s">
        <v>3061</v>
      </c>
      <c r="L496" s="2" t="s">
        <v>2873</v>
      </c>
      <c r="M496" s="2">
        <v>66</v>
      </c>
      <c r="N496" s="2">
        <v>2</v>
      </c>
      <c r="O496" s="2" t="s">
        <v>3227</v>
      </c>
    </row>
    <row r="497" spans="1:15">
      <c r="A497" s="2" t="s">
        <v>304</v>
      </c>
      <c r="B497" s="2" t="s">
        <v>305</v>
      </c>
      <c r="C497" s="2" t="s">
        <v>76</v>
      </c>
      <c r="D497" s="2" t="s">
        <v>2896</v>
      </c>
      <c r="E497" s="2" t="s">
        <v>26</v>
      </c>
      <c r="F497" s="2" t="s">
        <v>15</v>
      </c>
      <c r="G497" s="2" t="s">
        <v>20</v>
      </c>
      <c r="H497" s="2" t="s">
        <v>309</v>
      </c>
      <c r="I497" s="2">
        <v>1</v>
      </c>
      <c r="J497" s="2" t="s">
        <v>2871</v>
      </c>
      <c r="K497" s="2" t="s">
        <v>2958</v>
      </c>
      <c r="L497" s="2" t="s">
        <v>2873</v>
      </c>
      <c r="M497" s="2">
        <v>154</v>
      </c>
      <c r="N497" s="2">
        <v>1</v>
      </c>
      <c r="O497" s="2" t="s">
        <v>3096</v>
      </c>
    </row>
    <row r="498" spans="1:15">
      <c r="A498" s="2" t="s">
        <v>304</v>
      </c>
      <c r="B498" s="2" t="s">
        <v>305</v>
      </c>
      <c r="C498" s="2" t="s">
        <v>76</v>
      </c>
      <c r="D498" s="2" t="s">
        <v>2896</v>
      </c>
      <c r="E498" s="2" t="s">
        <v>26</v>
      </c>
      <c r="F498" s="2" t="s">
        <v>15</v>
      </c>
      <c r="G498" s="2" t="s">
        <v>20</v>
      </c>
      <c r="H498" s="2" t="s">
        <v>309</v>
      </c>
      <c r="I498" s="2">
        <v>1</v>
      </c>
      <c r="J498" s="2" t="s">
        <v>2947</v>
      </c>
      <c r="K498" s="2" t="s">
        <v>2988</v>
      </c>
      <c r="L498" s="2" t="s">
        <v>2873</v>
      </c>
      <c r="M498" s="2">
        <v>103</v>
      </c>
      <c r="N498" s="2">
        <v>19</v>
      </c>
      <c r="O498" s="2" t="s">
        <v>3267</v>
      </c>
    </row>
    <row r="499" spans="1:15">
      <c r="A499" s="2" t="s">
        <v>304</v>
      </c>
      <c r="B499" s="2" t="s">
        <v>305</v>
      </c>
      <c r="C499" s="2" t="s">
        <v>76</v>
      </c>
      <c r="D499" s="2" t="s">
        <v>2896</v>
      </c>
      <c r="E499" s="2" t="s">
        <v>26</v>
      </c>
      <c r="F499" s="2" t="s">
        <v>15</v>
      </c>
      <c r="G499" s="2" t="s">
        <v>20</v>
      </c>
      <c r="H499" s="2" t="s">
        <v>309</v>
      </c>
      <c r="I499" s="2">
        <v>1</v>
      </c>
      <c r="J499" s="2" t="s">
        <v>2947</v>
      </c>
      <c r="K499" s="2" t="s">
        <v>3264</v>
      </c>
      <c r="L499" s="2" t="s">
        <v>2916</v>
      </c>
      <c r="M499" s="2">
        <v>1027</v>
      </c>
      <c r="N499" s="2">
        <v>108</v>
      </c>
      <c r="O499" s="2" t="s">
        <v>3268</v>
      </c>
    </row>
    <row r="500" spans="1:15">
      <c r="A500" s="2" t="s">
        <v>304</v>
      </c>
      <c r="B500" s="2" t="s">
        <v>305</v>
      </c>
      <c r="C500" s="2" t="s">
        <v>76</v>
      </c>
      <c r="D500" s="2" t="s">
        <v>2901</v>
      </c>
      <c r="E500" s="2" t="s">
        <v>29</v>
      </c>
      <c r="F500" s="2" t="s">
        <v>15</v>
      </c>
      <c r="G500" s="2" t="s">
        <v>44</v>
      </c>
      <c r="H500" s="2" t="s">
        <v>310</v>
      </c>
      <c r="I500" s="2">
        <v>0.83</v>
      </c>
      <c r="J500" s="2" t="s">
        <v>2871</v>
      </c>
      <c r="K500" s="2" t="s">
        <v>2954</v>
      </c>
      <c r="L500" s="2" t="s">
        <v>2873</v>
      </c>
      <c r="M500" s="2">
        <v>220</v>
      </c>
      <c r="N500" s="2">
        <v>1</v>
      </c>
      <c r="O500" s="2" t="s">
        <v>3164</v>
      </c>
    </row>
    <row r="501" spans="1:15">
      <c r="A501" s="2" t="s">
        <v>304</v>
      </c>
      <c r="B501" s="2" t="s">
        <v>305</v>
      </c>
      <c r="C501" s="2" t="s">
        <v>76</v>
      </c>
      <c r="D501" s="2" t="s">
        <v>2901</v>
      </c>
      <c r="E501" s="2" t="s">
        <v>29</v>
      </c>
      <c r="F501" s="2" t="s">
        <v>15</v>
      </c>
      <c r="G501" s="2" t="s">
        <v>44</v>
      </c>
      <c r="H501" s="2" t="s">
        <v>310</v>
      </c>
      <c r="I501" s="2">
        <v>0.83</v>
      </c>
      <c r="J501" s="2" t="s">
        <v>2871</v>
      </c>
      <c r="K501" s="2" t="s">
        <v>2956</v>
      </c>
      <c r="L501" s="2" t="s">
        <v>2873</v>
      </c>
      <c r="M501" s="2">
        <v>298</v>
      </c>
      <c r="N501" s="2">
        <v>1</v>
      </c>
      <c r="O501" s="2" t="s">
        <v>3269</v>
      </c>
    </row>
    <row r="502" spans="1:15">
      <c r="A502" s="2" t="s">
        <v>304</v>
      </c>
      <c r="B502" s="2" t="s">
        <v>305</v>
      </c>
      <c r="C502" s="2" t="s">
        <v>76</v>
      </c>
      <c r="D502" s="2" t="s">
        <v>2901</v>
      </c>
      <c r="E502" s="2" t="s">
        <v>29</v>
      </c>
      <c r="F502" s="2" t="s">
        <v>15</v>
      </c>
      <c r="G502" s="2" t="s">
        <v>44</v>
      </c>
      <c r="H502" s="2" t="s">
        <v>310</v>
      </c>
      <c r="I502" s="2">
        <v>0.83</v>
      </c>
      <c r="J502" s="2" t="s">
        <v>2947</v>
      </c>
      <c r="K502" s="2" t="s">
        <v>2988</v>
      </c>
      <c r="L502" s="2" t="s">
        <v>2873</v>
      </c>
      <c r="M502" s="2">
        <v>103</v>
      </c>
      <c r="N502" s="2">
        <v>73</v>
      </c>
      <c r="O502" s="2" t="s">
        <v>3270</v>
      </c>
    </row>
    <row r="503" spans="1:15">
      <c r="A503" s="2" t="s">
        <v>304</v>
      </c>
      <c r="B503" s="2" t="s">
        <v>305</v>
      </c>
      <c r="C503" s="2" t="s">
        <v>76</v>
      </c>
      <c r="D503" s="2" t="s">
        <v>2901</v>
      </c>
      <c r="E503" s="2" t="s">
        <v>29</v>
      </c>
      <c r="F503" s="2" t="s">
        <v>15</v>
      </c>
      <c r="G503" s="2" t="s">
        <v>44</v>
      </c>
      <c r="H503" s="2" t="s">
        <v>310</v>
      </c>
      <c r="I503" s="2">
        <v>0.83</v>
      </c>
      <c r="J503" s="2" t="s">
        <v>2947</v>
      </c>
      <c r="K503" s="2" t="s">
        <v>3264</v>
      </c>
      <c r="L503" s="2" t="s">
        <v>2916</v>
      </c>
      <c r="M503" s="2">
        <v>1027</v>
      </c>
      <c r="N503" s="2">
        <v>104</v>
      </c>
      <c r="O503" s="2" t="s">
        <v>3271</v>
      </c>
    </row>
    <row r="504" spans="1:15">
      <c r="A504" s="2" t="s">
        <v>304</v>
      </c>
      <c r="B504" s="2" t="s">
        <v>305</v>
      </c>
      <c r="C504" s="2" t="s">
        <v>76</v>
      </c>
      <c r="D504" s="2" t="s">
        <v>2901</v>
      </c>
      <c r="E504" s="2" t="s">
        <v>29</v>
      </c>
      <c r="F504" s="2" t="s">
        <v>15</v>
      </c>
      <c r="G504" s="2" t="s">
        <v>44</v>
      </c>
      <c r="H504" s="2" t="s">
        <v>310</v>
      </c>
      <c r="I504" s="2">
        <v>0.83</v>
      </c>
      <c r="J504" s="2" t="s">
        <v>2947</v>
      </c>
      <c r="K504" s="2" t="s">
        <v>2948</v>
      </c>
      <c r="L504" s="2" t="s">
        <v>2873</v>
      </c>
      <c r="M504" s="2">
        <v>110</v>
      </c>
      <c r="N504" s="2">
        <v>1</v>
      </c>
      <c r="O504" s="2" t="s">
        <v>2987</v>
      </c>
    </row>
    <row r="505" spans="1:15">
      <c r="A505" s="2" t="s">
        <v>304</v>
      </c>
      <c r="B505" s="2" t="s">
        <v>305</v>
      </c>
      <c r="C505" s="2" t="s">
        <v>76</v>
      </c>
      <c r="D505" s="2" t="s">
        <v>2901</v>
      </c>
      <c r="E505" s="2" t="s">
        <v>29</v>
      </c>
      <c r="F505" s="2" t="s">
        <v>15</v>
      </c>
      <c r="G505" s="2" t="s">
        <v>44</v>
      </c>
      <c r="H505" s="2" t="s">
        <v>310</v>
      </c>
      <c r="I505" s="2">
        <v>0.83</v>
      </c>
      <c r="J505" s="2" t="s">
        <v>2887</v>
      </c>
      <c r="K505" s="2" t="s">
        <v>2992</v>
      </c>
      <c r="L505" s="2" t="s">
        <v>2873</v>
      </c>
      <c r="M505" s="2">
        <v>220</v>
      </c>
      <c r="N505" s="2">
        <v>1</v>
      </c>
      <c r="O505" s="2" t="s">
        <v>3164</v>
      </c>
    </row>
    <row r="506" spans="1:15">
      <c r="A506" s="2" t="s">
        <v>304</v>
      </c>
      <c r="B506" s="2" t="s">
        <v>305</v>
      </c>
      <c r="C506" s="2" t="s">
        <v>76</v>
      </c>
      <c r="D506" s="2" t="s">
        <v>2904</v>
      </c>
      <c r="E506" s="2" t="s">
        <v>32</v>
      </c>
      <c r="F506" s="2" t="s">
        <v>33</v>
      </c>
      <c r="G506" s="2" t="s">
        <v>44</v>
      </c>
      <c r="H506" s="2" t="s">
        <v>311</v>
      </c>
      <c r="I506" s="2">
        <v>0.5</v>
      </c>
      <c r="J506" s="2" t="s">
        <v>2947</v>
      </c>
      <c r="K506" s="2" t="s">
        <v>2988</v>
      </c>
      <c r="L506" s="2" t="s">
        <v>2873</v>
      </c>
      <c r="M506" s="2">
        <v>103</v>
      </c>
      <c r="N506" s="2">
        <v>33</v>
      </c>
      <c r="O506" s="2" t="s">
        <v>3272</v>
      </c>
    </row>
    <row r="507" spans="1:15">
      <c r="A507" s="2" t="s">
        <v>312</v>
      </c>
      <c r="B507" s="2" t="s">
        <v>313</v>
      </c>
      <c r="C507" s="2" t="s">
        <v>76</v>
      </c>
      <c r="D507" s="2" t="s">
        <v>2870</v>
      </c>
      <c r="E507" s="2" t="s">
        <v>37</v>
      </c>
      <c r="F507" s="2" t="s">
        <v>15</v>
      </c>
      <c r="G507" s="2" t="s">
        <v>44</v>
      </c>
      <c r="H507" s="2" t="s">
        <v>314</v>
      </c>
      <c r="I507" s="2">
        <v>0.56000000000000005</v>
      </c>
      <c r="J507" s="2" t="s">
        <v>2947</v>
      </c>
      <c r="K507" s="2" t="s">
        <v>2948</v>
      </c>
      <c r="L507" s="2" t="s">
        <v>2873</v>
      </c>
      <c r="M507" s="2">
        <v>110</v>
      </c>
      <c r="N507" s="2">
        <v>38</v>
      </c>
      <c r="O507" s="2" t="s">
        <v>3273</v>
      </c>
    </row>
    <row r="508" spans="1:15">
      <c r="A508" s="2" t="s">
        <v>312</v>
      </c>
      <c r="B508" s="2" t="s">
        <v>313</v>
      </c>
      <c r="C508" s="2" t="s">
        <v>76</v>
      </c>
      <c r="D508" s="2" t="s">
        <v>2870</v>
      </c>
      <c r="E508" s="2" t="s">
        <v>37</v>
      </c>
      <c r="F508" s="2" t="s">
        <v>15</v>
      </c>
      <c r="G508" s="2" t="s">
        <v>44</v>
      </c>
      <c r="H508" s="2" t="s">
        <v>314</v>
      </c>
      <c r="I508" s="2">
        <v>0.56000000000000005</v>
      </c>
      <c r="J508" s="2" t="s">
        <v>2871</v>
      </c>
      <c r="K508" s="2" t="s">
        <v>2950</v>
      </c>
      <c r="L508" s="2" t="s">
        <v>2873</v>
      </c>
      <c r="M508" s="2">
        <v>88</v>
      </c>
      <c r="N508" s="2">
        <v>12</v>
      </c>
      <c r="O508" s="2" t="s">
        <v>3274</v>
      </c>
    </row>
    <row r="509" spans="1:15">
      <c r="A509" s="2" t="s">
        <v>312</v>
      </c>
      <c r="B509" s="2" t="s">
        <v>313</v>
      </c>
      <c r="C509" s="2" t="s">
        <v>76</v>
      </c>
      <c r="D509" s="2" t="s">
        <v>2870</v>
      </c>
      <c r="E509" s="2" t="s">
        <v>37</v>
      </c>
      <c r="F509" s="2" t="s">
        <v>15</v>
      </c>
      <c r="G509" s="2" t="s">
        <v>44</v>
      </c>
      <c r="H509" s="2" t="s">
        <v>314</v>
      </c>
      <c r="I509" s="2">
        <v>0.56000000000000005</v>
      </c>
      <c r="J509" s="2" t="s">
        <v>2871</v>
      </c>
      <c r="K509" s="2" t="s">
        <v>2952</v>
      </c>
      <c r="L509" s="2" t="s">
        <v>2873</v>
      </c>
      <c r="M509" s="2">
        <v>257</v>
      </c>
      <c r="N509" s="2">
        <v>7</v>
      </c>
      <c r="O509" s="2" t="s">
        <v>2967</v>
      </c>
    </row>
    <row r="510" spans="1:15">
      <c r="A510" s="2" t="s">
        <v>312</v>
      </c>
      <c r="B510" s="2" t="s">
        <v>313</v>
      </c>
      <c r="C510" s="2" t="s">
        <v>76</v>
      </c>
      <c r="D510" s="2" t="s">
        <v>2870</v>
      </c>
      <c r="E510" s="2" t="s">
        <v>37</v>
      </c>
      <c r="F510" s="2" t="s">
        <v>15</v>
      </c>
      <c r="G510" s="2" t="s">
        <v>44</v>
      </c>
      <c r="H510" s="2" t="s">
        <v>314</v>
      </c>
      <c r="I510" s="2">
        <v>0.56000000000000005</v>
      </c>
      <c r="J510" s="2" t="s">
        <v>2871</v>
      </c>
      <c r="K510" s="2" t="s">
        <v>2954</v>
      </c>
      <c r="L510" s="2" t="s">
        <v>2873</v>
      </c>
      <c r="M510" s="2">
        <v>220</v>
      </c>
      <c r="N510" s="2">
        <v>11</v>
      </c>
      <c r="O510" s="2" t="s">
        <v>3049</v>
      </c>
    </row>
    <row r="511" spans="1:15">
      <c r="A511" s="2" t="s">
        <v>312</v>
      </c>
      <c r="B511" s="2" t="s">
        <v>313</v>
      </c>
      <c r="C511" s="2" t="s">
        <v>76</v>
      </c>
      <c r="D511" s="2" t="s">
        <v>2882</v>
      </c>
      <c r="E511" s="2" t="s">
        <v>39</v>
      </c>
      <c r="F511" s="2" t="s">
        <v>15</v>
      </c>
      <c r="G511" s="2" t="s">
        <v>16</v>
      </c>
      <c r="H511" s="2" t="s">
        <v>315</v>
      </c>
      <c r="I511" s="2">
        <v>1.01</v>
      </c>
      <c r="J511" s="2" t="s">
        <v>2871</v>
      </c>
      <c r="K511" s="2" t="s">
        <v>2954</v>
      </c>
      <c r="L511" s="2" t="s">
        <v>2873</v>
      </c>
      <c r="M511" s="2">
        <v>220</v>
      </c>
      <c r="N511" s="2">
        <v>63</v>
      </c>
      <c r="O511" s="2" t="s">
        <v>3275</v>
      </c>
    </row>
    <row r="512" spans="1:15">
      <c r="A512" s="2" t="s">
        <v>312</v>
      </c>
      <c r="B512" s="2" t="s">
        <v>313</v>
      </c>
      <c r="C512" s="2" t="s">
        <v>76</v>
      </c>
      <c r="D512" s="2" t="s">
        <v>2882</v>
      </c>
      <c r="E512" s="2" t="s">
        <v>39</v>
      </c>
      <c r="F512" s="2" t="s">
        <v>15</v>
      </c>
      <c r="G512" s="2" t="s">
        <v>16</v>
      </c>
      <c r="H512" s="2" t="s">
        <v>315</v>
      </c>
      <c r="I512" s="2">
        <v>1.01</v>
      </c>
      <c r="J512" s="2" t="s">
        <v>2871</v>
      </c>
      <c r="K512" s="2" t="s">
        <v>2952</v>
      </c>
      <c r="L512" s="2" t="s">
        <v>2873</v>
      </c>
      <c r="M512" s="2">
        <v>257</v>
      </c>
      <c r="N512" s="2">
        <v>110</v>
      </c>
      <c r="O512" s="2" t="s">
        <v>3276</v>
      </c>
    </row>
    <row r="513" spans="1:15">
      <c r="A513" s="2" t="s">
        <v>312</v>
      </c>
      <c r="B513" s="2" t="s">
        <v>313</v>
      </c>
      <c r="C513" s="2" t="s">
        <v>76</v>
      </c>
      <c r="D513" s="2" t="s">
        <v>2882</v>
      </c>
      <c r="E513" s="2" t="s">
        <v>39</v>
      </c>
      <c r="F513" s="2" t="s">
        <v>15</v>
      </c>
      <c r="G513" s="2" t="s">
        <v>16</v>
      </c>
      <c r="H513" s="2" t="s">
        <v>315</v>
      </c>
      <c r="I513" s="2">
        <v>1.01</v>
      </c>
      <c r="J513" s="2" t="s">
        <v>2871</v>
      </c>
      <c r="K513" s="2" t="s">
        <v>2950</v>
      </c>
      <c r="L513" s="2" t="s">
        <v>2873</v>
      </c>
      <c r="M513" s="2">
        <v>88</v>
      </c>
      <c r="N513" s="2">
        <v>112</v>
      </c>
      <c r="O513" s="2" t="s">
        <v>3277</v>
      </c>
    </row>
    <row r="514" spans="1:15">
      <c r="A514" s="2" t="s">
        <v>312</v>
      </c>
      <c r="B514" s="2" t="s">
        <v>313</v>
      </c>
      <c r="C514" s="2" t="s">
        <v>76</v>
      </c>
      <c r="D514" s="2" t="s">
        <v>2882</v>
      </c>
      <c r="E514" s="2" t="s">
        <v>39</v>
      </c>
      <c r="F514" s="2" t="s">
        <v>15</v>
      </c>
      <c r="G514" s="2" t="s">
        <v>16</v>
      </c>
      <c r="H514" s="2" t="s">
        <v>315</v>
      </c>
      <c r="I514" s="2">
        <v>1.01</v>
      </c>
      <c r="J514" s="2" t="s">
        <v>2947</v>
      </c>
      <c r="K514" s="2" t="s">
        <v>2948</v>
      </c>
      <c r="L514" s="2" t="s">
        <v>2873</v>
      </c>
      <c r="M514" s="2">
        <v>110</v>
      </c>
      <c r="N514" s="2">
        <v>3</v>
      </c>
      <c r="O514" s="2" t="s">
        <v>3146</v>
      </c>
    </row>
    <row r="515" spans="1:15">
      <c r="A515" s="2" t="s">
        <v>312</v>
      </c>
      <c r="B515" s="2" t="s">
        <v>313</v>
      </c>
      <c r="C515" s="2" t="s">
        <v>76</v>
      </c>
      <c r="D515" s="2" t="s">
        <v>2886</v>
      </c>
      <c r="E515" s="2" t="s">
        <v>41</v>
      </c>
      <c r="F515" s="2" t="s">
        <v>15</v>
      </c>
      <c r="G515" s="2" t="s">
        <v>16</v>
      </c>
      <c r="H515" s="2" t="s">
        <v>316</v>
      </c>
      <c r="I515" s="2">
        <v>1.5</v>
      </c>
      <c r="J515" s="2" t="s">
        <v>2871</v>
      </c>
      <c r="K515" s="2" t="s">
        <v>2950</v>
      </c>
      <c r="L515" s="2" t="s">
        <v>2873</v>
      </c>
      <c r="M515" s="2">
        <v>88</v>
      </c>
      <c r="N515" s="2">
        <v>177</v>
      </c>
      <c r="O515" s="2" t="s">
        <v>3278</v>
      </c>
    </row>
    <row r="516" spans="1:15">
      <c r="A516" s="2" t="s">
        <v>312</v>
      </c>
      <c r="B516" s="2" t="s">
        <v>313</v>
      </c>
      <c r="C516" s="2" t="s">
        <v>76</v>
      </c>
      <c r="D516" s="2" t="s">
        <v>2886</v>
      </c>
      <c r="E516" s="2" t="s">
        <v>41</v>
      </c>
      <c r="F516" s="2" t="s">
        <v>15</v>
      </c>
      <c r="G516" s="2" t="s">
        <v>16</v>
      </c>
      <c r="H516" s="2" t="s">
        <v>316</v>
      </c>
      <c r="I516" s="2">
        <v>1.5</v>
      </c>
      <c r="J516" s="2" t="s">
        <v>2871</v>
      </c>
      <c r="K516" s="2" t="s">
        <v>2952</v>
      </c>
      <c r="L516" s="2" t="s">
        <v>2873</v>
      </c>
      <c r="M516" s="2">
        <v>257</v>
      </c>
      <c r="N516" s="2">
        <v>174</v>
      </c>
      <c r="O516" s="2" t="s">
        <v>3279</v>
      </c>
    </row>
    <row r="517" spans="1:15">
      <c r="A517" s="2" t="s">
        <v>312</v>
      </c>
      <c r="B517" s="2" t="s">
        <v>313</v>
      </c>
      <c r="C517" s="2" t="s">
        <v>76</v>
      </c>
      <c r="D517" s="2" t="s">
        <v>2886</v>
      </c>
      <c r="E517" s="2" t="s">
        <v>41</v>
      </c>
      <c r="F517" s="2" t="s">
        <v>15</v>
      </c>
      <c r="G517" s="2" t="s">
        <v>16</v>
      </c>
      <c r="H517" s="2" t="s">
        <v>316</v>
      </c>
      <c r="I517" s="2">
        <v>1.5</v>
      </c>
      <c r="J517" s="2" t="s">
        <v>2871</v>
      </c>
      <c r="K517" s="2" t="s">
        <v>2954</v>
      </c>
      <c r="L517" s="2" t="s">
        <v>2873</v>
      </c>
      <c r="M517" s="2">
        <v>220</v>
      </c>
      <c r="N517" s="2">
        <v>110</v>
      </c>
      <c r="O517" s="2" t="s">
        <v>3130</v>
      </c>
    </row>
    <row r="518" spans="1:15">
      <c r="A518" s="2" t="s">
        <v>312</v>
      </c>
      <c r="B518" s="2" t="s">
        <v>313</v>
      </c>
      <c r="C518" s="2" t="s">
        <v>76</v>
      </c>
      <c r="D518" s="2" t="s">
        <v>2886</v>
      </c>
      <c r="E518" s="2" t="s">
        <v>41</v>
      </c>
      <c r="F518" s="2" t="s">
        <v>15</v>
      </c>
      <c r="G518" s="2" t="s">
        <v>16</v>
      </c>
      <c r="H518" s="2" t="s">
        <v>316</v>
      </c>
      <c r="I518" s="2">
        <v>1.5</v>
      </c>
      <c r="J518" s="2" t="s">
        <v>2871</v>
      </c>
      <c r="K518" s="2" t="s">
        <v>2956</v>
      </c>
      <c r="L518" s="2" t="s">
        <v>2873</v>
      </c>
      <c r="M518" s="2">
        <v>298</v>
      </c>
      <c r="N518" s="2">
        <v>1</v>
      </c>
      <c r="O518" s="2" t="s">
        <v>3269</v>
      </c>
    </row>
    <row r="519" spans="1:15">
      <c r="A519" s="2" t="s">
        <v>312</v>
      </c>
      <c r="B519" s="2" t="s">
        <v>313</v>
      </c>
      <c r="C519" s="2" t="s">
        <v>76</v>
      </c>
      <c r="D519" s="2" t="s">
        <v>2886</v>
      </c>
      <c r="E519" s="2" t="s">
        <v>41</v>
      </c>
      <c r="F519" s="2" t="s">
        <v>15</v>
      </c>
      <c r="G519" s="2" t="s">
        <v>16</v>
      </c>
      <c r="H519" s="2" t="s">
        <v>316</v>
      </c>
      <c r="I519" s="2">
        <v>1.5</v>
      </c>
      <c r="J519" s="2" t="s">
        <v>2871</v>
      </c>
      <c r="K519" s="2" t="s">
        <v>2958</v>
      </c>
      <c r="L519" s="2" t="s">
        <v>2873</v>
      </c>
      <c r="M519" s="2">
        <v>154</v>
      </c>
      <c r="N519" s="2">
        <v>88</v>
      </c>
      <c r="O519" s="2" t="s">
        <v>2908</v>
      </c>
    </row>
    <row r="520" spans="1:15">
      <c r="A520" s="2" t="s">
        <v>312</v>
      </c>
      <c r="B520" s="2" t="s">
        <v>313</v>
      </c>
      <c r="C520" s="2" t="s">
        <v>76</v>
      </c>
      <c r="D520" s="2" t="s">
        <v>2896</v>
      </c>
      <c r="E520" s="2" t="s">
        <v>43</v>
      </c>
      <c r="F520" s="2" t="s">
        <v>33</v>
      </c>
      <c r="G520" s="2" t="s">
        <v>44</v>
      </c>
      <c r="H520" s="2" t="s">
        <v>317</v>
      </c>
      <c r="I520" s="2">
        <v>0.5</v>
      </c>
      <c r="J520" s="2" t="s">
        <v>2871</v>
      </c>
      <c r="K520" s="2" t="s">
        <v>2954</v>
      </c>
      <c r="L520" s="2" t="s">
        <v>2873</v>
      </c>
      <c r="M520" s="2">
        <v>220</v>
      </c>
      <c r="N520" s="2">
        <v>21</v>
      </c>
      <c r="O520" s="2" t="s">
        <v>3280</v>
      </c>
    </row>
    <row r="521" spans="1:15">
      <c r="A521" s="2" t="s">
        <v>312</v>
      </c>
      <c r="B521" s="2" t="s">
        <v>313</v>
      </c>
      <c r="C521" s="2" t="s">
        <v>76</v>
      </c>
      <c r="D521" s="2" t="s">
        <v>2896</v>
      </c>
      <c r="E521" s="2" t="s">
        <v>43</v>
      </c>
      <c r="F521" s="2" t="s">
        <v>33</v>
      </c>
      <c r="G521" s="2" t="s">
        <v>44</v>
      </c>
      <c r="H521" s="2" t="s">
        <v>317</v>
      </c>
      <c r="I521" s="2">
        <v>0.5</v>
      </c>
      <c r="J521" s="2" t="s">
        <v>2871</v>
      </c>
      <c r="K521" s="2" t="s">
        <v>2952</v>
      </c>
      <c r="L521" s="2" t="s">
        <v>2873</v>
      </c>
      <c r="M521" s="2">
        <v>257</v>
      </c>
      <c r="N521" s="2">
        <v>5</v>
      </c>
      <c r="O521" s="2" t="s">
        <v>3201</v>
      </c>
    </row>
    <row r="522" spans="1:15">
      <c r="A522" s="2" t="s">
        <v>312</v>
      </c>
      <c r="B522" s="2" t="s">
        <v>313</v>
      </c>
      <c r="C522" s="2" t="s">
        <v>76</v>
      </c>
      <c r="D522" s="2" t="s">
        <v>2896</v>
      </c>
      <c r="E522" s="2" t="s">
        <v>43</v>
      </c>
      <c r="F522" s="2" t="s">
        <v>33</v>
      </c>
      <c r="G522" s="2" t="s">
        <v>44</v>
      </c>
      <c r="H522" s="2" t="s">
        <v>317</v>
      </c>
      <c r="I522" s="2">
        <v>0.5</v>
      </c>
      <c r="J522" s="2" t="s">
        <v>2871</v>
      </c>
      <c r="K522" s="2" t="s">
        <v>2950</v>
      </c>
      <c r="L522" s="2" t="s">
        <v>2873</v>
      </c>
      <c r="M522" s="2">
        <v>88</v>
      </c>
      <c r="N522" s="2">
        <v>3</v>
      </c>
      <c r="O522" s="2" t="s">
        <v>3013</v>
      </c>
    </row>
    <row r="523" spans="1:15">
      <c r="A523" s="2" t="s">
        <v>318</v>
      </c>
      <c r="B523" s="2" t="s">
        <v>319</v>
      </c>
      <c r="C523" s="2" t="s">
        <v>48</v>
      </c>
      <c r="D523" s="2" t="s">
        <v>2870</v>
      </c>
      <c r="E523" s="2" t="s">
        <v>128</v>
      </c>
      <c r="F523" s="2" t="s">
        <v>15</v>
      </c>
      <c r="G523" s="2" t="s">
        <v>44</v>
      </c>
      <c r="H523" s="2" t="s">
        <v>45</v>
      </c>
      <c r="I523" s="2" t="s">
        <v>12</v>
      </c>
      <c r="J523" s="2" t="s">
        <v>12</v>
      </c>
      <c r="K523" s="2" t="s">
        <v>12</v>
      </c>
      <c r="L523" s="2" t="s">
        <v>12</v>
      </c>
      <c r="M523" s="2" t="s">
        <v>12</v>
      </c>
      <c r="N523" s="2" t="s">
        <v>12</v>
      </c>
      <c r="O523" s="2" t="s">
        <v>12</v>
      </c>
    </row>
    <row r="524" spans="1:15">
      <c r="A524" s="2" t="s">
        <v>318</v>
      </c>
      <c r="B524" s="2" t="s">
        <v>319</v>
      </c>
      <c r="C524" s="2" t="s">
        <v>48</v>
      </c>
      <c r="D524" s="2" t="s">
        <v>2882</v>
      </c>
      <c r="E524" s="2" t="s">
        <v>130</v>
      </c>
      <c r="F524" s="2" t="s">
        <v>15</v>
      </c>
      <c r="G524" s="2" t="s">
        <v>44</v>
      </c>
      <c r="H524" s="2" t="s">
        <v>45</v>
      </c>
      <c r="I524" s="2" t="s">
        <v>12</v>
      </c>
      <c r="J524" s="2" t="s">
        <v>12</v>
      </c>
      <c r="K524" s="2" t="s">
        <v>12</v>
      </c>
      <c r="L524" s="2" t="s">
        <v>12</v>
      </c>
      <c r="M524" s="2" t="s">
        <v>12</v>
      </c>
      <c r="N524" s="2" t="s">
        <v>12</v>
      </c>
      <c r="O524" s="2" t="s">
        <v>12</v>
      </c>
    </row>
    <row r="525" spans="1:15">
      <c r="A525" s="2" t="s">
        <v>318</v>
      </c>
      <c r="B525" s="2" t="s">
        <v>319</v>
      </c>
      <c r="C525" s="2" t="s">
        <v>48</v>
      </c>
      <c r="D525" s="2" t="s">
        <v>2886</v>
      </c>
      <c r="E525" s="2" t="s">
        <v>132</v>
      </c>
      <c r="F525" s="2" t="s">
        <v>33</v>
      </c>
      <c r="G525" s="2" t="s">
        <v>44</v>
      </c>
      <c r="H525" s="2" t="s">
        <v>45</v>
      </c>
      <c r="I525" s="2" t="s">
        <v>12</v>
      </c>
      <c r="J525" s="2" t="s">
        <v>12</v>
      </c>
      <c r="K525" s="2" t="s">
        <v>12</v>
      </c>
      <c r="L525" s="2" t="s">
        <v>12</v>
      </c>
      <c r="M525" s="2" t="s">
        <v>12</v>
      </c>
      <c r="N525" s="2" t="s">
        <v>12</v>
      </c>
      <c r="O525" s="2" t="s">
        <v>12</v>
      </c>
    </row>
    <row r="526" spans="1:15">
      <c r="A526" s="2" t="s">
        <v>320</v>
      </c>
      <c r="B526" s="2" t="s">
        <v>321</v>
      </c>
      <c r="C526" s="2" t="s">
        <v>76</v>
      </c>
      <c r="D526" s="2" t="s">
        <v>2870</v>
      </c>
      <c r="E526" s="2" t="s">
        <v>322</v>
      </c>
      <c r="F526" s="2" t="s">
        <v>15</v>
      </c>
      <c r="G526" s="2" t="s">
        <v>44</v>
      </c>
      <c r="H526" s="2" t="s">
        <v>323</v>
      </c>
      <c r="I526" s="2">
        <v>0.5</v>
      </c>
      <c r="J526" s="2" t="s">
        <v>2887</v>
      </c>
      <c r="K526" s="2" t="s">
        <v>2992</v>
      </c>
      <c r="L526" s="2" t="s">
        <v>2873</v>
      </c>
      <c r="M526" s="2">
        <v>220</v>
      </c>
      <c r="N526" s="2">
        <v>28</v>
      </c>
      <c r="O526" s="2" t="s">
        <v>3005</v>
      </c>
    </row>
    <row r="527" spans="1:15">
      <c r="A527" s="2" t="s">
        <v>320</v>
      </c>
      <c r="B527" s="2" t="s">
        <v>321</v>
      </c>
      <c r="C527" s="2" t="s">
        <v>76</v>
      </c>
      <c r="D527" s="2" t="s">
        <v>2882</v>
      </c>
      <c r="E527" s="2" t="s">
        <v>293</v>
      </c>
      <c r="F527" s="2" t="s">
        <v>15</v>
      </c>
      <c r="G527" s="2" t="s">
        <v>44</v>
      </c>
      <c r="H527" s="2" t="s">
        <v>324</v>
      </c>
      <c r="I527" s="2">
        <v>0.5</v>
      </c>
      <c r="J527" s="2" t="s">
        <v>2871</v>
      </c>
      <c r="K527" s="2" t="s">
        <v>2954</v>
      </c>
      <c r="L527" s="2" t="s">
        <v>2873</v>
      </c>
      <c r="M527" s="2">
        <v>220</v>
      </c>
      <c r="N527" s="2">
        <v>1</v>
      </c>
      <c r="O527" s="2" t="s">
        <v>3164</v>
      </c>
    </row>
    <row r="528" spans="1:15">
      <c r="A528" s="2" t="s">
        <v>320</v>
      </c>
      <c r="B528" s="2" t="s">
        <v>321</v>
      </c>
      <c r="C528" s="2" t="s">
        <v>76</v>
      </c>
      <c r="D528" s="2" t="s">
        <v>2882</v>
      </c>
      <c r="E528" s="2" t="s">
        <v>293</v>
      </c>
      <c r="F528" s="2" t="s">
        <v>15</v>
      </c>
      <c r="G528" s="2" t="s">
        <v>44</v>
      </c>
      <c r="H528" s="2" t="s">
        <v>324</v>
      </c>
      <c r="I528" s="2">
        <v>0.5</v>
      </c>
      <c r="J528" s="2" t="s">
        <v>2887</v>
      </c>
      <c r="K528" s="2" t="s">
        <v>2992</v>
      </c>
      <c r="L528" s="2" t="s">
        <v>2873</v>
      </c>
      <c r="M528" s="2">
        <v>220</v>
      </c>
      <c r="N528" s="2">
        <v>15</v>
      </c>
      <c r="O528" s="2" t="s">
        <v>2996</v>
      </c>
    </row>
    <row r="529" spans="1:15">
      <c r="A529" s="2" t="s">
        <v>320</v>
      </c>
      <c r="B529" s="2" t="s">
        <v>321</v>
      </c>
      <c r="C529" s="2" t="s">
        <v>76</v>
      </c>
      <c r="D529" s="2" t="s">
        <v>2886</v>
      </c>
      <c r="E529" s="2" t="s">
        <v>294</v>
      </c>
      <c r="F529" s="2" t="s">
        <v>33</v>
      </c>
      <c r="G529" s="2" t="s">
        <v>44</v>
      </c>
      <c r="H529" s="2" t="s">
        <v>325</v>
      </c>
      <c r="I529" s="2">
        <v>0.5</v>
      </c>
      <c r="J529" s="2" t="s">
        <v>2871</v>
      </c>
      <c r="K529" s="2" t="s">
        <v>2954</v>
      </c>
      <c r="L529" s="2" t="s">
        <v>2873</v>
      </c>
      <c r="M529" s="2">
        <v>220</v>
      </c>
      <c r="N529" s="2">
        <v>3</v>
      </c>
      <c r="O529" s="2" t="s">
        <v>2972</v>
      </c>
    </row>
    <row r="530" spans="1:15">
      <c r="A530" s="2" t="s">
        <v>320</v>
      </c>
      <c r="B530" s="2" t="s">
        <v>321</v>
      </c>
      <c r="C530" s="2" t="s">
        <v>76</v>
      </c>
      <c r="D530" s="2" t="s">
        <v>2886</v>
      </c>
      <c r="E530" s="2" t="s">
        <v>294</v>
      </c>
      <c r="F530" s="2" t="s">
        <v>33</v>
      </c>
      <c r="G530" s="2" t="s">
        <v>44</v>
      </c>
      <c r="H530" s="2" t="s">
        <v>325</v>
      </c>
      <c r="I530" s="2">
        <v>0.5</v>
      </c>
      <c r="J530" s="2" t="s">
        <v>2887</v>
      </c>
      <c r="K530" s="2" t="s">
        <v>2992</v>
      </c>
      <c r="L530" s="2" t="s">
        <v>2873</v>
      </c>
      <c r="M530" s="2">
        <v>220</v>
      </c>
      <c r="N530" s="2">
        <v>24</v>
      </c>
      <c r="O530" s="2" t="s">
        <v>3281</v>
      </c>
    </row>
    <row r="531" spans="1:15">
      <c r="A531" s="2" t="s">
        <v>326</v>
      </c>
      <c r="B531" s="2" t="s">
        <v>327</v>
      </c>
      <c r="C531" s="2" t="s">
        <v>76</v>
      </c>
      <c r="D531" s="2" t="s">
        <v>2870</v>
      </c>
      <c r="E531" s="2" t="s">
        <v>26</v>
      </c>
      <c r="F531" s="2" t="s">
        <v>15</v>
      </c>
      <c r="G531" s="2" t="s">
        <v>44</v>
      </c>
      <c r="H531" s="2" t="s">
        <v>45</v>
      </c>
      <c r="I531" s="2" t="s">
        <v>12</v>
      </c>
      <c r="J531" s="2" t="s">
        <v>12</v>
      </c>
      <c r="K531" s="2" t="s">
        <v>12</v>
      </c>
      <c r="L531" s="2" t="s">
        <v>12</v>
      </c>
      <c r="M531" s="2" t="s">
        <v>12</v>
      </c>
      <c r="N531" s="2" t="s">
        <v>12</v>
      </c>
      <c r="O531" s="2" t="s">
        <v>12</v>
      </c>
    </row>
    <row r="532" spans="1:15">
      <c r="A532" s="2" t="s">
        <v>326</v>
      </c>
      <c r="B532" s="2" t="s">
        <v>327</v>
      </c>
      <c r="C532" s="2" t="s">
        <v>76</v>
      </c>
      <c r="D532" s="2" t="s">
        <v>2882</v>
      </c>
      <c r="E532" s="2" t="s">
        <v>29</v>
      </c>
      <c r="F532" s="2" t="s">
        <v>15</v>
      </c>
      <c r="G532" s="2" t="s">
        <v>44</v>
      </c>
      <c r="H532" s="2" t="s">
        <v>45</v>
      </c>
      <c r="I532" s="2" t="s">
        <v>12</v>
      </c>
      <c r="J532" s="2" t="s">
        <v>12</v>
      </c>
      <c r="K532" s="2" t="s">
        <v>12</v>
      </c>
      <c r="L532" s="2" t="s">
        <v>12</v>
      </c>
      <c r="M532" s="2" t="s">
        <v>12</v>
      </c>
      <c r="N532" s="2" t="s">
        <v>12</v>
      </c>
      <c r="O532" s="2" t="s">
        <v>12</v>
      </c>
    </row>
    <row r="533" spans="1:15">
      <c r="A533" s="2" t="s">
        <v>326</v>
      </c>
      <c r="B533" s="2" t="s">
        <v>327</v>
      </c>
      <c r="C533" s="2" t="s">
        <v>76</v>
      </c>
      <c r="D533" s="2" t="s">
        <v>2886</v>
      </c>
      <c r="E533" s="2" t="s">
        <v>32</v>
      </c>
      <c r="F533" s="2" t="s">
        <v>33</v>
      </c>
      <c r="G533" s="2" t="s">
        <v>44</v>
      </c>
      <c r="H533" s="2" t="s">
        <v>45</v>
      </c>
      <c r="I533" s="2" t="s">
        <v>12</v>
      </c>
      <c r="J533" s="2" t="s">
        <v>12</v>
      </c>
      <c r="K533" s="2" t="s">
        <v>12</v>
      </c>
      <c r="L533" s="2" t="s">
        <v>12</v>
      </c>
      <c r="M533" s="2" t="s">
        <v>12</v>
      </c>
      <c r="N533" s="2" t="s">
        <v>12</v>
      </c>
      <c r="O533" s="2" t="s">
        <v>12</v>
      </c>
    </row>
    <row r="534" spans="1:15">
      <c r="A534" s="2" t="s">
        <v>328</v>
      </c>
      <c r="B534" s="2" t="s">
        <v>329</v>
      </c>
      <c r="C534" s="2" t="s">
        <v>76</v>
      </c>
      <c r="D534" s="2" t="s">
        <v>2870</v>
      </c>
      <c r="E534" s="2" t="s">
        <v>26</v>
      </c>
      <c r="F534" s="2" t="s">
        <v>15</v>
      </c>
      <c r="G534" s="2" t="s">
        <v>44</v>
      </c>
      <c r="H534" s="2" t="s">
        <v>45</v>
      </c>
      <c r="I534" s="2" t="s">
        <v>12</v>
      </c>
      <c r="J534" s="2" t="s">
        <v>12</v>
      </c>
      <c r="K534" s="2" t="s">
        <v>12</v>
      </c>
      <c r="L534" s="2" t="s">
        <v>12</v>
      </c>
      <c r="M534" s="2" t="s">
        <v>12</v>
      </c>
      <c r="N534" s="2" t="s">
        <v>12</v>
      </c>
      <c r="O534" s="2" t="s">
        <v>12</v>
      </c>
    </row>
    <row r="535" spans="1:15">
      <c r="A535" s="2" t="s">
        <v>328</v>
      </c>
      <c r="B535" s="2" t="s">
        <v>329</v>
      </c>
      <c r="C535" s="2" t="s">
        <v>76</v>
      </c>
      <c r="D535" s="2" t="s">
        <v>2882</v>
      </c>
      <c r="E535" s="2" t="s">
        <v>29</v>
      </c>
      <c r="F535" s="2" t="s">
        <v>15</v>
      </c>
      <c r="G535" s="2" t="s">
        <v>44</v>
      </c>
      <c r="H535" s="2" t="s">
        <v>45</v>
      </c>
      <c r="I535" s="2" t="s">
        <v>12</v>
      </c>
      <c r="J535" s="2" t="s">
        <v>12</v>
      </c>
      <c r="K535" s="2" t="s">
        <v>12</v>
      </c>
      <c r="L535" s="2" t="s">
        <v>12</v>
      </c>
      <c r="M535" s="2" t="s">
        <v>12</v>
      </c>
      <c r="N535" s="2" t="s">
        <v>12</v>
      </c>
      <c r="O535" s="2" t="s">
        <v>12</v>
      </c>
    </row>
    <row r="536" spans="1:15">
      <c r="A536" s="2" t="s">
        <v>328</v>
      </c>
      <c r="B536" s="2" t="s">
        <v>329</v>
      </c>
      <c r="C536" s="2" t="s">
        <v>76</v>
      </c>
      <c r="D536" s="2" t="s">
        <v>2886</v>
      </c>
      <c r="E536" s="2" t="s">
        <v>32</v>
      </c>
      <c r="F536" s="2" t="s">
        <v>33</v>
      </c>
      <c r="G536" s="2" t="s">
        <v>44</v>
      </c>
      <c r="H536" s="2" t="s">
        <v>45</v>
      </c>
      <c r="I536" s="2" t="s">
        <v>12</v>
      </c>
      <c r="J536" s="2" t="s">
        <v>12</v>
      </c>
      <c r="K536" s="2" t="s">
        <v>12</v>
      </c>
      <c r="L536" s="2" t="s">
        <v>12</v>
      </c>
      <c r="M536" s="2" t="s">
        <v>12</v>
      </c>
      <c r="N536" s="2" t="s">
        <v>12</v>
      </c>
      <c r="O536" s="2" t="s">
        <v>12</v>
      </c>
    </row>
    <row r="537" spans="1:15">
      <c r="A537" s="2" t="s">
        <v>330</v>
      </c>
      <c r="B537" s="2" t="s">
        <v>331</v>
      </c>
      <c r="C537" s="2" t="s">
        <v>76</v>
      </c>
      <c r="D537" s="2" t="s">
        <v>2870</v>
      </c>
      <c r="E537" s="2" t="s">
        <v>332</v>
      </c>
      <c r="F537" s="2" t="s">
        <v>15</v>
      </c>
      <c r="G537" s="2" t="s">
        <v>44</v>
      </c>
      <c r="H537" s="2" t="s">
        <v>333</v>
      </c>
      <c r="I537" s="2">
        <v>0.5</v>
      </c>
      <c r="J537" s="2" t="s">
        <v>2871</v>
      </c>
      <c r="K537" s="2" t="s">
        <v>3282</v>
      </c>
      <c r="L537" s="2" t="s">
        <v>2916</v>
      </c>
      <c r="M537" s="2">
        <v>220</v>
      </c>
      <c r="N537" s="2">
        <v>19</v>
      </c>
      <c r="O537" s="2" t="s">
        <v>3162</v>
      </c>
    </row>
    <row r="538" spans="1:15">
      <c r="A538" s="2" t="s">
        <v>330</v>
      </c>
      <c r="B538" s="2" t="s">
        <v>331</v>
      </c>
      <c r="C538" s="2" t="s">
        <v>76</v>
      </c>
      <c r="D538" s="2" t="s">
        <v>2882</v>
      </c>
      <c r="E538" s="2" t="s">
        <v>334</v>
      </c>
      <c r="F538" s="2" t="s">
        <v>15</v>
      </c>
      <c r="G538" s="2" t="s">
        <v>44</v>
      </c>
      <c r="H538" s="2" t="s">
        <v>335</v>
      </c>
      <c r="I538" s="2">
        <v>0.5</v>
      </c>
      <c r="J538" s="2" t="s">
        <v>2871</v>
      </c>
      <c r="K538" s="2" t="s">
        <v>3282</v>
      </c>
      <c r="L538" s="2" t="s">
        <v>2916</v>
      </c>
      <c r="M538" s="2">
        <v>220</v>
      </c>
      <c r="N538" s="2">
        <v>22</v>
      </c>
      <c r="O538" s="2" t="s">
        <v>3283</v>
      </c>
    </row>
    <row r="539" spans="1:15">
      <c r="A539" s="2" t="s">
        <v>330</v>
      </c>
      <c r="B539" s="2" t="s">
        <v>331</v>
      </c>
      <c r="C539" s="2" t="s">
        <v>76</v>
      </c>
      <c r="D539" s="2" t="s">
        <v>2886</v>
      </c>
      <c r="E539" s="2" t="s">
        <v>336</v>
      </c>
      <c r="F539" s="2" t="s">
        <v>15</v>
      </c>
      <c r="G539" s="2" t="s">
        <v>44</v>
      </c>
      <c r="H539" s="2" t="s">
        <v>45</v>
      </c>
      <c r="I539" s="2" t="s">
        <v>12</v>
      </c>
      <c r="J539" s="2" t="s">
        <v>12</v>
      </c>
      <c r="K539" s="2" t="s">
        <v>12</v>
      </c>
      <c r="L539" s="2" t="s">
        <v>12</v>
      </c>
      <c r="M539" s="2" t="s">
        <v>12</v>
      </c>
      <c r="N539" s="2" t="s">
        <v>12</v>
      </c>
      <c r="O539" s="2" t="s">
        <v>12</v>
      </c>
    </row>
    <row r="540" spans="1:15">
      <c r="A540" s="2" t="s">
        <v>330</v>
      </c>
      <c r="B540" s="2" t="s">
        <v>331</v>
      </c>
      <c r="C540" s="2" t="s">
        <v>76</v>
      </c>
      <c r="D540" s="2" t="s">
        <v>2896</v>
      </c>
      <c r="E540" s="2" t="s">
        <v>337</v>
      </c>
      <c r="F540" s="2" t="s">
        <v>15</v>
      </c>
      <c r="G540" s="2" t="s">
        <v>44</v>
      </c>
      <c r="H540" s="2" t="s">
        <v>45</v>
      </c>
      <c r="I540" s="2" t="s">
        <v>12</v>
      </c>
      <c r="J540" s="2" t="s">
        <v>12</v>
      </c>
      <c r="K540" s="2" t="s">
        <v>12</v>
      </c>
      <c r="L540" s="2" t="s">
        <v>12</v>
      </c>
      <c r="M540" s="2" t="s">
        <v>12</v>
      </c>
      <c r="N540" s="2" t="s">
        <v>12</v>
      </c>
      <c r="O540" s="2" t="s">
        <v>12</v>
      </c>
    </row>
    <row r="541" spans="1:15">
      <c r="A541" s="2" t="s">
        <v>330</v>
      </c>
      <c r="B541" s="2" t="s">
        <v>331</v>
      </c>
      <c r="C541" s="2" t="s">
        <v>76</v>
      </c>
      <c r="D541" s="2" t="s">
        <v>2901</v>
      </c>
      <c r="E541" s="2" t="s">
        <v>338</v>
      </c>
      <c r="F541" s="2" t="s">
        <v>15</v>
      </c>
      <c r="G541" s="2" t="s">
        <v>44</v>
      </c>
      <c r="H541" s="2" t="s">
        <v>45</v>
      </c>
      <c r="I541" s="2" t="s">
        <v>12</v>
      </c>
      <c r="J541" s="2" t="s">
        <v>12</v>
      </c>
      <c r="K541" s="2" t="s">
        <v>12</v>
      </c>
      <c r="L541" s="2" t="s">
        <v>12</v>
      </c>
      <c r="M541" s="2" t="s">
        <v>12</v>
      </c>
      <c r="N541" s="2" t="s">
        <v>12</v>
      </c>
      <c r="O541" s="2" t="s">
        <v>12</v>
      </c>
    </row>
    <row r="542" spans="1:15">
      <c r="A542" s="2" t="s">
        <v>330</v>
      </c>
      <c r="B542" s="2" t="s">
        <v>331</v>
      </c>
      <c r="C542" s="2" t="s">
        <v>76</v>
      </c>
      <c r="D542" s="2" t="s">
        <v>2904</v>
      </c>
      <c r="E542" s="2" t="s">
        <v>339</v>
      </c>
      <c r="F542" s="2" t="s">
        <v>33</v>
      </c>
      <c r="G542" s="2" t="s">
        <v>44</v>
      </c>
      <c r="H542" s="2" t="s">
        <v>45</v>
      </c>
      <c r="I542" s="2" t="s">
        <v>12</v>
      </c>
      <c r="J542" s="2" t="s">
        <v>12</v>
      </c>
      <c r="K542" s="2" t="s">
        <v>12</v>
      </c>
      <c r="L542" s="2" t="s">
        <v>12</v>
      </c>
      <c r="M542" s="2" t="s">
        <v>12</v>
      </c>
      <c r="N542" s="2" t="s">
        <v>12</v>
      </c>
      <c r="O542" s="2" t="s">
        <v>12</v>
      </c>
    </row>
    <row r="543" spans="1:15">
      <c r="A543" s="2" t="s">
        <v>340</v>
      </c>
      <c r="B543" s="2" t="s">
        <v>341</v>
      </c>
      <c r="C543" s="2" t="s">
        <v>76</v>
      </c>
      <c r="D543" s="2" t="s">
        <v>2870</v>
      </c>
      <c r="E543" s="2" t="s">
        <v>336</v>
      </c>
      <c r="F543" s="2" t="s">
        <v>15</v>
      </c>
      <c r="G543" s="2" t="s">
        <v>44</v>
      </c>
      <c r="H543" s="2" t="s">
        <v>342</v>
      </c>
      <c r="I543" s="2">
        <v>0.87</v>
      </c>
      <c r="J543" s="2" t="s">
        <v>2947</v>
      </c>
      <c r="K543" s="2" t="s">
        <v>2948</v>
      </c>
      <c r="L543" s="2" t="s">
        <v>2873</v>
      </c>
      <c r="M543" s="2">
        <v>110</v>
      </c>
      <c r="N543" s="2">
        <v>8</v>
      </c>
      <c r="O543" s="2" t="s">
        <v>3284</v>
      </c>
    </row>
    <row r="544" spans="1:15">
      <c r="A544" s="2" t="s">
        <v>340</v>
      </c>
      <c r="B544" s="2" t="s">
        <v>341</v>
      </c>
      <c r="C544" s="2" t="s">
        <v>76</v>
      </c>
      <c r="D544" s="2" t="s">
        <v>2870</v>
      </c>
      <c r="E544" s="2" t="s">
        <v>336</v>
      </c>
      <c r="F544" s="2" t="s">
        <v>15</v>
      </c>
      <c r="G544" s="2" t="s">
        <v>44</v>
      </c>
      <c r="H544" s="2" t="s">
        <v>342</v>
      </c>
      <c r="I544" s="2">
        <v>0.87</v>
      </c>
      <c r="J544" s="2" t="s">
        <v>2871</v>
      </c>
      <c r="K544" s="2" t="s">
        <v>2950</v>
      </c>
      <c r="L544" s="2" t="s">
        <v>2873</v>
      </c>
      <c r="M544" s="2">
        <v>88</v>
      </c>
      <c r="N544" s="2">
        <v>39</v>
      </c>
      <c r="O544" s="2" t="s">
        <v>3285</v>
      </c>
    </row>
    <row r="545" spans="1:15">
      <c r="A545" s="2" t="s">
        <v>340</v>
      </c>
      <c r="B545" s="2" t="s">
        <v>341</v>
      </c>
      <c r="C545" s="2" t="s">
        <v>76</v>
      </c>
      <c r="D545" s="2" t="s">
        <v>2870</v>
      </c>
      <c r="E545" s="2" t="s">
        <v>336</v>
      </c>
      <c r="F545" s="2" t="s">
        <v>15</v>
      </c>
      <c r="G545" s="2" t="s">
        <v>44</v>
      </c>
      <c r="H545" s="2" t="s">
        <v>342</v>
      </c>
      <c r="I545" s="2">
        <v>0.87</v>
      </c>
      <c r="J545" s="2" t="s">
        <v>2871</v>
      </c>
      <c r="K545" s="2" t="s">
        <v>2952</v>
      </c>
      <c r="L545" s="2" t="s">
        <v>2873</v>
      </c>
      <c r="M545" s="2">
        <v>257</v>
      </c>
      <c r="N545" s="2">
        <v>40</v>
      </c>
      <c r="O545" s="2" t="s">
        <v>3286</v>
      </c>
    </row>
    <row r="546" spans="1:15">
      <c r="A546" s="2" t="s">
        <v>340</v>
      </c>
      <c r="B546" s="2" t="s">
        <v>341</v>
      </c>
      <c r="C546" s="2" t="s">
        <v>76</v>
      </c>
      <c r="D546" s="2" t="s">
        <v>2870</v>
      </c>
      <c r="E546" s="2" t="s">
        <v>336</v>
      </c>
      <c r="F546" s="2" t="s">
        <v>15</v>
      </c>
      <c r="G546" s="2" t="s">
        <v>44</v>
      </c>
      <c r="H546" s="2" t="s">
        <v>342</v>
      </c>
      <c r="I546" s="2">
        <v>0.87</v>
      </c>
      <c r="J546" s="2" t="s">
        <v>2871</v>
      </c>
      <c r="K546" s="2" t="s">
        <v>2954</v>
      </c>
      <c r="L546" s="2" t="s">
        <v>2873</v>
      </c>
      <c r="M546" s="2">
        <v>220</v>
      </c>
      <c r="N546" s="2">
        <v>44</v>
      </c>
      <c r="O546" s="2" t="s">
        <v>3247</v>
      </c>
    </row>
    <row r="547" spans="1:15">
      <c r="A547" s="2" t="s">
        <v>340</v>
      </c>
      <c r="B547" s="2" t="s">
        <v>341</v>
      </c>
      <c r="C547" s="2" t="s">
        <v>76</v>
      </c>
      <c r="D547" s="2" t="s">
        <v>2882</v>
      </c>
      <c r="E547" s="2" t="s">
        <v>337</v>
      </c>
      <c r="F547" s="2" t="s">
        <v>15</v>
      </c>
      <c r="G547" s="2" t="s">
        <v>44</v>
      </c>
      <c r="H547" s="2" t="s">
        <v>343</v>
      </c>
      <c r="I547" s="2">
        <v>0.78</v>
      </c>
      <c r="J547" s="2" t="s">
        <v>2947</v>
      </c>
      <c r="K547" s="2" t="s">
        <v>2948</v>
      </c>
      <c r="L547" s="2" t="s">
        <v>2873</v>
      </c>
      <c r="M547" s="2">
        <v>110</v>
      </c>
      <c r="N547" s="2">
        <v>1</v>
      </c>
      <c r="O547" s="2" t="s">
        <v>2987</v>
      </c>
    </row>
    <row r="548" spans="1:15">
      <c r="A548" s="2" t="s">
        <v>340</v>
      </c>
      <c r="B548" s="2" t="s">
        <v>341</v>
      </c>
      <c r="C548" s="2" t="s">
        <v>76</v>
      </c>
      <c r="D548" s="2" t="s">
        <v>2882</v>
      </c>
      <c r="E548" s="2" t="s">
        <v>337</v>
      </c>
      <c r="F548" s="2" t="s">
        <v>15</v>
      </c>
      <c r="G548" s="2" t="s">
        <v>44</v>
      </c>
      <c r="H548" s="2" t="s">
        <v>343</v>
      </c>
      <c r="I548" s="2">
        <v>0.78</v>
      </c>
      <c r="J548" s="2" t="s">
        <v>2871</v>
      </c>
      <c r="K548" s="2" t="s">
        <v>2950</v>
      </c>
      <c r="L548" s="2" t="s">
        <v>2873</v>
      </c>
      <c r="M548" s="2">
        <v>88</v>
      </c>
      <c r="N548" s="2">
        <v>41</v>
      </c>
      <c r="O548" s="2" t="s">
        <v>3287</v>
      </c>
    </row>
    <row r="549" spans="1:15">
      <c r="A549" s="2" t="s">
        <v>340</v>
      </c>
      <c r="B549" s="2" t="s">
        <v>341</v>
      </c>
      <c r="C549" s="2" t="s">
        <v>76</v>
      </c>
      <c r="D549" s="2" t="s">
        <v>2882</v>
      </c>
      <c r="E549" s="2" t="s">
        <v>337</v>
      </c>
      <c r="F549" s="2" t="s">
        <v>15</v>
      </c>
      <c r="G549" s="2" t="s">
        <v>44</v>
      </c>
      <c r="H549" s="2" t="s">
        <v>343</v>
      </c>
      <c r="I549" s="2">
        <v>0.78</v>
      </c>
      <c r="J549" s="2" t="s">
        <v>2871</v>
      </c>
      <c r="K549" s="2" t="s">
        <v>2952</v>
      </c>
      <c r="L549" s="2" t="s">
        <v>2873</v>
      </c>
      <c r="M549" s="2">
        <v>257</v>
      </c>
      <c r="N549" s="2">
        <v>46</v>
      </c>
      <c r="O549" s="2" t="s">
        <v>3288</v>
      </c>
    </row>
    <row r="550" spans="1:15">
      <c r="A550" s="2" t="s">
        <v>340</v>
      </c>
      <c r="B550" s="2" t="s">
        <v>341</v>
      </c>
      <c r="C550" s="2" t="s">
        <v>76</v>
      </c>
      <c r="D550" s="2" t="s">
        <v>2882</v>
      </c>
      <c r="E550" s="2" t="s">
        <v>337</v>
      </c>
      <c r="F550" s="2" t="s">
        <v>15</v>
      </c>
      <c r="G550" s="2" t="s">
        <v>44</v>
      </c>
      <c r="H550" s="2" t="s">
        <v>343</v>
      </c>
      <c r="I550" s="2">
        <v>0.78</v>
      </c>
      <c r="J550" s="2" t="s">
        <v>2871</v>
      </c>
      <c r="K550" s="2" t="s">
        <v>2954</v>
      </c>
      <c r="L550" s="2" t="s">
        <v>2873</v>
      </c>
      <c r="M550" s="2">
        <v>220</v>
      </c>
      <c r="N550" s="2">
        <v>27</v>
      </c>
      <c r="O550" s="2" t="s">
        <v>3289</v>
      </c>
    </row>
    <row r="551" spans="1:15">
      <c r="A551" s="2" t="s">
        <v>340</v>
      </c>
      <c r="B551" s="2" t="s">
        <v>341</v>
      </c>
      <c r="C551" s="2" t="s">
        <v>76</v>
      </c>
      <c r="D551" s="2" t="s">
        <v>2886</v>
      </c>
      <c r="E551" s="2" t="s">
        <v>338</v>
      </c>
      <c r="F551" s="2" t="s">
        <v>15</v>
      </c>
      <c r="G551" s="2" t="s">
        <v>44</v>
      </c>
      <c r="H551" s="2" t="s">
        <v>344</v>
      </c>
      <c r="I551" s="2">
        <v>0.5</v>
      </c>
      <c r="J551" s="2" t="s">
        <v>2871</v>
      </c>
      <c r="K551" s="2" t="s">
        <v>2950</v>
      </c>
      <c r="L551" s="2" t="s">
        <v>2873</v>
      </c>
      <c r="M551" s="2">
        <v>88</v>
      </c>
      <c r="N551" s="2">
        <v>14</v>
      </c>
      <c r="O551" s="2" t="s">
        <v>3290</v>
      </c>
    </row>
    <row r="552" spans="1:15">
      <c r="A552" s="2" t="s">
        <v>340</v>
      </c>
      <c r="B552" s="2" t="s">
        <v>341</v>
      </c>
      <c r="C552" s="2" t="s">
        <v>76</v>
      </c>
      <c r="D552" s="2" t="s">
        <v>2886</v>
      </c>
      <c r="E552" s="2" t="s">
        <v>338</v>
      </c>
      <c r="F552" s="2" t="s">
        <v>15</v>
      </c>
      <c r="G552" s="2" t="s">
        <v>44</v>
      </c>
      <c r="H552" s="2" t="s">
        <v>344</v>
      </c>
      <c r="I552" s="2">
        <v>0.5</v>
      </c>
      <c r="J552" s="2" t="s">
        <v>2871</v>
      </c>
      <c r="K552" s="2" t="s">
        <v>2952</v>
      </c>
      <c r="L552" s="2" t="s">
        <v>2873</v>
      </c>
      <c r="M552" s="2">
        <v>257</v>
      </c>
      <c r="N552" s="2">
        <v>1</v>
      </c>
      <c r="O552" s="2" t="s">
        <v>2971</v>
      </c>
    </row>
    <row r="553" spans="1:15">
      <c r="A553" s="2" t="s">
        <v>340</v>
      </c>
      <c r="B553" s="2" t="s">
        <v>341</v>
      </c>
      <c r="C553" s="2" t="s">
        <v>76</v>
      </c>
      <c r="D553" s="2" t="s">
        <v>2886</v>
      </c>
      <c r="E553" s="2" t="s">
        <v>338</v>
      </c>
      <c r="F553" s="2" t="s">
        <v>15</v>
      </c>
      <c r="G553" s="2" t="s">
        <v>44</v>
      </c>
      <c r="H553" s="2" t="s">
        <v>344</v>
      </c>
      <c r="I553" s="2">
        <v>0.5</v>
      </c>
      <c r="J553" s="2" t="s">
        <v>2871</v>
      </c>
      <c r="K553" s="2" t="s">
        <v>2954</v>
      </c>
      <c r="L553" s="2" t="s">
        <v>2873</v>
      </c>
      <c r="M553" s="2">
        <v>220</v>
      </c>
      <c r="N553" s="2">
        <v>31</v>
      </c>
      <c r="O553" s="2" t="s">
        <v>3291</v>
      </c>
    </row>
    <row r="554" spans="1:15">
      <c r="A554" s="2" t="s">
        <v>340</v>
      </c>
      <c r="B554" s="2" t="s">
        <v>341</v>
      </c>
      <c r="C554" s="2" t="s">
        <v>76</v>
      </c>
      <c r="D554" s="2" t="s">
        <v>2886</v>
      </c>
      <c r="E554" s="2" t="s">
        <v>338</v>
      </c>
      <c r="F554" s="2" t="s">
        <v>15</v>
      </c>
      <c r="G554" s="2" t="s">
        <v>44</v>
      </c>
      <c r="H554" s="2" t="s">
        <v>344</v>
      </c>
      <c r="I554" s="2">
        <v>0.5</v>
      </c>
      <c r="J554" s="2" t="s">
        <v>2871</v>
      </c>
      <c r="K554" s="2" t="s">
        <v>2958</v>
      </c>
      <c r="L554" s="2" t="s">
        <v>2873</v>
      </c>
      <c r="M554" s="2">
        <v>154</v>
      </c>
      <c r="N554" s="2">
        <v>8</v>
      </c>
      <c r="O554" s="2" t="s">
        <v>3292</v>
      </c>
    </row>
    <row r="555" spans="1:15">
      <c r="A555" s="2" t="s">
        <v>340</v>
      </c>
      <c r="B555" s="2" t="s">
        <v>341</v>
      </c>
      <c r="C555" s="2" t="s">
        <v>76</v>
      </c>
      <c r="D555" s="2" t="s">
        <v>2896</v>
      </c>
      <c r="E555" s="2" t="s">
        <v>339</v>
      </c>
      <c r="F555" s="2" t="s">
        <v>33</v>
      </c>
      <c r="G555" s="2" t="s">
        <v>44</v>
      </c>
      <c r="H555" s="2" t="s">
        <v>345</v>
      </c>
      <c r="I555" s="2">
        <v>0.5</v>
      </c>
      <c r="J555" s="2" t="s">
        <v>2871</v>
      </c>
      <c r="K555" s="2" t="s">
        <v>2950</v>
      </c>
      <c r="L555" s="2" t="s">
        <v>2873</v>
      </c>
      <c r="M555" s="2">
        <v>88</v>
      </c>
      <c r="N555" s="2">
        <v>3</v>
      </c>
      <c r="O555" s="2" t="s">
        <v>3013</v>
      </c>
    </row>
    <row r="556" spans="1:15">
      <c r="A556" s="2" t="s">
        <v>340</v>
      </c>
      <c r="B556" s="2" t="s">
        <v>341</v>
      </c>
      <c r="C556" s="2" t="s">
        <v>76</v>
      </c>
      <c r="D556" s="2" t="s">
        <v>2896</v>
      </c>
      <c r="E556" s="2" t="s">
        <v>339</v>
      </c>
      <c r="F556" s="2" t="s">
        <v>33</v>
      </c>
      <c r="G556" s="2" t="s">
        <v>44</v>
      </c>
      <c r="H556" s="2" t="s">
        <v>345</v>
      </c>
      <c r="I556" s="2">
        <v>0.5</v>
      </c>
      <c r="J556" s="2" t="s">
        <v>2871</v>
      </c>
      <c r="K556" s="2" t="s">
        <v>2952</v>
      </c>
      <c r="L556" s="2" t="s">
        <v>2873</v>
      </c>
      <c r="M556" s="2">
        <v>257</v>
      </c>
      <c r="N556" s="2">
        <v>12</v>
      </c>
      <c r="O556" s="2" t="s">
        <v>3293</v>
      </c>
    </row>
    <row r="557" spans="1:15">
      <c r="A557" s="2" t="s">
        <v>340</v>
      </c>
      <c r="B557" s="2" t="s">
        <v>341</v>
      </c>
      <c r="C557" s="2" t="s">
        <v>76</v>
      </c>
      <c r="D557" s="2" t="s">
        <v>2896</v>
      </c>
      <c r="E557" s="2" t="s">
        <v>339</v>
      </c>
      <c r="F557" s="2" t="s">
        <v>33</v>
      </c>
      <c r="G557" s="2" t="s">
        <v>44</v>
      </c>
      <c r="H557" s="2" t="s">
        <v>345</v>
      </c>
      <c r="I557" s="2">
        <v>0.5</v>
      </c>
      <c r="J557" s="2" t="s">
        <v>2871</v>
      </c>
      <c r="K557" s="2" t="s">
        <v>2958</v>
      </c>
      <c r="L557" s="2" t="s">
        <v>2873</v>
      </c>
      <c r="M557" s="2">
        <v>154</v>
      </c>
      <c r="N557" s="2">
        <v>9</v>
      </c>
      <c r="O557" s="2" t="s">
        <v>3067</v>
      </c>
    </row>
    <row r="558" spans="1:15">
      <c r="A558" s="2" t="s">
        <v>340</v>
      </c>
      <c r="B558" s="2" t="s">
        <v>341</v>
      </c>
      <c r="C558" s="2" t="s">
        <v>76</v>
      </c>
      <c r="D558" s="2" t="s">
        <v>2896</v>
      </c>
      <c r="E558" s="2" t="s">
        <v>339</v>
      </c>
      <c r="F558" s="2" t="s">
        <v>33</v>
      </c>
      <c r="G558" s="2" t="s">
        <v>44</v>
      </c>
      <c r="H558" s="2" t="s">
        <v>345</v>
      </c>
      <c r="I558" s="2">
        <v>0.5</v>
      </c>
      <c r="J558" s="2" t="s">
        <v>2871</v>
      </c>
      <c r="K558" s="2" t="s">
        <v>2954</v>
      </c>
      <c r="L558" s="2" t="s">
        <v>2873</v>
      </c>
      <c r="M558" s="2">
        <v>220</v>
      </c>
      <c r="N558" s="2">
        <v>5</v>
      </c>
      <c r="O558" s="2" t="s">
        <v>3089</v>
      </c>
    </row>
    <row r="559" spans="1:15">
      <c r="A559" s="2" t="s">
        <v>346</v>
      </c>
      <c r="B559" s="2" t="s">
        <v>347</v>
      </c>
      <c r="C559" s="2" t="s">
        <v>76</v>
      </c>
      <c r="D559" s="2" t="s">
        <v>2870</v>
      </c>
      <c r="E559" s="2" t="s">
        <v>348</v>
      </c>
      <c r="F559" s="2" t="s">
        <v>33</v>
      </c>
      <c r="G559" s="2" t="s">
        <v>44</v>
      </c>
      <c r="H559" s="2" t="s">
        <v>45</v>
      </c>
      <c r="I559" s="2" t="s">
        <v>12</v>
      </c>
      <c r="J559" s="2" t="s">
        <v>12</v>
      </c>
      <c r="K559" s="2" t="s">
        <v>12</v>
      </c>
      <c r="L559" s="2" t="s">
        <v>12</v>
      </c>
      <c r="M559" s="2" t="s">
        <v>12</v>
      </c>
      <c r="N559" s="2" t="s">
        <v>12</v>
      </c>
      <c r="O559" s="2" t="s">
        <v>12</v>
      </c>
    </row>
    <row r="560" spans="1:15">
      <c r="A560" s="2" t="s">
        <v>349</v>
      </c>
      <c r="B560" s="2" t="s">
        <v>350</v>
      </c>
      <c r="C560" s="2" t="s">
        <v>76</v>
      </c>
      <c r="D560" s="2" t="s">
        <v>2870</v>
      </c>
      <c r="E560" s="2" t="s">
        <v>37</v>
      </c>
      <c r="F560" s="2" t="s">
        <v>15</v>
      </c>
      <c r="G560" s="2" t="s">
        <v>44</v>
      </c>
      <c r="H560" s="2" t="s">
        <v>45</v>
      </c>
      <c r="I560" s="2" t="s">
        <v>12</v>
      </c>
      <c r="J560" s="2" t="s">
        <v>12</v>
      </c>
      <c r="K560" s="2" t="s">
        <v>12</v>
      </c>
      <c r="L560" s="2" t="s">
        <v>12</v>
      </c>
      <c r="M560" s="2" t="s">
        <v>12</v>
      </c>
      <c r="N560" s="2" t="s">
        <v>12</v>
      </c>
      <c r="O560" s="2" t="s">
        <v>12</v>
      </c>
    </row>
    <row r="561" spans="1:15">
      <c r="A561" s="2" t="s">
        <v>349</v>
      </c>
      <c r="B561" s="2" t="s">
        <v>350</v>
      </c>
      <c r="C561" s="2" t="s">
        <v>76</v>
      </c>
      <c r="D561" s="2" t="s">
        <v>2882</v>
      </c>
      <c r="E561" s="2" t="s">
        <v>39</v>
      </c>
      <c r="F561" s="2" t="s">
        <v>15</v>
      </c>
      <c r="G561" s="2" t="s">
        <v>44</v>
      </c>
      <c r="H561" s="2" t="s">
        <v>45</v>
      </c>
      <c r="I561" s="2" t="s">
        <v>12</v>
      </c>
      <c r="J561" s="2" t="s">
        <v>12</v>
      </c>
      <c r="K561" s="2" t="s">
        <v>12</v>
      </c>
      <c r="L561" s="2" t="s">
        <v>12</v>
      </c>
      <c r="M561" s="2" t="s">
        <v>12</v>
      </c>
      <c r="N561" s="2" t="s">
        <v>12</v>
      </c>
      <c r="O561" s="2" t="s">
        <v>12</v>
      </c>
    </row>
    <row r="562" spans="1:15">
      <c r="A562" s="2" t="s">
        <v>349</v>
      </c>
      <c r="B562" s="2" t="s">
        <v>350</v>
      </c>
      <c r="C562" s="2" t="s">
        <v>76</v>
      </c>
      <c r="D562" s="2" t="s">
        <v>2886</v>
      </c>
      <c r="E562" s="2" t="s">
        <v>41</v>
      </c>
      <c r="F562" s="2" t="s">
        <v>15</v>
      </c>
      <c r="G562" s="2" t="s">
        <v>44</v>
      </c>
      <c r="H562" s="2" t="s">
        <v>45</v>
      </c>
      <c r="I562" s="2" t="s">
        <v>12</v>
      </c>
      <c r="J562" s="2" t="s">
        <v>12</v>
      </c>
      <c r="K562" s="2" t="s">
        <v>12</v>
      </c>
      <c r="L562" s="2" t="s">
        <v>12</v>
      </c>
      <c r="M562" s="2" t="s">
        <v>12</v>
      </c>
      <c r="N562" s="2" t="s">
        <v>12</v>
      </c>
      <c r="O562" s="2" t="s">
        <v>12</v>
      </c>
    </row>
    <row r="563" spans="1:15">
      <c r="A563" s="2" t="s">
        <v>349</v>
      </c>
      <c r="B563" s="2" t="s">
        <v>350</v>
      </c>
      <c r="C563" s="2" t="s">
        <v>76</v>
      </c>
      <c r="D563" s="2" t="s">
        <v>2896</v>
      </c>
      <c r="E563" s="2" t="s">
        <v>43</v>
      </c>
      <c r="F563" s="2" t="s">
        <v>33</v>
      </c>
      <c r="G563" s="2" t="s">
        <v>44</v>
      </c>
      <c r="H563" s="2" t="s">
        <v>45</v>
      </c>
      <c r="I563" s="2" t="s">
        <v>12</v>
      </c>
      <c r="J563" s="2" t="s">
        <v>12</v>
      </c>
      <c r="K563" s="2" t="s">
        <v>12</v>
      </c>
      <c r="L563" s="2" t="s">
        <v>12</v>
      </c>
      <c r="M563" s="2" t="s">
        <v>12</v>
      </c>
      <c r="N563" s="2" t="s">
        <v>12</v>
      </c>
      <c r="O563" s="2" t="s">
        <v>12</v>
      </c>
    </row>
    <row r="564" spans="1:15">
      <c r="A564" s="2" t="s">
        <v>351</v>
      </c>
      <c r="B564" s="2" t="s">
        <v>352</v>
      </c>
      <c r="C564" s="2" t="s">
        <v>48</v>
      </c>
      <c r="D564" s="2" t="s">
        <v>2870</v>
      </c>
      <c r="E564" s="2" t="s">
        <v>23</v>
      </c>
      <c r="F564" s="2" t="s">
        <v>15</v>
      </c>
      <c r="G564" s="2" t="s">
        <v>44</v>
      </c>
      <c r="H564" s="2" t="s">
        <v>45</v>
      </c>
      <c r="I564" s="2" t="s">
        <v>12</v>
      </c>
      <c r="J564" s="2" t="s">
        <v>12</v>
      </c>
      <c r="K564" s="2" t="s">
        <v>12</v>
      </c>
      <c r="L564" s="2" t="s">
        <v>12</v>
      </c>
      <c r="M564" s="2" t="s">
        <v>12</v>
      </c>
      <c r="N564" s="2" t="s">
        <v>12</v>
      </c>
      <c r="O564" s="2" t="s">
        <v>12</v>
      </c>
    </row>
    <row r="565" spans="1:15">
      <c r="A565" s="2" t="s">
        <v>351</v>
      </c>
      <c r="B565" s="2" t="s">
        <v>352</v>
      </c>
      <c r="C565" s="2" t="s">
        <v>48</v>
      </c>
      <c r="D565" s="2" t="s">
        <v>2882</v>
      </c>
      <c r="E565" s="2" t="s">
        <v>26</v>
      </c>
      <c r="F565" s="2" t="s">
        <v>15</v>
      </c>
      <c r="G565" s="2" t="s">
        <v>44</v>
      </c>
      <c r="H565" s="2" t="s">
        <v>45</v>
      </c>
      <c r="I565" s="2" t="s">
        <v>12</v>
      </c>
      <c r="J565" s="2" t="s">
        <v>12</v>
      </c>
      <c r="K565" s="2" t="s">
        <v>12</v>
      </c>
      <c r="L565" s="2" t="s">
        <v>12</v>
      </c>
      <c r="M565" s="2" t="s">
        <v>12</v>
      </c>
      <c r="N565" s="2" t="s">
        <v>12</v>
      </c>
      <c r="O565" s="2" t="s">
        <v>12</v>
      </c>
    </row>
    <row r="566" spans="1:15">
      <c r="A566" s="2" t="s">
        <v>351</v>
      </c>
      <c r="B566" s="2" t="s">
        <v>352</v>
      </c>
      <c r="C566" s="2" t="s">
        <v>48</v>
      </c>
      <c r="D566" s="2" t="s">
        <v>2886</v>
      </c>
      <c r="E566" s="2" t="s">
        <v>29</v>
      </c>
      <c r="F566" s="2" t="s">
        <v>15</v>
      </c>
      <c r="G566" s="2" t="s">
        <v>44</v>
      </c>
      <c r="H566" s="2" t="s">
        <v>45</v>
      </c>
      <c r="I566" s="2" t="s">
        <v>12</v>
      </c>
      <c r="J566" s="2" t="s">
        <v>12</v>
      </c>
      <c r="K566" s="2" t="s">
        <v>12</v>
      </c>
      <c r="L566" s="2" t="s">
        <v>12</v>
      </c>
      <c r="M566" s="2" t="s">
        <v>12</v>
      </c>
      <c r="N566" s="2" t="s">
        <v>12</v>
      </c>
      <c r="O566" s="2" t="s">
        <v>12</v>
      </c>
    </row>
    <row r="567" spans="1:15">
      <c r="A567" s="2" t="s">
        <v>351</v>
      </c>
      <c r="B567" s="2" t="s">
        <v>352</v>
      </c>
      <c r="C567" s="2" t="s">
        <v>48</v>
      </c>
      <c r="D567" s="2" t="s">
        <v>2896</v>
      </c>
      <c r="E567" s="2" t="s">
        <v>32</v>
      </c>
      <c r="F567" s="2" t="s">
        <v>33</v>
      </c>
      <c r="G567" s="2" t="s">
        <v>44</v>
      </c>
      <c r="H567" s="2" t="s">
        <v>45</v>
      </c>
      <c r="I567" s="2" t="s">
        <v>12</v>
      </c>
      <c r="J567" s="2" t="s">
        <v>12</v>
      </c>
      <c r="K567" s="2" t="s">
        <v>12</v>
      </c>
      <c r="L567" s="2" t="s">
        <v>12</v>
      </c>
      <c r="M567" s="2" t="s">
        <v>12</v>
      </c>
      <c r="N567" s="2" t="s">
        <v>12</v>
      </c>
      <c r="O567" s="2" t="s">
        <v>12</v>
      </c>
    </row>
    <row r="568" spans="1:15">
      <c r="A568" s="2" t="s">
        <v>353</v>
      </c>
      <c r="B568" s="2" t="s">
        <v>354</v>
      </c>
      <c r="C568" s="2" t="s">
        <v>76</v>
      </c>
      <c r="D568" s="2" t="s">
        <v>2870</v>
      </c>
      <c r="E568" s="2" t="s">
        <v>37</v>
      </c>
      <c r="F568" s="2" t="s">
        <v>15</v>
      </c>
      <c r="G568" s="2" t="s">
        <v>44</v>
      </c>
      <c r="H568" s="2" t="s">
        <v>45</v>
      </c>
      <c r="I568" s="2" t="s">
        <v>12</v>
      </c>
      <c r="J568" s="2" t="s">
        <v>12</v>
      </c>
      <c r="K568" s="2" t="s">
        <v>12</v>
      </c>
      <c r="L568" s="2" t="s">
        <v>12</v>
      </c>
      <c r="M568" s="2" t="s">
        <v>12</v>
      </c>
      <c r="N568" s="2" t="s">
        <v>12</v>
      </c>
      <c r="O568" s="2" t="s">
        <v>12</v>
      </c>
    </row>
    <row r="569" spans="1:15">
      <c r="A569" s="2" t="s">
        <v>353</v>
      </c>
      <c r="B569" s="2" t="s">
        <v>354</v>
      </c>
      <c r="C569" s="2" t="s">
        <v>76</v>
      </c>
      <c r="D569" s="2" t="s">
        <v>2882</v>
      </c>
      <c r="E569" s="2" t="s">
        <v>39</v>
      </c>
      <c r="F569" s="2" t="s">
        <v>15</v>
      </c>
      <c r="G569" s="2" t="s">
        <v>44</v>
      </c>
      <c r="H569" s="2" t="s">
        <v>45</v>
      </c>
      <c r="I569" s="2" t="s">
        <v>12</v>
      </c>
      <c r="J569" s="2" t="s">
        <v>12</v>
      </c>
      <c r="K569" s="2" t="s">
        <v>12</v>
      </c>
      <c r="L569" s="2" t="s">
        <v>12</v>
      </c>
      <c r="M569" s="2" t="s">
        <v>12</v>
      </c>
      <c r="N569" s="2" t="s">
        <v>12</v>
      </c>
      <c r="O569" s="2" t="s">
        <v>12</v>
      </c>
    </row>
    <row r="570" spans="1:15">
      <c r="A570" s="2" t="s">
        <v>353</v>
      </c>
      <c r="B570" s="2" t="s">
        <v>354</v>
      </c>
      <c r="C570" s="2" t="s">
        <v>76</v>
      </c>
      <c r="D570" s="2" t="s">
        <v>2886</v>
      </c>
      <c r="E570" s="2" t="s">
        <v>41</v>
      </c>
      <c r="F570" s="2" t="s">
        <v>15</v>
      </c>
      <c r="G570" s="2" t="s">
        <v>44</v>
      </c>
      <c r="H570" s="2" t="s">
        <v>45</v>
      </c>
      <c r="I570" s="2" t="s">
        <v>12</v>
      </c>
      <c r="J570" s="2" t="s">
        <v>12</v>
      </c>
      <c r="K570" s="2" t="s">
        <v>12</v>
      </c>
      <c r="L570" s="2" t="s">
        <v>12</v>
      </c>
      <c r="M570" s="2" t="s">
        <v>12</v>
      </c>
      <c r="N570" s="2" t="s">
        <v>12</v>
      </c>
      <c r="O570" s="2" t="s">
        <v>12</v>
      </c>
    </row>
    <row r="571" spans="1:15">
      <c r="A571" s="2" t="s">
        <v>353</v>
      </c>
      <c r="B571" s="2" t="s">
        <v>354</v>
      </c>
      <c r="C571" s="2" t="s">
        <v>76</v>
      </c>
      <c r="D571" s="2" t="s">
        <v>2896</v>
      </c>
      <c r="E571" s="2" t="s">
        <v>43</v>
      </c>
      <c r="F571" s="2" t="s">
        <v>33</v>
      </c>
      <c r="G571" s="2" t="s">
        <v>44</v>
      </c>
      <c r="H571" s="2" t="s">
        <v>45</v>
      </c>
      <c r="I571" s="2" t="s">
        <v>12</v>
      </c>
      <c r="J571" s="2" t="s">
        <v>12</v>
      </c>
      <c r="K571" s="2" t="s">
        <v>12</v>
      </c>
      <c r="L571" s="2" t="s">
        <v>12</v>
      </c>
      <c r="M571" s="2" t="s">
        <v>12</v>
      </c>
      <c r="N571" s="2" t="s">
        <v>12</v>
      </c>
      <c r="O571" s="2" t="s">
        <v>12</v>
      </c>
    </row>
    <row r="572" spans="1:15">
      <c r="A572" s="2" t="s">
        <v>355</v>
      </c>
      <c r="B572" s="2" t="s">
        <v>356</v>
      </c>
      <c r="C572" s="2" t="s">
        <v>76</v>
      </c>
      <c r="D572" s="2" t="s">
        <v>2870</v>
      </c>
      <c r="E572" s="2" t="s">
        <v>357</v>
      </c>
      <c r="F572" s="2" t="s">
        <v>15</v>
      </c>
      <c r="G572" s="2" t="s">
        <v>44</v>
      </c>
      <c r="H572" s="2" t="s">
        <v>45</v>
      </c>
      <c r="I572" s="2" t="s">
        <v>12</v>
      </c>
      <c r="J572" s="2" t="s">
        <v>12</v>
      </c>
      <c r="K572" s="2" t="s">
        <v>12</v>
      </c>
      <c r="L572" s="2" t="s">
        <v>12</v>
      </c>
      <c r="M572" s="2" t="s">
        <v>12</v>
      </c>
      <c r="N572" s="2" t="s">
        <v>12</v>
      </c>
      <c r="O572" s="2" t="s">
        <v>12</v>
      </c>
    </row>
    <row r="573" spans="1:15">
      <c r="A573" s="2" t="s">
        <v>355</v>
      </c>
      <c r="B573" s="2" t="s">
        <v>356</v>
      </c>
      <c r="C573" s="2" t="s">
        <v>76</v>
      </c>
      <c r="D573" s="2" t="s">
        <v>2882</v>
      </c>
      <c r="E573" s="2" t="s">
        <v>220</v>
      </c>
      <c r="F573" s="2" t="s">
        <v>15</v>
      </c>
      <c r="G573" s="2" t="s">
        <v>44</v>
      </c>
      <c r="H573" s="2" t="s">
        <v>45</v>
      </c>
      <c r="I573" s="2" t="s">
        <v>12</v>
      </c>
      <c r="J573" s="2" t="s">
        <v>12</v>
      </c>
      <c r="K573" s="2" t="s">
        <v>12</v>
      </c>
      <c r="L573" s="2" t="s">
        <v>12</v>
      </c>
      <c r="M573" s="2" t="s">
        <v>12</v>
      </c>
      <c r="N573" s="2" t="s">
        <v>12</v>
      </c>
      <c r="O573" s="2" t="s">
        <v>12</v>
      </c>
    </row>
    <row r="574" spans="1:15">
      <c r="A574" s="2" t="s">
        <v>355</v>
      </c>
      <c r="B574" s="2" t="s">
        <v>356</v>
      </c>
      <c r="C574" s="2" t="s">
        <v>76</v>
      </c>
      <c r="D574" s="2" t="s">
        <v>2886</v>
      </c>
      <c r="E574" s="2" t="s">
        <v>222</v>
      </c>
      <c r="F574" s="2" t="s">
        <v>33</v>
      </c>
      <c r="G574" s="2" t="s">
        <v>44</v>
      </c>
      <c r="H574" s="2" t="s">
        <v>45</v>
      </c>
      <c r="I574" s="2" t="s">
        <v>12</v>
      </c>
      <c r="J574" s="2" t="s">
        <v>12</v>
      </c>
      <c r="K574" s="2" t="s">
        <v>12</v>
      </c>
      <c r="L574" s="2" t="s">
        <v>12</v>
      </c>
      <c r="M574" s="2" t="s">
        <v>12</v>
      </c>
      <c r="N574" s="2" t="s">
        <v>12</v>
      </c>
      <c r="O574" s="2" t="s">
        <v>12</v>
      </c>
    </row>
    <row r="575" spans="1:15">
      <c r="A575" s="2" t="s">
        <v>355</v>
      </c>
      <c r="B575" s="2" t="s">
        <v>356</v>
      </c>
      <c r="C575" s="2" t="s">
        <v>76</v>
      </c>
      <c r="D575" s="2" t="s">
        <v>2896</v>
      </c>
      <c r="E575" s="2" t="s">
        <v>224</v>
      </c>
      <c r="F575" s="2" t="s">
        <v>225</v>
      </c>
      <c r="G575" s="2" t="s">
        <v>44</v>
      </c>
      <c r="H575" s="2" t="s">
        <v>45</v>
      </c>
      <c r="I575" s="2" t="s">
        <v>12</v>
      </c>
      <c r="J575" s="2" t="s">
        <v>12</v>
      </c>
      <c r="K575" s="2" t="s">
        <v>12</v>
      </c>
      <c r="L575" s="2" t="s">
        <v>12</v>
      </c>
      <c r="M575" s="2" t="s">
        <v>12</v>
      </c>
      <c r="N575" s="2" t="s">
        <v>12</v>
      </c>
      <c r="O575" s="2" t="s">
        <v>12</v>
      </c>
    </row>
    <row r="576" spans="1:15">
      <c r="A576" s="2" t="s">
        <v>358</v>
      </c>
      <c r="B576" s="2" t="s">
        <v>359</v>
      </c>
      <c r="C576" s="2" t="s">
        <v>76</v>
      </c>
      <c r="D576" s="2" t="s">
        <v>2870</v>
      </c>
      <c r="E576" s="2" t="s">
        <v>37</v>
      </c>
      <c r="F576" s="2" t="s">
        <v>15</v>
      </c>
      <c r="G576" s="2" t="s">
        <v>44</v>
      </c>
      <c r="H576" s="2" t="s">
        <v>360</v>
      </c>
      <c r="I576" s="2">
        <v>0.5</v>
      </c>
      <c r="J576" s="2" t="s">
        <v>2871</v>
      </c>
      <c r="K576" s="2" t="s">
        <v>3061</v>
      </c>
      <c r="L576" s="2" t="s">
        <v>2873</v>
      </c>
      <c r="M576" s="2">
        <v>66</v>
      </c>
      <c r="N576" s="2">
        <v>4</v>
      </c>
      <c r="O576" s="2" t="s">
        <v>3072</v>
      </c>
    </row>
    <row r="577" spans="1:15">
      <c r="A577" s="2" t="s">
        <v>358</v>
      </c>
      <c r="B577" s="2" t="s">
        <v>359</v>
      </c>
      <c r="C577" s="2" t="s">
        <v>76</v>
      </c>
      <c r="D577" s="2" t="s">
        <v>2882</v>
      </c>
      <c r="E577" s="2" t="s">
        <v>39</v>
      </c>
      <c r="F577" s="2" t="s">
        <v>15</v>
      </c>
      <c r="G577" s="2" t="s">
        <v>44</v>
      </c>
      <c r="H577" s="2" t="s">
        <v>361</v>
      </c>
      <c r="I577" s="2">
        <v>0.5</v>
      </c>
      <c r="J577" s="2" t="s">
        <v>2871</v>
      </c>
      <c r="K577" s="2" t="s">
        <v>3061</v>
      </c>
      <c r="L577" s="2" t="s">
        <v>2873</v>
      </c>
      <c r="M577" s="2">
        <v>66</v>
      </c>
      <c r="N577" s="2">
        <v>2</v>
      </c>
      <c r="O577" s="2" t="s">
        <v>3227</v>
      </c>
    </row>
    <row r="578" spans="1:15">
      <c r="A578" s="2" t="s">
        <v>358</v>
      </c>
      <c r="B578" s="2" t="s">
        <v>359</v>
      </c>
      <c r="C578" s="2" t="s">
        <v>76</v>
      </c>
      <c r="D578" s="2" t="s">
        <v>2882</v>
      </c>
      <c r="E578" s="2" t="s">
        <v>39</v>
      </c>
      <c r="F578" s="2" t="s">
        <v>15</v>
      </c>
      <c r="G578" s="2" t="s">
        <v>44</v>
      </c>
      <c r="H578" s="2" t="s">
        <v>361</v>
      </c>
      <c r="I578" s="2">
        <v>0.5</v>
      </c>
      <c r="J578" s="2" t="s">
        <v>2887</v>
      </c>
      <c r="K578" s="2" t="s">
        <v>2992</v>
      </c>
      <c r="L578" s="2" t="s">
        <v>2873</v>
      </c>
      <c r="M578" s="2">
        <v>220</v>
      </c>
      <c r="N578" s="2">
        <v>4</v>
      </c>
      <c r="O578" s="2" t="s">
        <v>3088</v>
      </c>
    </row>
    <row r="579" spans="1:15">
      <c r="A579" s="2" t="s">
        <v>358</v>
      </c>
      <c r="B579" s="2" t="s">
        <v>359</v>
      </c>
      <c r="C579" s="2" t="s">
        <v>76</v>
      </c>
      <c r="D579" s="2" t="s">
        <v>2886</v>
      </c>
      <c r="E579" s="2" t="s">
        <v>41</v>
      </c>
      <c r="F579" s="2" t="s">
        <v>15</v>
      </c>
      <c r="G579" s="2" t="s">
        <v>44</v>
      </c>
      <c r="H579" s="2" t="s">
        <v>92</v>
      </c>
      <c r="I579" s="2">
        <v>0.5</v>
      </c>
      <c r="J579" s="2" t="s">
        <v>2887</v>
      </c>
      <c r="K579" s="2" t="s">
        <v>2992</v>
      </c>
      <c r="L579" s="2" t="s">
        <v>2873</v>
      </c>
      <c r="M579" s="2">
        <v>220</v>
      </c>
      <c r="N579" s="2">
        <v>2</v>
      </c>
      <c r="O579" s="2" t="s">
        <v>2987</v>
      </c>
    </row>
    <row r="580" spans="1:15">
      <c r="A580" s="2" t="s">
        <v>358</v>
      </c>
      <c r="B580" s="2" t="s">
        <v>359</v>
      </c>
      <c r="C580" s="2" t="s">
        <v>76</v>
      </c>
      <c r="D580" s="2" t="s">
        <v>2896</v>
      </c>
      <c r="E580" s="2" t="s">
        <v>43</v>
      </c>
      <c r="F580" s="2" t="s">
        <v>33</v>
      </c>
      <c r="G580" s="2" t="s">
        <v>44</v>
      </c>
      <c r="H580" s="2" t="s">
        <v>45</v>
      </c>
      <c r="I580" s="2" t="s">
        <v>12</v>
      </c>
      <c r="J580" s="2" t="s">
        <v>12</v>
      </c>
      <c r="K580" s="2" t="s">
        <v>12</v>
      </c>
      <c r="L580" s="2" t="s">
        <v>12</v>
      </c>
      <c r="M580" s="2" t="s">
        <v>12</v>
      </c>
      <c r="N580" s="2" t="s">
        <v>12</v>
      </c>
      <c r="O580" s="2" t="s">
        <v>12</v>
      </c>
    </row>
    <row r="581" spans="1:15">
      <c r="A581" s="2" t="s">
        <v>362</v>
      </c>
      <c r="B581" s="2" t="s">
        <v>363</v>
      </c>
      <c r="C581" s="2" t="s">
        <v>76</v>
      </c>
      <c r="D581" s="2" t="s">
        <v>2870</v>
      </c>
      <c r="E581" s="2" t="s">
        <v>348</v>
      </c>
      <c r="F581" s="2" t="s">
        <v>33</v>
      </c>
      <c r="G581" s="2" t="s">
        <v>44</v>
      </c>
      <c r="H581" s="2" t="s">
        <v>45</v>
      </c>
      <c r="I581" s="2" t="s">
        <v>12</v>
      </c>
      <c r="J581" s="2" t="s">
        <v>12</v>
      </c>
      <c r="K581" s="2" t="s">
        <v>12</v>
      </c>
      <c r="L581" s="2" t="s">
        <v>12</v>
      </c>
      <c r="M581" s="2" t="s">
        <v>12</v>
      </c>
      <c r="N581" s="2" t="s">
        <v>12</v>
      </c>
      <c r="O581" s="2" t="s">
        <v>12</v>
      </c>
    </row>
    <row r="582" spans="1:15">
      <c r="A582" s="2" t="s">
        <v>364</v>
      </c>
      <c r="B582" s="2" t="s">
        <v>365</v>
      </c>
      <c r="C582" s="2" t="s">
        <v>48</v>
      </c>
      <c r="D582" s="2" t="s">
        <v>2870</v>
      </c>
      <c r="E582" s="2" t="s">
        <v>348</v>
      </c>
      <c r="F582" s="2" t="s">
        <v>33</v>
      </c>
      <c r="G582" s="2" t="s">
        <v>44</v>
      </c>
      <c r="H582" s="2" t="s">
        <v>45</v>
      </c>
      <c r="I582" s="2" t="s">
        <v>12</v>
      </c>
      <c r="J582" s="2" t="s">
        <v>12</v>
      </c>
      <c r="K582" s="2" t="s">
        <v>12</v>
      </c>
      <c r="L582" s="2" t="s">
        <v>12</v>
      </c>
      <c r="M582" s="2" t="s">
        <v>12</v>
      </c>
      <c r="N582" s="2" t="s">
        <v>12</v>
      </c>
      <c r="O582" s="2" t="s">
        <v>12</v>
      </c>
    </row>
    <row r="583" spans="1:15">
      <c r="A583" s="2" t="s">
        <v>366</v>
      </c>
      <c r="B583" s="2" t="s">
        <v>367</v>
      </c>
      <c r="C583" s="2" t="s">
        <v>76</v>
      </c>
      <c r="D583" s="2" t="s">
        <v>2870</v>
      </c>
      <c r="E583" s="2" t="s">
        <v>348</v>
      </c>
      <c r="F583" s="2" t="s">
        <v>33</v>
      </c>
      <c r="G583" s="2" t="s">
        <v>44</v>
      </c>
      <c r="H583" s="2" t="s">
        <v>45</v>
      </c>
      <c r="I583" s="2" t="s">
        <v>12</v>
      </c>
      <c r="J583" s="2" t="s">
        <v>12</v>
      </c>
      <c r="K583" s="2" t="s">
        <v>12</v>
      </c>
      <c r="L583" s="2" t="s">
        <v>12</v>
      </c>
      <c r="M583" s="2" t="s">
        <v>12</v>
      </c>
      <c r="N583" s="2" t="s">
        <v>12</v>
      </c>
      <c r="O583" s="2" t="s">
        <v>12</v>
      </c>
    </row>
    <row r="584" spans="1:15">
      <c r="A584" s="2" t="s">
        <v>368</v>
      </c>
      <c r="B584" s="2" t="s">
        <v>369</v>
      </c>
      <c r="C584" s="2" t="s">
        <v>76</v>
      </c>
      <c r="D584" s="2" t="s">
        <v>2870</v>
      </c>
      <c r="E584" s="2" t="s">
        <v>37</v>
      </c>
      <c r="F584" s="2" t="s">
        <v>15</v>
      </c>
      <c r="G584" s="2" t="s">
        <v>44</v>
      </c>
      <c r="H584" s="2" t="s">
        <v>370</v>
      </c>
      <c r="I584" s="2">
        <v>0.5</v>
      </c>
      <c r="J584" s="2" t="s">
        <v>2887</v>
      </c>
      <c r="K584" s="2" t="s">
        <v>3294</v>
      </c>
      <c r="L584" s="2" t="s">
        <v>2916</v>
      </c>
      <c r="M584" s="2">
        <v>250</v>
      </c>
      <c r="N584" s="2">
        <v>1</v>
      </c>
      <c r="O584" s="2" t="s">
        <v>3295</v>
      </c>
    </row>
    <row r="585" spans="1:15">
      <c r="A585" s="2" t="s">
        <v>368</v>
      </c>
      <c r="B585" s="2" t="s">
        <v>369</v>
      </c>
      <c r="C585" s="2" t="s">
        <v>76</v>
      </c>
      <c r="D585" s="2" t="s">
        <v>2882</v>
      </c>
      <c r="E585" s="2" t="s">
        <v>39</v>
      </c>
      <c r="F585" s="2" t="s">
        <v>15</v>
      </c>
      <c r="G585" s="2" t="s">
        <v>44</v>
      </c>
      <c r="H585" s="2" t="s">
        <v>45</v>
      </c>
      <c r="I585" s="2" t="s">
        <v>12</v>
      </c>
      <c r="J585" s="2" t="s">
        <v>12</v>
      </c>
      <c r="K585" s="2" t="s">
        <v>12</v>
      </c>
      <c r="L585" s="2" t="s">
        <v>12</v>
      </c>
      <c r="M585" s="2" t="s">
        <v>12</v>
      </c>
      <c r="N585" s="2" t="s">
        <v>12</v>
      </c>
      <c r="O585" s="2" t="s">
        <v>12</v>
      </c>
    </row>
    <row r="586" spans="1:15">
      <c r="A586" s="2" t="s">
        <v>368</v>
      </c>
      <c r="B586" s="2" t="s">
        <v>369</v>
      </c>
      <c r="C586" s="2" t="s">
        <v>76</v>
      </c>
      <c r="D586" s="2" t="s">
        <v>2886</v>
      </c>
      <c r="E586" s="2" t="s">
        <v>41</v>
      </c>
      <c r="F586" s="2" t="s">
        <v>15</v>
      </c>
      <c r="G586" s="2" t="s">
        <v>20</v>
      </c>
      <c r="H586" s="2" t="s">
        <v>151</v>
      </c>
      <c r="I586" s="2">
        <v>1</v>
      </c>
      <c r="J586" s="2" t="s">
        <v>2887</v>
      </c>
      <c r="K586" s="2" t="s">
        <v>3294</v>
      </c>
      <c r="L586" s="2" t="s">
        <v>2916</v>
      </c>
      <c r="M586" s="2">
        <v>250</v>
      </c>
      <c r="N586" s="2">
        <v>333</v>
      </c>
      <c r="O586" s="2" t="s">
        <v>3296</v>
      </c>
    </row>
    <row r="587" spans="1:15">
      <c r="A587" s="2" t="s">
        <v>368</v>
      </c>
      <c r="B587" s="2" t="s">
        <v>369</v>
      </c>
      <c r="C587" s="2" t="s">
        <v>76</v>
      </c>
      <c r="D587" s="2" t="s">
        <v>2896</v>
      </c>
      <c r="E587" s="2" t="s">
        <v>43</v>
      </c>
      <c r="F587" s="2" t="s">
        <v>33</v>
      </c>
      <c r="G587" s="2" t="s">
        <v>44</v>
      </c>
      <c r="H587" s="2" t="s">
        <v>45</v>
      </c>
      <c r="I587" s="2" t="s">
        <v>12</v>
      </c>
      <c r="J587" s="2" t="s">
        <v>12</v>
      </c>
      <c r="K587" s="2" t="s">
        <v>12</v>
      </c>
      <c r="L587" s="2" t="s">
        <v>12</v>
      </c>
      <c r="M587" s="2" t="s">
        <v>12</v>
      </c>
      <c r="N587" s="2" t="s">
        <v>12</v>
      </c>
      <c r="O587" s="2" t="s">
        <v>12</v>
      </c>
    </row>
    <row r="588" spans="1:15">
      <c r="A588" s="2" t="s">
        <v>371</v>
      </c>
      <c r="B588" s="2" t="s">
        <v>372</v>
      </c>
      <c r="C588" s="2" t="s">
        <v>76</v>
      </c>
      <c r="D588" s="2" t="s">
        <v>2870</v>
      </c>
      <c r="E588" s="2" t="s">
        <v>373</v>
      </c>
      <c r="F588" s="2" t="s">
        <v>33</v>
      </c>
      <c r="G588" s="2" t="s">
        <v>44</v>
      </c>
      <c r="H588" s="2" t="s">
        <v>45</v>
      </c>
      <c r="I588" s="2" t="s">
        <v>12</v>
      </c>
      <c r="J588" s="2" t="s">
        <v>12</v>
      </c>
      <c r="K588" s="2" t="s">
        <v>12</v>
      </c>
      <c r="L588" s="2" t="s">
        <v>12</v>
      </c>
      <c r="M588" s="2" t="s">
        <v>12</v>
      </c>
      <c r="N588" s="2" t="s">
        <v>12</v>
      </c>
      <c r="O588" s="2" t="s">
        <v>12</v>
      </c>
    </row>
    <row r="589" spans="1:15">
      <c r="A589" s="2" t="s">
        <v>374</v>
      </c>
      <c r="B589" s="2" t="s">
        <v>375</v>
      </c>
      <c r="C589" s="2" t="s">
        <v>76</v>
      </c>
      <c r="D589" s="2" t="s">
        <v>2870</v>
      </c>
      <c r="E589" s="2" t="s">
        <v>376</v>
      </c>
      <c r="F589" s="2" t="s">
        <v>33</v>
      </c>
      <c r="G589" s="2" t="s">
        <v>44</v>
      </c>
      <c r="H589" s="2" t="s">
        <v>45</v>
      </c>
      <c r="I589" s="2" t="s">
        <v>12</v>
      </c>
      <c r="J589" s="2" t="s">
        <v>12</v>
      </c>
      <c r="K589" s="2" t="s">
        <v>12</v>
      </c>
      <c r="L589" s="2" t="s">
        <v>12</v>
      </c>
      <c r="M589" s="2" t="s">
        <v>12</v>
      </c>
      <c r="N589" s="2" t="s">
        <v>12</v>
      </c>
      <c r="O589" s="2" t="s">
        <v>12</v>
      </c>
    </row>
    <row r="590" spans="1:15">
      <c r="A590" s="2" t="s">
        <v>377</v>
      </c>
      <c r="B590" s="2" t="s">
        <v>378</v>
      </c>
      <c r="C590" s="2" t="s">
        <v>250</v>
      </c>
      <c r="D590" s="2" t="s">
        <v>2870</v>
      </c>
      <c r="E590" s="2" t="s">
        <v>14</v>
      </c>
      <c r="F590" s="2" t="s">
        <v>15</v>
      </c>
      <c r="G590" s="2" t="s">
        <v>44</v>
      </c>
      <c r="H590" s="2" t="s">
        <v>45</v>
      </c>
      <c r="I590" s="2" t="s">
        <v>12</v>
      </c>
      <c r="J590" s="2" t="s">
        <v>12</v>
      </c>
      <c r="K590" s="2" t="s">
        <v>12</v>
      </c>
      <c r="L590" s="2" t="s">
        <v>12</v>
      </c>
      <c r="M590" s="2" t="s">
        <v>12</v>
      </c>
      <c r="N590" s="2" t="s">
        <v>12</v>
      </c>
      <c r="O590" s="2" t="s">
        <v>12</v>
      </c>
    </row>
    <row r="591" spans="1:15">
      <c r="A591" s="2" t="s">
        <v>377</v>
      </c>
      <c r="B591" s="2" t="s">
        <v>378</v>
      </c>
      <c r="C591" s="2" t="s">
        <v>250</v>
      </c>
      <c r="D591" s="2" t="s">
        <v>2882</v>
      </c>
      <c r="E591" s="2" t="s">
        <v>19</v>
      </c>
      <c r="F591" s="2" t="s">
        <v>15</v>
      </c>
      <c r="G591" s="2" t="s">
        <v>44</v>
      </c>
      <c r="H591" s="2" t="s">
        <v>45</v>
      </c>
      <c r="I591" s="2" t="s">
        <v>12</v>
      </c>
      <c r="J591" s="2" t="s">
        <v>12</v>
      </c>
      <c r="K591" s="2" t="s">
        <v>12</v>
      </c>
      <c r="L591" s="2" t="s">
        <v>12</v>
      </c>
      <c r="M591" s="2" t="s">
        <v>12</v>
      </c>
      <c r="N591" s="2" t="s">
        <v>12</v>
      </c>
      <c r="O591" s="2" t="s">
        <v>12</v>
      </c>
    </row>
    <row r="592" spans="1:15">
      <c r="A592" s="2" t="s">
        <v>377</v>
      </c>
      <c r="B592" s="2" t="s">
        <v>378</v>
      </c>
      <c r="C592" s="2" t="s">
        <v>250</v>
      </c>
      <c r="D592" s="2" t="s">
        <v>2886</v>
      </c>
      <c r="E592" s="2" t="s">
        <v>23</v>
      </c>
      <c r="F592" s="2" t="s">
        <v>15</v>
      </c>
      <c r="G592" s="2" t="s">
        <v>20</v>
      </c>
      <c r="H592" s="2" t="s">
        <v>379</v>
      </c>
      <c r="I592" s="2">
        <v>1</v>
      </c>
      <c r="J592" s="2" t="s">
        <v>2887</v>
      </c>
      <c r="K592" s="2" t="s">
        <v>3244</v>
      </c>
      <c r="L592" s="2" t="s">
        <v>2873</v>
      </c>
      <c r="M592" s="2">
        <v>50</v>
      </c>
      <c r="N592" s="2">
        <v>54</v>
      </c>
      <c r="O592" s="2" t="s">
        <v>3297</v>
      </c>
    </row>
    <row r="593" spans="1:15">
      <c r="A593" s="2" t="s">
        <v>377</v>
      </c>
      <c r="B593" s="2" t="s">
        <v>378</v>
      </c>
      <c r="C593" s="2" t="s">
        <v>250</v>
      </c>
      <c r="D593" s="2" t="s">
        <v>2896</v>
      </c>
      <c r="E593" s="2" t="s">
        <v>26</v>
      </c>
      <c r="F593" s="2" t="s">
        <v>15</v>
      </c>
      <c r="G593" s="2" t="s">
        <v>20</v>
      </c>
      <c r="H593" s="2" t="s">
        <v>380</v>
      </c>
      <c r="I593" s="2">
        <v>1</v>
      </c>
      <c r="J593" s="2" t="s">
        <v>2887</v>
      </c>
      <c r="K593" s="2" t="s">
        <v>3244</v>
      </c>
      <c r="L593" s="2" t="s">
        <v>2873</v>
      </c>
      <c r="M593" s="2">
        <v>50</v>
      </c>
      <c r="N593" s="2">
        <v>77</v>
      </c>
      <c r="O593" s="2" t="s">
        <v>3298</v>
      </c>
    </row>
    <row r="594" spans="1:15">
      <c r="A594" s="2" t="s">
        <v>377</v>
      </c>
      <c r="B594" s="2" t="s">
        <v>378</v>
      </c>
      <c r="C594" s="2" t="s">
        <v>250</v>
      </c>
      <c r="D594" s="2" t="s">
        <v>2901</v>
      </c>
      <c r="E594" s="2" t="s">
        <v>29</v>
      </c>
      <c r="F594" s="2" t="s">
        <v>15</v>
      </c>
      <c r="G594" s="2" t="s">
        <v>20</v>
      </c>
      <c r="H594" s="2" t="s">
        <v>256</v>
      </c>
      <c r="I594" s="2">
        <v>1</v>
      </c>
      <c r="J594" s="2" t="s">
        <v>2887</v>
      </c>
      <c r="K594" s="2" t="s">
        <v>3244</v>
      </c>
      <c r="L594" s="2" t="s">
        <v>2873</v>
      </c>
      <c r="M594" s="2">
        <v>50</v>
      </c>
      <c r="N594" s="2">
        <v>52</v>
      </c>
      <c r="O594" s="2" t="s">
        <v>3246</v>
      </c>
    </row>
    <row r="595" spans="1:15">
      <c r="A595" s="2" t="s">
        <v>377</v>
      </c>
      <c r="B595" s="2" t="s">
        <v>378</v>
      </c>
      <c r="C595" s="2" t="s">
        <v>250</v>
      </c>
      <c r="D595" s="2" t="s">
        <v>2904</v>
      </c>
      <c r="E595" s="2" t="s">
        <v>32</v>
      </c>
      <c r="F595" s="2" t="s">
        <v>33</v>
      </c>
      <c r="G595" s="2" t="s">
        <v>44</v>
      </c>
      <c r="H595" s="2" t="s">
        <v>45</v>
      </c>
      <c r="I595" s="2" t="s">
        <v>12</v>
      </c>
      <c r="J595" s="2" t="s">
        <v>12</v>
      </c>
      <c r="K595" s="2" t="s">
        <v>12</v>
      </c>
      <c r="L595" s="2" t="s">
        <v>12</v>
      </c>
      <c r="M595" s="2" t="s">
        <v>12</v>
      </c>
      <c r="N595" s="2" t="s">
        <v>12</v>
      </c>
      <c r="O595" s="2" t="s">
        <v>12</v>
      </c>
    </row>
    <row r="596" spans="1:15">
      <c r="A596" s="2" t="s">
        <v>381</v>
      </c>
      <c r="B596" s="2" t="s">
        <v>382</v>
      </c>
      <c r="C596" s="2" t="s">
        <v>76</v>
      </c>
      <c r="D596" s="2" t="s">
        <v>2870</v>
      </c>
      <c r="E596" s="2" t="s">
        <v>37</v>
      </c>
      <c r="F596" s="2" t="s">
        <v>15</v>
      </c>
      <c r="G596" s="2" t="s">
        <v>44</v>
      </c>
      <c r="H596" s="2" t="s">
        <v>383</v>
      </c>
      <c r="I596" s="2">
        <v>0.5</v>
      </c>
      <c r="J596" s="2" t="s">
        <v>2947</v>
      </c>
      <c r="K596" s="2" t="s">
        <v>3264</v>
      </c>
      <c r="L596" s="2" t="s">
        <v>2916</v>
      </c>
      <c r="M596" s="2">
        <v>1027</v>
      </c>
      <c r="N596" s="2">
        <v>183</v>
      </c>
      <c r="O596" s="2" t="s">
        <v>3299</v>
      </c>
    </row>
    <row r="597" spans="1:15">
      <c r="A597" s="2" t="s">
        <v>381</v>
      </c>
      <c r="B597" s="2" t="s">
        <v>382</v>
      </c>
      <c r="C597" s="2" t="s">
        <v>76</v>
      </c>
      <c r="D597" s="2" t="s">
        <v>2882</v>
      </c>
      <c r="E597" s="2" t="s">
        <v>39</v>
      </c>
      <c r="F597" s="2" t="s">
        <v>15</v>
      </c>
      <c r="G597" s="2" t="s">
        <v>44</v>
      </c>
      <c r="H597" s="2" t="s">
        <v>45</v>
      </c>
      <c r="I597" s="2" t="s">
        <v>12</v>
      </c>
      <c r="J597" s="2" t="s">
        <v>12</v>
      </c>
      <c r="K597" s="2" t="s">
        <v>12</v>
      </c>
      <c r="L597" s="2" t="s">
        <v>12</v>
      </c>
      <c r="M597" s="2" t="s">
        <v>12</v>
      </c>
      <c r="N597" s="2" t="s">
        <v>12</v>
      </c>
      <c r="O597" s="2" t="s">
        <v>12</v>
      </c>
    </row>
    <row r="598" spans="1:15">
      <c r="A598" s="2" t="s">
        <v>381</v>
      </c>
      <c r="B598" s="2" t="s">
        <v>382</v>
      </c>
      <c r="C598" s="2" t="s">
        <v>76</v>
      </c>
      <c r="D598" s="2" t="s">
        <v>2886</v>
      </c>
      <c r="E598" s="2" t="s">
        <v>41</v>
      </c>
      <c r="F598" s="2" t="s">
        <v>15</v>
      </c>
      <c r="G598" s="2" t="s">
        <v>44</v>
      </c>
      <c r="H598" s="2" t="s">
        <v>45</v>
      </c>
      <c r="I598" s="2" t="s">
        <v>12</v>
      </c>
      <c r="J598" s="2" t="s">
        <v>12</v>
      </c>
      <c r="K598" s="2" t="s">
        <v>12</v>
      </c>
      <c r="L598" s="2" t="s">
        <v>12</v>
      </c>
      <c r="M598" s="2" t="s">
        <v>12</v>
      </c>
      <c r="N598" s="2" t="s">
        <v>12</v>
      </c>
      <c r="O598" s="2" t="s">
        <v>12</v>
      </c>
    </row>
    <row r="599" spans="1:15">
      <c r="A599" s="2" t="s">
        <v>381</v>
      </c>
      <c r="B599" s="2" t="s">
        <v>382</v>
      </c>
      <c r="C599" s="2" t="s">
        <v>76</v>
      </c>
      <c r="D599" s="2" t="s">
        <v>2896</v>
      </c>
      <c r="E599" s="2" t="s">
        <v>43</v>
      </c>
      <c r="F599" s="2" t="s">
        <v>33</v>
      </c>
      <c r="G599" s="2" t="s">
        <v>44</v>
      </c>
      <c r="H599" s="2" t="s">
        <v>45</v>
      </c>
      <c r="I599" s="2" t="s">
        <v>12</v>
      </c>
      <c r="J599" s="2" t="s">
        <v>12</v>
      </c>
      <c r="K599" s="2" t="s">
        <v>12</v>
      </c>
      <c r="L599" s="2" t="s">
        <v>12</v>
      </c>
      <c r="M599" s="2" t="s">
        <v>12</v>
      </c>
      <c r="N599" s="2" t="s">
        <v>12</v>
      </c>
      <c r="O599" s="2" t="s">
        <v>12</v>
      </c>
    </row>
    <row r="600" spans="1:15">
      <c r="A600" s="2" t="s">
        <v>384</v>
      </c>
      <c r="B600" s="2" t="s">
        <v>385</v>
      </c>
      <c r="C600" s="2" t="s">
        <v>48</v>
      </c>
      <c r="D600" s="2" t="s">
        <v>2870</v>
      </c>
      <c r="E600" s="2" t="s">
        <v>14</v>
      </c>
      <c r="F600" s="2" t="s">
        <v>15</v>
      </c>
      <c r="G600" s="2" t="s">
        <v>44</v>
      </c>
      <c r="H600" s="2" t="s">
        <v>45</v>
      </c>
      <c r="I600" s="2" t="s">
        <v>12</v>
      </c>
      <c r="J600" s="2" t="s">
        <v>12</v>
      </c>
      <c r="K600" s="2" t="s">
        <v>12</v>
      </c>
      <c r="L600" s="2" t="s">
        <v>12</v>
      </c>
      <c r="M600" s="2" t="s">
        <v>12</v>
      </c>
      <c r="N600" s="2" t="s">
        <v>12</v>
      </c>
      <c r="O600" s="2" t="s">
        <v>12</v>
      </c>
    </row>
    <row r="601" spans="1:15">
      <c r="A601" s="2" t="s">
        <v>384</v>
      </c>
      <c r="B601" s="2" t="s">
        <v>385</v>
      </c>
      <c r="C601" s="2" t="s">
        <v>48</v>
      </c>
      <c r="D601" s="2" t="s">
        <v>2882</v>
      </c>
      <c r="E601" s="2" t="s">
        <v>19</v>
      </c>
      <c r="F601" s="2" t="s">
        <v>15</v>
      </c>
      <c r="G601" s="2" t="s">
        <v>44</v>
      </c>
      <c r="H601" s="2" t="s">
        <v>137</v>
      </c>
      <c r="I601" s="2">
        <v>0.5</v>
      </c>
      <c r="J601" s="2" t="s">
        <v>2879</v>
      </c>
      <c r="K601" s="2" t="s">
        <v>2915</v>
      </c>
      <c r="L601" s="2" t="s">
        <v>2916</v>
      </c>
      <c r="M601" s="2">
        <v>20</v>
      </c>
      <c r="N601" s="2">
        <v>1</v>
      </c>
      <c r="O601" s="2" t="s">
        <v>3049</v>
      </c>
    </row>
    <row r="602" spans="1:15">
      <c r="A602" s="2" t="s">
        <v>384</v>
      </c>
      <c r="B602" s="2" t="s">
        <v>385</v>
      </c>
      <c r="C602" s="2" t="s">
        <v>48</v>
      </c>
      <c r="D602" s="2" t="s">
        <v>2882</v>
      </c>
      <c r="E602" s="2" t="s">
        <v>19</v>
      </c>
      <c r="F602" s="2" t="s">
        <v>15</v>
      </c>
      <c r="G602" s="2" t="s">
        <v>44</v>
      </c>
      <c r="H602" s="2" t="s">
        <v>137</v>
      </c>
      <c r="I602" s="2">
        <v>0.5</v>
      </c>
      <c r="J602" s="2" t="s">
        <v>2879</v>
      </c>
      <c r="K602" s="2" t="s">
        <v>2915</v>
      </c>
      <c r="L602" s="2" t="s">
        <v>2916</v>
      </c>
      <c r="M602" s="2">
        <v>26</v>
      </c>
      <c r="N602" s="2">
        <v>1</v>
      </c>
      <c r="O602" s="2" t="s">
        <v>3031</v>
      </c>
    </row>
    <row r="603" spans="1:15">
      <c r="A603" s="2" t="s">
        <v>384</v>
      </c>
      <c r="B603" s="2" t="s">
        <v>385</v>
      </c>
      <c r="C603" s="2" t="s">
        <v>48</v>
      </c>
      <c r="D603" s="2" t="s">
        <v>2882</v>
      </c>
      <c r="E603" s="2" t="s">
        <v>19</v>
      </c>
      <c r="F603" s="2" t="s">
        <v>15</v>
      </c>
      <c r="G603" s="2" t="s">
        <v>44</v>
      </c>
      <c r="H603" s="2" t="s">
        <v>137</v>
      </c>
      <c r="I603" s="2">
        <v>0.5</v>
      </c>
      <c r="J603" s="2" t="s">
        <v>2879</v>
      </c>
      <c r="K603" s="2" t="s">
        <v>2915</v>
      </c>
      <c r="L603" s="2" t="s">
        <v>2916</v>
      </c>
      <c r="M603" s="2">
        <v>308</v>
      </c>
      <c r="N603" s="2">
        <v>1</v>
      </c>
      <c r="O603" s="2" t="s">
        <v>3048</v>
      </c>
    </row>
    <row r="604" spans="1:15">
      <c r="A604" s="2" t="s">
        <v>384</v>
      </c>
      <c r="B604" s="2" t="s">
        <v>385</v>
      </c>
      <c r="C604" s="2" t="s">
        <v>48</v>
      </c>
      <c r="D604" s="2" t="s">
        <v>2886</v>
      </c>
      <c r="E604" s="2" t="s">
        <v>23</v>
      </c>
      <c r="F604" s="2" t="s">
        <v>15</v>
      </c>
      <c r="G604" s="2" t="s">
        <v>44</v>
      </c>
      <c r="H604" s="2" t="s">
        <v>45</v>
      </c>
      <c r="I604" s="2" t="s">
        <v>12</v>
      </c>
      <c r="J604" s="2" t="s">
        <v>12</v>
      </c>
      <c r="K604" s="2" t="s">
        <v>12</v>
      </c>
      <c r="L604" s="2" t="s">
        <v>12</v>
      </c>
      <c r="M604" s="2" t="s">
        <v>12</v>
      </c>
      <c r="N604" s="2" t="s">
        <v>12</v>
      </c>
      <c r="O604" s="2" t="s">
        <v>12</v>
      </c>
    </row>
    <row r="605" spans="1:15">
      <c r="A605" s="2" t="s">
        <v>384</v>
      </c>
      <c r="B605" s="2" t="s">
        <v>385</v>
      </c>
      <c r="C605" s="2" t="s">
        <v>48</v>
      </c>
      <c r="D605" s="2" t="s">
        <v>2896</v>
      </c>
      <c r="E605" s="2" t="s">
        <v>26</v>
      </c>
      <c r="F605" s="2" t="s">
        <v>15</v>
      </c>
      <c r="G605" s="2" t="s">
        <v>16</v>
      </c>
      <c r="H605" s="2" t="s">
        <v>386</v>
      </c>
      <c r="I605" s="2">
        <v>1.5</v>
      </c>
      <c r="J605" s="2" t="s">
        <v>2879</v>
      </c>
      <c r="K605" s="2" t="s">
        <v>2915</v>
      </c>
      <c r="L605" s="2" t="s">
        <v>2916</v>
      </c>
      <c r="M605" s="2">
        <v>308</v>
      </c>
      <c r="N605" s="2">
        <v>553</v>
      </c>
      <c r="O605" s="2" t="s">
        <v>3300</v>
      </c>
    </row>
    <row r="606" spans="1:15">
      <c r="A606" s="2" t="s">
        <v>384</v>
      </c>
      <c r="B606" s="2" t="s">
        <v>385</v>
      </c>
      <c r="C606" s="2" t="s">
        <v>48</v>
      </c>
      <c r="D606" s="2" t="s">
        <v>2896</v>
      </c>
      <c r="E606" s="2" t="s">
        <v>26</v>
      </c>
      <c r="F606" s="2" t="s">
        <v>15</v>
      </c>
      <c r="G606" s="2" t="s">
        <v>16</v>
      </c>
      <c r="H606" s="2" t="s">
        <v>386</v>
      </c>
      <c r="I606" s="2">
        <v>1.5</v>
      </c>
      <c r="J606" s="2" t="s">
        <v>2879</v>
      </c>
      <c r="K606" s="2" t="s">
        <v>2915</v>
      </c>
      <c r="L606" s="2" t="s">
        <v>2916</v>
      </c>
      <c r="M606" s="2">
        <v>26</v>
      </c>
      <c r="N606" s="2">
        <v>553</v>
      </c>
      <c r="O606" s="2" t="s">
        <v>3301</v>
      </c>
    </row>
    <row r="607" spans="1:15">
      <c r="A607" s="2" t="s">
        <v>384</v>
      </c>
      <c r="B607" s="2" t="s">
        <v>385</v>
      </c>
      <c r="C607" s="2" t="s">
        <v>48</v>
      </c>
      <c r="D607" s="2" t="s">
        <v>2896</v>
      </c>
      <c r="E607" s="2" t="s">
        <v>26</v>
      </c>
      <c r="F607" s="2" t="s">
        <v>15</v>
      </c>
      <c r="G607" s="2" t="s">
        <v>16</v>
      </c>
      <c r="H607" s="2" t="s">
        <v>386</v>
      </c>
      <c r="I607" s="2">
        <v>1.5</v>
      </c>
      <c r="J607" s="2" t="s">
        <v>2879</v>
      </c>
      <c r="K607" s="2" t="s">
        <v>2915</v>
      </c>
      <c r="L607" s="2" t="s">
        <v>2916</v>
      </c>
      <c r="M607" s="2">
        <v>20</v>
      </c>
      <c r="N607" s="2">
        <v>553</v>
      </c>
      <c r="O607" s="2" t="s">
        <v>3302</v>
      </c>
    </row>
    <row r="608" spans="1:15">
      <c r="A608" s="2" t="s">
        <v>384</v>
      </c>
      <c r="B608" s="2" t="s">
        <v>385</v>
      </c>
      <c r="C608" s="2" t="s">
        <v>48</v>
      </c>
      <c r="D608" s="2" t="s">
        <v>2901</v>
      </c>
      <c r="E608" s="2" t="s">
        <v>29</v>
      </c>
      <c r="F608" s="2" t="s">
        <v>15</v>
      </c>
      <c r="G608" s="2" t="s">
        <v>16</v>
      </c>
      <c r="H608" s="2" t="s">
        <v>387</v>
      </c>
      <c r="I608" s="2">
        <v>1.5</v>
      </c>
      <c r="J608" s="2" t="s">
        <v>2879</v>
      </c>
      <c r="K608" s="2" t="s">
        <v>2915</v>
      </c>
      <c r="L608" s="2" t="s">
        <v>2916</v>
      </c>
      <c r="M608" s="2">
        <v>308</v>
      </c>
      <c r="N608" s="2">
        <v>480</v>
      </c>
      <c r="O608" s="2" t="s">
        <v>3303</v>
      </c>
    </row>
    <row r="609" spans="1:15">
      <c r="A609" s="2" t="s">
        <v>384</v>
      </c>
      <c r="B609" s="2" t="s">
        <v>385</v>
      </c>
      <c r="C609" s="2" t="s">
        <v>48</v>
      </c>
      <c r="D609" s="2" t="s">
        <v>2901</v>
      </c>
      <c r="E609" s="2" t="s">
        <v>29</v>
      </c>
      <c r="F609" s="2" t="s">
        <v>15</v>
      </c>
      <c r="G609" s="2" t="s">
        <v>16</v>
      </c>
      <c r="H609" s="2" t="s">
        <v>387</v>
      </c>
      <c r="I609" s="2">
        <v>1.5</v>
      </c>
      <c r="J609" s="2" t="s">
        <v>2879</v>
      </c>
      <c r="K609" s="2" t="s">
        <v>2915</v>
      </c>
      <c r="L609" s="2" t="s">
        <v>2916</v>
      </c>
      <c r="M609" s="2">
        <v>26</v>
      </c>
      <c r="N609" s="2">
        <v>480</v>
      </c>
      <c r="O609" s="2" t="s">
        <v>3304</v>
      </c>
    </row>
    <row r="610" spans="1:15">
      <c r="A610" s="2" t="s">
        <v>384</v>
      </c>
      <c r="B610" s="2" t="s">
        <v>385</v>
      </c>
      <c r="C610" s="2" t="s">
        <v>48</v>
      </c>
      <c r="D610" s="2" t="s">
        <v>2901</v>
      </c>
      <c r="E610" s="2" t="s">
        <v>29</v>
      </c>
      <c r="F610" s="2" t="s">
        <v>15</v>
      </c>
      <c r="G610" s="2" t="s">
        <v>16</v>
      </c>
      <c r="H610" s="2" t="s">
        <v>387</v>
      </c>
      <c r="I610" s="2">
        <v>1.5</v>
      </c>
      <c r="J610" s="2" t="s">
        <v>2879</v>
      </c>
      <c r="K610" s="2" t="s">
        <v>2915</v>
      </c>
      <c r="L610" s="2" t="s">
        <v>2916</v>
      </c>
      <c r="M610" s="2">
        <v>20</v>
      </c>
      <c r="N610" s="2">
        <v>480</v>
      </c>
      <c r="O610" s="2" t="s">
        <v>3305</v>
      </c>
    </row>
    <row r="611" spans="1:15">
      <c r="A611" s="2" t="s">
        <v>384</v>
      </c>
      <c r="B611" s="2" t="s">
        <v>385</v>
      </c>
      <c r="C611" s="2" t="s">
        <v>48</v>
      </c>
      <c r="D611" s="2" t="s">
        <v>2904</v>
      </c>
      <c r="E611" s="2" t="s">
        <v>32</v>
      </c>
      <c r="F611" s="2" t="s">
        <v>33</v>
      </c>
      <c r="G611" s="2" t="s">
        <v>44</v>
      </c>
      <c r="H611" s="2" t="s">
        <v>45</v>
      </c>
      <c r="I611" s="2" t="s">
        <v>12</v>
      </c>
      <c r="J611" s="2" t="s">
        <v>12</v>
      </c>
      <c r="K611" s="2" t="s">
        <v>12</v>
      </c>
      <c r="L611" s="2" t="s">
        <v>12</v>
      </c>
      <c r="M611" s="2" t="s">
        <v>12</v>
      </c>
      <c r="N611" s="2" t="s">
        <v>12</v>
      </c>
      <c r="O611" s="2" t="s">
        <v>12</v>
      </c>
    </row>
    <row r="612" spans="1:15">
      <c r="A612" s="2" t="s">
        <v>388</v>
      </c>
      <c r="B612" s="2" t="s">
        <v>389</v>
      </c>
      <c r="C612" s="2" t="s">
        <v>48</v>
      </c>
      <c r="D612" s="2" t="s">
        <v>2870</v>
      </c>
      <c r="E612" s="2" t="s">
        <v>49</v>
      </c>
      <c r="F612" s="2" t="s">
        <v>15</v>
      </c>
      <c r="G612" s="2" t="s">
        <v>44</v>
      </c>
      <c r="H612" s="2" t="s">
        <v>45</v>
      </c>
      <c r="I612" s="2" t="s">
        <v>12</v>
      </c>
      <c r="J612" s="2" t="s">
        <v>12</v>
      </c>
      <c r="K612" s="2" t="s">
        <v>12</v>
      </c>
      <c r="L612" s="2" t="s">
        <v>12</v>
      </c>
      <c r="M612" s="2" t="s">
        <v>12</v>
      </c>
      <c r="N612" s="2" t="s">
        <v>12</v>
      </c>
      <c r="O612" s="2" t="s">
        <v>12</v>
      </c>
    </row>
    <row r="613" spans="1:15">
      <c r="A613" s="2" t="s">
        <v>388</v>
      </c>
      <c r="B613" s="2" t="s">
        <v>389</v>
      </c>
      <c r="C613" s="2" t="s">
        <v>48</v>
      </c>
      <c r="D613" s="2" t="s">
        <v>2882</v>
      </c>
      <c r="E613" s="2" t="s">
        <v>51</v>
      </c>
      <c r="F613" s="2" t="s">
        <v>15</v>
      </c>
      <c r="G613" s="2" t="s">
        <v>44</v>
      </c>
      <c r="H613" s="2" t="s">
        <v>45</v>
      </c>
      <c r="I613" s="2" t="s">
        <v>12</v>
      </c>
      <c r="J613" s="2" t="s">
        <v>12</v>
      </c>
      <c r="K613" s="2" t="s">
        <v>12</v>
      </c>
      <c r="L613" s="2" t="s">
        <v>12</v>
      </c>
      <c r="M613" s="2" t="s">
        <v>12</v>
      </c>
      <c r="N613" s="2" t="s">
        <v>12</v>
      </c>
      <c r="O613" s="2" t="s">
        <v>12</v>
      </c>
    </row>
    <row r="614" spans="1:15">
      <c r="A614" s="2" t="s">
        <v>388</v>
      </c>
      <c r="B614" s="2" t="s">
        <v>389</v>
      </c>
      <c r="C614" s="2" t="s">
        <v>48</v>
      </c>
      <c r="D614" s="2" t="s">
        <v>2886</v>
      </c>
      <c r="E614" s="2" t="s">
        <v>52</v>
      </c>
      <c r="F614" s="2" t="s">
        <v>15</v>
      </c>
      <c r="G614" s="2" t="s">
        <v>44</v>
      </c>
      <c r="H614" s="2" t="s">
        <v>45</v>
      </c>
      <c r="I614" s="2" t="s">
        <v>12</v>
      </c>
      <c r="J614" s="2" t="s">
        <v>12</v>
      </c>
      <c r="K614" s="2" t="s">
        <v>12</v>
      </c>
      <c r="L614" s="2" t="s">
        <v>12</v>
      </c>
      <c r="M614" s="2" t="s">
        <v>12</v>
      </c>
      <c r="N614" s="2" t="s">
        <v>12</v>
      </c>
      <c r="O614" s="2" t="s">
        <v>12</v>
      </c>
    </row>
    <row r="615" spans="1:15">
      <c r="A615" s="2" t="s">
        <v>388</v>
      </c>
      <c r="B615" s="2" t="s">
        <v>389</v>
      </c>
      <c r="C615" s="2" t="s">
        <v>48</v>
      </c>
      <c r="D615" s="2" t="s">
        <v>2896</v>
      </c>
      <c r="E615" s="2" t="s">
        <v>54</v>
      </c>
      <c r="F615" s="2" t="s">
        <v>15</v>
      </c>
      <c r="G615" s="2" t="s">
        <v>16</v>
      </c>
      <c r="H615" s="2" t="s">
        <v>136</v>
      </c>
      <c r="I615" s="2">
        <v>1.5</v>
      </c>
      <c r="J615" s="2" t="s">
        <v>2879</v>
      </c>
      <c r="K615" s="2" t="s">
        <v>2915</v>
      </c>
      <c r="L615" s="2" t="s">
        <v>2916</v>
      </c>
      <c r="M615" s="2">
        <v>308</v>
      </c>
      <c r="N615" s="2">
        <v>134</v>
      </c>
      <c r="O615" s="2" t="s">
        <v>3047</v>
      </c>
    </row>
    <row r="616" spans="1:15">
      <c r="A616" s="2" t="s">
        <v>388</v>
      </c>
      <c r="B616" s="2" t="s">
        <v>389</v>
      </c>
      <c r="C616" s="2" t="s">
        <v>48</v>
      </c>
      <c r="D616" s="2" t="s">
        <v>2896</v>
      </c>
      <c r="E616" s="2" t="s">
        <v>54</v>
      </c>
      <c r="F616" s="2" t="s">
        <v>15</v>
      </c>
      <c r="G616" s="2" t="s">
        <v>16</v>
      </c>
      <c r="H616" s="2" t="s">
        <v>136</v>
      </c>
      <c r="I616" s="2">
        <v>1.5</v>
      </c>
      <c r="J616" s="2" t="s">
        <v>2879</v>
      </c>
      <c r="K616" s="2" t="s">
        <v>2915</v>
      </c>
      <c r="L616" s="2" t="s">
        <v>2916</v>
      </c>
      <c r="M616" s="2">
        <v>26</v>
      </c>
      <c r="N616" s="2">
        <v>134</v>
      </c>
      <c r="O616" s="2" t="s">
        <v>3046</v>
      </c>
    </row>
    <row r="617" spans="1:15">
      <c r="A617" s="2" t="s">
        <v>388</v>
      </c>
      <c r="B617" s="2" t="s">
        <v>389</v>
      </c>
      <c r="C617" s="2" t="s">
        <v>48</v>
      </c>
      <c r="D617" s="2" t="s">
        <v>2896</v>
      </c>
      <c r="E617" s="2" t="s">
        <v>54</v>
      </c>
      <c r="F617" s="2" t="s">
        <v>15</v>
      </c>
      <c r="G617" s="2" t="s">
        <v>16</v>
      </c>
      <c r="H617" s="2" t="s">
        <v>136</v>
      </c>
      <c r="I617" s="2">
        <v>1.5</v>
      </c>
      <c r="J617" s="2" t="s">
        <v>2879</v>
      </c>
      <c r="K617" s="2" t="s">
        <v>2915</v>
      </c>
      <c r="L617" s="2" t="s">
        <v>2916</v>
      </c>
      <c r="M617" s="2">
        <v>20</v>
      </c>
      <c r="N617" s="2">
        <v>134</v>
      </c>
      <c r="O617" s="2" t="s">
        <v>3045</v>
      </c>
    </row>
    <row r="618" spans="1:15">
      <c r="A618" s="2" t="s">
        <v>388</v>
      </c>
      <c r="B618" s="2" t="s">
        <v>389</v>
      </c>
      <c r="C618" s="2" t="s">
        <v>48</v>
      </c>
      <c r="D618" s="2" t="s">
        <v>2901</v>
      </c>
      <c r="E618" s="2" t="s">
        <v>56</v>
      </c>
      <c r="F618" s="2" t="s">
        <v>15</v>
      </c>
      <c r="G618" s="2" t="s">
        <v>16</v>
      </c>
      <c r="H618" s="2" t="s">
        <v>68</v>
      </c>
      <c r="I618" s="2">
        <v>1.5</v>
      </c>
      <c r="J618" s="2" t="s">
        <v>2879</v>
      </c>
      <c r="K618" s="2" t="s">
        <v>2915</v>
      </c>
      <c r="L618" s="2" t="s">
        <v>2916</v>
      </c>
      <c r="M618" s="2">
        <v>308</v>
      </c>
      <c r="N618" s="2">
        <v>110</v>
      </c>
      <c r="O618" s="2" t="s">
        <v>2938</v>
      </c>
    </row>
    <row r="619" spans="1:15">
      <c r="A619" s="2" t="s">
        <v>388</v>
      </c>
      <c r="B619" s="2" t="s">
        <v>389</v>
      </c>
      <c r="C619" s="2" t="s">
        <v>48</v>
      </c>
      <c r="D619" s="2" t="s">
        <v>2901</v>
      </c>
      <c r="E619" s="2" t="s">
        <v>56</v>
      </c>
      <c r="F619" s="2" t="s">
        <v>15</v>
      </c>
      <c r="G619" s="2" t="s">
        <v>16</v>
      </c>
      <c r="H619" s="2" t="s">
        <v>68</v>
      </c>
      <c r="I619" s="2">
        <v>1.5</v>
      </c>
      <c r="J619" s="2" t="s">
        <v>2879</v>
      </c>
      <c r="K619" s="2" t="s">
        <v>2915</v>
      </c>
      <c r="L619" s="2" t="s">
        <v>2916</v>
      </c>
      <c r="M619" s="2">
        <v>26</v>
      </c>
      <c r="N619" s="2">
        <v>110</v>
      </c>
      <c r="O619" s="2" t="s">
        <v>2939</v>
      </c>
    </row>
    <row r="620" spans="1:15">
      <c r="A620" s="2" t="s">
        <v>388</v>
      </c>
      <c r="B620" s="2" t="s">
        <v>389</v>
      </c>
      <c r="C620" s="2" t="s">
        <v>48</v>
      </c>
      <c r="D620" s="2" t="s">
        <v>2901</v>
      </c>
      <c r="E620" s="2" t="s">
        <v>56</v>
      </c>
      <c r="F620" s="2" t="s">
        <v>15</v>
      </c>
      <c r="G620" s="2" t="s">
        <v>16</v>
      </c>
      <c r="H620" s="2" t="s">
        <v>68</v>
      </c>
      <c r="I620" s="2">
        <v>1.5</v>
      </c>
      <c r="J620" s="2" t="s">
        <v>2879</v>
      </c>
      <c r="K620" s="2" t="s">
        <v>2915</v>
      </c>
      <c r="L620" s="2" t="s">
        <v>2916</v>
      </c>
      <c r="M620" s="2">
        <v>20</v>
      </c>
      <c r="N620" s="2">
        <v>110</v>
      </c>
      <c r="O620" s="2" t="s">
        <v>2940</v>
      </c>
    </row>
    <row r="621" spans="1:15">
      <c r="A621" s="2" t="s">
        <v>388</v>
      </c>
      <c r="B621" s="2" t="s">
        <v>389</v>
      </c>
      <c r="C621" s="2" t="s">
        <v>48</v>
      </c>
      <c r="D621" s="2" t="s">
        <v>2904</v>
      </c>
      <c r="E621" s="2" t="s">
        <v>57</v>
      </c>
      <c r="F621" s="2" t="s">
        <v>33</v>
      </c>
      <c r="G621" s="2" t="s">
        <v>44</v>
      </c>
      <c r="H621" s="2" t="s">
        <v>45</v>
      </c>
      <c r="I621" s="2" t="s">
        <v>12</v>
      </c>
      <c r="J621" s="2" t="s">
        <v>12</v>
      </c>
      <c r="K621" s="2" t="s">
        <v>12</v>
      </c>
      <c r="L621" s="2" t="s">
        <v>12</v>
      </c>
      <c r="M621" s="2" t="s">
        <v>12</v>
      </c>
      <c r="N621" s="2" t="s">
        <v>12</v>
      </c>
      <c r="O621" s="2" t="s">
        <v>12</v>
      </c>
    </row>
    <row r="622" spans="1:15">
      <c r="A622" s="2" t="s">
        <v>390</v>
      </c>
      <c r="B622" s="2" t="s">
        <v>391</v>
      </c>
      <c r="C622" s="2" t="s">
        <v>76</v>
      </c>
      <c r="D622" s="2" t="s">
        <v>2870</v>
      </c>
      <c r="E622" s="2" t="s">
        <v>392</v>
      </c>
      <c r="F622" s="2" t="s">
        <v>15</v>
      </c>
      <c r="G622" s="2" t="s">
        <v>44</v>
      </c>
      <c r="H622" s="2" t="s">
        <v>45</v>
      </c>
      <c r="I622" s="2" t="s">
        <v>12</v>
      </c>
      <c r="J622" s="2" t="s">
        <v>12</v>
      </c>
      <c r="K622" s="2" t="s">
        <v>12</v>
      </c>
      <c r="L622" s="2" t="s">
        <v>12</v>
      </c>
      <c r="M622" s="2" t="s">
        <v>12</v>
      </c>
      <c r="N622" s="2" t="s">
        <v>12</v>
      </c>
      <c r="O622" s="2" t="s">
        <v>12</v>
      </c>
    </row>
    <row r="623" spans="1:15">
      <c r="A623" s="2" t="s">
        <v>390</v>
      </c>
      <c r="B623" s="2" t="s">
        <v>391</v>
      </c>
      <c r="C623" s="2" t="s">
        <v>76</v>
      </c>
      <c r="D623" s="2" t="s">
        <v>2882</v>
      </c>
      <c r="E623" s="2" t="s">
        <v>393</v>
      </c>
      <c r="F623" s="2" t="s">
        <v>15</v>
      </c>
      <c r="G623" s="2" t="s">
        <v>16</v>
      </c>
      <c r="H623" s="2" t="s">
        <v>394</v>
      </c>
      <c r="I623" s="2">
        <v>1.0900000000000001</v>
      </c>
      <c r="J623" s="2" t="s">
        <v>2887</v>
      </c>
      <c r="K623" s="2" t="s">
        <v>3306</v>
      </c>
      <c r="L623" s="2" t="s">
        <v>2916</v>
      </c>
      <c r="M623" s="2">
        <v>51</v>
      </c>
      <c r="N623" s="2">
        <v>58</v>
      </c>
      <c r="O623" s="2" t="s">
        <v>3307</v>
      </c>
    </row>
    <row r="624" spans="1:15">
      <c r="A624" s="2" t="s">
        <v>390</v>
      </c>
      <c r="B624" s="2" t="s">
        <v>391</v>
      </c>
      <c r="C624" s="2" t="s">
        <v>76</v>
      </c>
      <c r="D624" s="2" t="s">
        <v>2882</v>
      </c>
      <c r="E624" s="2" t="s">
        <v>393</v>
      </c>
      <c r="F624" s="2" t="s">
        <v>15</v>
      </c>
      <c r="G624" s="2" t="s">
        <v>16</v>
      </c>
      <c r="H624" s="2" t="s">
        <v>394</v>
      </c>
      <c r="I624" s="2">
        <v>1.0900000000000001</v>
      </c>
      <c r="J624" s="2" t="s">
        <v>2887</v>
      </c>
      <c r="K624" s="2" t="s">
        <v>3308</v>
      </c>
      <c r="L624" s="2" t="s">
        <v>2916</v>
      </c>
      <c r="M624" s="2">
        <v>154</v>
      </c>
      <c r="N624" s="2">
        <v>160</v>
      </c>
      <c r="O624" s="2" t="s">
        <v>3309</v>
      </c>
    </row>
    <row r="625" spans="1:15">
      <c r="A625" s="2" t="s">
        <v>390</v>
      </c>
      <c r="B625" s="2" t="s">
        <v>391</v>
      </c>
      <c r="C625" s="2" t="s">
        <v>76</v>
      </c>
      <c r="D625" s="2" t="s">
        <v>2886</v>
      </c>
      <c r="E625" s="2" t="s">
        <v>395</v>
      </c>
      <c r="F625" s="2" t="s">
        <v>15</v>
      </c>
      <c r="G625" s="2" t="s">
        <v>16</v>
      </c>
      <c r="H625" s="2" t="s">
        <v>396</v>
      </c>
      <c r="I625" s="2">
        <v>1.04</v>
      </c>
      <c r="J625" s="2" t="s">
        <v>2887</v>
      </c>
      <c r="K625" s="2" t="s">
        <v>3308</v>
      </c>
      <c r="L625" s="2" t="s">
        <v>2916</v>
      </c>
      <c r="M625" s="2">
        <v>154</v>
      </c>
      <c r="N625" s="2">
        <v>158</v>
      </c>
      <c r="O625" s="2" t="s">
        <v>3310</v>
      </c>
    </row>
    <row r="626" spans="1:15">
      <c r="A626" s="2" t="s">
        <v>390</v>
      </c>
      <c r="B626" s="2" t="s">
        <v>391</v>
      </c>
      <c r="C626" s="2" t="s">
        <v>76</v>
      </c>
      <c r="D626" s="2" t="s">
        <v>2886</v>
      </c>
      <c r="E626" s="2" t="s">
        <v>395</v>
      </c>
      <c r="F626" s="2" t="s">
        <v>15</v>
      </c>
      <c r="G626" s="2" t="s">
        <v>16</v>
      </c>
      <c r="H626" s="2" t="s">
        <v>396</v>
      </c>
      <c r="I626" s="2">
        <v>1.04</v>
      </c>
      <c r="J626" s="2" t="s">
        <v>2887</v>
      </c>
      <c r="K626" s="2" t="s">
        <v>3306</v>
      </c>
      <c r="L626" s="2" t="s">
        <v>2916</v>
      </c>
      <c r="M626" s="2">
        <v>51</v>
      </c>
      <c r="N626" s="2">
        <v>54</v>
      </c>
      <c r="O626" s="2" t="s">
        <v>3311</v>
      </c>
    </row>
    <row r="627" spans="1:15">
      <c r="A627" s="2" t="s">
        <v>390</v>
      </c>
      <c r="B627" s="2" t="s">
        <v>391</v>
      </c>
      <c r="C627" s="2" t="s">
        <v>76</v>
      </c>
      <c r="D627" s="2" t="s">
        <v>2896</v>
      </c>
      <c r="E627" s="2" t="s">
        <v>348</v>
      </c>
      <c r="F627" s="2" t="s">
        <v>33</v>
      </c>
      <c r="G627" s="2" t="s">
        <v>16</v>
      </c>
      <c r="H627" s="2" t="s">
        <v>397</v>
      </c>
      <c r="I627" s="2">
        <v>1.01</v>
      </c>
      <c r="J627" s="2" t="s">
        <v>2887</v>
      </c>
      <c r="K627" s="2" t="s">
        <v>3308</v>
      </c>
      <c r="L627" s="2" t="s">
        <v>2916</v>
      </c>
      <c r="M627" s="2">
        <v>154</v>
      </c>
      <c r="N627" s="2">
        <v>155</v>
      </c>
      <c r="O627" s="2" t="s">
        <v>3312</v>
      </c>
    </row>
    <row r="628" spans="1:15">
      <c r="A628" s="2" t="s">
        <v>390</v>
      </c>
      <c r="B628" s="2" t="s">
        <v>391</v>
      </c>
      <c r="C628" s="2" t="s">
        <v>76</v>
      </c>
      <c r="D628" s="2" t="s">
        <v>2896</v>
      </c>
      <c r="E628" s="2" t="s">
        <v>348</v>
      </c>
      <c r="F628" s="2" t="s">
        <v>33</v>
      </c>
      <c r="G628" s="2" t="s">
        <v>16</v>
      </c>
      <c r="H628" s="2" t="s">
        <v>397</v>
      </c>
      <c r="I628" s="2">
        <v>1.01</v>
      </c>
      <c r="J628" s="2" t="s">
        <v>2887</v>
      </c>
      <c r="K628" s="2" t="s">
        <v>3306</v>
      </c>
      <c r="L628" s="2" t="s">
        <v>2916</v>
      </c>
      <c r="M628" s="2">
        <v>51</v>
      </c>
      <c r="N628" s="2">
        <v>52</v>
      </c>
      <c r="O628" s="2" t="s">
        <v>3313</v>
      </c>
    </row>
    <row r="629" spans="1:15">
      <c r="A629" s="2" t="s">
        <v>398</v>
      </c>
      <c r="B629" s="2" t="s">
        <v>399</v>
      </c>
      <c r="C629" s="2" t="s">
        <v>76</v>
      </c>
      <c r="D629" s="2" t="s">
        <v>2870</v>
      </c>
      <c r="E629" s="2" t="s">
        <v>376</v>
      </c>
      <c r="F629" s="2" t="s">
        <v>33</v>
      </c>
      <c r="G629" s="2" t="s">
        <v>44</v>
      </c>
      <c r="H629" s="2" t="s">
        <v>45</v>
      </c>
      <c r="I629" s="2" t="s">
        <v>12</v>
      </c>
      <c r="J629" s="2" t="s">
        <v>12</v>
      </c>
      <c r="K629" s="2" t="s">
        <v>12</v>
      </c>
      <c r="L629" s="2" t="s">
        <v>12</v>
      </c>
      <c r="M629" s="2" t="s">
        <v>12</v>
      </c>
      <c r="N629" s="2" t="s">
        <v>12</v>
      </c>
      <c r="O629" s="2" t="s">
        <v>12</v>
      </c>
    </row>
    <row r="630" spans="1:15">
      <c r="A630" s="2" t="s">
        <v>400</v>
      </c>
      <c r="B630" s="2" t="s">
        <v>401</v>
      </c>
      <c r="C630" s="2" t="s">
        <v>48</v>
      </c>
      <c r="D630" s="2" t="s">
        <v>2870</v>
      </c>
      <c r="E630" s="2" t="s">
        <v>122</v>
      </c>
      <c r="F630" s="2" t="s">
        <v>15</v>
      </c>
      <c r="G630" s="2" t="s">
        <v>44</v>
      </c>
      <c r="H630" s="2" t="s">
        <v>45</v>
      </c>
      <c r="I630" s="2" t="s">
        <v>12</v>
      </c>
      <c r="J630" s="2" t="s">
        <v>12</v>
      </c>
      <c r="K630" s="2" t="s">
        <v>12</v>
      </c>
      <c r="L630" s="2" t="s">
        <v>12</v>
      </c>
      <c r="M630" s="2" t="s">
        <v>12</v>
      </c>
      <c r="N630" s="2" t="s">
        <v>12</v>
      </c>
      <c r="O630" s="2" t="s">
        <v>12</v>
      </c>
    </row>
    <row r="631" spans="1:15">
      <c r="A631" s="2" t="s">
        <v>400</v>
      </c>
      <c r="B631" s="2" t="s">
        <v>401</v>
      </c>
      <c r="C631" s="2" t="s">
        <v>48</v>
      </c>
      <c r="D631" s="2" t="s">
        <v>2882</v>
      </c>
      <c r="E631" s="2" t="s">
        <v>124</v>
      </c>
      <c r="F631" s="2" t="s">
        <v>15</v>
      </c>
      <c r="G631" s="2" t="s">
        <v>44</v>
      </c>
      <c r="H631" s="2" t="s">
        <v>45</v>
      </c>
      <c r="I631" s="2" t="s">
        <v>12</v>
      </c>
      <c r="J631" s="2" t="s">
        <v>12</v>
      </c>
      <c r="K631" s="2" t="s">
        <v>12</v>
      </c>
      <c r="L631" s="2" t="s">
        <v>12</v>
      </c>
      <c r="M631" s="2" t="s">
        <v>12</v>
      </c>
      <c r="N631" s="2" t="s">
        <v>12</v>
      </c>
      <c r="O631" s="2" t="s">
        <v>12</v>
      </c>
    </row>
    <row r="632" spans="1:15">
      <c r="A632" s="2" t="s">
        <v>400</v>
      </c>
      <c r="B632" s="2" t="s">
        <v>401</v>
      </c>
      <c r="C632" s="2" t="s">
        <v>48</v>
      </c>
      <c r="D632" s="2" t="s">
        <v>2886</v>
      </c>
      <c r="E632" s="2" t="s">
        <v>126</v>
      </c>
      <c r="F632" s="2" t="s">
        <v>15</v>
      </c>
      <c r="G632" s="2" t="s">
        <v>44</v>
      </c>
      <c r="H632" s="2" t="s">
        <v>45</v>
      </c>
      <c r="I632" s="2" t="s">
        <v>12</v>
      </c>
      <c r="J632" s="2" t="s">
        <v>12</v>
      </c>
      <c r="K632" s="2" t="s">
        <v>12</v>
      </c>
      <c r="L632" s="2" t="s">
        <v>12</v>
      </c>
      <c r="M632" s="2" t="s">
        <v>12</v>
      </c>
      <c r="N632" s="2" t="s">
        <v>12</v>
      </c>
      <c r="O632" s="2" t="s">
        <v>12</v>
      </c>
    </row>
    <row r="633" spans="1:15">
      <c r="A633" s="2" t="s">
        <v>400</v>
      </c>
      <c r="B633" s="2" t="s">
        <v>401</v>
      </c>
      <c r="C633" s="2" t="s">
        <v>48</v>
      </c>
      <c r="D633" s="2" t="s">
        <v>2896</v>
      </c>
      <c r="E633" s="2" t="s">
        <v>128</v>
      </c>
      <c r="F633" s="2" t="s">
        <v>15</v>
      </c>
      <c r="G633" s="2" t="s">
        <v>44</v>
      </c>
      <c r="H633" s="2" t="s">
        <v>45</v>
      </c>
      <c r="I633" s="2" t="s">
        <v>12</v>
      </c>
      <c r="J633" s="2" t="s">
        <v>12</v>
      </c>
      <c r="K633" s="2" t="s">
        <v>12</v>
      </c>
      <c r="L633" s="2" t="s">
        <v>12</v>
      </c>
      <c r="M633" s="2" t="s">
        <v>12</v>
      </c>
      <c r="N633" s="2" t="s">
        <v>12</v>
      </c>
      <c r="O633" s="2" t="s">
        <v>12</v>
      </c>
    </row>
    <row r="634" spans="1:15">
      <c r="A634" s="2" t="s">
        <v>400</v>
      </c>
      <c r="B634" s="2" t="s">
        <v>401</v>
      </c>
      <c r="C634" s="2" t="s">
        <v>48</v>
      </c>
      <c r="D634" s="2" t="s">
        <v>2901</v>
      </c>
      <c r="E634" s="2" t="s">
        <v>130</v>
      </c>
      <c r="F634" s="2" t="s">
        <v>15</v>
      </c>
      <c r="G634" s="2" t="s">
        <v>44</v>
      </c>
      <c r="H634" s="2" t="s">
        <v>45</v>
      </c>
      <c r="I634" s="2" t="s">
        <v>12</v>
      </c>
      <c r="J634" s="2" t="s">
        <v>12</v>
      </c>
      <c r="K634" s="2" t="s">
        <v>12</v>
      </c>
      <c r="L634" s="2" t="s">
        <v>12</v>
      </c>
      <c r="M634" s="2" t="s">
        <v>12</v>
      </c>
      <c r="N634" s="2" t="s">
        <v>12</v>
      </c>
      <c r="O634" s="2" t="s">
        <v>12</v>
      </c>
    </row>
    <row r="635" spans="1:15">
      <c r="A635" s="2" t="s">
        <v>400</v>
      </c>
      <c r="B635" s="2" t="s">
        <v>401</v>
      </c>
      <c r="C635" s="2" t="s">
        <v>48</v>
      </c>
      <c r="D635" s="2" t="s">
        <v>2904</v>
      </c>
      <c r="E635" s="2" t="s">
        <v>132</v>
      </c>
      <c r="F635" s="2" t="s">
        <v>33</v>
      </c>
      <c r="G635" s="2" t="s">
        <v>44</v>
      </c>
      <c r="H635" s="2" t="s">
        <v>45</v>
      </c>
      <c r="I635" s="2" t="s">
        <v>12</v>
      </c>
      <c r="J635" s="2" t="s">
        <v>12</v>
      </c>
      <c r="K635" s="2" t="s">
        <v>12</v>
      </c>
      <c r="L635" s="2" t="s">
        <v>12</v>
      </c>
      <c r="M635" s="2" t="s">
        <v>12</v>
      </c>
      <c r="N635" s="2" t="s">
        <v>12</v>
      </c>
      <c r="O635" s="2" t="s">
        <v>12</v>
      </c>
    </row>
    <row r="636" spans="1:15">
      <c r="A636" s="2" t="s">
        <v>402</v>
      </c>
      <c r="B636" s="2" t="s">
        <v>403</v>
      </c>
      <c r="C636" s="2" t="s">
        <v>76</v>
      </c>
      <c r="D636" s="2" t="s">
        <v>2870</v>
      </c>
      <c r="E636" s="2" t="s">
        <v>404</v>
      </c>
      <c r="F636" s="2" t="s">
        <v>33</v>
      </c>
      <c r="G636" s="2" t="s">
        <v>44</v>
      </c>
      <c r="H636" s="2" t="s">
        <v>45</v>
      </c>
      <c r="I636" s="2" t="s">
        <v>12</v>
      </c>
      <c r="J636" s="2" t="s">
        <v>12</v>
      </c>
      <c r="K636" s="2" t="s">
        <v>12</v>
      </c>
      <c r="L636" s="2" t="s">
        <v>12</v>
      </c>
      <c r="M636" s="2" t="s">
        <v>12</v>
      </c>
      <c r="N636" s="2" t="s">
        <v>12</v>
      </c>
      <c r="O636" s="2" t="s">
        <v>12</v>
      </c>
    </row>
    <row r="637" spans="1:15">
      <c r="A637" s="2" t="s">
        <v>405</v>
      </c>
      <c r="B637" s="2" t="s">
        <v>406</v>
      </c>
      <c r="C637" s="2" t="s">
        <v>48</v>
      </c>
      <c r="D637" s="2" t="s">
        <v>2870</v>
      </c>
      <c r="E637" s="2" t="s">
        <v>200</v>
      </c>
      <c r="F637" s="2" t="s">
        <v>15</v>
      </c>
      <c r="G637" s="2" t="s">
        <v>44</v>
      </c>
      <c r="H637" s="2" t="s">
        <v>407</v>
      </c>
      <c r="I637" s="2">
        <v>0.74</v>
      </c>
      <c r="J637" s="2" t="s">
        <v>2871</v>
      </c>
      <c r="K637" s="2" t="s">
        <v>3190</v>
      </c>
      <c r="L637" s="2" t="s">
        <v>2873</v>
      </c>
      <c r="M637" s="2">
        <v>168</v>
      </c>
      <c r="N637" s="2">
        <v>81</v>
      </c>
      <c r="O637" s="2" t="s">
        <v>3314</v>
      </c>
    </row>
    <row r="638" spans="1:15">
      <c r="A638" s="2" t="s">
        <v>405</v>
      </c>
      <c r="B638" s="2" t="s">
        <v>406</v>
      </c>
      <c r="C638" s="2" t="s">
        <v>48</v>
      </c>
      <c r="D638" s="2" t="s">
        <v>2870</v>
      </c>
      <c r="E638" s="2" t="s">
        <v>200</v>
      </c>
      <c r="F638" s="2" t="s">
        <v>15</v>
      </c>
      <c r="G638" s="2" t="s">
        <v>44</v>
      </c>
      <c r="H638" s="2" t="s">
        <v>407</v>
      </c>
      <c r="I638" s="2">
        <v>0.74</v>
      </c>
      <c r="J638" s="2" t="s">
        <v>2871</v>
      </c>
      <c r="K638" s="2" t="s">
        <v>3192</v>
      </c>
      <c r="L638" s="2" t="s">
        <v>2873</v>
      </c>
      <c r="M638" s="2">
        <v>154</v>
      </c>
      <c r="N638" s="2">
        <v>19</v>
      </c>
      <c r="O638" s="2" t="s">
        <v>3315</v>
      </c>
    </row>
    <row r="639" spans="1:15">
      <c r="A639" s="2" t="s">
        <v>405</v>
      </c>
      <c r="B639" s="2" t="s">
        <v>406</v>
      </c>
      <c r="C639" s="2" t="s">
        <v>48</v>
      </c>
      <c r="D639" s="2" t="s">
        <v>2870</v>
      </c>
      <c r="E639" s="2" t="s">
        <v>200</v>
      </c>
      <c r="F639" s="2" t="s">
        <v>15</v>
      </c>
      <c r="G639" s="2" t="s">
        <v>44</v>
      </c>
      <c r="H639" s="2" t="s">
        <v>407</v>
      </c>
      <c r="I639" s="2">
        <v>0.74</v>
      </c>
      <c r="J639" s="2" t="s">
        <v>2887</v>
      </c>
      <c r="K639" s="2" t="s">
        <v>3194</v>
      </c>
      <c r="L639" s="2" t="s">
        <v>2873</v>
      </c>
      <c r="M639" s="2">
        <v>616</v>
      </c>
      <c r="N639" s="2">
        <v>82</v>
      </c>
      <c r="O639" s="2" t="s">
        <v>3316</v>
      </c>
    </row>
    <row r="640" spans="1:15">
      <c r="A640" s="2" t="s">
        <v>405</v>
      </c>
      <c r="B640" s="2" t="s">
        <v>406</v>
      </c>
      <c r="C640" s="2" t="s">
        <v>48</v>
      </c>
      <c r="D640" s="2" t="s">
        <v>2882</v>
      </c>
      <c r="E640" s="2" t="s">
        <v>202</v>
      </c>
      <c r="F640" s="2" t="s">
        <v>15</v>
      </c>
      <c r="G640" s="2" t="s">
        <v>44</v>
      </c>
      <c r="H640" s="2" t="s">
        <v>408</v>
      </c>
      <c r="I640" s="2">
        <v>0.95</v>
      </c>
      <c r="J640" s="2" t="s">
        <v>2887</v>
      </c>
      <c r="K640" s="2" t="s">
        <v>3194</v>
      </c>
      <c r="L640" s="2" t="s">
        <v>2873</v>
      </c>
      <c r="M640" s="2">
        <v>616</v>
      </c>
      <c r="N640" s="2">
        <v>182</v>
      </c>
      <c r="O640" s="2" t="s">
        <v>3317</v>
      </c>
    </row>
    <row r="641" spans="1:15">
      <c r="A641" s="2" t="s">
        <v>405</v>
      </c>
      <c r="B641" s="2" t="s">
        <v>406</v>
      </c>
      <c r="C641" s="2" t="s">
        <v>48</v>
      </c>
      <c r="D641" s="2" t="s">
        <v>2882</v>
      </c>
      <c r="E641" s="2" t="s">
        <v>202</v>
      </c>
      <c r="F641" s="2" t="s">
        <v>15</v>
      </c>
      <c r="G641" s="2" t="s">
        <v>44</v>
      </c>
      <c r="H641" s="2" t="s">
        <v>408</v>
      </c>
      <c r="I641" s="2">
        <v>0.95</v>
      </c>
      <c r="J641" s="2" t="s">
        <v>2871</v>
      </c>
      <c r="K641" s="2" t="s">
        <v>3192</v>
      </c>
      <c r="L641" s="2" t="s">
        <v>2873</v>
      </c>
      <c r="M641" s="2">
        <v>154</v>
      </c>
      <c r="N641" s="2">
        <v>24</v>
      </c>
      <c r="O641" s="2" t="s">
        <v>3318</v>
      </c>
    </row>
    <row r="642" spans="1:15">
      <c r="A642" s="2" t="s">
        <v>405</v>
      </c>
      <c r="B642" s="2" t="s">
        <v>406</v>
      </c>
      <c r="C642" s="2" t="s">
        <v>48</v>
      </c>
      <c r="D642" s="2" t="s">
        <v>2882</v>
      </c>
      <c r="E642" s="2" t="s">
        <v>202</v>
      </c>
      <c r="F642" s="2" t="s">
        <v>15</v>
      </c>
      <c r="G642" s="2" t="s">
        <v>44</v>
      </c>
      <c r="H642" s="2" t="s">
        <v>408</v>
      </c>
      <c r="I642" s="2">
        <v>0.95</v>
      </c>
      <c r="J642" s="2" t="s">
        <v>2871</v>
      </c>
      <c r="K642" s="2" t="s">
        <v>3190</v>
      </c>
      <c r="L642" s="2" t="s">
        <v>2873</v>
      </c>
      <c r="M642" s="2">
        <v>168</v>
      </c>
      <c r="N642" s="2">
        <v>84</v>
      </c>
      <c r="O642" s="2" t="s">
        <v>3130</v>
      </c>
    </row>
    <row r="643" spans="1:15">
      <c r="A643" s="2" t="s">
        <v>405</v>
      </c>
      <c r="B643" s="2" t="s">
        <v>406</v>
      </c>
      <c r="C643" s="2" t="s">
        <v>48</v>
      </c>
      <c r="D643" s="2" t="s">
        <v>2886</v>
      </c>
      <c r="E643" s="2" t="s">
        <v>204</v>
      </c>
      <c r="F643" s="2" t="s">
        <v>15</v>
      </c>
      <c r="G643" s="2" t="s">
        <v>16</v>
      </c>
      <c r="H643" s="2" t="s">
        <v>409</v>
      </c>
      <c r="I643" s="2">
        <v>1.5</v>
      </c>
      <c r="J643" s="2" t="s">
        <v>2871</v>
      </c>
      <c r="K643" s="2" t="s">
        <v>3190</v>
      </c>
      <c r="L643" s="2" t="s">
        <v>2873</v>
      </c>
      <c r="M643" s="2">
        <v>168</v>
      </c>
      <c r="N643" s="2">
        <v>462</v>
      </c>
      <c r="O643" s="2" t="s">
        <v>3319</v>
      </c>
    </row>
    <row r="644" spans="1:15">
      <c r="A644" s="2" t="s">
        <v>405</v>
      </c>
      <c r="B644" s="2" t="s">
        <v>406</v>
      </c>
      <c r="C644" s="2" t="s">
        <v>48</v>
      </c>
      <c r="D644" s="2" t="s">
        <v>2886</v>
      </c>
      <c r="E644" s="2" t="s">
        <v>204</v>
      </c>
      <c r="F644" s="2" t="s">
        <v>15</v>
      </c>
      <c r="G644" s="2" t="s">
        <v>16</v>
      </c>
      <c r="H644" s="2" t="s">
        <v>409</v>
      </c>
      <c r="I644" s="2">
        <v>1.5</v>
      </c>
      <c r="J644" s="2" t="s">
        <v>2871</v>
      </c>
      <c r="K644" s="2" t="s">
        <v>3192</v>
      </c>
      <c r="L644" s="2" t="s">
        <v>2873</v>
      </c>
      <c r="M644" s="2">
        <v>154</v>
      </c>
      <c r="N644" s="2">
        <v>65</v>
      </c>
      <c r="O644" s="2" t="s">
        <v>3320</v>
      </c>
    </row>
    <row r="645" spans="1:15">
      <c r="A645" s="2" t="s">
        <v>405</v>
      </c>
      <c r="B645" s="2" t="s">
        <v>406</v>
      </c>
      <c r="C645" s="2" t="s">
        <v>48</v>
      </c>
      <c r="D645" s="2" t="s">
        <v>2886</v>
      </c>
      <c r="E645" s="2" t="s">
        <v>204</v>
      </c>
      <c r="F645" s="2" t="s">
        <v>15</v>
      </c>
      <c r="G645" s="2" t="s">
        <v>16</v>
      </c>
      <c r="H645" s="2" t="s">
        <v>409</v>
      </c>
      <c r="I645" s="2">
        <v>1.5</v>
      </c>
      <c r="J645" s="2" t="s">
        <v>2887</v>
      </c>
      <c r="K645" s="2" t="s">
        <v>3200</v>
      </c>
      <c r="L645" s="2" t="s">
        <v>2916</v>
      </c>
      <c r="M645" s="2">
        <v>308</v>
      </c>
      <c r="N645" s="2">
        <v>35</v>
      </c>
      <c r="O645" s="2" t="s">
        <v>3321</v>
      </c>
    </row>
    <row r="646" spans="1:15">
      <c r="A646" s="2" t="s">
        <v>405</v>
      </c>
      <c r="B646" s="2" t="s">
        <v>406</v>
      </c>
      <c r="C646" s="2" t="s">
        <v>48</v>
      </c>
      <c r="D646" s="2" t="s">
        <v>2886</v>
      </c>
      <c r="E646" s="2" t="s">
        <v>204</v>
      </c>
      <c r="F646" s="2" t="s">
        <v>15</v>
      </c>
      <c r="G646" s="2" t="s">
        <v>16</v>
      </c>
      <c r="H646" s="2" t="s">
        <v>409</v>
      </c>
      <c r="I646" s="2">
        <v>1.5</v>
      </c>
      <c r="J646" s="2" t="s">
        <v>2887</v>
      </c>
      <c r="K646" s="2" t="s">
        <v>3199</v>
      </c>
      <c r="L646" s="2" t="s">
        <v>2916</v>
      </c>
      <c r="M646" s="2" t="s">
        <v>12</v>
      </c>
      <c r="N646" s="2">
        <v>39</v>
      </c>
      <c r="O646" s="2" t="s">
        <v>12</v>
      </c>
    </row>
    <row r="647" spans="1:15">
      <c r="A647" s="2" t="s">
        <v>405</v>
      </c>
      <c r="B647" s="2" t="s">
        <v>406</v>
      </c>
      <c r="C647" s="2" t="s">
        <v>48</v>
      </c>
      <c r="D647" s="2" t="s">
        <v>2886</v>
      </c>
      <c r="E647" s="2" t="s">
        <v>204</v>
      </c>
      <c r="F647" s="2" t="s">
        <v>15</v>
      </c>
      <c r="G647" s="2" t="s">
        <v>16</v>
      </c>
      <c r="H647" s="2" t="s">
        <v>409</v>
      </c>
      <c r="I647" s="2">
        <v>1.5</v>
      </c>
      <c r="J647" s="2" t="s">
        <v>2887</v>
      </c>
      <c r="K647" s="2" t="s">
        <v>3194</v>
      </c>
      <c r="L647" s="2" t="s">
        <v>2873</v>
      </c>
      <c r="M647" s="2">
        <v>616</v>
      </c>
      <c r="N647" s="2">
        <v>313</v>
      </c>
      <c r="O647" s="2" t="s">
        <v>3322</v>
      </c>
    </row>
    <row r="648" spans="1:15">
      <c r="A648" s="2" t="s">
        <v>405</v>
      </c>
      <c r="B648" s="2" t="s">
        <v>406</v>
      </c>
      <c r="C648" s="2" t="s">
        <v>48</v>
      </c>
      <c r="D648" s="2" t="s">
        <v>2896</v>
      </c>
      <c r="E648" s="2" t="s">
        <v>206</v>
      </c>
      <c r="F648" s="2" t="s">
        <v>15</v>
      </c>
      <c r="G648" s="2" t="s">
        <v>16</v>
      </c>
      <c r="H648" s="2" t="s">
        <v>410</v>
      </c>
      <c r="I648" s="2">
        <v>1.5</v>
      </c>
      <c r="J648" s="2" t="s">
        <v>2879</v>
      </c>
      <c r="K648" s="2" t="s">
        <v>3014</v>
      </c>
      <c r="L648" s="2" t="s">
        <v>2916</v>
      </c>
      <c r="M648" s="2">
        <v>31</v>
      </c>
      <c r="N648" s="2">
        <v>75</v>
      </c>
      <c r="O648" s="2" t="s">
        <v>3323</v>
      </c>
    </row>
    <row r="649" spans="1:15">
      <c r="A649" s="2" t="s">
        <v>405</v>
      </c>
      <c r="B649" s="2" t="s">
        <v>406</v>
      </c>
      <c r="C649" s="2" t="s">
        <v>48</v>
      </c>
      <c r="D649" s="2" t="s">
        <v>2896</v>
      </c>
      <c r="E649" s="2" t="s">
        <v>206</v>
      </c>
      <c r="F649" s="2" t="s">
        <v>15</v>
      </c>
      <c r="G649" s="2" t="s">
        <v>16</v>
      </c>
      <c r="H649" s="2" t="s">
        <v>410</v>
      </c>
      <c r="I649" s="2">
        <v>1.5</v>
      </c>
      <c r="J649" s="2" t="s">
        <v>2879</v>
      </c>
      <c r="K649" s="2" t="s">
        <v>3200</v>
      </c>
      <c r="L649" s="2" t="s">
        <v>2916</v>
      </c>
      <c r="M649" s="2">
        <v>308</v>
      </c>
      <c r="N649" s="2">
        <v>6</v>
      </c>
      <c r="O649" s="2" t="s">
        <v>3201</v>
      </c>
    </row>
    <row r="650" spans="1:15">
      <c r="A650" s="2" t="s">
        <v>405</v>
      </c>
      <c r="B650" s="2" t="s">
        <v>406</v>
      </c>
      <c r="C650" s="2" t="s">
        <v>48</v>
      </c>
      <c r="D650" s="2" t="s">
        <v>2896</v>
      </c>
      <c r="E650" s="2" t="s">
        <v>206</v>
      </c>
      <c r="F650" s="2" t="s">
        <v>15</v>
      </c>
      <c r="G650" s="2" t="s">
        <v>16</v>
      </c>
      <c r="H650" s="2" t="s">
        <v>410</v>
      </c>
      <c r="I650" s="2">
        <v>1.5</v>
      </c>
      <c r="J650" s="2" t="s">
        <v>2871</v>
      </c>
      <c r="K650" s="2" t="s">
        <v>3190</v>
      </c>
      <c r="L650" s="2" t="s">
        <v>2873</v>
      </c>
      <c r="M650" s="2">
        <v>168</v>
      </c>
      <c r="N650" s="2">
        <v>251</v>
      </c>
      <c r="O650" s="2" t="s">
        <v>3324</v>
      </c>
    </row>
    <row r="651" spans="1:15">
      <c r="A651" s="2" t="s">
        <v>405</v>
      </c>
      <c r="B651" s="2" t="s">
        <v>406</v>
      </c>
      <c r="C651" s="2" t="s">
        <v>48</v>
      </c>
      <c r="D651" s="2" t="s">
        <v>2896</v>
      </c>
      <c r="E651" s="2" t="s">
        <v>206</v>
      </c>
      <c r="F651" s="2" t="s">
        <v>15</v>
      </c>
      <c r="G651" s="2" t="s">
        <v>16</v>
      </c>
      <c r="H651" s="2" t="s">
        <v>410</v>
      </c>
      <c r="I651" s="2">
        <v>1.5</v>
      </c>
      <c r="J651" s="2" t="s">
        <v>2871</v>
      </c>
      <c r="K651" s="2" t="s">
        <v>3192</v>
      </c>
      <c r="L651" s="2" t="s">
        <v>2873</v>
      </c>
      <c r="M651" s="2">
        <v>154</v>
      </c>
      <c r="N651" s="2">
        <v>190</v>
      </c>
      <c r="O651" s="2" t="s">
        <v>3325</v>
      </c>
    </row>
    <row r="652" spans="1:15">
      <c r="A652" s="2" t="s">
        <v>405</v>
      </c>
      <c r="B652" s="2" t="s">
        <v>406</v>
      </c>
      <c r="C652" s="2" t="s">
        <v>48</v>
      </c>
      <c r="D652" s="2" t="s">
        <v>2896</v>
      </c>
      <c r="E652" s="2" t="s">
        <v>206</v>
      </c>
      <c r="F652" s="2" t="s">
        <v>15</v>
      </c>
      <c r="G652" s="2" t="s">
        <v>16</v>
      </c>
      <c r="H652" s="2" t="s">
        <v>410</v>
      </c>
      <c r="I652" s="2">
        <v>1.5</v>
      </c>
      <c r="J652" s="2" t="s">
        <v>2887</v>
      </c>
      <c r="K652" s="2" t="s">
        <v>3199</v>
      </c>
      <c r="L652" s="2" t="s">
        <v>2916</v>
      </c>
      <c r="M652" s="2" t="s">
        <v>12</v>
      </c>
      <c r="N652" s="2">
        <v>592</v>
      </c>
      <c r="O652" s="2" t="s">
        <v>12</v>
      </c>
    </row>
    <row r="653" spans="1:15">
      <c r="A653" s="2" t="s">
        <v>405</v>
      </c>
      <c r="B653" s="2" t="s">
        <v>406</v>
      </c>
      <c r="C653" s="2" t="s">
        <v>48</v>
      </c>
      <c r="D653" s="2" t="s">
        <v>2896</v>
      </c>
      <c r="E653" s="2" t="s">
        <v>206</v>
      </c>
      <c r="F653" s="2" t="s">
        <v>15</v>
      </c>
      <c r="G653" s="2" t="s">
        <v>16</v>
      </c>
      <c r="H653" s="2" t="s">
        <v>410</v>
      </c>
      <c r="I653" s="2">
        <v>1.5</v>
      </c>
      <c r="J653" s="2" t="s">
        <v>2887</v>
      </c>
      <c r="K653" s="2" t="s">
        <v>3199</v>
      </c>
      <c r="L653" s="2" t="s">
        <v>2873</v>
      </c>
      <c r="M653" s="2">
        <v>462</v>
      </c>
      <c r="N653" s="2">
        <v>592</v>
      </c>
      <c r="O653" s="2" t="s">
        <v>3326</v>
      </c>
    </row>
    <row r="654" spans="1:15">
      <c r="A654" s="2" t="s">
        <v>405</v>
      </c>
      <c r="B654" s="2" t="s">
        <v>406</v>
      </c>
      <c r="C654" s="2" t="s">
        <v>48</v>
      </c>
      <c r="D654" s="2" t="s">
        <v>2896</v>
      </c>
      <c r="E654" s="2" t="s">
        <v>206</v>
      </c>
      <c r="F654" s="2" t="s">
        <v>15</v>
      </c>
      <c r="G654" s="2" t="s">
        <v>16</v>
      </c>
      <c r="H654" s="2" t="s">
        <v>410</v>
      </c>
      <c r="I654" s="2">
        <v>1.5</v>
      </c>
      <c r="J654" s="2" t="s">
        <v>2887</v>
      </c>
      <c r="K654" s="2" t="s">
        <v>3194</v>
      </c>
      <c r="L654" s="2" t="s">
        <v>2873</v>
      </c>
      <c r="M654" s="2">
        <v>616</v>
      </c>
      <c r="N654" s="2">
        <v>327</v>
      </c>
      <c r="O654" s="2" t="s">
        <v>3327</v>
      </c>
    </row>
    <row r="655" spans="1:15">
      <c r="A655" s="2" t="s">
        <v>405</v>
      </c>
      <c r="B655" s="2" t="s">
        <v>406</v>
      </c>
      <c r="C655" s="2" t="s">
        <v>48</v>
      </c>
      <c r="D655" s="2" t="s">
        <v>2901</v>
      </c>
      <c r="E655" s="2" t="s">
        <v>208</v>
      </c>
      <c r="F655" s="2" t="s">
        <v>15</v>
      </c>
      <c r="G655" s="2" t="s">
        <v>20</v>
      </c>
      <c r="H655" s="2" t="s">
        <v>411</v>
      </c>
      <c r="I655" s="2">
        <v>1</v>
      </c>
      <c r="J655" s="2" t="s">
        <v>2879</v>
      </c>
      <c r="K655" s="2" t="s">
        <v>3200</v>
      </c>
      <c r="L655" s="2" t="s">
        <v>2916</v>
      </c>
      <c r="M655" s="2">
        <v>308</v>
      </c>
      <c r="N655" s="2">
        <v>13</v>
      </c>
      <c r="O655" s="2" t="s">
        <v>3328</v>
      </c>
    </row>
    <row r="656" spans="1:15">
      <c r="A656" s="2" t="s">
        <v>405</v>
      </c>
      <c r="B656" s="2" t="s">
        <v>406</v>
      </c>
      <c r="C656" s="2" t="s">
        <v>48</v>
      </c>
      <c r="D656" s="2" t="s">
        <v>2901</v>
      </c>
      <c r="E656" s="2" t="s">
        <v>208</v>
      </c>
      <c r="F656" s="2" t="s">
        <v>15</v>
      </c>
      <c r="G656" s="2" t="s">
        <v>20</v>
      </c>
      <c r="H656" s="2" t="s">
        <v>411</v>
      </c>
      <c r="I656" s="2">
        <v>1</v>
      </c>
      <c r="J656" s="2" t="s">
        <v>2871</v>
      </c>
      <c r="K656" s="2" t="s">
        <v>3192</v>
      </c>
      <c r="L656" s="2" t="s">
        <v>2873</v>
      </c>
      <c r="M656" s="2">
        <v>154</v>
      </c>
      <c r="N656" s="2">
        <v>25</v>
      </c>
      <c r="O656" s="2" t="s">
        <v>2946</v>
      </c>
    </row>
    <row r="657" spans="1:15">
      <c r="A657" s="2" t="s">
        <v>405</v>
      </c>
      <c r="B657" s="2" t="s">
        <v>406</v>
      </c>
      <c r="C657" s="2" t="s">
        <v>48</v>
      </c>
      <c r="D657" s="2" t="s">
        <v>2901</v>
      </c>
      <c r="E657" s="2" t="s">
        <v>208</v>
      </c>
      <c r="F657" s="2" t="s">
        <v>15</v>
      </c>
      <c r="G657" s="2" t="s">
        <v>20</v>
      </c>
      <c r="H657" s="2" t="s">
        <v>411</v>
      </c>
      <c r="I657" s="2">
        <v>1</v>
      </c>
      <c r="J657" s="2" t="s">
        <v>2887</v>
      </c>
      <c r="K657" s="2" t="s">
        <v>3199</v>
      </c>
      <c r="L657" s="2" t="s">
        <v>2873</v>
      </c>
      <c r="M657" s="2">
        <v>462</v>
      </c>
      <c r="N657" s="2">
        <v>599</v>
      </c>
      <c r="O657" s="2" t="s">
        <v>3329</v>
      </c>
    </row>
    <row r="658" spans="1:15">
      <c r="A658" s="2" t="s">
        <v>405</v>
      </c>
      <c r="B658" s="2" t="s">
        <v>406</v>
      </c>
      <c r="C658" s="2" t="s">
        <v>48</v>
      </c>
      <c r="D658" s="2" t="s">
        <v>2901</v>
      </c>
      <c r="E658" s="2" t="s">
        <v>208</v>
      </c>
      <c r="F658" s="2" t="s">
        <v>15</v>
      </c>
      <c r="G658" s="2" t="s">
        <v>20</v>
      </c>
      <c r="H658" s="2" t="s">
        <v>411</v>
      </c>
      <c r="I658" s="2">
        <v>1</v>
      </c>
      <c r="J658" s="2" t="s">
        <v>2887</v>
      </c>
      <c r="K658" s="2" t="s">
        <v>3194</v>
      </c>
      <c r="L658" s="2" t="s">
        <v>2873</v>
      </c>
      <c r="M658" s="2">
        <v>616</v>
      </c>
      <c r="N658" s="2">
        <v>33</v>
      </c>
      <c r="O658" s="2" t="s">
        <v>3330</v>
      </c>
    </row>
    <row r="659" spans="1:15">
      <c r="A659" s="2" t="s">
        <v>405</v>
      </c>
      <c r="B659" s="2" t="s">
        <v>406</v>
      </c>
      <c r="C659" s="2" t="s">
        <v>48</v>
      </c>
      <c r="D659" s="2" t="s">
        <v>2904</v>
      </c>
      <c r="E659" s="2" t="s">
        <v>210</v>
      </c>
      <c r="F659" s="2" t="s">
        <v>33</v>
      </c>
      <c r="G659" s="2" t="s">
        <v>44</v>
      </c>
      <c r="H659" s="2" t="s">
        <v>45</v>
      </c>
      <c r="I659" s="2" t="s">
        <v>12</v>
      </c>
      <c r="J659" s="2" t="s">
        <v>12</v>
      </c>
      <c r="K659" s="2" t="s">
        <v>12</v>
      </c>
      <c r="L659" s="2" t="s">
        <v>12</v>
      </c>
      <c r="M659" s="2" t="s">
        <v>12</v>
      </c>
      <c r="N659" s="2" t="s">
        <v>12</v>
      </c>
      <c r="O659" s="2" t="s">
        <v>12</v>
      </c>
    </row>
    <row r="660" spans="1:15">
      <c r="A660" s="2" t="s">
        <v>412</v>
      </c>
      <c r="B660" s="2" t="s">
        <v>413</v>
      </c>
      <c r="C660" s="2" t="s">
        <v>48</v>
      </c>
      <c r="D660" s="2" t="s">
        <v>2870</v>
      </c>
      <c r="E660" s="2" t="s">
        <v>200</v>
      </c>
      <c r="F660" s="2" t="s">
        <v>15</v>
      </c>
      <c r="G660" s="2" t="s">
        <v>44</v>
      </c>
      <c r="H660" s="2" t="s">
        <v>414</v>
      </c>
      <c r="I660" s="2">
        <v>0.55000000000000004</v>
      </c>
      <c r="J660" s="2" t="s">
        <v>2871</v>
      </c>
      <c r="K660" s="2" t="s">
        <v>3190</v>
      </c>
      <c r="L660" s="2" t="s">
        <v>2873</v>
      </c>
      <c r="M660" s="2">
        <v>168</v>
      </c>
      <c r="N660" s="2">
        <v>39</v>
      </c>
      <c r="O660" s="2" t="s">
        <v>3331</v>
      </c>
    </row>
    <row r="661" spans="1:15">
      <c r="A661" s="2" t="s">
        <v>412</v>
      </c>
      <c r="B661" s="2" t="s">
        <v>413</v>
      </c>
      <c r="C661" s="2" t="s">
        <v>48</v>
      </c>
      <c r="D661" s="2" t="s">
        <v>2870</v>
      </c>
      <c r="E661" s="2" t="s">
        <v>200</v>
      </c>
      <c r="F661" s="2" t="s">
        <v>15</v>
      </c>
      <c r="G661" s="2" t="s">
        <v>44</v>
      </c>
      <c r="H661" s="2" t="s">
        <v>414</v>
      </c>
      <c r="I661" s="2">
        <v>0.55000000000000004</v>
      </c>
      <c r="J661" s="2" t="s">
        <v>2871</v>
      </c>
      <c r="K661" s="2" t="s">
        <v>3192</v>
      </c>
      <c r="L661" s="2" t="s">
        <v>2873</v>
      </c>
      <c r="M661" s="2">
        <v>154</v>
      </c>
      <c r="N661" s="2">
        <v>19</v>
      </c>
      <c r="O661" s="2" t="s">
        <v>3315</v>
      </c>
    </row>
    <row r="662" spans="1:15">
      <c r="A662" s="2" t="s">
        <v>412</v>
      </c>
      <c r="B662" s="2" t="s">
        <v>413</v>
      </c>
      <c r="C662" s="2" t="s">
        <v>48</v>
      </c>
      <c r="D662" s="2" t="s">
        <v>2870</v>
      </c>
      <c r="E662" s="2" t="s">
        <v>200</v>
      </c>
      <c r="F662" s="2" t="s">
        <v>15</v>
      </c>
      <c r="G662" s="2" t="s">
        <v>44</v>
      </c>
      <c r="H662" s="2" t="s">
        <v>414</v>
      </c>
      <c r="I662" s="2">
        <v>0.55000000000000004</v>
      </c>
      <c r="J662" s="2" t="s">
        <v>2887</v>
      </c>
      <c r="K662" s="2" t="s">
        <v>3194</v>
      </c>
      <c r="L662" s="2" t="s">
        <v>2873</v>
      </c>
      <c r="M662" s="2">
        <v>616</v>
      </c>
      <c r="N662" s="2">
        <v>121</v>
      </c>
      <c r="O662" s="2" t="s">
        <v>3332</v>
      </c>
    </row>
    <row r="663" spans="1:15">
      <c r="A663" s="2" t="s">
        <v>412</v>
      </c>
      <c r="B663" s="2" t="s">
        <v>413</v>
      </c>
      <c r="C663" s="2" t="s">
        <v>48</v>
      </c>
      <c r="D663" s="2" t="s">
        <v>2882</v>
      </c>
      <c r="E663" s="2" t="s">
        <v>202</v>
      </c>
      <c r="F663" s="2" t="s">
        <v>15</v>
      </c>
      <c r="G663" s="2" t="s">
        <v>44</v>
      </c>
      <c r="H663" s="2" t="s">
        <v>415</v>
      </c>
      <c r="I663" s="2">
        <v>0.5</v>
      </c>
      <c r="J663" s="2" t="s">
        <v>2871</v>
      </c>
      <c r="K663" s="2" t="s">
        <v>3190</v>
      </c>
      <c r="L663" s="2" t="s">
        <v>2873</v>
      </c>
      <c r="M663" s="2">
        <v>168</v>
      </c>
      <c r="N663" s="2">
        <v>22</v>
      </c>
      <c r="O663" s="2" t="s">
        <v>3333</v>
      </c>
    </row>
    <row r="664" spans="1:15">
      <c r="A664" s="2" t="s">
        <v>412</v>
      </c>
      <c r="B664" s="2" t="s">
        <v>413</v>
      </c>
      <c r="C664" s="2" t="s">
        <v>48</v>
      </c>
      <c r="D664" s="2" t="s">
        <v>2882</v>
      </c>
      <c r="E664" s="2" t="s">
        <v>202</v>
      </c>
      <c r="F664" s="2" t="s">
        <v>15</v>
      </c>
      <c r="G664" s="2" t="s">
        <v>44</v>
      </c>
      <c r="H664" s="2" t="s">
        <v>415</v>
      </c>
      <c r="I664" s="2">
        <v>0.5</v>
      </c>
      <c r="J664" s="2" t="s">
        <v>2871</v>
      </c>
      <c r="K664" s="2" t="s">
        <v>3192</v>
      </c>
      <c r="L664" s="2" t="s">
        <v>2873</v>
      </c>
      <c r="M664" s="2">
        <v>154</v>
      </c>
      <c r="N664" s="2">
        <v>33</v>
      </c>
      <c r="O664" s="2" t="s">
        <v>3334</v>
      </c>
    </row>
    <row r="665" spans="1:15">
      <c r="A665" s="2" t="s">
        <v>412</v>
      </c>
      <c r="B665" s="2" t="s">
        <v>413</v>
      </c>
      <c r="C665" s="2" t="s">
        <v>48</v>
      </c>
      <c r="D665" s="2" t="s">
        <v>2882</v>
      </c>
      <c r="E665" s="2" t="s">
        <v>202</v>
      </c>
      <c r="F665" s="2" t="s">
        <v>15</v>
      </c>
      <c r="G665" s="2" t="s">
        <v>44</v>
      </c>
      <c r="H665" s="2" t="s">
        <v>415</v>
      </c>
      <c r="I665" s="2">
        <v>0.5</v>
      </c>
      <c r="J665" s="2" t="s">
        <v>2887</v>
      </c>
      <c r="K665" s="2" t="s">
        <v>3194</v>
      </c>
      <c r="L665" s="2" t="s">
        <v>2873</v>
      </c>
      <c r="M665" s="2">
        <v>616</v>
      </c>
      <c r="N665" s="2">
        <v>61</v>
      </c>
      <c r="O665" s="2" t="s">
        <v>3335</v>
      </c>
    </row>
    <row r="666" spans="1:15">
      <c r="A666" s="2" t="s">
        <v>412</v>
      </c>
      <c r="B666" s="2" t="s">
        <v>413</v>
      </c>
      <c r="C666" s="2" t="s">
        <v>48</v>
      </c>
      <c r="D666" s="2" t="s">
        <v>2886</v>
      </c>
      <c r="E666" s="2" t="s">
        <v>204</v>
      </c>
      <c r="F666" s="2" t="s">
        <v>15</v>
      </c>
      <c r="G666" s="2" t="s">
        <v>44</v>
      </c>
      <c r="H666" s="2" t="s">
        <v>416</v>
      </c>
      <c r="I666" s="2">
        <v>0.5</v>
      </c>
      <c r="J666" s="2" t="s">
        <v>2871</v>
      </c>
      <c r="K666" s="2" t="s">
        <v>3192</v>
      </c>
      <c r="L666" s="2" t="s">
        <v>2873</v>
      </c>
      <c r="M666" s="2">
        <v>154</v>
      </c>
      <c r="N666" s="2">
        <v>13</v>
      </c>
      <c r="O666" s="2" t="s">
        <v>3336</v>
      </c>
    </row>
    <row r="667" spans="1:15">
      <c r="A667" s="2" t="s">
        <v>412</v>
      </c>
      <c r="B667" s="2" t="s">
        <v>413</v>
      </c>
      <c r="C667" s="2" t="s">
        <v>48</v>
      </c>
      <c r="D667" s="2" t="s">
        <v>2886</v>
      </c>
      <c r="E667" s="2" t="s">
        <v>204</v>
      </c>
      <c r="F667" s="2" t="s">
        <v>15</v>
      </c>
      <c r="G667" s="2" t="s">
        <v>44</v>
      </c>
      <c r="H667" s="2" t="s">
        <v>416</v>
      </c>
      <c r="I667" s="2">
        <v>0.5</v>
      </c>
      <c r="J667" s="2" t="s">
        <v>2871</v>
      </c>
      <c r="K667" s="2" t="s">
        <v>3190</v>
      </c>
      <c r="L667" s="2" t="s">
        <v>2873</v>
      </c>
      <c r="M667" s="2">
        <v>168</v>
      </c>
      <c r="N667" s="2">
        <v>5</v>
      </c>
      <c r="O667" s="2" t="s">
        <v>3337</v>
      </c>
    </row>
    <row r="668" spans="1:15">
      <c r="A668" s="2" t="s">
        <v>412</v>
      </c>
      <c r="B668" s="2" t="s">
        <v>413</v>
      </c>
      <c r="C668" s="2" t="s">
        <v>48</v>
      </c>
      <c r="D668" s="2" t="s">
        <v>2886</v>
      </c>
      <c r="E668" s="2" t="s">
        <v>204</v>
      </c>
      <c r="F668" s="2" t="s">
        <v>15</v>
      </c>
      <c r="G668" s="2" t="s">
        <v>44</v>
      </c>
      <c r="H668" s="2" t="s">
        <v>416</v>
      </c>
      <c r="I668" s="2">
        <v>0.5</v>
      </c>
      <c r="J668" s="2" t="s">
        <v>2887</v>
      </c>
      <c r="K668" s="2" t="s">
        <v>3194</v>
      </c>
      <c r="L668" s="2" t="s">
        <v>2873</v>
      </c>
      <c r="M668" s="2">
        <v>616</v>
      </c>
      <c r="N668" s="2">
        <v>8</v>
      </c>
      <c r="O668" s="2" t="s">
        <v>3338</v>
      </c>
    </row>
    <row r="669" spans="1:15">
      <c r="A669" s="2" t="s">
        <v>412</v>
      </c>
      <c r="B669" s="2" t="s">
        <v>413</v>
      </c>
      <c r="C669" s="2" t="s">
        <v>48</v>
      </c>
      <c r="D669" s="2" t="s">
        <v>2886</v>
      </c>
      <c r="E669" s="2" t="s">
        <v>204</v>
      </c>
      <c r="F669" s="2" t="s">
        <v>15</v>
      </c>
      <c r="G669" s="2" t="s">
        <v>44</v>
      </c>
      <c r="H669" s="2" t="s">
        <v>416</v>
      </c>
      <c r="I669" s="2">
        <v>0.5</v>
      </c>
      <c r="J669" s="2" t="s">
        <v>2887</v>
      </c>
      <c r="K669" s="2" t="s">
        <v>3339</v>
      </c>
      <c r="L669" s="2" t="s">
        <v>2873</v>
      </c>
      <c r="M669" s="2">
        <v>154</v>
      </c>
      <c r="N669" s="2">
        <v>58</v>
      </c>
      <c r="O669" s="2" t="s">
        <v>3340</v>
      </c>
    </row>
    <row r="670" spans="1:15">
      <c r="A670" s="2" t="s">
        <v>412</v>
      </c>
      <c r="B670" s="2" t="s">
        <v>413</v>
      </c>
      <c r="C670" s="2" t="s">
        <v>48</v>
      </c>
      <c r="D670" s="2" t="s">
        <v>2896</v>
      </c>
      <c r="E670" s="2" t="s">
        <v>206</v>
      </c>
      <c r="F670" s="2" t="s">
        <v>15</v>
      </c>
      <c r="G670" s="2" t="s">
        <v>16</v>
      </c>
      <c r="H670" s="2" t="s">
        <v>417</v>
      </c>
      <c r="I670" s="2">
        <v>1.19</v>
      </c>
      <c r="J670" s="2" t="s">
        <v>2871</v>
      </c>
      <c r="K670" s="2" t="s">
        <v>3192</v>
      </c>
      <c r="L670" s="2" t="s">
        <v>2873</v>
      </c>
      <c r="M670" s="2">
        <v>154</v>
      </c>
      <c r="N670" s="2">
        <v>4</v>
      </c>
      <c r="O670" s="2" t="s">
        <v>3341</v>
      </c>
    </row>
    <row r="671" spans="1:15">
      <c r="A671" s="2" t="s">
        <v>412</v>
      </c>
      <c r="B671" s="2" t="s">
        <v>413</v>
      </c>
      <c r="C671" s="2" t="s">
        <v>48</v>
      </c>
      <c r="D671" s="2" t="s">
        <v>2896</v>
      </c>
      <c r="E671" s="2" t="s">
        <v>206</v>
      </c>
      <c r="F671" s="2" t="s">
        <v>15</v>
      </c>
      <c r="G671" s="2" t="s">
        <v>16</v>
      </c>
      <c r="H671" s="2" t="s">
        <v>417</v>
      </c>
      <c r="I671" s="2">
        <v>1.19</v>
      </c>
      <c r="J671" s="2" t="s">
        <v>2887</v>
      </c>
      <c r="K671" s="2" t="s">
        <v>3339</v>
      </c>
      <c r="L671" s="2" t="s">
        <v>2873</v>
      </c>
      <c r="M671" s="2">
        <v>154</v>
      </c>
      <c r="N671" s="2">
        <v>363</v>
      </c>
      <c r="O671" s="2" t="s">
        <v>3342</v>
      </c>
    </row>
    <row r="672" spans="1:15">
      <c r="A672" s="2" t="s">
        <v>412</v>
      </c>
      <c r="B672" s="2" t="s">
        <v>413</v>
      </c>
      <c r="C672" s="2" t="s">
        <v>48</v>
      </c>
      <c r="D672" s="2" t="s">
        <v>2901</v>
      </c>
      <c r="E672" s="2" t="s">
        <v>208</v>
      </c>
      <c r="F672" s="2" t="s">
        <v>15</v>
      </c>
      <c r="G672" s="2" t="s">
        <v>16</v>
      </c>
      <c r="H672" s="2" t="s">
        <v>418</v>
      </c>
      <c r="I672" s="2">
        <v>1.34</v>
      </c>
      <c r="J672" s="2" t="s">
        <v>2871</v>
      </c>
      <c r="K672" s="2" t="s">
        <v>3192</v>
      </c>
      <c r="L672" s="2" t="s">
        <v>2873</v>
      </c>
      <c r="M672" s="2">
        <v>154</v>
      </c>
      <c r="N672" s="2">
        <v>2</v>
      </c>
      <c r="O672" s="2" t="s">
        <v>3338</v>
      </c>
    </row>
    <row r="673" spans="1:15">
      <c r="A673" s="2" t="s">
        <v>412</v>
      </c>
      <c r="B673" s="2" t="s">
        <v>413</v>
      </c>
      <c r="C673" s="2" t="s">
        <v>48</v>
      </c>
      <c r="D673" s="2" t="s">
        <v>2901</v>
      </c>
      <c r="E673" s="2" t="s">
        <v>208</v>
      </c>
      <c r="F673" s="2" t="s">
        <v>15</v>
      </c>
      <c r="G673" s="2" t="s">
        <v>16</v>
      </c>
      <c r="H673" s="2" t="s">
        <v>418</v>
      </c>
      <c r="I673" s="2">
        <v>1.34</v>
      </c>
      <c r="J673" s="2" t="s">
        <v>2887</v>
      </c>
      <c r="K673" s="2" t="s">
        <v>3199</v>
      </c>
      <c r="L673" s="2" t="s">
        <v>2873</v>
      </c>
      <c r="M673" s="2">
        <v>462</v>
      </c>
      <c r="N673" s="2">
        <v>444</v>
      </c>
      <c r="O673" s="2" t="s">
        <v>3343</v>
      </c>
    </row>
    <row r="674" spans="1:15">
      <c r="A674" s="2" t="s">
        <v>412</v>
      </c>
      <c r="B674" s="2" t="s">
        <v>413</v>
      </c>
      <c r="C674" s="2" t="s">
        <v>48</v>
      </c>
      <c r="D674" s="2" t="s">
        <v>2901</v>
      </c>
      <c r="E674" s="2" t="s">
        <v>208</v>
      </c>
      <c r="F674" s="2" t="s">
        <v>15</v>
      </c>
      <c r="G674" s="2" t="s">
        <v>16</v>
      </c>
      <c r="H674" s="2" t="s">
        <v>418</v>
      </c>
      <c r="I674" s="2">
        <v>1.34</v>
      </c>
      <c r="J674" s="2" t="s">
        <v>2887</v>
      </c>
      <c r="K674" s="2" t="s">
        <v>3339</v>
      </c>
      <c r="L674" s="2" t="s">
        <v>2873</v>
      </c>
      <c r="M674" s="2">
        <v>154</v>
      </c>
      <c r="N674" s="2">
        <v>263</v>
      </c>
      <c r="O674" s="2" t="s">
        <v>3344</v>
      </c>
    </row>
    <row r="675" spans="1:15">
      <c r="A675" s="2" t="s">
        <v>412</v>
      </c>
      <c r="B675" s="2" t="s">
        <v>413</v>
      </c>
      <c r="C675" s="2" t="s">
        <v>48</v>
      </c>
      <c r="D675" s="2" t="s">
        <v>2904</v>
      </c>
      <c r="E675" s="2" t="s">
        <v>210</v>
      </c>
      <c r="F675" s="2" t="s">
        <v>33</v>
      </c>
      <c r="G675" s="2" t="s">
        <v>44</v>
      </c>
      <c r="H675" s="2" t="s">
        <v>45</v>
      </c>
      <c r="I675" s="2" t="s">
        <v>12</v>
      </c>
      <c r="J675" s="2" t="s">
        <v>12</v>
      </c>
      <c r="K675" s="2" t="s">
        <v>12</v>
      </c>
      <c r="L675" s="2" t="s">
        <v>12</v>
      </c>
      <c r="M675" s="2" t="s">
        <v>12</v>
      </c>
      <c r="N675" s="2" t="s">
        <v>12</v>
      </c>
      <c r="O675" s="2" t="s">
        <v>12</v>
      </c>
    </row>
    <row r="676" spans="1:15">
      <c r="A676" s="2" t="s">
        <v>419</v>
      </c>
      <c r="B676" s="2" t="s">
        <v>420</v>
      </c>
      <c r="C676" s="2" t="s">
        <v>76</v>
      </c>
      <c r="D676" s="2" t="s">
        <v>2870</v>
      </c>
      <c r="E676" s="2" t="s">
        <v>122</v>
      </c>
      <c r="F676" s="2" t="s">
        <v>15</v>
      </c>
      <c r="G676" s="2" t="s">
        <v>44</v>
      </c>
      <c r="H676" s="2" t="s">
        <v>421</v>
      </c>
      <c r="I676" s="2">
        <v>0.5</v>
      </c>
      <c r="J676" s="2" t="s">
        <v>2887</v>
      </c>
      <c r="K676" s="2" t="s">
        <v>3294</v>
      </c>
      <c r="L676" s="2" t="s">
        <v>2916</v>
      </c>
      <c r="M676" s="2">
        <v>250</v>
      </c>
      <c r="N676" s="2">
        <v>8</v>
      </c>
      <c r="O676" s="2" t="s">
        <v>3345</v>
      </c>
    </row>
    <row r="677" spans="1:15">
      <c r="A677" s="2" t="s">
        <v>419</v>
      </c>
      <c r="B677" s="2" t="s">
        <v>420</v>
      </c>
      <c r="C677" s="2" t="s">
        <v>76</v>
      </c>
      <c r="D677" s="2" t="s">
        <v>2882</v>
      </c>
      <c r="E677" s="2" t="s">
        <v>124</v>
      </c>
      <c r="F677" s="2" t="s">
        <v>15</v>
      </c>
      <c r="G677" s="2" t="s">
        <v>20</v>
      </c>
      <c r="H677" s="2" t="s">
        <v>422</v>
      </c>
      <c r="I677" s="2">
        <v>1</v>
      </c>
      <c r="J677" s="2" t="s">
        <v>2887</v>
      </c>
      <c r="K677" s="2" t="s">
        <v>3154</v>
      </c>
      <c r="L677" s="2" t="s">
        <v>2916</v>
      </c>
      <c r="M677" s="2">
        <v>110</v>
      </c>
      <c r="N677" s="2">
        <v>156</v>
      </c>
      <c r="O677" s="2" t="s">
        <v>3346</v>
      </c>
    </row>
    <row r="678" spans="1:15">
      <c r="A678" s="2" t="s">
        <v>419</v>
      </c>
      <c r="B678" s="2" t="s">
        <v>420</v>
      </c>
      <c r="C678" s="2" t="s">
        <v>76</v>
      </c>
      <c r="D678" s="2" t="s">
        <v>2886</v>
      </c>
      <c r="E678" s="2" t="s">
        <v>126</v>
      </c>
      <c r="F678" s="2" t="s">
        <v>15</v>
      </c>
      <c r="G678" s="2" t="s">
        <v>20</v>
      </c>
      <c r="H678" s="2" t="s">
        <v>423</v>
      </c>
      <c r="I678" s="2">
        <v>1</v>
      </c>
      <c r="J678" s="2" t="s">
        <v>2887</v>
      </c>
      <c r="K678" s="2" t="s">
        <v>3154</v>
      </c>
      <c r="L678" s="2" t="s">
        <v>2916</v>
      </c>
      <c r="M678" s="2">
        <v>110</v>
      </c>
      <c r="N678" s="2">
        <v>130</v>
      </c>
      <c r="O678" s="2" t="s">
        <v>3347</v>
      </c>
    </row>
    <row r="679" spans="1:15">
      <c r="A679" s="2" t="s">
        <v>419</v>
      </c>
      <c r="B679" s="2" t="s">
        <v>420</v>
      </c>
      <c r="C679" s="2" t="s">
        <v>76</v>
      </c>
      <c r="D679" s="2" t="s">
        <v>2896</v>
      </c>
      <c r="E679" s="2" t="s">
        <v>128</v>
      </c>
      <c r="F679" s="2" t="s">
        <v>15</v>
      </c>
      <c r="G679" s="2" t="s">
        <v>20</v>
      </c>
      <c r="H679" s="2" t="s">
        <v>252</v>
      </c>
      <c r="I679" s="2">
        <v>1</v>
      </c>
      <c r="J679" s="2" t="s">
        <v>2887</v>
      </c>
      <c r="K679" s="2" t="s">
        <v>3294</v>
      </c>
      <c r="L679" s="2" t="s">
        <v>2916</v>
      </c>
      <c r="M679" s="2">
        <v>250</v>
      </c>
      <c r="N679" s="2">
        <v>250</v>
      </c>
      <c r="O679" s="2" t="s">
        <v>2934</v>
      </c>
    </row>
    <row r="680" spans="1:15">
      <c r="A680" s="2" t="s">
        <v>419</v>
      </c>
      <c r="B680" s="2" t="s">
        <v>420</v>
      </c>
      <c r="C680" s="2" t="s">
        <v>76</v>
      </c>
      <c r="D680" s="2" t="s">
        <v>2901</v>
      </c>
      <c r="E680" s="2" t="s">
        <v>130</v>
      </c>
      <c r="F680" s="2" t="s">
        <v>15</v>
      </c>
      <c r="G680" s="2" t="s">
        <v>20</v>
      </c>
      <c r="H680" s="2" t="s">
        <v>424</v>
      </c>
      <c r="I680" s="2">
        <v>1</v>
      </c>
      <c r="J680" s="2" t="s">
        <v>2887</v>
      </c>
      <c r="K680" s="2" t="s">
        <v>3348</v>
      </c>
      <c r="L680" s="2" t="s">
        <v>2916</v>
      </c>
      <c r="M680" s="2" t="s">
        <v>12</v>
      </c>
      <c r="N680" s="2">
        <v>28</v>
      </c>
      <c r="O680" s="2" t="s">
        <v>12</v>
      </c>
    </row>
    <row r="681" spans="1:15">
      <c r="A681" s="2" t="s">
        <v>419</v>
      </c>
      <c r="B681" s="2" t="s">
        <v>420</v>
      </c>
      <c r="C681" s="2" t="s">
        <v>76</v>
      </c>
      <c r="D681" s="2" t="s">
        <v>2901</v>
      </c>
      <c r="E681" s="2" t="s">
        <v>130</v>
      </c>
      <c r="F681" s="2" t="s">
        <v>15</v>
      </c>
      <c r="G681" s="2" t="s">
        <v>20</v>
      </c>
      <c r="H681" s="2" t="s">
        <v>424</v>
      </c>
      <c r="I681" s="2">
        <v>1</v>
      </c>
      <c r="J681" s="2" t="s">
        <v>2887</v>
      </c>
      <c r="K681" s="2" t="s">
        <v>3348</v>
      </c>
      <c r="L681" s="2" t="s">
        <v>2916</v>
      </c>
      <c r="M681" s="2">
        <v>149</v>
      </c>
      <c r="N681" s="2">
        <v>28</v>
      </c>
      <c r="O681" s="2" t="s">
        <v>3349</v>
      </c>
    </row>
    <row r="682" spans="1:15">
      <c r="A682" s="2" t="s">
        <v>419</v>
      </c>
      <c r="B682" s="2" t="s">
        <v>420</v>
      </c>
      <c r="C682" s="2" t="s">
        <v>76</v>
      </c>
      <c r="D682" s="2" t="s">
        <v>2901</v>
      </c>
      <c r="E682" s="2" t="s">
        <v>130</v>
      </c>
      <c r="F682" s="2" t="s">
        <v>15</v>
      </c>
      <c r="G682" s="2" t="s">
        <v>20</v>
      </c>
      <c r="H682" s="2" t="s">
        <v>424</v>
      </c>
      <c r="I682" s="2">
        <v>1</v>
      </c>
      <c r="J682" s="2" t="s">
        <v>2887</v>
      </c>
      <c r="K682" s="2" t="s">
        <v>3294</v>
      </c>
      <c r="L682" s="2" t="s">
        <v>2916</v>
      </c>
      <c r="M682" s="2">
        <v>250</v>
      </c>
      <c r="N682" s="2">
        <v>178</v>
      </c>
      <c r="O682" s="2" t="s">
        <v>3350</v>
      </c>
    </row>
    <row r="683" spans="1:15">
      <c r="A683" s="2" t="s">
        <v>419</v>
      </c>
      <c r="B683" s="2" t="s">
        <v>420</v>
      </c>
      <c r="C683" s="2" t="s">
        <v>76</v>
      </c>
      <c r="D683" s="2" t="s">
        <v>2901</v>
      </c>
      <c r="E683" s="2" t="s">
        <v>130</v>
      </c>
      <c r="F683" s="2" t="s">
        <v>15</v>
      </c>
      <c r="G683" s="2" t="s">
        <v>20</v>
      </c>
      <c r="H683" s="2" t="s">
        <v>424</v>
      </c>
      <c r="I683" s="2">
        <v>1</v>
      </c>
      <c r="J683" s="2" t="s">
        <v>2887</v>
      </c>
      <c r="K683" s="2" t="s">
        <v>3154</v>
      </c>
      <c r="L683" s="2" t="s">
        <v>2916</v>
      </c>
      <c r="M683" s="2">
        <v>110</v>
      </c>
      <c r="N683" s="2">
        <v>20</v>
      </c>
      <c r="O683" s="2" t="s">
        <v>3351</v>
      </c>
    </row>
    <row r="684" spans="1:15">
      <c r="A684" s="2" t="s">
        <v>419</v>
      </c>
      <c r="B684" s="2" t="s">
        <v>420</v>
      </c>
      <c r="C684" s="2" t="s">
        <v>76</v>
      </c>
      <c r="D684" s="2" t="s">
        <v>2904</v>
      </c>
      <c r="E684" s="2" t="s">
        <v>132</v>
      </c>
      <c r="F684" s="2" t="s">
        <v>33</v>
      </c>
      <c r="G684" s="2" t="s">
        <v>44</v>
      </c>
      <c r="H684" s="2" t="s">
        <v>45</v>
      </c>
      <c r="I684" s="2" t="s">
        <v>12</v>
      </c>
      <c r="J684" s="2" t="s">
        <v>12</v>
      </c>
      <c r="K684" s="2" t="s">
        <v>12</v>
      </c>
      <c r="L684" s="2" t="s">
        <v>12</v>
      </c>
      <c r="M684" s="2" t="s">
        <v>12</v>
      </c>
      <c r="N684" s="2" t="s">
        <v>12</v>
      </c>
      <c r="O684" s="2" t="s">
        <v>12</v>
      </c>
    </row>
    <row r="685" spans="1:15">
      <c r="A685" s="2" t="s">
        <v>425</v>
      </c>
      <c r="B685" s="2" t="s">
        <v>426</v>
      </c>
      <c r="C685" s="2" t="s">
        <v>48</v>
      </c>
      <c r="D685" s="2" t="s">
        <v>2870</v>
      </c>
      <c r="E685" s="2" t="s">
        <v>230</v>
      </c>
      <c r="F685" s="2" t="s">
        <v>33</v>
      </c>
      <c r="G685" s="2" t="s">
        <v>44</v>
      </c>
      <c r="H685" s="2" t="s">
        <v>45</v>
      </c>
      <c r="I685" s="2" t="s">
        <v>12</v>
      </c>
      <c r="J685" s="2" t="s">
        <v>12</v>
      </c>
      <c r="K685" s="2" t="s">
        <v>12</v>
      </c>
      <c r="L685" s="2" t="s">
        <v>12</v>
      </c>
      <c r="M685" s="2" t="s">
        <v>12</v>
      </c>
      <c r="N685" s="2" t="s">
        <v>12</v>
      </c>
      <c r="O685" s="2" t="s">
        <v>12</v>
      </c>
    </row>
    <row r="686" spans="1:15">
      <c r="A686" s="2" t="s">
        <v>425</v>
      </c>
      <c r="B686" s="2" t="s">
        <v>426</v>
      </c>
      <c r="C686" s="2" t="s">
        <v>48</v>
      </c>
      <c r="D686" s="2" t="s">
        <v>2882</v>
      </c>
      <c r="E686" s="2" t="s">
        <v>231</v>
      </c>
      <c r="F686" s="2" t="s">
        <v>225</v>
      </c>
      <c r="G686" s="2" t="s">
        <v>44</v>
      </c>
      <c r="H686" s="2" t="s">
        <v>45</v>
      </c>
      <c r="I686" s="2" t="s">
        <v>12</v>
      </c>
      <c r="J686" s="2" t="s">
        <v>12</v>
      </c>
      <c r="K686" s="2" t="s">
        <v>12</v>
      </c>
      <c r="L686" s="2" t="s">
        <v>12</v>
      </c>
      <c r="M686" s="2" t="s">
        <v>12</v>
      </c>
      <c r="N686" s="2" t="s">
        <v>12</v>
      </c>
      <c r="O686" s="2" t="s">
        <v>12</v>
      </c>
    </row>
    <row r="687" spans="1:15">
      <c r="A687" s="2" t="s">
        <v>427</v>
      </c>
      <c r="B687" s="2" t="s">
        <v>428</v>
      </c>
      <c r="C687" s="2" t="s">
        <v>155</v>
      </c>
      <c r="D687" s="2" t="s">
        <v>2870</v>
      </c>
      <c r="E687" s="2" t="s">
        <v>122</v>
      </c>
      <c r="F687" s="2" t="s">
        <v>15</v>
      </c>
      <c r="G687" s="2" t="s">
        <v>44</v>
      </c>
      <c r="H687" s="2" t="s">
        <v>429</v>
      </c>
      <c r="I687" s="2">
        <v>0.5</v>
      </c>
      <c r="J687" s="2" t="s">
        <v>3098</v>
      </c>
      <c r="K687" s="2" t="s">
        <v>3099</v>
      </c>
      <c r="L687" s="2" t="s">
        <v>2873</v>
      </c>
      <c r="M687" s="2">
        <v>26</v>
      </c>
      <c r="N687" s="2">
        <v>2</v>
      </c>
      <c r="O687" s="2" t="s">
        <v>2910</v>
      </c>
    </row>
    <row r="688" spans="1:15">
      <c r="A688" s="2" t="s">
        <v>427</v>
      </c>
      <c r="B688" s="2" t="s">
        <v>428</v>
      </c>
      <c r="C688" s="2" t="s">
        <v>155</v>
      </c>
      <c r="D688" s="2" t="s">
        <v>2882</v>
      </c>
      <c r="E688" s="2" t="s">
        <v>124</v>
      </c>
      <c r="F688" s="2" t="s">
        <v>15</v>
      </c>
      <c r="G688" s="2" t="s">
        <v>44</v>
      </c>
      <c r="H688" s="2" t="s">
        <v>429</v>
      </c>
      <c r="I688" s="2">
        <v>0.5</v>
      </c>
      <c r="J688" s="2" t="s">
        <v>3098</v>
      </c>
      <c r="K688" s="2" t="s">
        <v>3099</v>
      </c>
      <c r="L688" s="2" t="s">
        <v>2873</v>
      </c>
      <c r="M688" s="2">
        <v>26</v>
      </c>
      <c r="N688" s="2">
        <v>2</v>
      </c>
      <c r="O688" s="2" t="s">
        <v>2910</v>
      </c>
    </row>
    <row r="689" spans="1:15">
      <c r="A689" s="2" t="s">
        <v>427</v>
      </c>
      <c r="B689" s="2" t="s">
        <v>428</v>
      </c>
      <c r="C689" s="2" t="s">
        <v>155</v>
      </c>
      <c r="D689" s="2" t="s">
        <v>2886</v>
      </c>
      <c r="E689" s="2" t="s">
        <v>126</v>
      </c>
      <c r="F689" s="2" t="s">
        <v>15</v>
      </c>
      <c r="G689" s="2" t="s">
        <v>44</v>
      </c>
      <c r="H689" s="2" t="s">
        <v>430</v>
      </c>
      <c r="I689" s="2">
        <v>0.5</v>
      </c>
      <c r="J689" s="2" t="s">
        <v>3098</v>
      </c>
      <c r="K689" s="2" t="s">
        <v>3099</v>
      </c>
      <c r="L689" s="2" t="s">
        <v>2873</v>
      </c>
      <c r="M689" s="2">
        <v>26</v>
      </c>
      <c r="N689" s="2">
        <v>1</v>
      </c>
      <c r="O689" s="2" t="s">
        <v>3031</v>
      </c>
    </row>
    <row r="690" spans="1:15">
      <c r="A690" s="2" t="s">
        <v>427</v>
      </c>
      <c r="B690" s="2" t="s">
        <v>428</v>
      </c>
      <c r="C690" s="2" t="s">
        <v>155</v>
      </c>
      <c r="D690" s="2" t="s">
        <v>2896</v>
      </c>
      <c r="E690" s="2" t="s">
        <v>128</v>
      </c>
      <c r="F690" s="2" t="s">
        <v>15</v>
      </c>
      <c r="G690" s="2" t="s">
        <v>44</v>
      </c>
      <c r="H690" s="2" t="s">
        <v>431</v>
      </c>
      <c r="I690" s="2">
        <v>0.5</v>
      </c>
      <c r="J690" s="2" t="s">
        <v>3098</v>
      </c>
      <c r="K690" s="2" t="s">
        <v>3099</v>
      </c>
      <c r="L690" s="2" t="s">
        <v>2873</v>
      </c>
      <c r="M690" s="2">
        <v>26</v>
      </c>
      <c r="N690" s="2">
        <v>5</v>
      </c>
      <c r="O690" s="2" t="s">
        <v>3122</v>
      </c>
    </row>
    <row r="691" spans="1:15">
      <c r="A691" s="2" t="s">
        <v>427</v>
      </c>
      <c r="B691" s="2" t="s">
        <v>428</v>
      </c>
      <c r="C691" s="2" t="s">
        <v>155</v>
      </c>
      <c r="D691" s="2" t="s">
        <v>2901</v>
      </c>
      <c r="E691" s="2" t="s">
        <v>130</v>
      </c>
      <c r="F691" s="2" t="s">
        <v>15</v>
      </c>
      <c r="G691" s="2" t="s">
        <v>44</v>
      </c>
      <c r="H691" s="2" t="s">
        <v>306</v>
      </c>
      <c r="I691" s="2">
        <v>0.5</v>
      </c>
      <c r="J691" s="2" t="s">
        <v>3098</v>
      </c>
      <c r="K691" s="2" t="s">
        <v>3099</v>
      </c>
      <c r="L691" s="2" t="s">
        <v>2873</v>
      </c>
      <c r="M691" s="2">
        <v>26</v>
      </c>
      <c r="N691" s="2">
        <v>7</v>
      </c>
      <c r="O691" s="2" t="s">
        <v>3352</v>
      </c>
    </row>
    <row r="692" spans="1:15">
      <c r="A692" s="2" t="s">
        <v>427</v>
      </c>
      <c r="B692" s="2" t="s">
        <v>428</v>
      </c>
      <c r="C692" s="2" t="s">
        <v>155</v>
      </c>
      <c r="D692" s="2" t="s">
        <v>2904</v>
      </c>
      <c r="E692" s="2" t="s">
        <v>132</v>
      </c>
      <c r="F692" s="2" t="s">
        <v>33</v>
      </c>
      <c r="G692" s="2" t="s">
        <v>44</v>
      </c>
      <c r="H692" s="2" t="s">
        <v>432</v>
      </c>
      <c r="I692" s="2">
        <v>0.5</v>
      </c>
      <c r="J692" s="2" t="s">
        <v>3098</v>
      </c>
      <c r="K692" s="2" t="s">
        <v>3099</v>
      </c>
      <c r="L692" s="2" t="s">
        <v>2873</v>
      </c>
      <c r="M692" s="2">
        <v>26</v>
      </c>
      <c r="N692" s="2">
        <v>4</v>
      </c>
      <c r="O692" s="2" t="s">
        <v>3353</v>
      </c>
    </row>
    <row r="693" spans="1:15">
      <c r="A693" s="2" t="s">
        <v>433</v>
      </c>
      <c r="B693" s="2" t="s">
        <v>434</v>
      </c>
      <c r="C693" s="2" t="s">
        <v>76</v>
      </c>
      <c r="D693" s="2" t="s">
        <v>2870</v>
      </c>
      <c r="E693" s="2" t="s">
        <v>14</v>
      </c>
      <c r="F693" s="2" t="s">
        <v>15</v>
      </c>
      <c r="G693" s="2" t="s">
        <v>44</v>
      </c>
      <c r="H693" s="2" t="s">
        <v>45</v>
      </c>
      <c r="I693" s="2" t="s">
        <v>12</v>
      </c>
      <c r="J693" s="2" t="s">
        <v>12</v>
      </c>
      <c r="K693" s="2" t="s">
        <v>12</v>
      </c>
      <c r="L693" s="2" t="s">
        <v>12</v>
      </c>
      <c r="M693" s="2" t="s">
        <v>12</v>
      </c>
      <c r="N693" s="2" t="s">
        <v>12</v>
      </c>
      <c r="O693" s="2" t="s">
        <v>12</v>
      </c>
    </row>
    <row r="694" spans="1:15">
      <c r="A694" s="2" t="s">
        <v>433</v>
      </c>
      <c r="B694" s="2" t="s">
        <v>434</v>
      </c>
      <c r="C694" s="2" t="s">
        <v>76</v>
      </c>
      <c r="D694" s="2" t="s">
        <v>2882</v>
      </c>
      <c r="E694" s="2" t="s">
        <v>19</v>
      </c>
      <c r="F694" s="2" t="s">
        <v>15</v>
      </c>
      <c r="G694" s="2" t="s">
        <v>44</v>
      </c>
      <c r="H694" s="2" t="s">
        <v>45</v>
      </c>
      <c r="I694" s="2" t="s">
        <v>12</v>
      </c>
      <c r="J694" s="2" t="s">
        <v>12</v>
      </c>
      <c r="K694" s="2" t="s">
        <v>12</v>
      </c>
      <c r="L694" s="2" t="s">
        <v>12</v>
      </c>
      <c r="M694" s="2" t="s">
        <v>12</v>
      </c>
      <c r="N694" s="2" t="s">
        <v>12</v>
      </c>
      <c r="O694" s="2" t="s">
        <v>12</v>
      </c>
    </row>
    <row r="695" spans="1:15">
      <c r="A695" s="2" t="s">
        <v>433</v>
      </c>
      <c r="B695" s="2" t="s">
        <v>434</v>
      </c>
      <c r="C695" s="2" t="s">
        <v>76</v>
      </c>
      <c r="D695" s="2" t="s">
        <v>2886</v>
      </c>
      <c r="E695" s="2" t="s">
        <v>23</v>
      </c>
      <c r="F695" s="2" t="s">
        <v>15</v>
      </c>
      <c r="G695" s="2" t="s">
        <v>44</v>
      </c>
      <c r="H695" s="2" t="s">
        <v>45</v>
      </c>
      <c r="I695" s="2" t="s">
        <v>12</v>
      </c>
      <c r="J695" s="2" t="s">
        <v>12</v>
      </c>
      <c r="K695" s="2" t="s">
        <v>12</v>
      </c>
      <c r="L695" s="2" t="s">
        <v>12</v>
      </c>
      <c r="M695" s="2" t="s">
        <v>12</v>
      </c>
      <c r="N695" s="2" t="s">
        <v>12</v>
      </c>
      <c r="O695" s="2" t="s">
        <v>12</v>
      </c>
    </row>
    <row r="696" spans="1:15">
      <c r="A696" s="2" t="s">
        <v>433</v>
      </c>
      <c r="B696" s="2" t="s">
        <v>434</v>
      </c>
      <c r="C696" s="2" t="s">
        <v>76</v>
      </c>
      <c r="D696" s="2" t="s">
        <v>2896</v>
      </c>
      <c r="E696" s="2" t="s">
        <v>26</v>
      </c>
      <c r="F696" s="2" t="s">
        <v>15</v>
      </c>
      <c r="G696" s="2" t="s">
        <v>44</v>
      </c>
      <c r="H696" s="2" t="s">
        <v>45</v>
      </c>
      <c r="I696" s="2" t="s">
        <v>12</v>
      </c>
      <c r="J696" s="2" t="s">
        <v>12</v>
      </c>
      <c r="K696" s="2" t="s">
        <v>12</v>
      </c>
      <c r="L696" s="2" t="s">
        <v>12</v>
      </c>
      <c r="M696" s="2" t="s">
        <v>12</v>
      </c>
      <c r="N696" s="2" t="s">
        <v>12</v>
      </c>
      <c r="O696" s="2" t="s">
        <v>12</v>
      </c>
    </row>
    <row r="697" spans="1:15">
      <c r="A697" s="2" t="s">
        <v>433</v>
      </c>
      <c r="B697" s="2" t="s">
        <v>434</v>
      </c>
      <c r="C697" s="2" t="s">
        <v>76</v>
      </c>
      <c r="D697" s="2" t="s">
        <v>2901</v>
      </c>
      <c r="E697" s="2" t="s">
        <v>29</v>
      </c>
      <c r="F697" s="2" t="s">
        <v>15</v>
      </c>
      <c r="G697" s="2" t="s">
        <v>44</v>
      </c>
      <c r="H697" s="2" t="s">
        <v>45</v>
      </c>
      <c r="I697" s="2" t="s">
        <v>12</v>
      </c>
      <c r="J697" s="2" t="s">
        <v>12</v>
      </c>
      <c r="K697" s="2" t="s">
        <v>12</v>
      </c>
      <c r="L697" s="2" t="s">
        <v>12</v>
      </c>
      <c r="M697" s="2" t="s">
        <v>12</v>
      </c>
      <c r="N697" s="2" t="s">
        <v>12</v>
      </c>
      <c r="O697" s="2" t="s">
        <v>12</v>
      </c>
    </row>
    <row r="698" spans="1:15">
      <c r="A698" s="2" t="s">
        <v>433</v>
      </c>
      <c r="B698" s="2" t="s">
        <v>434</v>
      </c>
      <c r="C698" s="2" t="s">
        <v>76</v>
      </c>
      <c r="D698" s="2" t="s">
        <v>2904</v>
      </c>
      <c r="E698" s="2" t="s">
        <v>32</v>
      </c>
      <c r="F698" s="2" t="s">
        <v>33</v>
      </c>
      <c r="G698" s="2" t="s">
        <v>44</v>
      </c>
      <c r="H698" s="2" t="s">
        <v>45</v>
      </c>
      <c r="I698" s="2" t="s">
        <v>12</v>
      </c>
      <c r="J698" s="2" t="s">
        <v>12</v>
      </c>
      <c r="K698" s="2" t="s">
        <v>12</v>
      </c>
      <c r="L698" s="2" t="s">
        <v>12</v>
      </c>
      <c r="M698" s="2" t="s">
        <v>12</v>
      </c>
      <c r="N698" s="2" t="s">
        <v>12</v>
      </c>
      <c r="O698" s="2" t="s">
        <v>12</v>
      </c>
    </row>
    <row r="699" spans="1:15">
      <c r="A699" s="2" t="s">
        <v>435</v>
      </c>
      <c r="B699" s="2" t="s">
        <v>436</v>
      </c>
      <c r="C699" s="2" t="s">
        <v>48</v>
      </c>
      <c r="D699" s="2" t="s">
        <v>2870</v>
      </c>
      <c r="E699" s="2" t="s">
        <v>200</v>
      </c>
      <c r="F699" s="2" t="s">
        <v>15</v>
      </c>
      <c r="G699" s="2" t="s">
        <v>44</v>
      </c>
      <c r="H699" s="2" t="s">
        <v>45</v>
      </c>
      <c r="I699" s="2" t="s">
        <v>12</v>
      </c>
      <c r="J699" s="2" t="s">
        <v>12</v>
      </c>
      <c r="K699" s="2" t="s">
        <v>12</v>
      </c>
      <c r="L699" s="2" t="s">
        <v>12</v>
      </c>
      <c r="M699" s="2" t="s">
        <v>12</v>
      </c>
      <c r="N699" s="2" t="s">
        <v>12</v>
      </c>
      <c r="O699" s="2" t="s">
        <v>12</v>
      </c>
    </row>
    <row r="700" spans="1:15">
      <c r="A700" s="2" t="s">
        <v>435</v>
      </c>
      <c r="B700" s="2" t="s">
        <v>436</v>
      </c>
      <c r="C700" s="2" t="s">
        <v>48</v>
      </c>
      <c r="D700" s="2" t="s">
        <v>2882</v>
      </c>
      <c r="E700" s="2" t="s">
        <v>202</v>
      </c>
      <c r="F700" s="2" t="s">
        <v>15</v>
      </c>
      <c r="G700" s="2" t="s">
        <v>44</v>
      </c>
      <c r="H700" s="2" t="s">
        <v>45</v>
      </c>
      <c r="I700" s="2" t="s">
        <v>12</v>
      </c>
      <c r="J700" s="2" t="s">
        <v>12</v>
      </c>
      <c r="K700" s="2" t="s">
        <v>12</v>
      </c>
      <c r="L700" s="2" t="s">
        <v>12</v>
      </c>
      <c r="M700" s="2" t="s">
        <v>12</v>
      </c>
      <c r="N700" s="2" t="s">
        <v>12</v>
      </c>
      <c r="O700" s="2" t="s">
        <v>12</v>
      </c>
    </row>
    <row r="701" spans="1:15">
      <c r="A701" s="2" t="s">
        <v>435</v>
      </c>
      <c r="B701" s="2" t="s">
        <v>436</v>
      </c>
      <c r="C701" s="2" t="s">
        <v>48</v>
      </c>
      <c r="D701" s="2" t="s">
        <v>2886</v>
      </c>
      <c r="E701" s="2" t="s">
        <v>204</v>
      </c>
      <c r="F701" s="2" t="s">
        <v>15</v>
      </c>
      <c r="G701" s="2" t="s">
        <v>44</v>
      </c>
      <c r="H701" s="2" t="s">
        <v>45</v>
      </c>
      <c r="I701" s="2" t="s">
        <v>12</v>
      </c>
      <c r="J701" s="2" t="s">
        <v>12</v>
      </c>
      <c r="K701" s="2" t="s">
        <v>12</v>
      </c>
      <c r="L701" s="2" t="s">
        <v>12</v>
      </c>
      <c r="M701" s="2" t="s">
        <v>12</v>
      </c>
      <c r="N701" s="2" t="s">
        <v>12</v>
      </c>
      <c r="O701" s="2" t="s">
        <v>12</v>
      </c>
    </row>
    <row r="702" spans="1:15">
      <c r="A702" s="2" t="s">
        <v>435</v>
      </c>
      <c r="B702" s="2" t="s">
        <v>436</v>
      </c>
      <c r="C702" s="2" t="s">
        <v>48</v>
      </c>
      <c r="D702" s="2" t="s">
        <v>2896</v>
      </c>
      <c r="E702" s="2" t="s">
        <v>206</v>
      </c>
      <c r="F702" s="2" t="s">
        <v>15</v>
      </c>
      <c r="G702" s="2" t="s">
        <v>44</v>
      </c>
      <c r="H702" s="2" t="s">
        <v>45</v>
      </c>
      <c r="I702" s="2" t="s">
        <v>12</v>
      </c>
      <c r="J702" s="2" t="s">
        <v>12</v>
      </c>
      <c r="K702" s="2" t="s">
        <v>12</v>
      </c>
      <c r="L702" s="2" t="s">
        <v>12</v>
      </c>
      <c r="M702" s="2" t="s">
        <v>12</v>
      </c>
      <c r="N702" s="2" t="s">
        <v>12</v>
      </c>
      <c r="O702" s="2" t="s">
        <v>12</v>
      </c>
    </row>
    <row r="703" spans="1:15">
      <c r="A703" s="2" t="s">
        <v>435</v>
      </c>
      <c r="B703" s="2" t="s">
        <v>436</v>
      </c>
      <c r="C703" s="2" t="s">
        <v>48</v>
      </c>
      <c r="D703" s="2" t="s">
        <v>2901</v>
      </c>
      <c r="E703" s="2" t="s">
        <v>208</v>
      </c>
      <c r="F703" s="2" t="s">
        <v>15</v>
      </c>
      <c r="G703" s="2" t="s">
        <v>44</v>
      </c>
      <c r="H703" s="2" t="s">
        <v>437</v>
      </c>
      <c r="I703" s="2">
        <v>0.5</v>
      </c>
      <c r="J703" s="2" t="s">
        <v>2887</v>
      </c>
      <c r="K703" s="2" t="s">
        <v>3354</v>
      </c>
      <c r="L703" s="2" t="s">
        <v>2916</v>
      </c>
      <c r="M703" s="2">
        <v>924</v>
      </c>
      <c r="N703" s="2">
        <v>1</v>
      </c>
      <c r="O703" s="2" t="s">
        <v>3355</v>
      </c>
    </row>
    <row r="704" spans="1:15">
      <c r="A704" s="2" t="s">
        <v>435</v>
      </c>
      <c r="B704" s="2" t="s">
        <v>436</v>
      </c>
      <c r="C704" s="2" t="s">
        <v>48</v>
      </c>
      <c r="D704" s="2" t="s">
        <v>2904</v>
      </c>
      <c r="E704" s="2" t="s">
        <v>210</v>
      </c>
      <c r="F704" s="2" t="s">
        <v>33</v>
      </c>
      <c r="G704" s="2" t="s">
        <v>44</v>
      </c>
      <c r="H704" s="2" t="s">
        <v>45</v>
      </c>
      <c r="I704" s="2" t="s">
        <v>12</v>
      </c>
      <c r="J704" s="2" t="s">
        <v>12</v>
      </c>
      <c r="K704" s="2" t="s">
        <v>12</v>
      </c>
      <c r="L704" s="2" t="s">
        <v>12</v>
      </c>
      <c r="M704" s="2" t="s">
        <v>12</v>
      </c>
      <c r="N704" s="2" t="s">
        <v>12</v>
      </c>
      <c r="O704" s="2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5"/>
  <sheetViews>
    <sheetView workbookViewId="0">
      <pane ySplit="1" topLeftCell="A2" activePane="bottomLeft" state="frozen"/>
      <selection pane="bottomLeft"/>
    </sheetView>
  </sheetViews>
  <sheetFormatPr defaultColWidth="9" defaultRowHeight="15"/>
  <cols>
    <col min="1" max="1" width="24" customWidth="1"/>
    <col min="2" max="2" width="40" customWidth="1"/>
    <col min="3" max="4" width="14" customWidth="1"/>
    <col min="5" max="5" width="10" customWidth="1"/>
    <col min="6" max="6" width="25" customWidth="1"/>
    <col min="7" max="7" width="15" customWidth="1"/>
    <col min="8" max="8" width="14" customWidth="1"/>
    <col min="9" max="9" width="15" customWidth="1"/>
    <col min="10" max="10" width="26" customWidth="1"/>
    <col min="11" max="11" width="23" customWidth="1"/>
    <col min="12" max="12" width="18" customWidth="1"/>
    <col min="13" max="13" width="10" customWidth="1"/>
    <col min="14" max="14" width="13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3356</v>
      </c>
      <c r="I1" s="1" t="s">
        <v>7</v>
      </c>
      <c r="J1" s="1" t="s">
        <v>3357</v>
      </c>
      <c r="K1" s="1" t="s">
        <v>3358</v>
      </c>
      <c r="L1" s="1" t="s">
        <v>3359</v>
      </c>
      <c r="M1" s="1" t="s">
        <v>719</v>
      </c>
      <c r="N1" s="1" t="s">
        <v>3360</v>
      </c>
    </row>
    <row r="2" spans="1:14">
      <c r="A2" s="2" t="s">
        <v>439</v>
      </c>
      <c r="B2" s="2" t="s">
        <v>440</v>
      </c>
      <c r="C2" s="2" t="s">
        <v>11</v>
      </c>
      <c r="D2" s="2" t="s">
        <v>441</v>
      </c>
      <c r="E2" s="2" t="s">
        <v>2870</v>
      </c>
      <c r="F2" s="2" t="s">
        <v>122</v>
      </c>
      <c r="G2" s="2" t="s">
        <v>15</v>
      </c>
      <c r="H2" s="2" t="s">
        <v>442</v>
      </c>
      <c r="I2" s="2">
        <v>1.2</v>
      </c>
      <c r="J2" s="2">
        <v>11</v>
      </c>
      <c r="K2" s="2">
        <v>13</v>
      </c>
      <c r="L2" s="2" t="s">
        <v>12</v>
      </c>
      <c r="M2" s="2">
        <v>20</v>
      </c>
      <c r="N2" s="2">
        <v>24</v>
      </c>
    </row>
    <row r="3" spans="1:14">
      <c r="A3" s="2" t="s">
        <v>439</v>
      </c>
      <c r="B3" s="2" t="s">
        <v>440</v>
      </c>
      <c r="C3" s="2" t="s">
        <v>11</v>
      </c>
      <c r="D3" s="2" t="s">
        <v>441</v>
      </c>
      <c r="E3" s="2" t="s">
        <v>2882</v>
      </c>
      <c r="F3" s="2" t="s">
        <v>124</v>
      </c>
      <c r="G3" s="2" t="s">
        <v>15</v>
      </c>
      <c r="H3" s="2" t="s">
        <v>442</v>
      </c>
      <c r="I3" s="2">
        <v>1.5</v>
      </c>
      <c r="J3" s="2">
        <v>6</v>
      </c>
      <c r="K3" s="2">
        <v>25.5</v>
      </c>
      <c r="L3" s="2" t="s">
        <v>12</v>
      </c>
      <c r="M3" s="2">
        <v>20</v>
      </c>
      <c r="N3" s="2">
        <v>31.5</v>
      </c>
    </row>
    <row r="4" spans="1:14">
      <c r="A4" s="2" t="s">
        <v>439</v>
      </c>
      <c r="B4" s="2" t="s">
        <v>440</v>
      </c>
      <c r="C4" s="2" t="s">
        <v>11</v>
      </c>
      <c r="D4" s="2" t="s">
        <v>441</v>
      </c>
      <c r="E4" s="2" t="s">
        <v>2886</v>
      </c>
      <c r="F4" s="2" t="s">
        <v>126</v>
      </c>
      <c r="G4" s="2" t="s">
        <v>15</v>
      </c>
      <c r="H4" s="2" t="s">
        <v>442</v>
      </c>
      <c r="I4" s="2">
        <v>1.5</v>
      </c>
      <c r="J4" s="2" t="s">
        <v>12</v>
      </c>
      <c r="K4" s="2">
        <v>64.5</v>
      </c>
      <c r="L4" s="2" t="s">
        <v>12</v>
      </c>
      <c r="M4" s="2">
        <v>20</v>
      </c>
      <c r="N4" s="2">
        <v>64.5</v>
      </c>
    </row>
    <row r="5" spans="1:14">
      <c r="A5" s="2" t="s">
        <v>439</v>
      </c>
      <c r="B5" s="2" t="s">
        <v>440</v>
      </c>
      <c r="C5" s="2" t="s">
        <v>11</v>
      </c>
      <c r="D5" s="2" t="s">
        <v>441</v>
      </c>
      <c r="E5" s="2" t="s">
        <v>2896</v>
      </c>
      <c r="F5" s="2" t="s">
        <v>128</v>
      </c>
      <c r="G5" s="2" t="s">
        <v>15</v>
      </c>
      <c r="H5" s="2" t="s">
        <v>442</v>
      </c>
      <c r="I5" s="2">
        <v>1.5</v>
      </c>
      <c r="J5" s="2">
        <v>4</v>
      </c>
      <c r="K5" s="2">
        <v>44.5</v>
      </c>
      <c r="L5" s="2" t="s">
        <v>12</v>
      </c>
      <c r="M5" s="2">
        <v>20</v>
      </c>
      <c r="N5" s="2">
        <v>48.5</v>
      </c>
    </row>
    <row r="6" spans="1:14">
      <c r="A6" s="2" t="s">
        <v>439</v>
      </c>
      <c r="B6" s="2" t="s">
        <v>440</v>
      </c>
      <c r="C6" s="2" t="s">
        <v>11</v>
      </c>
      <c r="D6" s="2" t="s">
        <v>441</v>
      </c>
      <c r="E6" s="2" t="s">
        <v>2901</v>
      </c>
      <c r="F6" s="2" t="s">
        <v>130</v>
      </c>
      <c r="G6" s="2" t="s">
        <v>15</v>
      </c>
      <c r="H6" s="2" t="s">
        <v>442</v>
      </c>
      <c r="I6" s="2">
        <v>1.1499999999999999</v>
      </c>
      <c r="J6" s="2">
        <v>1</v>
      </c>
      <c r="K6" s="2">
        <v>22</v>
      </c>
      <c r="L6" s="2" t="s">
        <v>12</v>
      </c>
      <c r="M6" s="2">
        <v>20</v>
      </c>
      <c r="N6" s="2">
        <v>23</v>
      </c>
    </row>
    <row r="7" spans="1:14">
      <c r="A7" s="2" t="s">
        <v>439</v>
      </c>
      <c r="B7" s="2" t="s">
        <v>440</v>
      </c>
      <c r="C7" s="2" t="s">
        <v>11</v>
      </c>
      <c r="D7" s="2" t="s">
        <v>441</v>
      </c>
      <c r="E7" s="2" t="s">
        <v>2904</v>
      </c>
      <c r="F7" s="2" t="s">
        <v>132</v>
      </c>
      <c r="G7" s="2" t="s">
        <v>33</v>
      </c>
      <c r="H7" s="2" t="s">
        <v>443</v>
      </c>
      <c r="I7" s="2">
        <v>0.5</v>
      </c>
      <c r="J7" s="2">
        <v>1</v>
      </c>
      <c r="K7" s="2">
        <v>3</v>
      </c>
      <c r="L7" s="2" t="s">
        <v>12</v>
      </c>
      <c r="M7" s="2">
        <v>20</v>
      </c>
      <c r="N7" s="2">
        <v>4</v>
      </c>
    </row>
    <row r="8" spans="1:14">
      <c r="A8" s="2" t="s">
        <v>444</v>
      </c>
      <c r="B8" s="2" t="s">
        <v>445</v>
      </c>
      <c r="C8" s="2" t="s">
        <v>76</v>
      </c>
      <c r="D8" s="2" t="s">
        <v>446</v>
      </c>
      <c r="E8" s="2" t="s">
        <v>2870</v>
      </c>
      <c r="F8" s="2" t="s">
        <v>447</v>
      </c>
      <c r="G8" s="2" t="s">
        <v>15</v>
      </c>
      <c r="H8" s="2" t="s">
        <v>442</v>
      </c>
      <c r="I8" s="2">
        <v>1.5</v>
      </c>
      <c r="J8" s="2">
        <v>44</v>
      </c>
      <c r="K8" s="2">
        <v>1.5</v>
      </c>
      <c r="L8" s="2" t="s">
        <v>12</v>
      </c>
      <c r="M8" s="2">
        <v>20</v>
      </c>
      <c r="N8" s="2">
        <v>45.5</v>
      </c>
    </row>
    <row r="9" spans="1:14">
      <c r="A9" s="2" t="s">
        <v>444</v>
      </c>
      <c r="B9" s="2" t="s">
        <v>445</v>
      </c>
      <c r="C9" s="2" t="s">
        <v>76</v>
      </c>
      <c r="D9" s="2" t="s">
        <v>446</v>
      </c>
      <c r="E9" s="2" t="s">
        <v>2882</v>
      </c>
      <c r="F9" s="2" t="s">
        <v>448</v>
      </c>
      <c r="G9" s="2" t="s">
        <v>15</v>
      </c>
      <c r="H9" s="2" t="s">
        <v>442</v>
      </c>
      <c r="I9" s="2">
        <v>1.5</v>
      </c>
      <c r="J9" s="2">
        <v>58</v>
      </c>
      <c r="K9" s="2">
        <v>2</v>
      </c>
      <c r="L9" s="2" t="s">
        <v>12</v>
      </c>
      <c r="M9" s="2">
        <v>20</v>
      </c>
      <c r="N9" s="2">
        <v>60</v>
      </c>
    </row>
    <row r="10" spans="1:14">
      <c r="A10" s="2" t="s">
        <v>444</v>
      </c>
      <c r="B10" s="2" t="s">
        <v>445</v>
      </c>
      <c r="C10" s="2" t="s">
        <v>76</v>
      </c>
      <c r="D10" s="2" t="s">
        <v>446</v>
      </c>
      <c r="E10" s="2" t="s">
        <v>2886</v>
      </c>
      <c r="F10" s="2" t="s">
        <v>449</v>
      </c>
      <c r="G10" s="2" t="s">
        <v>15</v>
      </c>
      <c r="H10" s="2" t="s">
        <v>442</v>
      </c>
      <c r="I10" s="2">
        <v>1.5</v>
      </c>
      <c r="J10" s="2">
        <v>44</v>
      </c>
      <c r="K10" s="2">
        <v>2</v>
      </c>
      <c r="L10" s="2" t="s">
        <v>12</v>
      </c>
      <c r="M10" s="2">
        <v>20</v>
      </c>
      <c r="N10" s="2">
        <v>46</v>
      </c>
    </row>
    <row r="11" spans="1:14">
      <c r="A11" s="2" t="s">
        <v>444</v>
      </c>
      <c r="B11" s="2" t="s">
        <v>445</v>
      </c>
      <c r="C11" s="2" t="s">
        <v>76</v>
      </c>
      <c r="D11" s="2" t="s">
        <v>446</v>
      </c>
      <c r="E11" s="2" t="s">
        <v>2896</v>
      </c>
      <c r="F11" s="2" t="s">
        <v>450</v>
      </c>
      <c r="G11" s="2" t="s">
        <v>15</v>
      </c>
      <c r="H11" s="2" t="s">
        <v>442</v>
      </c>
      <c r="I11" s="2">
        <v>1.5</v>
      </c>
      <c r="J11" s="2">
        <v>37</v>
      </c>
      <c r="K11" s="2">
        <v>1</v>
      </c>
      <c r="L11" s="2">
        <v>1</v>
      </c>
      <c r="M11" s="2">
        <v>20</v>
      </c>
      <c r="N11" s="2">
        <v>39</v>
      </c>
    </row>
    <row r="12" spans="1:14">
      <c r="A12" s="2" t="s">
        <v>444</v>
      </c>
      <c r="B12" s="2" t="s">
        <v>445</v>
      </c>
      <c r="C12" s="2" t="s">
        <v>76</v>
      </c>
      <c r="D12" s="2" t="s">
        <v>446</v>
      </c>
      <c r="E12" s="2" t="s">
        <v>2901</v>
      </c>
      <c r="F12" s="2" t="s">
        <v>451</v>
      </c>
      <c r="G12" s="2" t="s">
        <v>15</v>
      </c>
      <c r="H12" s="2" t="s">
        <v>442</v>
      </c>
      <c r="I12" s="2">
        <v>1.5</v>
      </c>
      <c r="J12" s="2">
        <v>67</v>
      </c>
      <c r="K12" s="2">
        <v>4</v>
      </c>
      <c r="L12" s="2">
        <v>2</v>
      </c>
      <c r="M12" s="2">
        <v>20</v>
      </c>
      <c r="N12" s="2">
        <v>73</v>
      </c>
    </row>
    <row r="13" spans="1:14">
      <c r="A13" s="2" t="s">
        <v>444</v>
      </c>
      <c r="B13" s="2" t="s">
        <v>445</v>
      </c>
      <c r="C13" s="2" t="s">
        <v>76</v>
      </c>
      <c r="D13" s="2" t="s">
        <v>446</v>
      </c>
      <c r="E13" s="2" t="s">
        <v>2904</v>
      </c>
      <c r="F13" s="2" t="s">
        <v>452</v>
      </c>
      <c r="G13" s="2" t="s">
        <v>33</v>
      </c>
      <c r="H13" s="2" t="s">
        <v>442</v>
      </c>
      <c r="I13" s="2">
        <v>1.4</v>
      </c>
      <c r="J13" s="2">
        <v>27</v>
      </c>
      <c r="K13" s="2">
        <v>1</v>
      </c>
      <c r="L13" s="2" t="s">
        <v>12</v>
      </c>
      <c r="M13" s="2">
        <v>20</v>
      </c>
      <c r="N13" s="2">
        <v>28</v>
      </c>
    </row>
    <row r="14" spans="1:14">
      <c r="A14" s="2" t="s">
        <v>453</v>
      </c>
      <c r="B14" s="2" t="s">
        <v>454</v>
      </c>
      <c r="C14" s="2" t="s">
        <v>250</v>
      </c>
      <c r="D14" s="2" t="s">
        <v>446</v>
      </c>
      <c r="E14" s="2" t="s">
        <v>2870</v>
      </c>
      <c r="F14" s="2" t="s">
        <v>26</v>
      </c>
      <c r="G14" s="2" t="s">
        <v>15</v>
      </c>
      <c r="H14" s="2" t="s">
        <v>442</v>
      </c>
      <c r="I14" s="2">
        <v>1.5</v>
      </c>
      <c r="J14" s="2">
        <v>42</v>
      </c>
      <c r="K14" s="2" t="s">
        <v>12</v>
      </c>
      <c r="L14" s="2" t="s">
        <v>12</v>
      </c>
      <c r="M14" s="2">
        <v>20</v>
      </c>
      <c r="N14" s="2">
        <v>42</v>
      </c>
    </row>
    <row r="15" spans="1:14">
      <c r="A15" s="2" t="s">
        <v>453</v>
      </c>
      <c r="B15" s="2" t="s">
        <v>454</v>
      </c>
      <c r="C15" s="2" t="s">
        <v>250</v>
      </c>
      <c r="D15" s="2" t="s">
        <v>446</v>
      </c>
      <c r="E15" s="2" t="s">
        <v>2882</v>
      </c>
      <c r="F15" s="2" t="s">
        <v>29</v>
      </c>
      <c r="G15" s="2" t="s">
        <v>15</v>
      </c>
      <c r="H15" s="2" t="s">
        <v>442</v>
      </c>
      <c r="I15" s="2">
        <v>1.5</v>
      </c>
      <c r="J15" s="2">
        <v>37</v>
      </c>
      <c r="K15" s="2" t="s">
        <v>12</v>
      </c>
      <c r="L15" s="2">
        <v>2</v>
      </c>
      <c r="M15" s="2">
        <v>20</v>
      </c>
      <c r="N15" s="2">
        <v>39</v>
      </c>
    </row>
    <row r="16" spans="1:14">
      <c r="A16" s="2" t="s">
        <v>453</v>
      </c>
      <c r="B16" s="2" t="s">
        <v>454</v>
      </c>
      <c r="C16" s="2" t="s">
        <v>250</v>
      </c>
      <c r="D16" s="2" t="s">
        <v>446</v>
      </c>
      <c r="E16" s="2" t="s">
        <v>2886</v>
      </c>
      <c r="F16" s="2" t="s">
        <v>32</v>
      </c>
      <c r="G16" s="2" t="s">
        <v>33</v>
      </c>
      <c r="H16" s="2" t="s">
        <v>443</v>
      </c>
      <c r="I16" s="2">
        <v>0.5</v>
      </c>
      <c r="J16" s="2">
        <v>2</v>
      </c>
      <c r="K16" s="2" t="s">
        <v>12</v>
      </c>
      <c r="L16" s="2" t="s">
        <v>12</v>
      </c>
      <c r="M16" s="2">
        <v>20</v>
      </c>
      <c r="N16" s="2">
        <v>2</v>
      </c>
    </row>
    <row r="17" spans="1:14">
      <c r="A17" s="2" t="s">
        <v>455</v>
      </c>
      <c r="B17" s="2" t="s">
        <v>456</v>
      </c>
      <c r="C17" s="2" t="s">
        <v>112</v>
      </c>
      <c r="D17" s="2" t="s">
        <v>457</v>
      </c>
      <c r="E17" s="2" t="s">
        <v>2870</v>
      </c>
      <c r="F17" s="2" t="s">
        <v>458</v>
      </c>
      <c r="G17" s="2" t="s">
        <v>15</v>
      </c>
      <c r="H17" s="2" t="s">
        <v>442</v>
      </c>
      <c r="I17" s="2">
        <v>1.5</v>
      </c>
      <c r="J17" s="2">
        <v>38</v>
      </c>
      <c r="K17" s="2" t="s">
        <v>12</v>
      </c>
      <c r="L17" s="2">
        <v>1</v>
      </c>
      <c r="M17" s="2">
        <v>20</v>
      </c>
      <c r="N17" s="2">
        <v>39</v>
      </c>
    </row>
    <row r="18" spans="1:14">
      <c r="A18" s="2" t="s">
        <v>455</v>
      </c>
      <c r="B18" s="2" t="s">
        <v>456</v>
      </c>
      <c r="C18" s="2" t="s">
        <v>112</v>
      </c>
      <c r="D18" s="2" t="s">
        <v>457</v>
      </c>
      <c r="E18" s="2" t="s">
        <v>2882</v>
      </c>
      <c r="F18" s="2" t="s">
        <v>268</v>
      </c>
      <c r="G18" s="2" t="s">
        <v>15</v>
      </c>
      <c r="H18" s="2" t="s">
        <v>442</v>
      </c>
      <c r="I18" s="2">
        <v>1.5</v>
      </c>
      <c r="J18" s="2">
        <v>32</v>
      </c>
      <c r="K18" s="2">
        <v>10.5</v>
      </c>
      <c r="L18" s="2">
        <v>1</v>
      </c>
      <c r="M18" s="2">
        <v>20</v>
      </c>
      <c r="N18" s="2">
        <v>43.5</v>
      </c>
    </row>
    <row r="19" spans="1:14">
      <c r="A19" s="2" t="s">
        <v>455</v>
      </c>
      <c r="B19" s="2" t="s">
        <v>456</v>
      </c>
      <c r="C19" s="2" t="s">
        <v>112</v>
      </c>
      <c r="D19" s="2" t="s">
        <v>457</v>
      </c>
      <c r="E19" s="2" t="s">
        <v>2886</v>
      </c>
      <c r="F19" s="2" t="s">
        <v>270</v>
      </c>
      <c r="G19" s="2" t="s">
        <v>15</v>
      </c>
      <c r="H19" s="2" t="s">
        <v>442</v>
      </c>
      <c r="I19" s="2">
        <v>1.5</v>
      </c>
      <c r="J19" s="2">
        <v>29</v>
      </c>
      <c r="K19" s="2">
        <v>3.5</v>
      </c>
      <c r="L19" s="2">
        <v>1</v>
      </c>
      <c r="M19" s="2">
        <v>20</v>
      </c>
      <c r="N19" s="2">
        <v>33.5</v>
      </c>
    </row>
    <row r="20" spans="1:14">
      <c r="A20" s="2" t="s">
        <v>455</v>
      </c>
      <c r="B20" s="2" t="s">
        <v>456</v>
      </c>
      <c r="C20" s="2" t="s">
        <v>112</v>
      </c>
      <c r="D20" s="2" t="s">
        <v>457</v>
      </c>
      <c r="E20" s="2" t="s">
        <v>2896</v>
      </c>
      <c r="F20" s="2" t="s">
        <v>272</v>
      </c>
      <c r="G20" s="2" t="s">
        <v>33</v>
      </c>
      <c r="H20" s="2" t="s">
        <v>442</v>
      </c>
      <c r="I20" s="2">
        <v>1.5</v>
      </c>
      <c r="J20" s="2">
        <v>41</v>
      </c>
      <c r="K20" s="2">
        <v>6.5</v>
      </c>
      <c r="L20" s="2">
        <v>1</v>
      </c>
      <c r="M20" s="2">
        <v>20</v>
      </c>
      <c r="N20" s="2">
        <v>48.5</v>
      </c>
    </row>
    <row r="21" spans="1:14">
      <c r="A21" s="2" t="s">
        <v>455</v>
      </c>
      <c r="B21" s="2" t="s">
        <v>456</v>
      </c>
      <c r="C21" s="2" t="s">
        <v>112</v>
      </c>
      <c r="D21" s="2" t="s">
        <v>457</v>
      </c>
      <c r="E21" s="2" t="s">
        <v>2901</v>
      </c>
      <c r="F21" s="2" t="s">
        <v>274</v>
      </c>
      <c r="G21" s="2" t="s">
        <v>225</v>
      </c>
      <c r="H21" s="2" t="s">
        <v>443</v>
      </c>
      <c r="I21" s="2" t="s">
        <v>12</v>
      </c>
      <c r="J21" s="2" t="s">
        <v>12</v>
      </c>
      <c r="K21" s="2" t="s">
        <v>12</v>
      </c>
      <c r="L21" s="2" t="s">
        <v>12</v>
      </c>
      <c r="M21" s="2">
        <v>20</v>
      </c>
      <c r="N21" s="2" t="s">
        <v>12</v>
      </c>
    </row>
    <row r="22" spans="1:14">
      <c r="A22" s="2" t="s">
        <v>459</v>
      </c>
      <c r="B22" s="2" t="s">
        <v>460</v>
      </c>
      <c r="C22" s="2" t="s">
        <v>76</v>
      </c>
      <c r="D22" s="2" t="s">
        <v>461</v>
      </c>
      <c r="E22" s="2" t="s">
        <v>2870</v>
      </c>
      <c r="F22" s="2" t="s">
        <v>49</v>
      </c>
      <c r="G22" s="2" t="s">
        <v>15</v>
      </c>
      <c r="H22" s="2" t="s">
        <v>442</v>
      </c>
      <c r="I22" s="2">
        <v>1.5</v>
      </c>
      <c r="J22" s="2">
        <v>32</v>
      </c>
      <c r="K22" s="2" t="s">
        <v>12</v>
      </c>
      <c r="L22" s="2" t="s">
        <v>12</v>
      </c>
      <c r="M22" s="2">
        <v>15</v>
      </c>
      <c r="N22" s="2">
        <v>32</v>
      </c>
    </row>
    <row r="23" spans="1:14">
      <c r="A23" s="2" t="s">
        <v>459</v>
      </c>
      <c r="B23" s="2" t="s">
        <v>460</v>
      </c>
      <c r="C23" s="2" t="s">
        <v>76</v>
      </c>
      <c r="D23" s="2" t="s">
        <v>461</v>
      </c>
      <c r="E23" s="2" t="s">
        <v>2882</v>
      </c>
      <c r="F23" s="2" t="s">
        <v>51</v>
      </c>
      <c r="G23" s="2" t="s">
        <v>15</v>
      </c>
      <c r="H23" s="2" t="s">
        <v>442</v>
      </c>
      <c r="I23" s="2">
        <v>1.5</v>
      </c>
      <c r="J23" s="2">
        <v>26</v>
      </c>
      <c r="K23" s="2">
        <v>6</v>
      </c>
      <c r="L23" s="2">
        <v>2</v>
      </c>
      <c r="M23" s="2">
        <v>15</v>
      </c>
      <c r="N23" s="2">
        <v>34</v>
      </c>
    </row>
    <row r="24" spans="1:14">
      <c r="A24" s="2" t="s">
        <v>459</v>
      </c>
      <c r="B24" s="2" t="s">
        <v>460</v>
      </c>
      <c r="C24" s="2" t="s">
        <v>76</v>
      </c>
      <c r="D24" s="2" t="s">
        <v>461</v>
      </c>
      <c r="E24" s="2" t="s">
        <v>2886</v>
      </c>
      <c r="F24" s="2" t="s">
        <v>52</v>
      </c>
      <c r="G24" s="2" t="s">
        <v>15</v>
      </c>
      <c r="H24" s="2" t="s">
        <v>442</v>
      </c>
      <c r="I24" s="2">
        <v>1.5</v>
      </c>
      <c r="J24" s="2">
        <v>15</v>
      </c>
      <c r="K24" s="2">
        <v>8.5</v>
      </c>
      <c r="L24" s="2">
        <v>1</v>
      </c>
      <c r="M24" s="2">
        <v>15</v>
      </c>
      <c r="N24" s="2">
        <v>24.5</v>
      </c>
    </row>
    <row r="25" spans="1:14">
      <c r="A25" s="2" t="s">
        <v>459</v>
      </c>
      <c r="B25" s="2" t="s">
        <v>460</v>
      </c>
      <c r="C25" s="2" t="s">
        <v>76</v>
      </c>
      <c r="D25" s="2" t="s">
        <v>461</v>
      </c>
      <c r="E25" s="2" t="s">
        <v>2896</v>
      </c>
      <c r="F25" s="2" t="s">
        <v>54</v>
      </c>
      <c r="G25" s="2" t="s">
        <v>15</v>
      </c>
      <c r="H25" s="2" t="s">
        <v>442</v>
      </c>
      <c r="I25" s="2">
        <v>1.5</v>
      </c>
      <c r="J25" s="2">
        <v>31</v>
      </c>
      <c r="K25" s="2">
        <v>3.5</v>
      </c>
      <c r="L25" s="2" t="s">
        <v>12</v>
      </c>
      <c r="M25" s="2">
        <v>15</v>
      </c>
      <c r="N25" s="2">
        <v>34.5</v>
      </c>
    </row>
    <row r="26" spans="1:14">
      <c r="A26" s="2" t="s">
        <v>459</v>
      </c>
      <c r="B26" s="2" t="s">
        <v>460</v>
      </c>
      <c r="C26" s="2" t="s">
        <v>76</v>
      </c>
      <c r="D26" s="2" t="s">
        <v>461</v>
      </c>
      <c r="E26" s="2" t="s">
        <v>2901</v>
      </c>
      <c r="F26" s="2" t="s">
        <v>56</v>
      </c>
      <c r="G26" s="2" t="s">
        <v>15</v>
      </c>
      <c r="H26" s="2" t="s">
        <v>442</v>
      </c>
      <c r="I26" s="2">
        <v>1.5</v>
      </c>
      <c r="J26" s="2">
        <v>30</v>
      </c>
      <c r="K26" s="2" t="s">
        <v>12</v>
      </c>
      <c r="L26" s="2">
        <v>3</v>
      </c>
      <c r="M26" s="2">
        <v>15</v>
      </c>
      <c r="N26" s="2">
        <v>33</v>
      </c>
    </row>
    <row r="27" spans="1:14">
      <c r="A27" s="2" t="s">
        <v>459</v>
      </c>
      <c r="B27" s="2" t="s">
        <v>460</v>
      </c>
      <c r="C27" s="2" t="s">
        <v>76</v>
      </c>
      <c r="D27" s="2" t="s">
        <v>461</v>
      </c>
      <c r="E27" s="2" t="s">
        <v>2904</v>
      </c>
      <c r="F27" s="2" t="s">
        <v>57</v>
      </c>
      <c r="G27" s="2" t="s">
        <v>33</v>
      </c>
      <c r="H27" s="2" t="s">
        <v>443</v>
      </c>
      <c r="I27" s="2" t="s">
        <v>12</v>
      </c>
      <c r="J27" s="2" t="s">
        <v>12</v>
      </c>
      <c r="K27" s="2" t="s">
        <v>12</v>
      </c>
      <c r="L27" s="2" t="s">
        <v>12</v>
      </c>
      <c r="M27" s="2">
        <v>15</v>
      </c>
      <c r="N27" s="2" t="s">
        <v>12</v>
      </c>
    </row>
    <row r="28" spans="1:14">
      <c r="A28" s="2" t="s">
        <v>462</v>
      </c>
      <c r="B28" s="2" t="s">
        <v>463</v>
      </c>
      <c r="C28" s="2" t="s">
        <v>112</v>
      </c>
      <c r="D28" s="2" t="s">
        <v>446</v>
      </c>
      <c r="E28" s="2" t="s">
        <v>2870</v>
      </c>
      <c r="F28" s="2" t="s">
        <v>464</v>
      </c>
      <c r="G28" s="2" t="s">
        <v>15</v>
      </c>
      <c r="H28" s="2" t="s">
        <v>442</v>
      </c>
      <c r="I28" s="2">
        <v>1.2</v>
      </c>
      <c r="J28" s="2">
        <v>24</v>
      </c>
      <c r="K28" s="2" t="s">
        <v>12</v>
      </c>
      <c r="L28" s="2" t="s">
        <v>12</v>
      </c>
      <c r="M28" s="2">
        <v>20</v>
      </c>
      <c r="N28" s="2">
        <v>24</v>
      </c>
    </row>
    <row r="29" spans="1:14">
      <c r="A29" s="2" t="s">
        <v>462</v>
      </c>
      <c r="B29" s="2" t="s">
        <v>463</v>
      </c>
      <c r="C29" s="2" t="s">
        <v>112</v>
      </c>
      <c r="D29" s="2" t="s">
        <v>446</v>
      </c>
      <c r="E29" s="2" t="s">
        <v>2882</v>
      </c>
      <c r="F29" s="2" t="s">
        <v>465</v>
      </c>
      <c r="G29" s="2" t="s">
        <v>33</v>
      </c>
      <c r="H29" s="2" t="s">
        <v>443</v>
      </c>
      <c r="I29" s="2">
        <v>0.5</v>
      </c>
      <c r="J29" s="2">
        <v>10</v>
      </c>
      <c r="K29" s="2" t="s">
        <v>12</v>
      </c>
      <c r="L29" s="2" t="s">
        <v>12</v>
      </c>
      <c r="M29" s="2">
        <v>20</v>
      </c>
      <c r="N29" s="2">
        <v>10</v>
      </c>
    </row>
    <row r="30" spans="1:14">
      <c r="A30" s="2" t="s">
        <v>466</v>
      </c>
      <c r="B30" s="2" t="s">
        <v>467</v>
      </c>
      <c r="C30" s="2" t="s">
        <v>11</v>
      </c>
      <c r="D30" s="2" t="s">
        <v>468</v>
      </c>
      <c r="E30" s="2" t="s">
        <v>2870</v>
      </c>
      <c r="F30" s="2" t="s">
        <v>14</v>
      </c>
      <c r="G30" s="2" t="s">
        <v>15</v>
      </c>
      <c r="H30" s="2" t="s">
        <v>442</v>
      </c>
      <c r="I30" s="2">
        <v>1.33</v>
      </c>
      <c r="J30" s="2">
        <v>11</v>
      </c>
      <c r="K30" s="2">
        <v>15.5</v>
      </c>
      <c r="L30" s="2" t="s">
        <v>12</v>
      </c>
      <c r="M30" s="2">
        <v>20</v>
      </c>
      <c r="N30" s="2">
        <v>26.5</v>
      </c>
    </row>
    <row r="31" spans="1:14">
      <c r="A31" s="2" t="s">
        <v>466</v>
      </c>
      <c r="B31" s="2" t="s">
        <v>467</v>
      </c>
      <c r="C31" s="2" t="s">
        <v>11</v>
      </c>
      <c r="D31" s="2" t="s">
        <v>468</v>
      </c>
      <c r="E31" s="2" t="s">
        <v>2882</v>
      </c>
      <c r="F31" s="2" t="s">
        <v>19</v>
      </c>
      <c r="G31" s="2" t="s">
        <v>15</v>
      </c>
      <c r="H31" s="2" t="s">
        <v>442</v>
      </c>
      <c r="I31" s="2">
        <v>1.5</v>
      </c>
      <c r="J31" s="2">
        <v>31</v>
      </c>
      <c r="K31" s="2">
        <v>9</v>
      </c>
      <c r="L31" s="2">
        <v>2</v>
      </c>
      <c r="M31" s="2">
        <v>20</v>
      </c>
      <c r="N31" s="2">
        <v>42</v>
      </c>
    </row>
    <row r="32" spans="1:14">
      <c r="A32" s="2" t="s">
        <v>466</v>
      </c>
      <c r="B32" s="2" t="s">
        <v>467</v>
      </c>
      <c r="C32" s="2" t="s">
        <v>11</v>
      </c>
      <c r="D32" s="2" t="s">
        <v>468</v>
      </c>
      <c r="E32" s="2" t="s">
        <v>2886</v>
      </c>
      <c r="F32" s="2" t="s">
        <v>23</v>
      </c>
      <c r="G32" s="2" t="s">
        <v>15</v>
      </c>
      <c r="H32" s="2" t="s">
        <v>442</v>
      </c>
      <c r="I32" s="2">
        <v>1.5</v>
      </c>
      <c r="J32" s="2">
        <v>34</v>
      </c>
      <c r="K32" s="2">
        <v>7</v>
      </c>
      <c r="L32" s="2">
        <v>2</v>
      </c>
      <c r="M32" s="2">
        <v>20</v>
      </c>
      <c r="N32" s="2">
        <v>43</v>
      </c>
    </row>
    <row r="33" spans="1:14">
      <c r="A33" s="2" t="s">
        <v>466</v>
      </c>
      <c r="B33" s="2" t="s">
        <v>467</v>
      </c>
      <c r="C33" s="2" t="s">
        <v>11</v>
      </c>
      <c r="D33" s="2" t="s">
        <v>468</v>
      </c>
      <c r="E33" s="2" t="s">
        <v>2896</v>
      </c>
      <c r="F33" s="2" t="s">
        <v>26</v>
      </c>
      <c r="G33" s="2" t="s">
        <v>15</v>
      </c>
      <c r="H33" s="2" t="s">
        <v>442</v>
      </c>
      <c r="I33" s="2">
        <v>1.5</v>
      </c>
      <c r="J33" s="2">
        <v>28</v>
      </c>
      <c r="K33" s="2">
        <v>4</v>
      </c>
      <c r="L33" s="2">
        <v>4</v>
      </c>
      <c r="M33" s="2">
        <v>20</v>
      </c>
      <c r="N33" s="2">
        <v>36</v>
      </c>
    </row>
    <row r="34" spans="1:14">
      <c r="A34" s="2" t="s">
        <v>466</v>
      </c>
      <c r="B34" s="2" t="s">
        <v>467</v>
      </c>
      <c r="C34" s="2" t="s">
        <v>11</v>
      </c>
      <c r="D34" s="2" t="s">
        <v>468</v>
      </c>
      <c r="E34" s="2" t="s">
        <v>2901</v>
      </c>
      <c r="F34" s="2" t="s">
        <v>29</v>
      </c>
      <c r="G34" s="2" t="s">
        <v>15</v>
      </c>
      <c r="H34" s="2" t="s">
        <v>442</v>
      </c>
      <c r="I34" s="2">
        <v>1.5</v>
      </c>
      <c r="J34" s="2">
        <v>28</v>
      </c>
      <c r="K34" s="2">
        <v>2</v>
      </c>
      <c r="L34" s="2">
        <v>4</v>
      </c>
      <c r="M34" s="2">
        <v>20</v>
      </c>
      <c r="N34" s="2">
        <v>34</v>
      </c>
    </row>
    <row r="35" spans="1:14">
      <c r="A35" s="2" t="s">
        <v>466</v>
      </c>
      <c r="B35" s="2" t="s">
        <v>467</v>
      </c>
      <c r="C35" s="2" t="s">
        <v>11</v>
      </c>
      <c r="D35" s="2" t="s">
        <v>468</v>
      </c>
      <c r="E35" s="2" t="s">
        <v>2904</v>
      </c>
      <c r="F35" s="2" t="s">
        <v>32</v>
      </c>
      <c r="G35" s="2" t="s">
        <v>33</v>
      </c>
      <c r="H35" s="2" t="s">
        <v>443</v>
      </c>
      <c r="I35" s="2">
        <v>0.5</v>
      </c>
      <c r="J35" s="2">
        <v>1</v>
      </c>
      <c r="K35" s="2">
        <v>0.5</v>
      </c>
      <c r="L35" s="2" t="s">
        <v>12</v>
      </c>
      <c r="M35" s="2">
        <v>20</v>
      </c>
      <c r="N35" s="2">
        <v>1.5</v>
      </c>
    </row>
    <row r="36" spans="1:14">
      <c r="A36" s="2" t="s">
        <v>469</v>
      </c>
      <c r="B36" s="2" t="s">
        <v>470</v>
      </c>
      <c r="C36" s="2" t="s">
        <v>76</v>
      </c>
      <c r="D36" s="2" t="s">
        <v>441</v>
      </c>
      <c r="E36" s="2" t="s">
        <v>2870</v>
      </c>
      <c r="F36" s="2" t="s">
        <v>332</v>
      </c>
      <c r="G36" s="2" t="s">
        <v>15</v>
      </c>
      <c r="H36" s="2" t="s">
        <v>442</v>
      </c>
      <c r="I36" s="2">
        <v>1.5</v>
      </c>
      <c r="J36" s="2">
        <v>57</v>
      </c>
      <c r="K36" s="2" t="s">
        <v>12</v>
      </c>
      <c r="L36" s="2" t="s">
        <v>12</v>
      </c>
      <c r="M36" s="2">
        <v>20</v>
      </c>
      <c r="N36" s="2">
        <v>57</v>
      </c>
    </row>
    <row r="37" spans="1:14">
      <c r="A37" s="2" t="s">
        <v>469</v>
      </c>
      <c r="B37" s="2" t="s">
        <v>470</v>
      </c>
      <c r="C37" s="2" t="s">
        <v>76</v>
      </c>
      <c r="D37" s="2" t="s">
        <v>441</v>
      </c>
      <c r="E37" s="2" t="s">
        <v>2882</v>
      </c>
      <c r="F37" s="2" t="s">
        <v>334</v>
      </c>
      <c r="G37" s="2" t="s">
        <v>15</v>
      </c>
      <c r="H37" s="2" t="s">
        <v>442</v>
      </c>
      <c r="I37" s="2">
        <v>1.5</v>
      </c>
      <c r="J37" s="2">
        <v>65</v>
      </c>
      <c r="K37" s="2" t="s">
        <v>12</v>
      </c>
      <c r="L37" s="2" t="s">
        <v>12</v>
      </c>
      <c r="M37" s="2">
        <v>20</v>
      </c>
      <c r="N37" s="2">
        <v>65</v>
      </c>
    </row>
    <row r="38" spans="1:14">
      <c r="A38" s="2" t="s">
        <v>469</v>
      </c>
      <c r="B38" s="2" t="s">
        <v>470</v>
      </c>
      <c r="C38" s="2" t="s">
        <v>76</v>
      </c>
      <c r="D38" s="2" t="s">
        <v>441</v>
      </c>
      <c r="E38" s="2" t="s">
        <v>2886</v>
      </c>
      <c r="F38" s="2" t="s">
        <v>336</v>
      </c>
      <c r="G38" s="2" t="s">
        <v>15</v>
      </c>
      <c r="H38" s="2" t="s">
        <v>442</v>
      </c>
      <c r="I38" s="2">
        <v>1.5</v>
      </c>
      <c r="J38" s="2">
        <v>51</v>
      </c>
      <c r="K38" s="2" t="s">
        <v>12</v>
      </c>
      <c r="L38" s="2" t="s">
        <v>12</v>
      </c>
      <c r="M38" s="2">
        <v>20</v>
      </c>
      <c r="N38" s="2">
        <v>51</v>
      </c>
    </row>
    <row r="39" spans="1:14">
      <c r="A39" s="2" t="s">
        <v>469</v>
      </c>
      <c r="B39" s="2" t="s">
        <v>470</v>
      </c>
      <c r="C39" s="2" t="s">
        <v>76</v>
      </c>
      <c r="D39" s="2" t="s">
        <v>441</v>
      </c>
      <c r="E39" s="2" t="s">
        <v>2896</v>
      </c>
      <c r="F39" s="2" t="s">
        <v>337</v>
      </c>
      <c r="G39" s="2" t="s">
        <v>15</v>
      </c>
      <c r="H39" s="2" t="s">
        <v>442</v>
      </c>
      <c r="I39" s="2">
        <v>1.5</v>
      </c>
      <c r="J39" s="2">
        <v>44</v>
      </c>
      <c r="K39" s="2" t="s">
        <v>12</v>
      </c>
      <c r="L39" s="2" t="s">
        <v>12</v>
      </c>
      <c r="M39" s="2">
        <v>20</v>
      </c>
      <c r="N39" s="2">
        <v>44</v>
      </c>
    </row>
    <row r="40" spans="1:14">
      <c r="A40" s="2" t="s">
        <v>469</v>
      </c>
      <c r="B40" s="2" t="s">
        <v>470</v>
      </c>
      <c r="C40" s="2" t="s">
        <v>76</v>
      </c>
      <c r="D40" s="2" t="s">
        <v>441</v>
      </c>
      <c r="E40" s="2" t="s">
        <v>2901</v>
      </c>
      <c r="F40" s="2" t="s">
        <v>338</v>
      </c>
      <c r="G40" s="2" t="s">
        <v>15</v>
      </c>
      <c r="H40" s="2" t="s">
        <v>442</v>
      </c>
      <c r="I40" s="2">
        <v>1.5</v>
      </c>
      <c r="J40" s="2">
        <v>42</v>
      </c>
      <c r="K40" s="2" t="s">
        <v>12</v>
      </c>
      <c r="L40" s="2" t="s">
        <v>12</v>
      </c>
      <c r="M40" s="2">
        <v>20</v>
      </c>
      <c r="N40" s="2">
        <v>42</v>
      </c>
    </row>
    <row r="41" spans="1:14">
      <c r="A41" s="2" t="s">
        <v>469</v>
      </c>
      <c r="B41" s="2" t="s">
        <v>470</v>
      </c>
      <c r="C41" s="2" t="s">
        <v>76</v>
      </c>
      <c r="D41" s="2" t="s">
        <v>441</v>
      </c>
      <c r="E41" s="2" t="s">
        <v>2904</v>
      </c>
      <c r="F41" s="2" t="s">
        <v>339</v>
      </c>
      <c r="G41" s="2" t="s">
        <v>33</v>
      </c>
      <c r="H41" s="2" t="s">
        <v>443</v>
      </c>
      <c r="I41" s="2">
        <v>0.75</v>
      </c>
      <c r="J41" s="2">
        <v>15</v>
      </c>
      <c r="K41" s="2" t="s">
        <v>12</v>
      </c>
      <c r="L41" s="2" t="s">
        <v>12</v>
      </c>
      <c r="M41" s="2">
        <v>20</v>
      </c>
      <c r="N41" s="2">
        <v>15</v>
      </c>
    </row>
    <row r="42" spans="1:14">
      <c r="A42" s="2" t="s">
        <v>471</v>
      </c>
      <c r="B42" s="2" t="s">
        <v>472</v>
      </c>
      <c r="C42" s="2" t="s">
        <v>48</v>
      </c>
      <c r="D42" s="2" t="s">
        <v>468</v>
      </c>
      <c r="E42" s="2" t="s">
        <v>2870</v>
      </c>
      <c r="F42" s="2" t="s">
        <v>14</v>
      </c>
      <c r="G42" s="2" t="s">
        <v>15</v>
      </c>
      <c r="H42" s="2" t="s">
        <v>442</v>
      </c>
      <c r="I42" s="2">
        <v>1.5</v>
      </c>
      <c r="J42" s="2">
        <v>24</v>
      </c>
      <c r="K42" s="2">
        <v>13.5</v>
      </c>
      <c r="L42" s="2">
        <v>1</v>
      </c>
      <c r="M42" s="2">
        <v>20</v>
      </c>
      <c r="N42" s="2">
        <v>38.5</v>
      </c>
    </row>
    <row r="43" spans="1:14">
      <c r="A43" s="2" t="s">
        <v>471</v>
      </c>
      <c r="B43" s="2" t="s">
        <v>472</v>
      </c>
      <c r="C43" s="2" t="s">
        <v>48</v>
      </c>
      <c r="D43" s="2" t="s">
        <v>468</v>
      </c>
      <c r="E43" s="2" t="s">
        <v>2882</v>
      </c>
      <c r="F43" s="2" t="s">
        <v>19</v>
      </c>
      <c r="G43" s="2" t="s">
        <v>15</v>
      </c>
      <c r="H43" s="2" t="s">
        <v>442</v>
      </c>
      <c r="I43" s="2">
        <v>1.5</v>
      </c>
      <c r="J43" s="2">
        <v>37</v>
      </c>
      <c r="K43" s="2">
        <v>6.5</v>
      </c>
      <c r="L43" s="2">
        <v>3</v>
      </c>
      <c r="M43" s="2">
        <v>20</v>
      </c>
      <c r="N43" s="2">
        <v>46.5</v>
      </c>
    </row>
    <row r="44" spans="1:14">
      <c r="A44" s="2" t="s">
        <v>471</v>
      </c>
      <c r="B44" s="2" t="s">
        <v>472</v>
      </c>
      <c r="C44" s="2" t="s">
        <v>48</v>
      </c>
      <c r="D44" s="2" t="s">
        <v>468</v>
      </c>
      <c r="E44" s="2" t="s">
        <v>2886</v>
      </c>
      <c r="F44" s="2" t="s">
        <v>23</v>
      </c>
      <c r="G44" s="2" t="s">
        <v>15</v>
      </c>
      <c r="H44" s="2" t="s">
        <v>442</v>
      </c>
      <c r="I44" s="2">
        <v>1.5</v>
      </c>
      <c r="J44" s="2">
        <v>30</v>
      </c>
      <c r="K44" s="2">
        <v>8</v>
      </c>
      <c r="L44" s="2">
        <v>6</v>
      </c>
      <c r="M44" s="2">
        <v>20</v>
      </c>
      <c r="N44" s="2">
        <v>44</v>
      </c>
    </row>
    <row r="45" spans="1:14">
      <c r="A45" s="2" t="s">
        <v>471</v>
      </c>
      <c r="B45" s="2" t="s">
        <v>472</v>
      </c>
      <c r="C45" s="2" t="s">
        <v>48</v>
      </c>
      <c r="D45" s="2" t="s">
        <v>468</v>
      </c>
      <c r="E45" s="2" t="s">
        <v>2896</v>
      </c>
      <c r="F45" s="2" t="s">
        <v>26</v>
      </c>
      <c r="G45" s="2" t="s">
        <v>15</v>
      </c>
      <c r="H45" s="2" t="s">
        <v>442</v>
      </c>
      <c r="I45" s="2">
        <v>1.5</v>
      </c>
      <c r="J45" s="2">
        <v>34</v>
      </c>
      <c r="K45" s="2">
        <v>1.5</v>
      </c>
      <c r="L45" s="2">
        <v>7</v>
      </c>
      <c r="M45" s="2">
        <v>20</v>
      </c>
      <c r="N45" s="2">
        <v>42.5</v>
      </c>
    </row>
    <row r="46" spans="1:14">
      <c r="A46" s="2" t="s">
        <v>471</v>
      </c>
      <c r="B46" s="2" t="s">
        <v>472</v>
      </c>
      <c r="C46" s="2" t="s">
        <v>48</v>
      </c>
      <c r="D46" s="2" t="s">
        <v>468</v>
      </c>
      <c r="E46" s="2" t="s">
        <v>2901</v>
      </c>
      <c r="F46" s="2" t="s">
        <v>29</v>
      </c>
      <c r="G46" s="2" t="s">
        <v>15</v>
      </c>
      <c r="H46" s="2" t="s">
        <v>442</v>
      </c>
      <c r="I46" s="2">
        <v>1.5</v>
      </c>
      <c r="J46" s="2">
        <v>34</v>
      </c>
      <c r="K46" s="2">
        <v>1.5</v>
      </c>
      <c r="L46" s="2">
        <v>4</v>
      </c>
      <c r="M46" s="2">
        <v>20</v>
      </c>
      <c r="N46" s="2">
        <v>39.5</v>
      </c>
    </row>
    <row r="47" spans="1:14">
      <c r="A47" s="2" t="s">
        <v>471</v>
      </c>
      <c r="B47" s="2" t="s">
        <v>472</v>
      </c>
      <c r="C47" s="2" t="s">
        <v>48</v>
      </c>
      <c r="D47" s="2" t="s">
        <v>468</v>
      </c>
      <c r="E47" s="2" t="s">
        <v>2904</v>
      </c>
      <c r="F47" s="2" t="s">
        <v>32</v>
      </c>
      <c r="G47" s="2" t="s">
        <v>33</v>
      </c>
      <c r="H47" s="2" t="s">
        <v>443</v>
      </c>
      <c r="I47" s="2">
        <v>0.5</v>
      </c>
      <c r="J47" s="2">
        <v>1</v>
      </c>
      <c r="K47" s="2" t="s">
        <v>12</v>
      </c>
      <c r="L47" s="2" t="s">
        <v>12</v>
      </c>
      <c r="M47" s="2">
        <v>20</v>
      </c>
      <c r="N47" s="2">
        <v>1</v>
      </c>
    </row>
    <row r="48" spans="1:14">
      <c r="A48" s="2" t="s">
        <v>473</v>
      </c>
      <c r="B48" s="2" t="s">
        <v>474</v>
      </c>
      <c r="C48" s="2" t="s">
        <v>76</v>
      </c>
      <c r="D48" s="2" t="s">
        <v>475</v>
      </c>
      <c r="E48" s="2" t="s">
        <v>2870</v>
      </c>
      <c r="F48" s="2" t="s">
        <v>49</v>
      </c>
      <c r="G48" s="2" t="s">
        <v>15</v>
      </c>
      <c r="H48" s="2" t="s">
        <v>442</v>
      </c>
      <c r="I48" s="2">
        <v>1.5</v>
      </c>
      <c r="J48" s="2">
        <v>44</v>
      </c>
      <c r="K48" s="2" t="s">
        <v>12</v>
      </c>
      <c r="L48" s="2" t="s">
        <v>12</v>
      </c>
      <c r="M48" s="2">
        <v>20</v>
      </c>
      <c r="N48" s="2">
        <v>44</v>
      </c>
    </row>
    <row r="49" spans="1:14">
      <c r="A49" s="2" t="s">
        <v>473</v>
      </c>
      <c r="B49" s="2" t="s">
        <v>474</v>
      </c>
      <c r="C49" s="2" t="s">
        <v>76</v>
      </c>
      <c r="D49" s="2" t="s">
        <v>475</v>
      </c>
      <c r="E49" s="2" t="s">
        <v>2882</v>
      </c>
      <c r="F49" s="2" t="s">
        <v>51</v>
      </c>
      <c r="G49" s="2" t="s">
        <v>15</v>
      </c>
      <c r="H49" s="2" t="s">
        <v>442</v>
      </c>
      <c r="I49" s="2">
        <v>1.5</v>
      </c>
      <c r="J49" s="2">
        <v>74</v>
      </c>
      <c r="K49" s="2" t="s">
        <v>12</v>
      </c>
      <c r="L49" s="2">
        <v>1</v>
      </c>
      <c r="M49" s="2">
        <v>20</v>
      </c>
      <c r="N49" s="2">
        <v>75</v>
      </c>
    </row>
    <row r="50" spans="1:14">
      <c r="A50" s="2" t="s">
        <v>473</v>
      </c>
      <c r="B50" s="2" t="s">
        <v>474</v>
      </c>
      <c r="C50" s="2" t="s">
        <v>76</v>
      </c>
      <c r="D50" s="2" t="s">
        <v>475</v>
      </c>
      <c r="E50" s="2" t="s">
        <v>2886</v>
      </c>
      <c r="F50" s="2" t="s">
        <v>52</v>
      </c>
      <c r="G50" s="2" t="s">
        <v>15</v>
      </c>
      <c r="H50" s="2" t="s">
        <v>442</v>
      </c>
      <c r="I50" s="2">
        <v>1.5</v>
      </c>
      <c r="J50" s="2">
        <v>39</v>
      </c>
      <c r="K50" s="2" t="s">
        <v>12</v>
      </c>
      <c r="L50" s="2" t="s">
        <v>12</v>
      </c>
      <c r="M50" s="2">
        <v>20</v>
      </c>
      <c r="N50" s="2">
        <v>39</v>
      </c>
    </row>
    <row r="51" spans="1:14">
      <c r="A51" s="2" t="s">
        <v>473</v>
      </c>
      <c r="B51" s="2" t="s">
        <v>474</v>
      </c>
      <c r="C51" s="2" t="s">
        <v>76</v>
      </c>
      <c r="D51" s="2" t="s">
        <v>475</v>
      </c>
      <c r="E51" s="2" t="s">
        <v>2896</v>
      </c>
      <c r="F51" s="2" t="s">
        <v>54</v>
      </c>
      <c r="G51" s="2" t="s">
        <v>15</v>
      </c>
      <c r="H51" s="2" t="s">
        <v>442</v>
      </c>
      <c r="I51" s="2">
        <v>1.5</v>
      </c>
      <c r="J51" s="2">
        <v>45</v>
      </c>
      <c r="K51" s="2" t="s">
        <v>12</v>
      </c>
      <c r="L51" s="2">
        <v>1</v>
      </c>
      <c r="M51" s="2">
        <v>20</v>
      </c>
      <c r="N51" s="2">
        <v>46</v>
      </c>
    </row>
    <row r="52" spans="1:14">
      <c r="A52" s="2" t="s">
        <v>473</v>
      </c>
      <c r="B52" s="2" t="s">
        <v>474</v>
      </c>
      <c r="C52" s="2" t="s">
        <v>76</v>
      </c>
      <c r="D52" s="2" t="s">
        <v>475</v>
      </c>
      <c r="E52" s="2" t="s">
        <v>2901</v>
      </c>
      <c r="F52" s="2" t="s">
        <v>56</v>
      </c>
      <c r="G52" s="2" t="s">
        <v>15</v>
      </c>
      <c r="H52" s="2" t="s">
        <v>442</v>
      </c>
      <c r="I52" s="2">
        <v>1.5</v>
      </c>
      <c r="J52" s="2">
        <v>38</v>
      </c>
      <c r="K52" s="2" t="s">
        <v>12</v>
      </c>
      <c r="L52" s="2">
        <v>4</v>
      </c>
      <c r="M52" s="2">
        <v>20</v>
      </c>
      <c r="N52" s="2">
        <v>42</v>
      </c>
    </row>
    <row r="53" spans="1:14">
      <c r="A53" s="2" t="s">
        <v>473</v>
      </c>
      <c r="B53" s="2" t="s">
        <v>474</v>
      </c>
      <c r="C53" s="2" t="s">
        <v>76</v>
      </c>
      <c r="D53" s="2" t="s">
        <v>475</v>
      </c>
      <c r="E53" s="2" t="s">
        <v>2904</v>
      </c>
      <c r="F53" s="2" t="s">
        <v>57</v>
      </c>
      <c r="G53" s="2" t="s">
        <v>33</v>
      </c>
      <c r="H53" s="2" t="s">
        <v>442</v>
      </c>
      <c r="I53" s="2">
        <v>1.45</v>
      </c>
      <c r="J53" s="2">
        <v>29</v>
      </c>
      <c r="K53" s="2" t="s">
        <v>12</v>
      </c>
      <c r="L53" s="2" t="s">
        <v>12</v>
      </c>
      <c r="M53" s="2">
        <v>20</v>
      </c>
      <c r="N53" s="2">
        <v>29</v>
      </c>
    </row>
    <row r="54" spans="1:14">
      <c r="A54" s="2" t="s">
        <v>476</v>
      </c>
      <c r="B54" s="2" t="s">
        <v>477</v>
      </c>
      <c r="C54" s="2" t="s">
        <v>76</v>
      </c>
      <c r="D54" s="2" t="s">
        <v>461</v>
      </c>
      <c r="E54" s="2" t="s">
        <v>2870</v>
      </c>
      <c r="F54" s="2" t="s">
        <v>26</v>
      </c>
      <c r="G54" s="2" t="s">
        <v>15</v>
      </c>
      <c r="H54" s="2" t="s">
        <v>442</v>
      </c>
      <c r="I54" s="2">
        <v>1.5</v>
      </c>
      <c r="J54" s="2">
        <v>19</v>
      </c>
      <c r="K54" s="2">
        <v>2.5</v>
      </c>
      <c r="L54" s="2">
        <v>2</v>
      </c>
      <c r="M54" s="2">
        <v>15</v>
      </c>
      <c r="N54" s="2">
        <v>23.5</v>
      </c>
    </row>
    <row r="55" spans="1:14">
      <c r="A55" s="2" t="s">
        <v>476</v>
      </c>
      <c r="B55" s="2" t="s">
        <v>477</v>
      </c>
      <c r="C55" s="2" t="s">
        <v>76</v>
      </c>
      <c r="D55" s="2" t="s">
        <v>461</v>
      </c>
      <c r="E55" s="2" t="s">
        <v>2882</v>
      </c>
      <c r="F55" s="2" t="s">
        <v>29</v>
      </c>
      <c r="G55" s="2" t="s">
        <v>15</v>
      </c>
      <c r="H55" s="2" t="s">
        <v>442</v>
      </c>
      <c r="I55" s="2">
        <v>1.5</v>
      </c>
      <c r="J55" s="2">
        <v>18</v>
      </c>
      <c r="K55" s="2">
        <v>4.5</v>
      </c>
      <c r="L55" s="2">
        <v>1</v>
      </c>
      <c r="M55" s="2">
        <v>15</v>
      </c>
      <c r="N55" s="2">
        <v>23.5</v>
      </c>
    </row>
    <row r="56" spans="1:14">
      <c r="A56" s="2" t="s">
        <v>476</v>
      </c>
      <c r="B56" s="2" t="s">
        <v>477</v>
      </c>
      <c r="C56" s="2" t="s">
        <v>76</v>
      </c>
      <c r="D56" s="2" t="s">
        <v>461</v>
      </c>
      <c r="E56" s="2" t="s">
        <v>2886</v>
      </c>
      <c r="F56" s="2" t="s">
        <v>32</v>
      </c>
      <c r="G56" s="2" t="s">
        <v>33</v>
      </c>
      <c r="H56" s="2" t="s">
        <v>443</v>
      </c>
      <c r="I56" s="2">
        <v>0.5</v>
      </c>
      <c r="J56" s="2" t="s">
        <v>12</v>
      </c>
      <c r="K56" s="2">
        <v>1.5</v>
      </c>
      <c r="L56" s="2" t="s">
        <v>12</v>
      </c>
      <c r="M56" s="2">
        <v>15</v>
      </c>
      <c r="N56" s="2">
        <v>1.5</v>
      </c>
    </row>
    <row r="57" spans="1:14">
      <c r="A57" s="2" t="s">
        <v>478</v>
      </c>
      <c r="B57" s="2" t="s">
        <v>479</v>
      </c>
      <c r="C57" s="2" t="s">
        <v>76</v>
      </c>
      <c r="D57" s="2" t="s">
        <v>461</v>
      </c>
      <c r="E57" s="2" t="s">
        <v>2870</v>
      </c>
      <c r="F57" s="2" t="s">
        <v>447</v>
      </c>
      <c r="G57" s="2" t="s">
        <v>15</v>
      </c>
      <c r="H57" s="2" t="s">
        <v>442</v>
      </c>
      <c r="I57" s="2">
        <v>1.3</v>
      </c>
      <c r="J57" s="2">
        <v>13</v>
      </c>
      <c r="K57" s="2">
        <v>6.5</v>
      </c>
      <c r="L57" s="2" t="s">
        <v>12</v>
      </c>
      <c r="M57" s="2">
        <v>15</v>
      </c>
      <c r="N57" s="2">
        <v>19.5</v>
      </c>
    </row>
    <row r="58" spans="1:14">
      <c r="A58" s="2" t="s">
        <v>478</v>
      </c>
      <c r="B58" s="2" t="s">
        <v>479</v>
      </c>
      <c r="C58" s="2" t="s">
        <v>76</v>
      </c>
      <c r="D58" s="2" t="s">
        <v>461</v>
      </c>
      <c r="E58" s="2" t="s">
        <v>2882</v>
      </c>
      <c r="F58" s="2" t="s">
        <v>448</v>
      </c>
      <c r="G58" s="2" t="s">
        <v>15</v>
      </c>
      <c r="H58" s="2" t="s">
        <v>442</v>
      </c>
      <c r="I58" s="2">
        <v>1.5</v>
      </c>
      <c r="J58" s="2">
        <v>27</v>
      </c>
      <c r="K58" s="2">
        <v>12</v>
      </c>
      <c r="L58" s="2">
        <v>2</v>
      </c>
      <c r="M58" s="2">
        <v>15</v>
      </c>
      <c r="N58" s="2">
        <v>41</v>
      </c>
    </row>
    <row r="59" spans="1:14">
      <c r="A59" s="2" t="s">
        <v>478</v>
      </c>
      <c r="B59" s="2" t="s">
        <v>479</v>
      </c>
      <c r="C59" s="2" t="s">
        <v>76</v>
      </c>
      <c r="D59" s="2" t="s">
        <v>461</v>
      </c>
      <c r="E59" s="2" t="s">
        <v>2886</v>
      </c>
      <c r="F59" s="2" t="s">
        <v>449</v>
      </c>
      <c r="G59" s="2" t="s">
        <v>15</v>
      </c>
      <c r="H59" s="2" t="s">
        <v>442</v>
      </c>
      <c r="I59" s="2">
        <v>1.5</v>
      </c>
      <c r="J59" s="2">
        <v>11</v>
      </c>
      <c r="K59" s="2">
        <v>17.5</v>
      </c>
      <c r="L59" s="2" t="s">
        <v>12</v>
      </c>
      <c r="M59" s="2">
        <v>15</v>
      </c>
      <c r="N59" s="2">
        <v>28.5</v>
      </c>
    </row>
    <row r="60" spans="1:14">
      <c r="A60" s="2" t="s">
        <v>478</v>
      </c>
      <c r="B60" s="2" t="s">
        <v>479</v>
      </c>
      <c r="C60" s="2" t="s">
        <v>76</v>
      </c>
      <c r="D60" s="2" t="s">
        <v>461</v>
      </c>
      <c r="E60" s="2" t="s">
        <v>2896</v>
      </c>
      <c r="F60" s="2" t="s">
        <v>450</v>
      </c>
      <c r="G60" s="2" t="s">
        <v>15</v>
      </c>
      <c r="H60" s="2" t="s">
        <v>442</v>
      </c>
      <c r="I60" s="2">
        <v>1.43</v>
      </c>
      <c r="J60" s="2">
        <v>9</v>
      </c>
      <c r="K60" s="2">
        <v>6.5</v>
      </c>
      <c r="L60" s="2">
        <v>6</v>
      </c>
      <c r="M60" s="2">
        <v>15</v>
      </c>
      <c r="N60" s="2">
        <v>21.5</v>
      </c>
    </row>
    <row r="61" spans="1:14">
      <c r="A61" s="2" t="s">
        <v>478</v>
      </c>
      <c r="B61" s="2" t="s">
        <v>479</v>
      </c>
      <c r="C61" s="2" t="s">
        <v>76</v>
      </c>
      <c r="D61" s="2" t="s">
        <v>461</v>
      </c>
      <c r="E61" s="2" t="s">
        <v>2901</v>
      </c>
      <c r="F61" s="2" t="s">
        <v>451</v>
      </c>
      <c r="G61" s="2" t="s">
        <v>15</v>
      </c>
      <c r="H61" s="2" t="s">
        <v>442</v>
      </c>
      <c r="I61" s="2">
        <v>1.1000000000000001</v>
      </c>
      <c r="J61" s="2">
        <v>7</v>
      </c>
      <c r="K61" s="2">
        <v>2.5</v>
      </c>
      <c r="L61" s="2">
        <v>7</v>
      </c>
      <c r="M61" s="2">
        <v>15</v>
      </c>
      <c r="N61" s="2">
        <v>16.5</v>
      </c>
    </row>
    <row r="62" spans="1:14">
      <c r="A62" s="2" t="s">
        <v>478</v>
      </c>
      <c r="B62" s="2" t="s">
        <v>479</v>
      </c>
      <c r="C62" s="2" t="s">
        <v>76</v>
      </c>
      <c r="D62" s="2" t="s">
        <v>461</v>
      </c>
      <c r="E62" s="2" t="s">
        <v>2904</v>
      </c>
      <c r="F62" s="2" t="s">
        <v>452</v>
      </c>
      <c r="G62" s="2" t="s">
        <v>33</v>
      </c>
      <c r="H62" s="2" t="s">
        <v>443</v>
      </c>
      <c r="I62" s="2">
        <v>0.5</v>
      </c>
      <c r="J62" s="2">
        <v>2</v>
      </c>
      <c r="K62" s="2" t="s">
        <v>12</v>
      </c>
      <c r="L62" s="2" t="s">
        <v>12</v>
      </c>
      <c r="M62" s="2">
        <v>15</v>
      </c>
      <c r="N62" s="2">
        <v>2</v>
      </c>
    </row>
    <row r="63" spans="1:14">
      <c r="A63" s="2" t="s">
        <v>480</v>
      </c>
      <c r="B63" s="2" t="s">
        <v>481</v>
      </c>
      <c r="C63" s="2" t="s">
        <v>48</v>
      </c>
      <c r="D63" s="2" t="s">
        <v>457</v>
      </c>
      <c r="E63" s="2" t="s">
        <v>2870</v>
      </c>
      <c r="F63" s="2" t="s">
        <v>14</v>
      </c>
      <c r="G63" s="2" t="s">
        <v>15</v>
      </c>
      <c r="H63" s="2" t="s">
        <v>442</v>
      </c>
      <c r="I63" s="2">
        <v>1.35</v>
      </c>
      <c r="J63" s="2">
        <v>16</v>
      </c>
      <c r="K63" s="2">
        <v>11</v>
      </c>
      <c r="L63" s="2" t="s">
        <v>12</v>
      </c>
      <c r="M63" s="2">
        <v>20</v>
      </c>
      <c r="N63" s="2">
        <v>27</v>
      </c>
    </row>
    <row r="64" spans="1:14">
      <c r="A64" s="2" t="s">
        <v>480</v>
      </c>
      <c r="B64" s="2" t="s">
        <v>481</v>
      </c>
      <c r="C64" s="2" t="s">
        <v>48</v>
      </c>
      <c r="D64" s="2" t="s">
        <v>457</v>
      </c>
      <c r="E64" s="2" t="s">
        <v>2882</v>
      </c>
      <c r="F64" s="2" t="s">
        <v>19</v>
      </c>
      <c r="G64" s="2" t="s">
        <v>15</v>
      </c>
      <c r="H64" s="2" t="s">
        <v>442</v>
      </c>
      <c r="I64" s="2">
        <v>1.5</v>
      </c>
      <c r="J64" s="2">
        <v>21</v>
      </c>
      <c r="K64" s="2">
        <v>7</v>
      </c>
      <c r="L64" s="2">
        <v>4</v>
      </c>
      <c r="M64" s="2">
        <v>20</v>
      </c>
      <c r="N64" s="2">
        <v>32</v>
      </c>
    </row>
    <row r="65" spans="1:14">
      <c r="A65" s="2" t="s">
        <v>480</v>
      </c>
      <c r="B65" s="2" t="s">
        <v>481</v>
      </c>
      <c r="C65" s="2" t="s">
        <v>48</v>
      </c>
      <c r="D65" s="2" t="s">
        <v>457</v>
      </c>
      <c r="E65" s="2" t="s">
        <v>2886</v>
      </c>
      <c r="F65" s="2" t="s">
        <v>23</v>
      </c>
      <c r="G65" s="2" t="s">
        <v>15</v>
      </c>
      <c r="H65" s="2" t="s">
        <v>442</v>
      </c>
      <c r="I65" s="2">
        <v>1.5</v>
      </c>
      <c r="J65" s="2">
        <v>44</v>
      </c>
      <c r="K65" s="2">
        <v>9.5</v>
      </c>
      <c r="L65" s="2">
        <v>4</v>
      </c>
      <c r="M65" s="2">
        <v>20</v>
      </c>
      <c r="N65" s="2">
        <v>57.5</v>
      </c>
    </row>
    <row r="66" spans="1:14">
      <c r="A66" s="2" t="s">
        <v>480</v>
      </c>
      <c r="B66" s="2" t="s">
        <v>481</v>
      </c>
      <c r="C66" s="2" t="s">
        <v>48</v>
      </c>
      <c r="D66" s="2" t="s">
        <v>457</v>
      </c>
      <c r="E66" s="2" t="s">
        <v>2896</v>
      </c>
      <c r="F66" s="2" t="s">
        <v>26</v>
      </c>
      <c r="G66" s="2" t="s">
        <v>15</v>
      </c>
      <c r="H66" s="2" t="s">
        <v>442</v>
      </c>
      <c r="I66" s="2">
        <v>1.5</v>
      </c>
      <c r="J66" s="2">
        <v>43</v>
      </c>
      <c r="K66" s="2">
        <v>3</v>
      </c>
      <c r="L66" s="2">
        <v>5</v>
      </c>
      <c r="M66" s="2">
        <v>20</v>
      </c>
      <c r="N66" s="2">
        <v>51</v>
      </c>
    </row>
    <row r="67" spans="1:14">
      <c r="A67" s="2" t="s">
        <v>480</v>
      </c>
      <c r="B67" s="2" t="s">
        <v>481</v>
      </c>
      <c r="C67" s="2" t="s">
        <v>48</v>
      </c>
      <c r="D67" s="2" t="s">
        <v>457</v>
      </c>
      <c r="E67" s="2" t="s">
        <v>2901</v>
      </c>
      <c r="F67" s="2" t="s">
        <v>29</v>
      </c>
      <c r="G67" s="2" t="s">
        <v>15</v>
      </c>
      <c r="H67" s="2" t="s">
        <v>442</v>
      </c>
      <c r="I67" s="2">
        <v>1.5</v>
      </c>
      <c r="J67" s="2">
        <v>36</v>
      </c>
      <c r="K67" s="2">
        <v>2.5</v>
      </c>
      <c r="L67" s="2">
        <v>2</v>
      </c>
      <c r="M67" s="2">
        <v>20</v>
      </c>
      <c r="N67" s="2">
        <v>40.5</v>
      </c>
    </row>
    <row r="68" spans="1:14">
      <c r="A68" s="2" t="s">
        <v>480</v>
      </c>
      <c r="B68" s="2" t="s">
        <v>481</v>
      </c>
      <c r="C68" s="2" t="s">
        <v>48</v>
      </c>
      <c r="D68" s="2" t="s">
        <v>457</v>
      </c>
      <c r="E68" s="2" t="s">
        <v>2904</v>
      </c>
      <c r="F68" s="2" t="s">
        <v>32</v>
      </c>
      <c r="G68" s="2" t="s">
        <v>33</v>
      </c>
      <c r="H68" s="2" t="s">
        <v>443</v>
      </c>
      <c r="I68" s="2">
        <v>0.5</v>
      </c>
      <c r="J68" s="2">
        <v>6</v>
      </c>
      <c r="K68" s="2" t="s">
        <v>12</v>
      </c>
      <c r="L68" s="2" t="s">
        <v>12</v>
      </c>
      <c r="M68" s="2">
        <v>20</v>
      </c>
      <c r="N68" s="2">
        <v>6</v>
      </c>
    </row>
    <row r="69" spans="1:14">
      <c r="A69" s="2" t="s">
        <v>482</v>
      </c>
      <c r="B69" s="2" t="s">
        <v>483</v>
      </c>
      <c r="C69" s="2" t="s">
        <v>484</v>
      </c>
      <c r="D69" s="2" t="s">
        <v>446</v>
      </c>
      <c r="E69" s="2" t="s">
        <v>2870</v>
      </c>
      <c r="F69" s="2" t="s">
        <v>122</v>
      </c>
      <c r="G69" s="2" t="s">
        <v>15</v>
      </c>
      <c r="H69" s="2" t="s">
        <v>442</v>
      </c>
      <c r="I69" s="2">
        <v>1</v>
      </c>
      <c r="J69" s="2">
        <v>19</v>
      </c>
      <c r="K69" s="2" t="s">
        <v>12</v>
      </c>
      <c r="L69" s="2">
        <v>1</v>
      </c>
      <c r="M69" s="2">
        <v>20</v>
      </c>
      <c r="N69" s="2">
        <v>20</v>
      </c>
    </row>
    <row r="70" spans="1:14">
      <c r="A70" s="2" t="s">
        <v>482</v>
      </c>
      <c r="B70" s="2" t="s">
        <v>483</v>
      </c>
      <c r="C70" s="2" t="s">
        <v>484</v>
      </c>
      <c r="D70" s="2" t="s">
        <v>446</v>
      </c>
      <c r="E70" s="2" t="s">
        <v>2882</v>
      </c>
      <c r="F70" s="2" t="s">
        <v>124</v>
      </c>
      <c r="G70" s="2" t="s">
        <v>15</v>
      </c>
      <c r="H70" s="2" t="s">
        <v>442</v>
      </c>
      <c r="I70" s="2">
        <v>1.5</v>
      </c>
      <c r="J70" s="2">
        <v>27</v>
      </c>
      <c r="K70" s="2" t="s">
        <v>12</v>
      </c>
      <c r="L70" s="2">
        <v>3</v>
      </c>
      <c r="M70" s="2">
        <v>20</v>
      </c>
      <c r="N70" s="2">
        <v>30</v>
      </c>
    </row>
    <row r="71" spans="1:14">
      <c r="A71" s="2" t="s">
        <v>482</v>
      </c>
      <c r="B71" s="2" t="s">
        <v>483</v>
      </c>
      <c r="C71" s="2" t="s">
        <v>484</v>
      </c>
      <c r="D71" s="2" t="s">
        <v>446</v>
      </c>
      <c r="E71" s="2" t="s">
        <v>2886</v>
      </c>
      <c r="F71" s="2" t="s">
        <v>126</v>
      </c>
      <c r="G71" s="2" t="s">
        <v>15</v>
      </c>
      <c r="H71" s="2" t="s">
        <v>443</v>
      </c>
      <c r="I71" s="2">
        <v>0.5</v>
      </c>
      <c r="J71" s="2">
        <v>2</v>
      </c>
      <c r="K71" s="2" t="s">
        <v>12</v>
      </c>
      <c r="L71" s="2">
        <v>3</v>
      </c>
      <c r="M71" s="2">
        <v>20</v>
      </c>
      <c r="N71" s="2">
        <v>5</v>
      </c>
    </row>
    <row r="72" spans="1:14">
      <c r="A72" s="2" t="s">
        <v>482</v>
      </c>
      <c r="B72" s="2" t="s">
        <v>483</v>
      </c>
      <c r="C72" s="2" t="s">
        <v>484</v>
      </c>
      <c r="D72" s="2" t="s">
        <v>446</v>
      </c>
      <c r="E72" s="2" t="s">
        <v>2896</v>
      </c>
      <c r="F72" s="2" t="s">
        <v>128</v>
      </c>
      <c r="G72" s="2" t="s">
        <v>15</v>
      </c>
      <c r="H72" s="2" t="s">
        <v>442</v>
      </c>
      <c r="I72" s="2">
        <v>1.1000000000000001</v>
      </c>
      <c r="J72" s="2">
        <v>19</v>
      </c>
      <c r="K72" s="2" t="s">
        <v>12</v>
      </c>
      <c r="L72" s="2">
        <v>3</v>
      </c>
      <c r="M72" s="2">
        <v>20</v>
      </c>
      <c r="N72" s="2">
        <v>22</v>
      </c>
    </row>
    <row r="73" spans="1:14">
      <c r="A73" s="2" t="s">
        <v>482</v>
      </c>
      <c r="B73" s="2" t="s">
        <v>483</v>
      </c>
      <c r="C73" s="2" t="s">
        <v>484</v>
      </c>
      <c r="D73" s="2" t="s">
        <v>446</v>
      </c>
      <c r="E73" s="2" t="s">
        <v>2901</v>
      </c>
      <c r="F73" s="2" t="s">
        <v>130</v>
      </c>
      <c r="G73" s="2" t="s">
        <v>15</v>
      </c>
      <c r="H73" s="2" t="s">
        <v>443</v>
      </c>
      <c r="I73" s="2" t="s">
        <v>12</v>
      </c>
      <c r="J73" s="2" t="s">
        <v>12</v>
      </c>
      <c r="K73" s="2" t="s">
        <v>12</v>
      </c>
      <c r="L73" s="2" t="s">
        <v>12</v>
      </c>
      <c r="M73" s="2">
        <v>20</v>
      </c>
      <c r="N73" s="2" t="s">
        <v>12</v>
      </c>
    </row>
    <row r="74" spans="1:14">
      <c r="A74" s="2" t="s">
        <v>482</v>
      </c>
      <c r="B74" s="2" t="s">
        <v>483</v>
      </c>
      <c r="C74" s="2" t="s">
        <v>484</v>
      </c>
      <c r="D74" s="2" t="s">
        <v>446</v>
      </c>
      <c r="E74" s="2" t="s">
        <v>2904</v>
      </c>
      <c r="F74" s="2" t="s">
        <v>132</v>
      </c>
      <c r="G74" s="2" t="s">
        <v>33</v>
      </c>
      <c r="H74" s="2" t="s">
        <v>443</v>
      </c>
      <c r="I74" s="2" t="s">
        <v>12</v>
      </c>
      <c r="J74" s="2" t="s">
        <v>12</v>
      </c>
      <c r="K74" s="2" t="s">
        <v>12</v>
      </c>
      <c r="L74" s="2" t="s">
        <v>12</v>
      </c>
      <c r="M74" s="2">
        <v>20</v>
      </c>
      <c r="N74" s="2" t="s">
        <v>12</v>
      </c>
    </row>
    <row r="75" spans="1:14">
      <c r="A75" s="2" t="s">
        <v>485</v>
      </c>
      <c r="B75" s="2" t="s">
        <v>486</v>
      </c>
      <c r="C75" s="2" t="s">
        <v>487</v>
      </c>
      <c r="D75" s="2" t="s">
        <v>488</v>
      </c>
      <c r="E75" s="2" t="s">
        <v>2870</v>
      </c>
      <c r="F75" s="2" t="s">
        <v>26</v>
      </c>
      <c r="G75" s="2" t="s">
        <v>15</v>
      </c>
      <c r="H75" s="2" t="s">
        <v>442</v>
      </c>
      <c r="I75" s="2">
        <v>1</v>
      </c>
      <c r="J75" s="2">
        <v>15</v>
      </c>
      <c r="K75" s="2" t="s">
        <v>12</v>
      </c>
      <c r="L75" s="2" t="s">
        <v>12</v>
      </c>
      <c r="M75" s="2">
        <v>15</v>
      </c>
      <c r="N75" s="2">
        <v>15</v>
      </c>
    </row>
    <row r="76" spans="1:14">
      <c r="A76" s="2" t="s">
        <v>485</v>
      </c>
      <c r="B76" s="2" t="s">
        <v>486</v>
      </c>
      <c r="C76" s="2" t="s">
        <v>487</v>
      </c>
      <c r="D76" s="2" t="s">
        <v>488</v>
      </c>
      <c r="E76" s="2" t="s">
        <v>2882</v>
      </c>
      <c r="F76" s="2" t="s">
        <v>29</v>
      </c>
      <c r="G76" s="2" t="s">
        <v>15</v>
      </c>
      <c r="H76" s="2" t="s">
        <v>443</v>
      </c>
      <c r="I76" s="2">
        <v>0.8</v>
      </c>
      <c r="J76" s="2">
        <v>10</v>
      </c>
      <c r="K76" s="2" t="s">
        <v>12</v>
      </c>
      <c r="L76" s="2">
        <v>2</v>
      </c>
      <c r="M76" s="2">
        <v>15</v>
      </c>
      <c r="N76" s="2">
        <v>12</v>
      </c>
    </row>
    <row r="77" spans="1:14">
      <c r="A77" s="2" t="s">
        <v>485</v>
      </c>
      <c r="B77" s="2" t="s">
        <v>486</v>
      </c>
      <c r="C77" s="2" t="s">
        <v>487</v>
      </c>
      <c r="D77" s="2" t="s">
        <v>488</v>
      </c>
      <c r="E77" s="2" t="s">
        <v>2886</v>
      </c>
      <c r="F77" s="2" t="s">
        <v>32</v>
      </c>
      <c r="G77" s="2" t="s">
        <v>33</v>
      </c>
      <c r="H77" s="2" t="s">
        <v>443</v>
      </c>
      <c r="I77" s="2" t="s">
        <v>12</v>
      </c>
      <c r="J77" s="2" t="s">
        <v>12</v>
      </c>
      <c r="K77" s="2" t="s">
        <v>12</v>
      </c>
      <c r="L77" s="2" t="s">
        <v>12</v>
      </c>
      <c r="M77" s="2">
        <v>15</v>
      </c>
      <c r="N77" s="2" t="s">
        <v>12</v>
      </c>
    </row>
    <row r="78" spans="1:14">
      <c r="A78" s="2" t="s">
        <v>489</v>
      </c>
      <c r="B78" s="2" t="s">
        <v>490</v>
      </c>
      <c r="C78" s="2" t="s">
        <v>11</v>
      </c>
      <c r="D78" s="2" t="s">
        <v>475</v>
      </c>
      <c r="E78" s="2" t="s">
        <v>2870</v>
      </c>
      <c r="F78" s="2" t="s">
        <v>14</v>
      </c>
      <c r="G78" s="2" t="s">
        <v>15</v>
      </c>
      <c r="H78" s="2" t="s">
        <v>442</v>
      </c>
      <c r="I78" s="2">
        <v>1.5</v>
      </c>
      <c r="J78" s="2">
        <v>40</v>
      </c>
      <c r="K78" s="2">
        <v>3</v>
      </c>
      <c r="L78" s="2" t="s">
        <v>12</v>
      </c>
      <c r="M78" s="2">
        <v>20</v>
      </c>
      <c r="N78" s="2">
        <v>43</v>
      </c>
    </row>
    <row r="79" spans="1:14">
      <c r="A79" s="2" t="s">
        <v>489</v>
      </c>
      <c r="B79" s="2" t="s">
        <v>490</v>
      </c>
      <c r="C79" s="2" t="s">
        <v>11</v>
      </c>
      <c r="D79" s="2" t="s">
        <v>475</v>
      </c>
      <c r="E79" s="2" t="s">
        <v>2882</v>
      </c>
      <c r="F79" s="2" t="s">
        <v>19</v>
      </c>
      <c r="G79" s="2" t="s">
        <v>15</v>
      </c>
      <c r="H79" s="2" t="s">
        <v>442</v>
      </c>
      <c r="I79" s="2">
        <v>1.5</v>
      </c>
      <c r="J79" s="2">
        <v>70</v>
      </c>
      <c r="K79" s="2">
        <v>1</v>
      </c>
      <c r="L79" s="2" t="s">
        <v>12</v>
      </c>
      <c r="M79" s="2">
        <v>20</v>
      </c>
      <c r="N79" s="2">
        <v>71</v>
      </c>
    </row>
    <row r="80" spans="1:14">
      <c r="A80" s="2" t="s">
        <v>489</v>
      </c>
      <c r="B80" s="2" t="s">
        <v>490</v>
      </c>
      <c r="C80" s="2" t="s">
        <v>11</v>
      </c>
      <c r="D80" s="2" t="s">
        <v>475</v>
      </c>
      <c r="E80" s="2" t="s">
        <v>2886</v>
      </c>
      <c r="F80" s="2" t="s">
        <v>23</v>
      </c>
      <c r="G80" s="2" t="s">
        <v>15</v>
      </c>
      <c r="H80" s="2" t="s">
        <v>442</v>
      </c>
      <c r="I80" s="2">
        <v>1.5</v>
      </c>
      <c r="J80" s="2">
        <v>37</v>
      </c>
      <c r="K80" s="2" t="s">
        <v>12</v>
      </c>
      <c r="L80" s="2" t="s">
        <v>12</v>
      </c>
      <c r="M80" s="2">
        <v>20</v>
      </c>
      <c r="N80" s="2">
        <v>37</v>
      </c>
    </row>
    <row r="81" spans="1:14">
      <c r="A81" s="2" t="s">
        <v>489</v>
      </c>
      <c r="B81" s="2" t="s">
        <v>490</v>
      </c>
      <c r="C81" s="2" t="s">
        <v>11</v>
      </c>
      <c r="D81" s="2" t="s">
        <v>475</v>
      </c>
      <c r="E81" s="2" t="s">
        <v>2896</v>
      </c>
      <c r="F81" s="2" t="s">
        <v>26</v>
      </c>
      <c r="G81" s="2" t="s">
        <v>15</v>
      </c>
      <c r="H81" s="2" t="s">
        <v>442</v>
      </c>
      <c r="I81" s="2">
        <v>1.5</v>
      </c>
      <c r="J81" s="2">
        <v>39</v>
      </c>
      <c r="K81" s="2">
        <v>3</v>
      </c>
      <c r="L81" s="2">
        <v>1</v>
      </c>
      <c r="M81" s="2">
        <v>20</v>
      </c>
      <c r="N81" s="2">
        <v>43</v>
      </c>
    </row>
    <row r="82" spans="1:14">
      <c r="A82" s="2" t="s">
        <v>489</v>
      </c>
      <c r="B82" s="2" t="s">
        <v>490</v>
      </c>
      <c r="C82" s="2" t="s">
        <v>11</v>
      </c>
      <c r="D82" s="2" t="s">
        <v>475</v>
      </c>
      <c r="E82" s="2" t="s">
        <v>2901</v>
      </c>
      <c r="F82" s="2" t="s">
        <v>29</v>
      </c>
      <c r="G82" s="2" t="s">
        <v>15</v>
      </c>
      <c r="H82" s="2" t="s">
        <v>442</v>
      </c>
      <c r="I82" s="2">
        <v>1.5</v>
      </c>
      <c r="J82" s="2">
        <v>48</v>
      </c>
      <c r="K82" s="2" t="s">
        <v>12</v>
      </c>
      <c r="L82" s="2" t="s">
        <v>12</v>
      </c>
      <c r="M82" s="2">
        <v>20</v>
      </c>
      <c r="N82" s="2">
        <v>48</v>
      </c>
    </row>
    <row r="83" spans="1:14">
      <c r="A83" s="2" t="s">
        <v>489</v>
      </c>
      <c r="B83" s="2" t="s">
        <v>490</v>
      </c>
      <c r="C83" s="2" t="s">
        <v>11</v>
      </c>
      <c r="D83" s="2" t="s">
        <v>475</v>
      </c>
      <c r="E83" s="2" t="s">
        <v>2904</v>
      </c>
      <c r="F83" s="2" t="s">
        <v>32</v>
      </c>
      <c r="G83" s="2" t="s">
        <v>33</v>
      </c>
      <c r="H83" s="2" t="s">
        <v>443</v>
      </c>
      <c r="I83" s="2" t="s">
        <v>12</v>
      </c>
      <c r="J83" s="2" t="s">
        <v>12</v>
      </c>
      <c r="K83" s="2" t="s">
        <v>12</v>
      </c>
      <c r="L83" s="2" t="s">
        <v>12</v>
      </c>
      <c r="M83" s="2">
        <v>20</v>
      </c>
      <c r="N83" s="2" t="s">
        <v>12</v>
      </c>
    </row>
    <row r="84" spans="1:14">
      <c r="A84" s="2" t="s">
        <v>491</v>
      </c>
      <c r="B84" s="2" t="s">
        <v>492</v>
      </c>
      <c r="C84" s="2" t="s">
        <v>76</v>
      </c>
      <c r="D84" s="2" t="s">
        <v>493</v>
      </c>
      <c r="E84" s="2" t="s">
        <v>2870</v>
      </c>
      <c r="F84" s="2" t="s">
        <v>14</v>
      </c>
      <c r="G84" s="2" t="s">
        <v>15</v>
      </c>
      <c r="H84" s="2" t="s">
        <v>442</v>
      </c>
      <c r="I84" s="2">
        <v>1.5</v>
      </c>
      <c r="J84" s="2">
        <v>20</v>
      </c>
      <c r="K84" s="2">
        <v>4</v>
      </c>
      <c r="L84" s="2" t="s">
        <v>12</v>
      </c>
      <c r="M84" s="2">
        <v>15</v>
      </c>
      <c r="N84" s="2">
        <v>24</v>
      </c>
    </row>
    <row r="85" spans="1:14">
      <c r="A85" s="2" t="s">
        <v>491</v>
      </c>
      <c r="B85" s="2" t="s">
        <v>492</v>
      </c>
      <c r="C85" s="2" t="s">
        <v>76</v>
      </c>
      <c r="D85" s="2" t="s">
        <v>493</v>
      </c>
      <c r="E85" s="2" t="s">
        <v>2882</v>
      </c>
      <c r="F85" s="2" t="s">
        <v>19</v>
      </c>
      <c r="G85" s="2" t="s">
        <v>15</v>
      </c>
      <c r="H85" s="2" t="s">
        <v>442</v>
      </c>
      <c r="I85" s="2">
        <v>1.5</v>
      </c>
      <c r="J85" s="2">
        <v>29</v>
      </c>
      <c r="K85" s="2">
        <v>4</v>
      </c>
      <c r="L85" s="2" t="s">
        <v>12</v>
      </c>
      <c r="M85" s="2">
        <v>15</v>
      </c>
      <c r="N85" s="2">
        <v>33</v>
      </c>
    </row>
    <row r="86" spans="1:14">
      <c r="A86" s="2" t="s">
        <v>491</v>
      </c>
      <c r="B86" s="2" t="s">
        <v>492</v>
      </c>
      <c r="C86" s="2" t="s">
        <v>76</v>
      </c>
      <c r="D86" s="2" t="s">
        <v>493</v>
      </c>
      <c r="E86" s="2" t="s">
        <v>2886</v>
      </c>
      <c r="F86" s="2" t="s">
        <v>23</v>
      </c>
      <c r="G86" s="2" t="s">
        <v>15</v>
      </c>
      <c r="H86" s="2" t="s">
        <v>442</v>
      </c>
      <c r="I86" s="2">
        <v>1.5</v>
      </c>
      <c r="J86" s="2">
        <v>26</v>
      </c>
      <c r="K86" s="2">
        <v>16.5</v>
      </c>
      <c r="L86" s="2" t="s">
        <v>12</v>
      </c>
      <c r="M86" s="2">
        <v>15</v>
      </c>
      <c r="N86" s="2">
        <v>42.5</v>
      </c>
    </row>
    <row r="87" spans="1:14">
      <c r="A87" s="2" t="s">
        <v>491</v>
      </c>
      <c r="B87" s="2" t="s">
        <v>492</v>
      </c>
      <c r="C87" s="2" t="s">
        <v>76</v>
      </c>
      <c r="D87" s="2" t="s">
        <v>493</v>
      </c>
      <c r="E87" s="2" t="s">
        <v>2896</v>
      </c>
      <c r="F87" s="2" t="s">
        <v>26</v>
      </c>
      <c r="G87" s="2" t="s">
        <v>15</v>
      </c>
      <c r="H87" s="2" t="s">
        <v>442</v>
      </c>
      <c r="I87" s="2">
        <v>1.5</v>
      </c>
      <c r="J87" s="2">
        <v>34</v>
      </c>
      <c r="K87" s="2">
        <v>6.5</v>
      </c>
      <c r="L87" s="2" t="s">
        <v>12</v>
      </c>
      <c r="M87" s="2">
        <v>15</v>
      </c>
      <c r="N87" s="2">
        <v>40.5</v>
      </c>
    </row>
    <row r="88" spans="1:14">
      <c r="A88" s="2" t="s">
        <v>491</v>
      </c>
      <c r="B88" s="2" t="s">
        <v>492</v>
      </c>
      <c r="C88" s="2" t="s">
        <v>76</v>
      </c>
      <c r="D88" s="2" t="s">
        <v>493</v>
      </c>
      <c r="E88" s="2" t="s">
        <v>2901</v>
      </c>
      <c r="F88" s="2" t="s">
        <v>29</v>
      </c>
      <c r="G88" s="2" t="s">
        <v>15</v>
      </c>
      <c r="H88" s="2" t="s">
        <v>442</v>
      </c>
      <c r="I88" s="2">
        <v>1.5</v>
      </c>
      <c r="J88" s="2">
        <v>24</v>
      </c>
      <c r="K88" s="2">
        <v>3.5</v>
      </c>
      <c r="L88" s="2" t="s">
        <v>12</v>
      </c>
      <c r="M88" s="2">
        <v>15</v>
      </c>
      <c r="N88" s="2">
        <v>27.5</v>
      </c>
    </row>
    <row r="89" spans="1:14">
      <c r="A89" s="2" t="s">
        <v>491</v>
      </c>
      <c r="B89" s="2" t="s">
        <v>492</v>
      </c>
      <c r="C89" s="2" t="s">
        <v>76</v>
      </c>
      <c r="D89" s="2" t="s">
        <v>493</v>
      </c>
      <c r="E89" s="2" t="s">
        <v>2904</v>
      </c>
      <c r="F89" s="2" t="s">
        <v>32</v>
      </c>
      <c r="G89" s="2" t="s">
        <v>33</v>
      </c>
      <c r="H89" s="2" t="s">
        <v>443</v>
      </c>
      <c r="I89" s="2">
        <v>0.5</v>
      </c>
      <c r="J89" s="2" t="s">
        <v>12</v>
      </c>
      <c r="K89" s="2">
        <v>2.5</v>
      </c>
      <c r="L89" s="2" t="s">
        <v>12</v>
      </c>
      <c r="M89" s="2">
        <v>15</v>
      </c>
      <c r="N89" s="2">
        <v>2.5</v>
      </c>
    </row>
    <row r="90" spans="1:14">
      <c r="A90" s="2" t="s">
        <v>494</v>
      </c>
      <c r="B90" s="2" t="s">
        <v>495</v>
      </c>
      <c r="C90" s="2" t="s">
        <v>48</v>
      </c>
      <c r="D90" s="2" t="s">
        <v>457</v>
      </c>
      <c r="E90" s="2" t="s">
        <v>2870</v>
      </c>
      <c r="F90" s="2" t="s">
        <v>268</v>
      </c>
      <c r="G90" s="2" t="s">
        <v>15</v>
      </c>
      <c r="H90" s="2" t="s">
        <v>442</v>
      </c>
      <c r="I90" s="2">
        <v>1.5</v>
      </c>
      <c r="J90" s="2">
        <v>38</v>
      </c>
      <c r="K90" s="2">
        <v>5</v>
      </c>
      <c r="L90" s="2" t="s">
        <v>12</v>
      </c>
      <c r="M90" s="2">
        <v>20</v>
      </c>
      <c r="N90" s="2">
        <v>43</v>
      </c>
    </row>
    <row r="91" spans="1:14">
      <c r="A91" s="2" t="s">
        <v>494</v>
      </c>
      <c r="B91" s="2" t="s">
        <v>495</v>
      </c>
      <c r="C91" s="2" t="s">
        <v>48</v>
      </c>
      <c r="D91" s="2" t="s">
        <v>457</v>
      </c>
      <c r="E91" s="2" t="s">
        <v>2882</v>
      </c>
      <c r="F91" s="2" t="s">
        <v>270</v>
      </c>
      <c r="G91" s="2" t="s">
        <v>15</v>
      </c>
      <c r="H91" s="2" t="s">
        <v>442</v>
      </c>
      <c r="I91" s="2">
        <v>1.5</v>
      </c>
      <c r="J91" s="2">
        <v>41</v>
      </c>
      <c r="K91" s="2">
        <v>4.5</v>
      </c>
      <c r="L91" s="2" t="s">
        <v>12</v>
      </c>
      <c r="M91" s="2">
        <v>20</v>
      </c>
      <c r="N91" s="2">
        <v>45.5</v>
      </c>
    </row>
    <row r="92" spans="1:14">
      <c r="A92" s="2" t="s">
        <v>494</v>
      </c>
      <c r="B92" s="2" t="s">
        <v>495</v>
      </c>
      <c r="C92" s="2" t="s">
        <v>48</v>
      </c>
      <c r="D92" s="2" t="s">
        <v>457</v>
      </c>
      <c r="E92" s="2" t="s">
        <v>2886</v>
      </c>
      <c r="F92" s="2" t="s">
        <v>272</v>
      </c>
      <c r="G92" s="2" t="s">
        <v>33</v>
      </c>
      <c r="H92" s="2" t="s">
        <v>442</v>
      </c>
      <c r="I92" s="2">
        <v>1.5</v>
      </c>
      <c r="J92" s="2">
        <v>33</v>
      </c>
      <c r="K92" s="2">
        <v>3</v>
      </c>
      <c r="L92" s="2" t="s">
        <v>12</v>
      </c>
      <c r="M92" s="2">
        <v>20</v>
      </c>
      <c r="N92" s="2">
        <v>36</v>
      </c>
    </row>
    <row r="93" spans="1:14">
      <c r="A93" s="2" t="s">
        <v>494</v>
      </c>
      <c r="B93" s="2" t="s">
        <v>495</v>
      </c>
      <c r="C93" s="2" t="s">
        <v>48</v>
      </c>
      <c r="D93" s="2" t="s">
        <v>457</v>
      </c>
      <c r="E93" s="2" t="s">
        <v>2896</v>
      </c>
      <c r="F93" s="2" t="s">
        <v>274</v>
      </c>
      <c r="G93" s="2" t="s">
        <v>225</v>
      </c>
      <c r="H93" s="2" t="s">
        <v>443</v>
      </c>
      <c r="I93" s="2" t="s">
        <v>12</v>
      </c>
      <c r="J93" s="2" t="s">
        <v>12</v>
      </c>
      <c r="K93" s="2" t="s">
        <v>12</v>
      </c>
      <c r="L93" s="2" t="s">
        <v>12</v>
      </c>
      <c r="M93" s="2">
        <v>20</v>
      </c>
      <c r="N93" s="2" t="s">
        <v>12</v>
      </c>
    </row>
    <row r="94" spans="1:14">
      <c r="A94" s="2" t="s">
        <v>496</v>
      </c>
      <c r="B94" s="2" t="s">
        <v>497</v>
      </c>
      <c r="C94" s="2" t="s">
        <v>76</v>
      </c>
      <c r="D94" s="2" t="s">
        <v>441</v>
      </c>
      <c r="E94" s="2" t="s">
        <v>2870</v>
      </c>
      <c r="F94" s="2" t="s">
        <v>37</v>
      </c>
      <c r="G94" s="2" t="s">
        <v>15</v>
      </c>
      <c r="H94" s="2" t="s">
        <v>442</v>
      </c>
      <c r="I94" s="2">
        <v>1.5</v>
      </c>
      <c r="J94" s="2">
        <v>27</v>
      </c>
      <c r="K94" s="2">
        <v>4</v>
      </c>
      <c r="L94" s="2" t="s">
        <v>12</v>
      </c>
      <c r="M94" s="2">
        <v>20</v>
      </c>
      <c r="N94" s="2">
        <v>31</v>
      </c>
    </row>
    <row r="95" spans="1:14">
      <c r="A95" s="2" t="s">
        <v>496</v>
      </c>
      <c r="B95" s="2" t="s">
        <v>497</v>
      </c>
      <c r="C95" s="2" t="s">
        <v>76</v>
      </c>
      <c r="D95" s="2" t="s">
        <v>441</v>
      </c>
      <c r="E95" s="2" t="s">
        <v>2882</v>
      </c>
      <c r="F95" s="2" t="s">
        <v>39</v>
      </c>
      <c r="G95" s="2" t="s">
        <v>15</v>
      </c>
      <c r="H95" s="2" t="s">
        <v>442</v>
      </c>
      <c r="I95" s="2">
        <v>1.5</v>
      </c>
      <c r="J95" s="2">
        <v>24</v>
      </c>
      <c r="K95" s="2">
        <v>7</v>
      </c>
      <c r="L95" s="2">
        <v>2</v>
      </c>
      <c r="M95" s="2">
        <v>20</v>
      </c>
      <c r="N95" s="2">
        <v>33</v>
      </c>
    </row>
    <row r="96" spans="1:14">
      <c r="A96" s="2" t="s">
        <v>496</v>
      </c>
      <c r="B96" s="2" t="s">
        <v>497</v>
      </c>
      <c r="C96" s="2" t="s">
        <v>76</v>
      </c>
      <c r="D96" s="2" t="s">
        <v>441</v>
      </c>
      <c r="E96" s="2" t="s">
        <v>2886</v>
      </c>
      <c r="F96" s="2" t="s">
        <v>41</v>
      </c>
      <c r="G96" s="2" t="s">
        <v>15</v>
      </c>
      <c r="H96" s="2" t="s">
        <v>442</v>
      </c>
      <c r="I96" s="2">
        <v>1.5</v>
      </c>
      <c r="J96" s="2">
        <v>34</v>
      </c>
      <c r="K96" s="2">
        <v>2</v>
      </c>
      <c r="L96" s="2" t="s">
        <v>12</v>
      </c>
      <c r="M96" s="2">
        <v>20</v>
      </c>
      <c r="N96" s="2">
        <v>36</v>
      </c>
    </row>
    <row r="97" spans="1:14">
      <c r="A97" s="2" t="s">
        <v>496</v>
      </c>
      <c r="B97" s="2" t="s">
        <v>497</v>
      </c>
      <c r="C97" s="2" t="s">
        <v>76</v>
      </c>
      <c r="D97" s="2" t="s">
        <v>441</v>
      </c>
      <c r="E97" s="2" t="s">
        <v>2896</v>
      </c>
      <c r="F97" s="2" t="s">
        <v>43</v>
      </c>
      <c r="G97" s="2" t="s">
        <v>33</v>
      </c>
      <c r="H97" s="2" t="s">
        <v>443</v>
      </c>
      <c r="I97" s="2" t="s">
        <v>12</v>
      </c>
      <c r="J97" s="2" t="s">
        <v>12</v>
      </c>
      <c r="K97" s="2" t="s">
        <v>12</v>
      </c>
      <c r="L97" s="2" t="s">
        <v>12</v>
      </c>
      <c r="M97" s="2">
        <v>20</v>
      </c>
      <c r="N97" s="2" t="s">
        <v>12</v>
      </c>
    </row>
    <row r="98" spans="1:14">
      <c r="A98" s="2" t="s">
        <v>498</v>
      </c>
      <c r="B98" s="2" t="s">
        <v>499</v>
      </c>
      <c r="C98" s="2" t="s">
        <v>76</v>
      </c>
      <c r="D98" s="2" t="s">
        <v>500</v>
      </c>
      <c r="E98" s="2" t="s">
        <v>2870</v>
      </c>
      <c r="F98" s="2" t="s">
        <v>14</v>
      </c>
      <c r="G98" s="2" t="s">
        <v>15</v>
      </c>
      <c r="H98" s="2" t="s">
        <v>442</v>
      </c>
      <c r="I98" s="2">
        <v>1.5</v>
      </c>
      <c r="J98" s="2">
        <v>27</v>
      </c>
      <c r="K98" s="2">
        <v>0.5</v>
      </c>
      <c r="L98" s="2" t="s">
        <v>12</v>
      </c>
      <c r="M98" s="2">
        <v>15</v>
      </c>
      <c r="N98" s="2">
        <v>27.5</v>
      </c>
    </row>
    <row r="99" spans="1:14">
      <c r="A99" s="2" t="s">
        <v>498</v>
      </c>
      <c r="B99" s="2" t="s">
        <v>499</v>
      </c>
      <c r="C99" s="2" t="s">
        <v>76</v>
      </c>
      <c r="D99" s="2" t="s">
        <v>500</v>
      </c>
      <c r="E99" s="2" t="s">
        <v>2882</v>
      </c>
      <c r="F99" s="2" t="s">
        <v>19</v>
      </c>
      <c r="G99" s="2" t="s">
        <v>15</v>
      </c>
      <c r="H99" s="2" t="s">
        <v>442</v>
      </c>
      <c r="I99" s="2">
        <v>1.2</v>
      </c>
      <c r="J99" s="2">
        <v>15</v>
      </c>
      <c r="K99" s="2">
        <v>3</v>
      </c>
      <c r="L99" s="2" t="s">
        <v>12</v>
      </c>
      <c r="M99" s="2">
        <v>15</v>
      </c>
      <c r="N99" s="2">
        <v>18</v>
      </c>
    </row>
    <row r="100" spans="1:14">
      <c r="A100" s="2" t="s">
        <v>498</v>
      </c>
      <c r="B100" s="2" t="s">
        <v>499</v>
      </c>
      <c r="C100" s="2" t="s">
        <v>76</v>
      </c>
      <c r="D100" s="2" t="s">
        <v>500</v>
      </c>
      <c r="E100" s="2" t="s">
        <v>2886</v>
      </c>
      <c r="F100" s="2" t="s">
        <v>23</v>
      </c>
      <c r="G100" s="2" t="s">
        <v>15</v>
      </c>
      <c r="H100" s="2" t="s">
        <v>442</v>
      </c>
      <c r="I100" s="2">
        <v>1.5</v>
      </c>
      <c r="J100" s="2">
        <v>25</v>
      </c>
      <c r="K100" s="2" t="s">
        <v>12</v>
      </c>
      <c r="L100" s="2" t="s">
        <v>12</v>
      </c>
      <c r="M100" s="2">
        <v>15</v>
      </c>
      <c r="N100" s="2">
        <v>25</v>
      </c>
    </row>
    <row r="101" spans="1:14">
      <c r="A101" s="2" t="s">
        <v>498</v>
      </c>
      <c r="B101" s="2" t="s">
        <v>499</v>
      </c>
      <c r="C101" s="2" t="s">
        <v>76</v>
      </c>
      <c r="D101" s="2" t="s">
        <v>500</v>
      </c>
      <c r="E101" s="2" t="s">
        <v>2896</v>
      </c>
      <c r="F101" s="2" t="s">
        <v>26</v>
      </c>
      <c r="G101" s="2" t="s">
        <v>15</v>
      </c>
      <c r="H101" s="2" t="s">
        <v>442</v>
      </c>
      <c r="I101" s="2">
        <v>1.5</v>
      </c>
      <c r="J101" s="2">
        <v>23</v>
      </c>
      <c r="K101" s="2">
        <v>0.5</v>
      </c>
      <c r="L101" s="2" t="s">
        <v>12</v>
      </c>
      <c r="M101" s="2">
        <v>15</v>
      </c>
      <c r="N101" s="2">
        <v>23.5</v>
      </c>
    </row>
    <row r="102" spans="1:14">
      <c r="A102" s="2" t="s">
        <v>498</v>
      </c>
      <c r="B102" s="2" t="s">
        <v>499</v>
      </c>
      <c r="C102" s="2" t="s">
        <v>76</v>
      </c>
      <c r="D102" s="2" t="s">
        <v>500</v>
      </c>
      <c r="E102" s="2" t="s">
        <v>2901</v>
      </c>
      <c r="F102" s="2" t="s">
        <v>29</v>
      </c>
      <c r="G102" s="2" t="s">
        <v>15</v>
      </c>
      <c r="H102" s="2" t="s">
        <v>442</v>
      </c>
      <c r="I102" s="2">
        <v>1.4</v>
      </c>
      <c r="J102" s="2">
        <v>21</v>
      </c>
      <c r="K102" s="2" t="s">
        <v>12</v>
      </c>
      <c r="L102" s="2" t="s">
        <v>12</v>
      </c>
      <c r="M102" s="2">
        <v>15</v>
      </c>
      <c r="N102" s="2">
        <v>21</v>
      </c>
    </row>
    <row r="103" spans="1:14">
      <c r="A103" s="2" t="s">
        <v>498</v>
      </c>
      <c r="B103" s="2" t="s">
        <v>499</v>
      </c>
      <c r="C103" s="2" t="s">
        <v>76</v>
      </c>
      <c r="D103" s="2" t="s">
        <v>500</v>
      </c>
      <c r="E103" s="2" t="s">
        <v>2904</v>
      </c>
      <c r="F103" s="2" t="s">
        <v>32</v>
      </c>
      <c r="G103" s="2" t="s">
        <v>33</v>
      </c>
      <c r="H103" s="2" t="s">
        <v>443</v>
      </c>
      <c r="I103" s="2">
        <v>0.5</v>
      </c>
      <c r="J103" s="2">
        <v>5</v>
      </c>
      <c r="K103" s="2" t="s">
        <v>12</v>
      </c>
      <c r="L103" s="2" t="s">
        <v>12</v>
      </c>
      <c r="M103" s="2">
        <v>15</v>
      </c>
      <c r="N103" s="2">
        <v>5</v>
      </c>
    </row>
    <row r="104" spans="1:14">
      <c r="A104" s="2" t="s">
        <v>501</v>
      </c>
      <c r="B104" s="2" t="s">
        <v>502</v>
      </c>
      <c r="C104" s="2" t="s">
        <v>76</v>
      </c>
      <c r="D104" s="2" t="s">
        <v>446</v>
      </c>
      <c r="E104" s="2" t="s">
        <v>2870</v>
      </c>
      <c r="F104" s="2" t="s">
        <v>503</v>
      </c>
      <c r="G104" s="2" t="s">
        <v>15</v>
      </c>
      <c r="H104" s="2" t="s">
        <v>442</v>
      </c>
      <c r="I104" s="2">
        <v>1.5</v>
      </c>
      <c r="J104" s="2">
        <v>53</v>
      </c>
      <c r="K104" s="2" t="s">
        <v>12</v>
      </c>
      <c r="L104" s="2" t="s">
        <v>12</v>
      </c>
      <c r="M104" s="2">
        <v>20</v>
      </c>
      <c r="N104" s="2">
        <v>53</v>
      </c>
    </row>
    <row r="105" spans="1:14">
      <c r="A105" s="2" t="s">
        <v>501</v>
      </c>
      <c r="B105" s="2" t="s">
        <v>502</v>
      </c>
      <c r="C105" s="2" t="s">
        <v>76</v>
      </c>
      <c r="D105" s="2" t="s">
        <v>446</v>
      </c>
      <c r="E105" s="2" t="s">
        <v>2882</v>
      </c>
      <c r="F105" s="2" t="s">
        <v>504</v>
      </c>
      <c r="G105" s="2" t="s">
        <v>15</v>
      </c>
      <c r="H105" s="2" t="s">
        <v>442</v>
      </c>
      <c r="I105" s="2">
        <v>1.5</v>
      </c>
      <c r="J105" s="2">
        <v>46</v>
      </c>
      <c r="K105" s="2" t="s">
        <v>12</v>
      </c>
      <c r="L105" s="2" t="s">
        <v>12</v>
      </c>
      <c r="M105" s="2">
        <v>20</v>
      </c>
      <c r="N105" s="2">
        <v>46</v>
      </c>
    </row>
    <row r="106" spans="1:14">
      <c r="A106" s="2" t="s">
        <v>501</v>
      </c>
      <c r="B106" s="2" t="s">
        <v>502</v>
      </c>
      <c r="C106" s="2" t="s">
        <v>76</v>
      </c>
      <c r="D106" s="2" t="s">
        <v>446</v>
      </c>
      <c r="E106" s="2" t="s">
        <v>2886</v>
      </c>
      <c r="F106" s="2" t="s">
        <v>505</v>
      </c>
      <c r="G106" s="2" t="s">
        <v>15</v>
      </c>
      <c r="H106" s="2" t="s">
        <v>442</v>
      </c>
      <c r="I106" s="2">
        <v>1.5</v>
      </c>
      <c r="J106" s="2">
        <v>49</v>
      </c>
      <c r="K106" s="2" t="s">
        <v>12</v>
      </c>
      <c r="L106" s="2" t="s">
        <v>12</v>
      </c>
      <c r="M106" s="2">
        <v>20</v>
      </c>
      <c r="N106" s="2">
        <v>49</v>
      </c>
    </row>
    <row r="107" spans="1:14">
      <c r="A107" s="2" t="s">
        <v>501</v>
      </c>
      <c r="B107" s="2" t="s">
        <v>502</v>
      </c>
      <c r="C107" s="2" t="s">
        <v>76</v>
      </c>
      <c r="D107" s="2" t="s">
        <v>446</v>
      </c>
      <c r="E107" s="2" t="s">
        <v>2896</v>
      </c>
      <c r="F107" s="2" t="s">
        <v>506</v>
      </c>
      <c r="G107" s="2" t="s">
        <v>15</v>
      </c>
      <c r="H107" s="2" t="s">
        <v>442</v>
      </c>
      <c r="I107" s="2">
        <v>1.5</v>
      </c>
      <c r="J107" s="2">
        <v>31</v>
      </c>
      <c r="K107" s="2" t="s">
        <v>12</v>
      </c>
      <c r="L107" s="2" t="s">
        <v>12</v>
      </c>
      <c r="M107" s="2">
        <v>20</v>
      </c>
      <c r="N107" s="2">
        <v>31</v>
      </c>
    </row>
    <row r="108" spans="1:14">
      <c r="A108" s="2" t="s">
        <v>501</v>
      </c>
      <c r="B108" s="2" t="s">
        <v>502</v>
      </c>
      <c r="C108" s="2" t="s">
        <v>76</v>
      </c>
      <c r="D108" s="2" t="s">
        <v>446</v>
      </c>
      <c r="E108" s="2" t="s">
        <v>2901</v>
      </c>
      <c r="F108" s="2" t="s">
        <v>507</v>
      </c>
      <c r="G108" s="2" t="s">
        <v>33</v>
      </c>
      <c r="H108" s="2" t="s">
        <v>442</v>
      </c>
      <c r="I108" s="2">
        <v>1.25</v>
      </c>
      <c r="J108" s="2">
        <v>24</v>
      </c>
      <c r="K108" s="2" t="s">
        <v>12</v>
      </c>
      <c r="L108" s="2">
        <v>1</v>
      </c>
      <c r="M108" s="2">
        <v>20</v>
      </c>
      <c r="N108" s="2">
        <v>25</v>
      </c>
    </row>
    <row r="109" spans="1:14">
      <c r="A109" s="2" t="s">
        <v>508</v>
      </c>
      <c r="B109" s="2" t="s">
        <v>509</v>
      </c>
      <c r="C109" s="2" t="s">
        <v>76</v>
      </c>
      <c r="D109" s="2" t="s">
        <v>441</v>
      </c>
      <c r="E109" s="2" t="s">
        <v>2870</v>
      </c>
      <c r="F109" s="2" t="s">
        <v>122</v>
      </c>
      <c r="G109" s="2" t="s">
        <v>15</v>
      </c>
      <c r="H109" s="2" t="s">
        <v>442</v>
      </c>
      <c r="I109" s="2">
        <v>1.5</v>
      </c>
      <c r="J109" s="2">
        <v>72</v>
      </c>
      <c r="K109" s="2" t="s">
        <v>12</v>
      </c>
      <c r="L109" s="2" t="s">
        <v>12</v>
      </c>
      <c r="M109" s="2">
        <v>20</v>
      </c>
      <c r="N109" s="2">
        <v>72</v>
      </c>
    </row>
    <row r="110" spans="1:14">
      <c r="A110" s="2" t="s">
        <v>508</v>
      </c>
      <c r="B110" s="2" t="s">
        <v>509</v>
      </c>
      <c r="C110" s="2" t="s">
        <v>76</v>
      </c>
      <c r="D110" s="2" t="s">
        <v>441</v>
      </c>
      <c r="E110" s="2" t="s">
        <v>2882</v>
      </c>
      <c r="F110" s="2" t="s">
        <v>124</v>
      </c>
      <c r="G110" s="2" t="s">
        <v>15</v>
      </c>
      <c r="H110" s="2" t="s">
        <v>442</v>
      </c>
      <c r="I110" s="2">
        <v>1.5</v>
      </c>
      <c r="J110" s="2">
        <v>81</v>
      </c>
      <c r="K110" s="2" t="s">
        <v>12</v>
      </c>
      <c r="L110" s="2" t="s">
        <v>12</v>
      </c>
      <c r="M110" s="2">
        <v>20</v>
      </c>
      <c r="N110" s="2">
        <v>81</v>
      </c>
    </row>
    <row r="111" spans="1:14">
      <c r="A111" s="2" t="s">
        <v>508</v>
      </c>
      <c r="B111" s="2" t="s">
        <v>509</v>
      </c>
      <c r="C111" s="2" t="s">
        <v>76</v>
      </c>
      <c r="D111" s="2" t="s">
        <v>441</v>
      </c>
      <c r="E111" s="2" t="s">
        <v>2886</v>
      </c>
      <c r="F111" s="2" t="s">
        <v>126</v>
      </c>
      <c r="G111" s="2" t="s">
        <v>15</v>
      </c>
      <c r="H111" s="2" t="s">
        <v>442</v>
      </c>
      <c r="I111" s="2">
        <v>1.5</v>
      </c>
      <c r="J111" s="2">
        <v>87</v>
      </c>
      <c r="K111" s="2" t="s">
        <v>12</v>
      </c>
      <c r="L111" s="2" t="s">
        <v>12</v>
      </c>
      <c r="M111" s="2">
        <v>20</v>
      </c>
      <c r="N111" s="2">
        <v>87</v>
      </c>
    </row>
    <row r="112" spans="1:14">
      <c r="A112" s="2" t="s">
        <v>508</v>
      </c>
      <c r="B112" s="2" t="s">
        <v>509</v>
      </c>
      <c r="C112" s="2" t="s">
        <v>76</v>
      </c>
      <c r="D112" s="2" t="s">
        <v>441</v>
      </c>
      <c r="E112" s="2" t="s">
        <v>2896</v>
      </c>
      <c r="F112" s="2" t="s">
        <v>128</v>
      </c>
      <c r="G112" s="2" t="s">
        <v>15</v>
      </c>
      <c r="H112" s="2" t="s">
        <v>442</v>
      </c>
      <c r="I112" s="2">
        <v>1.5</v>
      </c>
      <c r="J112" s="2">
        <v>45</v>
      </c>
      <c r="K112" s="2" t="s">
        <v>12</v>
      </c>
      <c r="L112" s="2" t="s">
        <v>12</v>
      </c>
      <c r="M112" s="2">
        <v>20</v>
      </c>
      <c r="N112" s="2">
        <v>45</v>
      </c>
    </row>
    <row r="113" spans="1:14">
      <c r="A113" s="2" t="s">
        <v>508</v>
      </c>
      <c r="B113" s="2" t="s">
        <v>509</v>
      </c>
      <c r="C113" s="2" t="s">
        <v>76</v>
      </c>
      <c r="D113" s="2" t="s">
        <v>441</v>
      </c>
      <c r="E113" s="2" t="s">
        <v>2901</v>
      </c>
      <c r="F113" s="2" t="s">
        <v>130</v>
      </c>
      <c r="G113" s="2" t="s">
        <v>15</v>
      </c>
      <c r="H113" s="2" t="s">
        <v>442</v>
      </c>
      <c r="I113" s="2">
        <v>1.5</v>
      </c>
      <c r="J113" s="2">
        <v>61</v>
      </c>
      <c r="K113" s="2" t="s">
        <v>12</v>
      </c>
      <c r="L113" s="2" t="s">
        <v>12</v>
      </c>
      <c r="M113" s="2">
        <v>20</v>
      </c>
      <c r="N113" s="2">
        <v>61</v>
      </c>
    </row>
    <row r="114" spans="1:14">
      <c r="A114" s="2" t="s">
        <v>508</v>
      </c>
      <c r="B114" s="2" t="s">
        <v>509</v>
      </c>
      <c r="C114" s="2" t="s">
        <v>76</v>
      </c>
      <c r="D114" s="2" t="s">
        <v>441</v>
      </c>
      <c r="E114" s="2" t="s">
        <v>2904</v>
      </c>
      <c r="F114" s="2" t="s">
        <v>132</v>
      </c>
      <c r="G114" s="2" t="s">
        <v>33</v>
      </c>
      <c r="H114" s="2" t="s">
        <v>443</v>
      </c>
      <c r="I114" s="2">
        <v>0.5</v>
      </c>
      <c r="J114" s="2">
        <v>9</v>
      </c>
      <c r="K114" s="2" t="s">
        <v>12</v>
      </c>
      <c r="L114" s="2" t="s">
        <v>12</v>
      </c>
      <c r="M114" s="2">
        <v>20</v>
      </c>
      <c r="N114" s="2">
        <v>9</v>
      </c>
    </row>
    <row r="115" spans="1:14">
      <c r="A115" s="2" t="s">
        <v>510</v>
      </c>
      <c r="B115" s="2" t="s">
        <v>511</v>
      </c>
      <c r="C115" s="2" t="s">
        <v>250</v>
      </c>
      <c r="D115" s="2" t="s">
        <v>446</v>
      </c>
      <c r="E115" s="2" t="s">
        <v>2870</v>
      </c>
      <c r="F115" s="2" t="s">
        <v>14</v>
      </c>
      <c r="G115" s="2" t="s">
        <v>15</v>
      </c>
      <c r="H115" s="2" t="s">
        <v>442</v>
      </c>
      <c r="I115" s="2">
        <v>1.1000000000000001</v>
      </c>
      <c r="J115" s="2">
        <v>22</v>
      </c>
      <c r="K115" s="2" t="s">
        <v>12</v>
      </c>
      <c r="L115" s="2" t="s">
        <v>12</v>
      </c>
      <c r="M115" s="2">
        <v>20</v>
      </c>
      <c r="N115" s="2">
        <v>22</v>
      </c>
    </row>
    <row r="116" spans="1:14">
      <c r="A116" s="2" t="s">
        <v>510</v>
      </c>
      <c r="B116" s="2" t="s">
        <v>511</v>
      </c>
      <c r="C116" s="2" t="s">
        <v>250</v>
      </c>
      <c r="D116" s="2" t="s">
        <v>446</v>
      </c>
      <c r="E116" s="2" t="s">
        <v>2882</v>
      </c>
      <c r="F116" s="2" t="s">
        <v>19</v>
      </c>
      <c r="G116" s="2" t="s">
        <v>15</v>
      </c>
      <c r="H116" s="2" t="s">
        <v>442</v>
      </c>
      <c r="I116" s="2">
        <v>1</v>
      </c>
      <c r="J116" s="2">
        <v>20</v>
      </c>
      <c r="K116" s="2" t="s">
        <v>12</v>
      </c>
      <c r="L116" s="2" t="s">
        <v>12</v>
      </c>
      <c r="M116" s="2">
        <v>20</v>
      </c>
      <c r="N116" s="2">
        <v>20</v>
      </c>
    </row>
    <row r="117" spans="1:14">
      <c r="A117" s="2" t="s">
        <v>510</v>
      </c>
      <c r="B117" s="2" t="s">
        <v>511</v>
      </c>
      <c r="C117" s="2" t="s">
        <v>250</v>
      </c>
      <c r="D117" s="2" t="s">
        <v>446</v>
      </c>
      <c r="E117" s="2" t="s">
        <v>2886</v>
      </c>
      <c r="F117" s="2" t="s">
        <v>23</v>
      </c>
      <c r="G117" s="2" t="s">
        <v>15</v>
      </c>
      <c r="H117" s="2" t="s">
        <v>443</v>
      </c>
      <c r="I117" s="2" t="s">
        <v>12</v>
      </c>
      <c r="J117" s="2" t="s">
        <v>12</v>
      </c>
      <c r="K117" s="2" t="s">
        <v>12</v>
      </c>
      <c r="L117" s="2" t="s">
        <v>12</v>
      </c>
      <c r="M117" s="2">
        <v>20</v>
      </c>
      <c r="N117" s="2" t="s">
        <v>12</v>
      </c>
    </row>
    <row r="118" spans="1:14">
      <c r="A118" s="2" t="s">
        <v>510</v>
      </c>
      <c r="B118" s="2" t="s">
        <v>511</v>
      </c>
      <c r="C118" s="2" t="s">
        <v>250</v>
      </c>
      <c r="D118" s="2" t="s">
        <v>446</v>
      </c>
      <c r="E118" s="2" t="s">
        <v>2896</v>
      </c>
      <c r="F118" s="2" t="s">
        <v>26</v>
      </c>
      <c r="G118" s="2" t="s">
        <v>15</v>
      </c>
      <c r="H118" s="2" t="s">
        <v>443</v>
      </c>
      <c r="I118" s="2" t="s">
        <v>12</v>
      </c>
      <c r="J118" s="2" t="s">
        <v>12</v>
      </c>
      <c r="K118" s="2" t="s">
        <v>12</v>
      </c>
      <c r="L118" s="2" t="s">
        <v>12</v>
      </c>
      <c r="M118" s="2">
        <v>20</v>
      </c>
      <c r="N118" s="2" t="s">
        <v>12</v>
      </c>
    </row>
    <row r="119" spans="1:14">
      <c r="A119" s="2" t="s">
        <v>510</v>
      </c>
      <c r="B119" s="2" t="s">
        <v>511</v>
      </c>
      <c r="C119" s="2" t="s">
        <v>250</v>
      </c>
      <c r="D119" s="2" t="s">
        <v>446</v>
      </c>
      <c r="E119" s="2" t="s">
        <v>2901</v>
      </c>
      <c r="F119" s="2" t="s">
        <v>29</v>
      </c>
      <c r="G119" s="2" t="s">
        <v>15</v>
      </c>
      <c r="H119" s="2" t="s">
        <v>443</v>
      </c>
      <c r="I119" s="2" t="s">
        <v>12</v>
      </c>
      <c r="J119" s="2" t="s">
        <v>12</v>
      </c>
      <c r="K119" s="2" t="s">
        <v>12</v>
      </c>
      <c r="L119" s="2" t="s">
        <v>12</v>
      </c>
      <c r="M119" s="2">
        <v>20</v>
      </c>
      <c r="N119" s="2" t="s">
        <v>12</v>
      </c>
    </row>
    <row r="120" spans="1:14">
      <c r="A120" s="2" t="s">
        <v>510</v>
      </c>
      <c r="B120" s="2" t="s">
        <v>511</v>
      </c>
      <c r="C120" s="2" t="s">
        <v>250</v>
      </c>
      <c r="D120" s="2" t="s">
        <v>446</v>
      </c>
      <c r="E120" s="2" t="s">
        <v>2904</v>
      </c>
      <c r="F120" s="2" t="s">
        <v>32</v>
      </c>
      <c r="G120" s="2" t="s">
        <v>33</v>
      </c>
      <c r="H120" s="2" t="s">
        <v>443</v>
      </c>
      <c r="I120" s="2" t="s">
        <v>12</v>
      </c>
      <c r="J120" s="2" t="s">
        <v>12</v>
      </c>
      <c r="K120" s="2" t="s">
        <v>12</v>
      </c>
      <c r="L120" s="2" t="s">
        <v>12</v>
      </c>
      <c r="M120" s="2">
        <v>20</v>
      </c>
      <c r="N120" s="2" t="s">
        <v>12</v>
      </c>
    </row>
    <row r="121" spans="1:14">
      <c r="A121" s="2" t="s">
        <v>512</v>
      </c>
      <c r="B121" s="2" t="s">
        <v>513</v>
      </c>
      <c r="C121" s="2" t="s">
        <v>250</v>
      </c>
      <c r="D121" s="2" t="s">
        <v>446</v>
      </c>
      <c r="E121" s="2" t="s">
        <v>2870</v>
      </c>
      <c r="F121" s="2" t="s">
        <v>14</v>
      </c>
      <c r="G121" s="2" t="s">
        <v>15</v>
      </c>
      <c r="H121" s="2" t="s">
        <v>443</v>
      </c>
      <c r="I121" s="2" t="s">
        <v>12</v>
      </c>
      <c r="J121" s="2" t="s">
        <v>12</v>
      </c>
      <c r="K121" s="2" t="s">
        <v>12</v>
      </c>
      <c r="L121" s="2" t="s">
        <v>12</v>
      </c>
      <c r="M121" s="2">
        <v>20</v>
      </c>
      <c r="N121" s="2" t="s">
        <v>12</v>
      </c>
    </row>
    <row r="122" spans="1:14">
      <c r="A122" s="2" t="s">
        <v>512</v>
      </c>
      <c r="B122" s="2" t="s">
        <v>513</v>
      </c>
      <c r="C122" s="2" t="s">
        <v>250</v>
      </c>
      <c r="D122" s="2" t="s">
        <v>446</v>
      </c>
      <c r="E122" s="2" t="s">
        <v>2882</v>
      </c>
      <c r="F122" s="2" t="s">
        <v>19</v>
      </c>
      <c r="G122" s="2" t="s">
        <v>15</v>
      </c>
      <c r="H122" s="2" t="s">
        <v>443</v>
      </c>
      <c r="I122" s="2" t="s">
        <v>12</v>
      </c>
      <c r="J122" s="2" t="s">
        <v>12</v>
      </c>
      <c r="K122" s="2" t="s">
        <v>12</v>
      </c>
      <c r="L122" s="2" t="s">
        <v>12</v>
      </c>
      <c r="M122" s="2">
        <v>20</v>
      </c>
      <c r="N122" s="2" t="s">
        <v>12</v>
      </c>
    </row>
    <row r="123" spans="1:14">
      <c r="A123" s="2" t="s">
        <v>512</v>
      </c>
      <c r="B123" s="2" t="s">
        <v>513</v>
      </c>
      <c r="C123" s="2" t="s">
        <v>250</v>
      </c>
      <c r="D123" s="2" t="s">
        <v>446</v>
      </c>
      <c r="E123" s="2" t="s">
        <v>2886</v>
      </c>
      <c r="F123" s="2" t="s">
        <v>23</v>
      </c>
      <c r="G123" s="2" t="s">
        <v>15</v>
      </c>
      <c r="H123" s="2" t="s">
        <v>443</v>
      </c>
      <c r="I123" s="2" t="s">
        <v>12</v>
      </c>
      <c r="J123" s="2" t="s">
        <v>12</v>
      </c>
      <c r="K123" s="2" t="s">
        <v>12</v>
      </c>
      <c r="L123" s="2" t="s">
        <v>12</v>
      </c>
      <c r="M123" s="2">
        <v>20</v>
      </c>
      <c r="N123" s="2" t="s">
        <v>12</v>
      </c>
    </row>
    <row r="124" spans="1:14">
      <c r="A124" s="2" t="s">
        <v>512</v>
      </c>
      <c r="B124" s="2" t="s">
        <v>513</v>
      </c>
      <c r="C124" s="2" t="s">
        <v>250</v>
      </c>
      <c r="D124" s="2" t="s">
        <v>446</v>
      </c>
      <c r="E124" s="2" t="s">
        <v>2896</v>
      </c>
      <c r="F124" s="2" t="s">
        <v>26</v>
      </c>
      <c r="G124" s="2" t="s">
        <v>15</v>
      </c>
      <c r="H124" s="2" t="s">
        <v>443</v>
      </c>
      <c r="I124" s="2" t="s">
        <v>12</v>
      </c>
      <c r="J124" s="2" t="s">
        <v>12</v>
      </c>
      <c r="K124" s="2" t="s">
        <v>12</v>
      </c>
      <c r="L124" s="2" t="s">
        <v>12</v>
      </c>
      <c r="M124" s="2">
        <v>20</v>
      </c>
      <c r="N124" s="2" t="s">
        <v>12</v>
      </c>
    </row>
    <row r="125" spans="1:14">
      <c r="A125" s="2" t="s">
        <v>512</v>
      </c>
      <c r="B125" s="2" t="s">
        <v>513</v>
      </c>
      <c r="C125" s="2" t="s">
        <v>250</v>
      </c>
      <c r="D125" s="2" t="s">
        <v>446</v>
      </c>
      <c r="E125" s="2" t="s">
        <v>2901</v>
      </c>
      <c r="F125" s="2" t="s">
        <v>29</v>
      </c>
      <c r="G125" s="2" t="s">
        <v>15</v>
      </c>
      <c r="H125" s="2" t="s">
        <v>443</v>
      </c>
      <c r="I125" s="2" t="s">
        <v>12</v>
      </c>
      <c r="J125" s="2" t="s">
        <v>12</v>
      </c>
      <c r="K125" s="2" t="s">
        <v>12</v>
      </c>
      <c r="L125" s="2" t="s">
        <v>12</v>
      </c>
      <c r="M125" s="2">
        <v>20</v>
      </c>
      <c r="N125" s="2" t="s">
        <v>12</v>
      </c>
    </row>
    <row r="126" spans="1:14">
      <c r="A126" s="2" t="s">
        <v>512</v>
      </c>
      <c r="B126" s="2" t="s">
        <v>513</v>
      </c>
      <c r="C126" s="2" t="s">
        <v>250</v>
      </c>
      <c r="D126" s="2" t="s">
        <v>446</v>
      </c>
      <c r="E126" s="2" t="s">
        <v>2904</v>
      </c>
      <c r="F126" s="2" t="s">
        <v>32</v>
      </c>
      <c r="G126" s="2" t="s">
        <v>33</v>
      </c>
      <c r="H126" s="2" t="s">
        <v>443</v>
      </c>
      <c r="I126" s="2" t="s">
        <v>12</v>
      </c>
      <c r="J126" s="2" t="s">
        <v>12</v>
      </c>
      <c r="K126" s="2" t="s">
        <v>12</v>
      </c>
      <c r="L126" s="2" t="s">
        <v>12</v>
      </c>
      <c r="M126" s="2">
        <v>20</v>
      </c>
      <c r="N126" s="2" t="s">
        <v>12</v>
      </c>
    </row>
    <row r="127" spans="1:14">
      <c r="A127" s="2" t="s">
        <v>514</v>
      </c>
      <c r="B127" s="2" t="s">
        <v>515</v>
      </c>
      <c r="C127" s="2" t="s">
        <v>487</v>
      </c>
      <c r="D127" s="2" t="s">
        <v>488</v>
      </c>
      <c r="E127" s="2" t="s">
        <v>2870</v>
      </c>
      <c r="F127" s="2" t="s">
        <v>322</v>
      </c>
      <c r="G127" s="2" t="s">
        <v>15</v>
      </c>
      <c r="H127" s="2" t="s">
        <v>443</v>
      </c>
      <c r="I127" s="2" t="s">
        <v>12</v>
      </c>
      <c r="J127" s="2" t="s">
        <v>12</v>
      </c>
      <c r="K127" s="2" t="s">
        <v>12</v>
      </c>
      <c r="L127" s="2" t="s">
        <v>12</v>
      </c>
      <c r="M127" s="2">
        <v>15</v>
      </c>
      <c r="N127" s="2" t="s">
        <v>12</v>
      </c>
    </row>
    <row r="128" spans="1:14">
      <c r="A128" s="2" t="s">
        <v>514</v>
      </c>
      <c r="B128" s="2" t="s">
        <v>515</v>
      </c>
      <c r="C128" s="2" t="s">
        <v>487</v>
      </c>
      <c r="D128" s="2" t="s">
        <v>488</v>
      </c>
      <c r="E128" s="2" t="s">
        <v>2882</v>
      </c>
      <c r="F128" s="2" t="s">
        <v>293</v>
      </c>
      <c r="G128" s="2" t="s">
        <v>15</v>
      </c>
      <c r="H128" s="2" t="s">
        <v>443</v>
      </c>
      <c r="I128" s="2" t="s">
        <v>12</v>
      </c>
      <c r="J128" s="2" t="s">
        <v>12</v>
      </c>
      <c r="K128" s="2" t="s">
        <v>12</v>
      </c>
      <c r="L128" s="2" t="s">
        <v>12</v>
      </c>
      <c r="M128" s="2">
        <v>15</v>
      </c>
      <c r="N128" s="2" t="s">
        <v>12</v>
      </c>
    </row>
    <row r="129" spans="1:14">
      <c r="A129" s="2" t="s">
        <v>514</v>
      </c>
      <c r="B129" s="2" t="s">
        <v>515</v>
      </c>
      <c r="C129" s="2" t="s">
        <v>487</v>
      </c>
      <c r="D129" s="2" t="s">
        <v>488</v>
      </c>
      <c r="E129" s="2" t="s">
        <v>2886</v>
      </c>
      <c r="F129" s="2" t="s">
        <v>294</v>
      </c>
      <c r="G129" s="2" t="s">
        <v>33</v>
      </c>
      <c r="H129" s="2" t="s">
        <v>442</v>
      </c>
      <c r="I129" s="2">
        <v>1.1299999999999999</v>
      </c>
      <c r="J129" s="2">
        <v>17</v>
      </c>
      <c r="K129" s="2" t="s">
        <v>12</v>
      </c>
      <c r="L129" s="2" t="s">
        <v>12</v>
      </c>
      <c r="M129" s="2">
        <v>15</v>
      </c>
      <c r="N129" s="2">
        <v>17</v>
      </c>
    </row>
    <row r="130" spans="1:14">
      <c r="A130" s="2" t="s">
        <v>516</v>
      </c>
      <c r="B130" s="2" t="s">
        <v>517</v>
      </c>
      <c r="C130" s="2" t="s">
        <v>48</v>
      </c>
      <c r="D130" s="2" t="s">
        <v>468</v>
      </c>
      <c r="E130" s="2" t="s">
        <v>2870</v>
      </c>
      <c r="F130" s="2" t="s">
        <v>253</v>
      </c>
      <c r="G130" s="2" t="s">
        <v>15</v>
      </c>
      <c r="H130" s="2" t="s">
        <v>443</v>
      </c>
      <c r="I130" s="2">
        <v>0.5</v>
      </c>
      <c r="J130" s="2">
        <v>9</v>
      </c>
      <c r="K130" s="2">
        <v>0.5</v>
      </c>
      <c r="L130" s="2" t="s">
        <v>12</v>
      </c>
      <c r="M130" s="2">
        <v>20</v>
      </c>
      <c r="N130" s="2">
        <v>9.5</v>
      </c>
    </row>
    <row r="131" spans="1:14">
      <c r="A131" s="2" t="s">
        <v>516</v>
      </c>
      <c r="B131" s="2" t="s">
        <v>517</v>
      </c>
      <c r="C131" s="2" t="s">
        <v>48</v>
      </c>
      <c r="D131" s="2" t="s">
        <v>468</v>
      </c>
      <c r="E131" s="2" t="s">
        <v>2882</v>
      </c>
      <c r="F131" s="2" t="s">
        <v>255</v>
      </c>
      <c r="G131" s="2" t="s">
        <v>15</v>
      </c>
      <c r="H131" s="2" t="s">
        <v>442</v>
      </c>
      <c r="I131" s="2">
        <v>1.5</v>
      </c>
      <c r="J131" s="2">
        <v>41</v>
      </c>
      <c r="K131" s="2">
        <v>3.5</v>
      </c>
      <c r="L131" s="2" t="s">
        <v>12</v>
      </c>
      <c r="M131" s="2">
        <v>20</v>
      </c>
      <c r="N131" s="2">
        <v>44.5</v>
      </c>
    </row>
    <row r="132" spans="1:14">
      <c r="A132" s="2" t="s">
        <v>516</v>
      </c>
      <c r="B132" s="2" t="s">
        <v>517</v>
      </c>
      <c r="C132" s="2" t="s">
        <v>48</v>
      </c>
      <c r="D132" s="2" t="s">
        <v>468</v>
      </c>
      <c r="E132" s="2" t="s">
        <v>2886</v>
      </c>
      <c r="F132" s="2" t="s">
        <v>257</v>
      </c>
      <c r="G132" s="2" t="s">
        <v>33</v>
      </c>
      <c r="H132" s="2" t="s">
        <v>443</v>
      </c>
      <c r="I132" s="2" t="s">
        <v>12</v>
      </c>
      <c r="J132" s="2" t="s">
        <v>12</v>
      </c>
      <c r="K132" s="2" t="s">
        <v>12</v>
      </c>
      <c r="L132" s="2" t="s">
        <v>12</v>
      </c>
      <c r="M132" s="2">
        <v>20</v>
      </c>
      <c r="N132" s="2" t="s">
        <v>12</v>
      </c>
    </row>
    <row r="133" spans="1:14">
      <c r="A133" s="2" t="s">
        <v>518</v>
      </c>
      <c r="B133" s="2" t="s">
        <v>519</v>
      </c>
      <c r="C133" s="2" t="s">
        <v>11</v>
      </c>
      <c r="D133" s="2" t="s">
        <v>520</v>
      </c>
      <c r="E133" s="2" t="s">
        <v>2870</v>
      </c>
      <c r="F133" s="2" t="s">
        <v>71</v>
      </c>
      <c r="G133" s="2" t="s">
        <v>15</v>
      </c>
      <c r="H133" s="2" t="s">
        <v>443</v>
      </c>
      <c r="I133" s="2">
        <v>0.5</v>
      </c>
      <c r="J133" s="2" t="s">
        <v>12</v>
      </c>
      <c r="K133" s="2">
        <v>1</v>
      </c>
      <c r="L133" s="2" t="s">
        <v>12</v>
      </c>
      <c r="M133" s="2">
        <v>15</v>
      </c>
      <c r="N133" s="2">
        <v>1</v>
      </c>
    </row>
    <row r="134" spans="1:14">
      <c r="A134" s="2" t="s">
        <v>518</v>
      </c>
      <c r="B134" s="2" t="s">
        <v>519</v>
      </c>
      <c r="C134" s="2" t="s">
        <v>11</v>
      </c>
      <c r="D134" s="2" t="s">
        <v>520</v>
      </c>
      <c r="E134" s="2" t="s">
        <v>2882</v>
      </c>
      <c r="F134" s="2" t="s">
        <v>73</v>
      </c>
      <c r="G134" s="2" t="s">
        <v>33</v>
      </c>
      <c r="H134" s="2" t="s">
        <v>443</v>
      </c>
      <c r="I134" s="2" t="s">
        <v>12</v>
      </c>
      <c r="J134" s="2" t="s">
        <v>12</v>
      </c>
      <c r="K134" s="2" t="s">
        <v>12</v>
      </c>
      <c r="L134" s="2" t="s">
        <v>12</v>
      </c>
      <c r="M134" s="2">
        <v>15</v>
      </c>
      <c r="N134" s="2" t="s">
        <v>12</v>
      </c>
    </row>
    <row r="135" spans="1:14">
      <c r="A135" s="2" t="s">
        <v>521</v>
      </c>
      <c r="B135" s="2" t="s">
        <v>522</v>
      </c>
      <c r="C135" s="2" t="s">
        <v>250</v>
      </c>
      <c r="D135" s="2" t="s">
        <v>446</v>
      </c>
      <c r="E135" s="2" t="s">
        <v>2870</v>
      </c>
      <c r="F135" s="2" t="s">
        <v>37</v>
      </c>
      <c r="G135" s="2" t="s">
        <v>15</v>
      </c>
      <c r="H135" s="2" t="s">
        <v>443</v>
      </c>
      <c r="I135" s="2" t="s">
        <v>12</v>
      </c>
      <c r="J135" s="2" t="s">
        <v>12</v>
      </c>
      <c r="K135" s="2" t="s">
        <v>12</v>
      </c>
      <c r="L135" s="2" t="s">
        <v>12</v>
      </c>
      <c r="M135" s="2">
        <v>20</v>
      </c>
      <c r="N135" s="2" t="s">
        <v>12</v>
      </c>
    </row>
    <row r="136" spans="1:14">
      <c r="A136" s="2" t="s">
        <v>521</v>
      </c>
      <c r="B136" s="2" t="s">
        <v>522</v>
      </c>
      <c r="C136" s="2" t="s">
        <v>250</v>
      </c>
      <c r="D136" s="2" t="s">
        <v>446</v>
      </c>
      <c r="E136" s="2" t="s">
        <v>2882</v>
      </c>
      <c r="F136" s="2" t="s">
        <v>39</v>
      </c>
      <c r="G136" s="2" t="s">
        <v>15</v>
      </c>
      <c r="H136" s="2" t="s">
        <v>442</v>
      </c>
      <c r="I136" s="2">
        <v>1.35</v>
      </c>
      <c r="J136" s="2">
        <v>27</v>
      </c>
      <c r="K136" s="2" t="s">
        <v>12</v>
      </c>
      <c r="L136" s="2" t="s">
        <v>12</v>
      </c>
      <c r="M136" s="2">
        <v>20</v>
      </c>
      <c r="N136" s="2">
        <v>27</v>
      </c>
    </row>
    <row r="137" spans="1:14">
      <c r="A137" s="2" t="s">
        <v>521</v>
      </c>
      <c r="B137" s="2" t="s">
        <v>522</v>
      </c>
      <c r="C137" s="2" t="s">
        <v>250</v>
      </c>
      <c r="D137" s="2" t="s">
        <v>446</v>
      </c>
      <c r="E137" s="2" t="s">
        <v>2886</v>
      </c>
      <c r="F137" s="2" t="s">
        <v>41</v>
      </c>
      <c r="G137" s="2" t="s">
        <v>15</v>
      </c>
      <c r="H137" s="2" t="s">
        <v>443</v>
      </c>
      <c r="I137" s="2">
        <v>0.5</v>
      </c>
      <c r="J137" s="2">
        <v>10</v>
      </c>
      <c r="K137" s="2" t="s">
        <v>12</v>
      </c>
      <c r="L137" s="2" t="s">
        <v>12</v>
      </c>
      <c r="M137" s="2">
        <v>20</v>
      </c>
      <c r="N137" s="2">
        <v>10</v>
      </c>
    </row>
    <row r="138" spans="1:14">
      <c r="A138" s="2" t="s">
        <v>521</v>
      </c>
      <c r="B138" s="2" t="s">
        <v>522</v>
      </c>
      <c r="C138" s="2" t="s">
        <v>250</v>
      </c>
      <c r="D138" s="2" t="s">
        <v>446</v>
      </c>
      <c r="E138" s="2" t="s">
        <v>2896</v>
      </c>
      <c r="F138" s="2" t="s">
        <v>43</v>
      </c>
      <c r="G138" s="2" t="s">
        <v>33</v>
      </c>
      <c r="H138" s="2" t="s">
        <v>443</v>
      </c>
      <c r="I138" s="2" t="s">
        <v>12</v>
      </c>
      <c r="J138" s="2" t="s">
        <v>12</v>
      </c>
      <c r="K138" s="2" t="s">
        <v>12</v>
      </c>
      <c r="L138" s="2" t="s">
        <v>12</v>
      </c>
      <c r="M138" s="2">
        <v>20</v>
      </c>
      <c r="N138" s="2" t="s">
        <v>12</v>
      </c>
    </row>
    <row r="139" spans="1:14">
      <c r="A139" s="2" t="s">
        <v>523</v>
      </c>
      <c r="B139" s="2" t="s">
        <v>524</v>
      </c>
      <c r="C139" s="2" t="s">
        <v>525</v>
      </c>
      <c r="D139" s="2" t="s">
        <v>446</v>
      </c>
      <c r="E139" s="2" t="s">
        <v>2870</v>
      </c>
      <c r="F139" s="2" t="s">
        <v>526</v>
      </c>
      <c r="G139" s="2" t="s">
        <v>15</v>
      </c>
      <c r="H139" s="2" t="s">
        <v>443</v>
      </c>
      <c r="I139" s="2" t="s">
        <v>12</v>
      </c>
      <c r="J139" s="2" t="s">
        <v>12</v>
      </c>
      <c r="K139" s="2" t="s">
        <v>12</v>
      </c>
      <c r="L139" s="2" t="s">
        <v>12</v>
      </c>
      <c r="M139" s="2">
        <v>20</v>
      </c>
      <c r="N139" s="2" t="s">
        <v>12</v>
      </c>
    </row>
    <row r="140" spans="1:14">
      <c r="A140" s="2" t="s">
        <v>523</v>
      </c>
      <c r="B140" s="2" t="s">
        <v>524</v>
      </c>
      <c r="C140" s="2" t="s">
        <v>525</v>
      </c>
      <c r="D140" s="2" t="s">
        <v>446</v>
      </c>
      <c r="E140" s="2" t="s">
        <v>2882</v>
      </c>
      <c r="F140" s="2" t="s">
        <v>527</v>
      </c>
      <c r="G140" s="2" t="s">
        <v>33</v>
      </c>
      <c r="H140" s="2" t="s">
        <v>443</v>
      </c>
      <c r="I140" s="2" t="s">
        <v>12</v>
      </c>
      <c r="J140" s="2" t="s">
        <v>12</v>
      </c>
      <c r="K140" s="2" t="s">
        <v>12</v>
      </c>
      <c r="L140" s="2" t="s">
        <v>12</v>
      </c>
      <c r="M140" s="2">
        <v>20</v>
      </c>
      <c r="N140" s="2" t="s">
        <v>12</v>
      </c>
    </row>
    <row r="141" spans="1:14">
      <c r="A141" s="2" t="s">
        <v>528</v>
      </c>
      <c r="B141" s="2" t="s">
        <v>529</v>
      </c>
      <c r="C141" s="2" t="s">
        <v>530</v>
      </c>
      <c r="D141" s="2" t="s">
        <v>441</v>
      </c>
      <c r="E141" s="2" t="s">
        <v>2870</v>
      </c>
      <c r="F141" s="2" t="s">
        <v>531</v>
      </c>
      <c r="G141" s="2" t="s">
        <v>15</v>
      </c>
      <c r="H141" s="2" t="s">
        <v>443</v>
      </c>
      <c r="I141" s="2" t="s">
        <v>12</v>
      </c>
      <c r="J141" s="2" t="s">
        <v>12</v>
      </c>
      <c r="K141" s="2" t="s">
        <v>12</v>
      </c>
      <c r="L141" s="2" t="s">
        <v>12</v>
      </c>
      <c r="M141" s="2">
        <v>20</v>
      </c>
      <c r="N141" s="2" t="s">
        <v>12</v>
      </c>
    </row>
    <row r="142" spans="1:14">
      <c r="A142" s="2" t="s">
        <v>528</v>
      </c>
      <c r="B142" s="2" t="s">
        <v>529</v>
      </c>
      <c r="C142" s="2" t="s">
        <v>530</v>
      </c>
      <c r="D142" s="2" t="s">
        <v>441</v>
      </c>
      <c r="E142" s="2" t="s">
        <v>2882</v>
      </c>
      <c r="F142" s="2" t="s">
        <v>302</v>
      </c>
      <c r="G142" s="2" t="s">
        <v>33</v>
      </c>
      <c r="H142" s="2" t="s">
        <v>443</v>
      </c>
      <c r="I142" s="2" t="s">
        <v>12</v>
      </c>
      <c r="J142" s="2" t="s">
        <v>12</v>
      </c>
      <c r="K142" s="2" t="s">
        <v>12</v>
      </c>
      <c r="L142" s="2" t="s">
        <v>12</v>
      </c>
      <c r="M142" s="2">
        <v>20</v>
      </c>
      <c r="N142" s="2" t="s">
        <v>12</v>
      </c>
    </row>
    <row r="143" spans="1:14">
      <c r="A143" s="2" t="s">
        <v>528</v>
      </c>
      <c r="B143" s="2" t="s">
        <v>529</v>
      </c>
      <c r="C143" s="2" t="s">
        <v>530</v>
      </c>
      <c r="D143" s="2" t="s">
        <v>441</v>
      </c>
      <c r="E143" s="2" t="s">
        <v>2886</v>
      </c>
      <c r="F143" s="2" t="s">
        <v>303</v>
      </c>
      <c r="G143" s="2" t="s">
        <v>225</v>
      </c>
      <c r="H143" s="2" t="s">
        <v>443</v>
      </c>
      <c r="I143" s="2" t="s">
        <v>12</v>
      </c>
      <c r="J143" s="2" t="s">
        <v>12</v>
      </c>
      <c r="K143" s="2" t="s">
        <v>12</v>
      </c>
      <c r="L143" s="2" t="s">
        <v>12</v>
      </c>
      <c r="M143" s="2">
        <v>20</v>
      </c>
      <c r="N143" s="2" t="s">
        <v>12</v>
      </c>
    </row>
    <row r="144" spans="1:14">
      <c r="A144" s="2" t="s">
        <v>532</v>
      </c>
      <c r="B144" s="2" t="s">
        <v>533</v>
      </c>
      <c r="C144" s="2" t="s">
        <v>487</v>
      </c>
      <c r="D144" s="2" t="s">
        <v>488</v>
      </c>
      <c r="E144" s="2" t="s">
        <v>2870</v>
      </c>
      <c r="F144" s="2" t="s">
        <v>67</v>
      </c>
      <c r="G144" s="2" t="s">
        <v>15</v>
      </c>
      <c r="H144" s="2" t="s">
        <v>443</v>
      </c>
      <c r="I144" s="2" t="s">
        <v>12</v>
      </c>
      <c r="J144" s="2" t="s">
        <v>12</v>
      </c>
      <c r="K144" s="2" t="s">
        <v>12</v>
      </c>
      <c r="L144" s="2" t="s">
        <v>12</v>
      </c>
      <c r="M144" s="2">
        <v>15</v>
      </c>
      <c r="N144" s="2" t="s">
        <v>12</v>
      </c>
    </row>
    <row r="145" spans="1:14">
      <c r="A145" s="2" t="s">
        <v>532</v>
      </c>
      <c r="B145" s="2" t="s">
        <v>533</v>
      </c>
      <c r="C145" s="2" t="s">
        <v>487</v>
      </c>
      <c r="D145" s="2" t="s">
        <v>488</v>
      </c>
      <c r="E145" s="2" t="s">
        <v>2882</v>
      </c>
      <c r="F145" s="2" t="s">
        <v>69</v>
      </c>
      <c r="G145" s="2" t="s">
        <v>15</v>
      </c>
      <c r="H145" s="2" t="s">
        <v>442</v>
      </c>
      <c r="I145" s="2">
        <v>1.1299999999999999</v>
      </c>
      <c r="J145" s="2">
        <v>5</v>
      </c>
      <c r="K145" s="2" t="s">
        <v>12</v>
      </c>
      <c r="L145" s="2">
        <v>12</v>
      </c>
      <c r="M145" s="2">
        <v>15</v>
      </c>
      <c r="N145" s="2">
        <v>17</v>
      </c>
    </row>
    <row r="146" spans="1:14">
      <c r="A146" s="2" t="s">
        <v>532</v>
      </c>
      <c r="B146" s="2" t="s">
        <v>533</v>
      </c>
      <c r="C146" s="2" t="s">
        <v>487</v>
      </c>
      <c r="D146" s="2" t="s">
        <v>488</v>
      </c>
      <c r="E146" s="2" t="s">
        <v>2886</v>
      </c>
      <c r="F146" s="2" t="s">
        <v>71</v>
      </c>
      <c r="G146" s="2" t="s">
        <v>15</v>
      </c>
      <c r="H146" s="2" t="s">
        <v>442</v>
      </c>
      <c r="I146" s="2">
        <v>1.5</v>
      </c>
      <c r="J146" s="2">
        <v>12</v>
      </c>
      <c r="K146" s="2" t="s">
        <v>12</v>
      </c>
      <c r="L146" s="2">
        <v>18</v>
      </c>
      <c r="M146" s="2">
        <v>15</v>
      </c>
      <c r="N146" s="2">
        <v>30</v>
      </c>
    </row>
    <row r="147" spans="1:14">
      <c r="A147" s="2" t="s">
        <v>532</v>
      </c>
      <c r="B147" s="2" t="s">
        <v>533</v>
      </c>
      <c r="C147" s="2" t="s">
        <v>487</v>
      </c>
      <c r="D147" s="2" t="s">
        <v>488</v>
      </c>
      <c r="E147" s="2" t="s">
        <v>2896</v>
      </c>
      <c r="F147" s="2" t="s">
        <v>73</v>
      </c>
      <c r="G147" s="2" t="s">
        <v>33</v>
      </c>
      <c r="H147" s="2" t="s">
        <v>443</v>
      </c>
      <c r="I147" s="2" t="s">
        <v>12</v>
      </c>
      <c r="J147" s="2" t="s">
        <v>12</v>
      </c>
      <c r="K147" s="2" t="s">
        <v>12</v>
      </c>
      <c r="L147" s="2" t="s">
        <v>12</v>
      </c>
      <c r="M147" s="2">
        <v>15</v>
      </c>
      <c r="N147" s="2" t="s">
        <v>12</v>
      </c>
    </row>
    <row r="148" spans="1:14">
      <c r="A148" s="2" t="s">
        <v>534</v>
      </c>
      <c r="B148" s="2" t="s">
        <v>535</v>
      </c>
      <c r="C148" s="2" t="s">
        <v>11</v>
      </c>
      <c r="D148" s="2" t="s">
        <v>457</v>
      </c>
      <c r="E148" s="2" t="s">
        <v>2870</v>
      </c>
      <c r="F148" s="2" t="s">
        <v>49</v>
      </c>
      <c r="G148" s="2" t="s">
        <v>15</v>
      </c>
      <c r="H148" s="2" t="s">
        <v>443</v>
      </c>
      <c r="I148" s="2">
        <v>0.5</v>
      </c>
      <c r="J148" s="2">
        <v>2</v>
      </c>
      <c r="K148" s="2">
        <v>7</v>
      </c>
      <c r="L148" s="2" t="s">
        <v>12</v>
      </c>
      <c r="M148" s="2">
        <v>20</v>
      </c>
      <c r="N148" s="2">
        <v>9</v>
      </c>
    </row>
    <row r="149" spans="1:14">
      <c r="A149" s="2" t="s">
        <v>534</v>
      </c>
      <c r="B149" s="2" t="s">
        <v>535</v>
      </c>
      <c r="C149" s="2" t="s">
        <v>11</v>
      </c>
      <c r="D149" s="2" t="s">
        <v>457</v>
      </c>
      <c r="E149" s="2" t="s">
        <v>2882</v>
      </c>
      <c r="F149" s="2" t="s">
        <v>51</v>
      </c>
      <c r="G149" s="2" t="s">
        <v>15</v>
      </c>
      <c r="H149" s="2" t="s">
        <v>442</v>
      </c>
      <c r="I149" s="2">
        <v>1.5</v>
      </c>
      <c r="J149" s="2">
        <v>30</v>
      </c>
      <c r="K149" s="2">
        <v>9</v>
      </c>
      <c r="L149" s="2" t="s">
        <v>12</v>
      </c>
      <c r="M149" s="2">
        <v>20</v>
      </c>
      <c r="N149" s="2">
        <v>39</v>
      </c>
    </row>
    <row r="150" spans="1:14">
      <c r="A150" s="2" t="s">
        <v>534</v>
      </c>
      <c r="B150" s="2" t="s">
        <v>535</v>
      </c>
      <c r="C150" s="2" t="s">
        <v>11</v>
      </c>
      <c r="D150" s="2" t="s">
        <v>457</v>
      </c>
      <c r="E150" s="2" t="s">
        <v>2886</v>
      </c>
      <c r="F150" s="2" t="s">
        <v>52</v>
      </c>
      <c r="G150" s="2" t="s">
        <v>15</v>
      </c>
      <c r="H150" s="2" t="s">
        <v>442</v>
      </c>
      <c r="I150" s="2">
        <v>1.5</v>
      </c>
      <c r="J150" s="2">
        <v>20</v>
      </c>
      <c r="K150" s="2">
        <v>9.5</v>
      </c>
      <c r="L150" s="2">
        <v>2</v>
      </c>
      <c r="M150" s="2">
        <v>20</v>
      </c>
      <c r="N150" s="2">
        <v>31.5</v>
      </c>
    </row>
    <row r="151" spans="1:14">
      <c r="A151" s="2" t="s">
        <v>534</v>
      </c>
      <c r="B151" s="2" t="s">
        <v>535</v>
      </c>
      <c r="C151" s="2" t="s">
        <v>11</v>
      </c>
      <c r="D151" s="2" t="s">
        <v>457</v>
      </c>
      <c r="E151" s="2" t="s">
        <v>2896</v>
      </c>
      <c r="F151" s="2" t="s">
        <v>54</v>
      </c>
      <c r="G151" s="2" t="s">
        <v>15</v>
      </c>
      <c r="H151" s="2" t="s">
        <v>442</v>
      </c>
      <c r="I151" s="2">
        <v>1.5</v>
      </c>
      <c r="J151" s="2">
        <v>25</v>
      </c>
      <c r="K151" s="2">
        <v>4.5</v>
      </c>
      <c r="L151" s="2">
        <v>4</v>
      </c>
      <c r="M151" s="2">
        <v>20</v>
      </c>
      <c r="N151" s="2">
        <v>33.5</v>
      </c>
    </row>
    <row r="152" spans="1:14">
      <c r="A152" s="2" t="s">
        <v>534</v>
      </c>
      <c r="B152" s="2" t="s">
        <v>535</v>
      </c>
      <c r="C152" s="2" t="s">
        <v>11</v>
      </c>
      <c r="D152" s="2" t="s">
        <v>457</v>
      </c>
      <c r="E152" s="2" t="s">
        <v>2901</v>
      </c>
      <c r="F152" s="2" t="s">
        <v>56</v>
      </c>
      <c r="G152" s="2" t="s">
        <v>15</v>
      </c>
      <c r="H152" s="2" t="s">
        <v>442</v>
      </c>
      <c r="I152" s="2">
        <v>1.28</v>
      </c>
      <c r="J152" s="2">
        <v>20</v>
      </c>
      <c r="K152" s="2">
        <v>3.5</v>
      </c>
      <c r="L152" s="2">
        <v>2</v>
      </c>
      <c r="M152" s="2">
        <v>20</v>
      </c>
      <c r="N152" s="2">
        <v>25.5</v>
      </c>
    </row>
    <row r="153" spans="1:14">
      <c r="A153" s="2" t="s">
        <v>534</v>
      </c>
      <c r="B153" s="2" t="s">
        <v>535</v>
      </c>
      <c r="C153" s="2" t="s">
        <v>11</v>
      </c>
      <c r="D153" s="2" t="s">
        <v>457</v>
      </c>
      <c r="E153" s="2" t="s">
        <v>2904</v>
      </c>
      <c r="F153" s="2" t="s">
        <v>57</v>
      </c>
      <c r="G153" s="2" t="s">
        <v>33</v>
      </c>
      <c r="H153" s="2" t="s">
        <v>443</v>
      </c>
      <c r="I153" s="2">
        <v>0.5</v>
      </c>
      <c r="J153" s="2">
        <v>1</v>
      </c>
      <c r="K153" s="2">
        <v>0.5</v>
      </c>
      <c r="L153" s="2">
        <v>1</v>
      </c>
      <c r="M153" s="2">
        <v>20</v>
      </c>
      <c r="N153" s="2">
        <v>2.5</v>
      </c>
    </row>
    <row r="154" spans="1:14">
      <c r="A154" s="2" t="s">
        <v>536</v>
      </c>
      <c r="B154" s="2" t="s">
        <v>537</v>
      </c>
      <c r="C154" s="2" t="s">
        <v>250</v>
      </c>
      <c r="D154" s="2" t="s">
        <v>446</v>
      </c>
      <c r="E154" s="2" t="s">
        <v>2870</v>
      </c>
      <c r="F154" s="2" t="s">
        <v>14</v>
      </c>
      <c r="G154" s="2" t="s">
        <v>15</v>
      </c>
      <c r="H154" s="2" t="s">
        <v>443</v>
      </c>
      <c r="I154" s="2">
        <v>0.65</v>
      </c>
      <c r="J154" s="2">
        <v>13</v>
      </c>
      <c r="K154" s="2" t="s">
        <v>12</v>
      </c>
      <c r="L154" s="2" t="s">
        <v>12</v>
      </c>
      <c r="M154" s="2">
        <v>20</v>
      </c>
      <c r="N154" s="2">
        <v>13</v>
      </c>
    </row>
    <row r="155" spans="1:14">
      <c r="A155" s="2" t="s">
        <v>536</v>
      </c>
      <c r="B155" s="2" t="s">
        <v>537</v>
      </c>
      <c r="C155" s="2" t="s">
        <v>250</v>
      </c>
      <c r="D155" s="2" t="s">
        <v>446</v>
      </c>
      <c r="E155" s="2" t="s">
        <v>2882</v>
      </c>
      <c r="F155" s="2" t="s">
        <v>19</v>
      </c>
      <c r="G155" s="2" t="s">
        <v>15</v>
      </c>
      <c r="H155" s="2" t="s">
        <v>442</v>
      </c>
      <c r="I155" s="2">
        <v>1.2</v>
      </c>
      <c r="J155" s="2">
        <v>24</v>
      </c>
      <c r="K155" s="2" t="s">
        <v>12</v>
      </c>
      <c r="L155" s="2" t="s">
        <v>12</v>
      </c>
      <c r="M155" s="2">
        <v>20</v>
      </c>
      <c r="N155" s="2">
        <v>24</v>
      </c>
    </row>
    <row r="156" spans="1:14">
      <c r="A156" s="2" t="s">
        <v>536</v>
      </c>
      <c r="B156" s="2" t="s">
        <v>537</v>
      </c>
      <c r="C156" s="2" t="s">
        <v>250</v>
      </c>
      <c r="D156" s="2" t="s">
        <v>446</v>
      </c>
      <c r="E156" s="2" t="s">
        <v>2886</v>
      </c>
      <c r="F156" s="2" t="s">
        <v>23</v>
      </c>
      <c r="G156" s="2" t="s">
        <v>15</v>
      </c>
      <c r="H156" s="2" t="s">
        <v>442</v>
      </c>
      <c r="I156" s="2">
        <v>1.1000000000000001</v>
      </c>
      <c r="J156" s="2">
        <v>22</v>
      </c>
      <c r="K156" s="2" t="s">
        <v>12</v>
      </c>
      <c r="L156" s="2" t="s">
        <v>12</v>
      </c>
      <c r="M156" s="2">
        <v>20</v>
      </c>
      <c r="N156" s="2">
        <v>22</v>
      </c>
    </row>
    <row r="157" spans="1:14">
      <c r="A157" s="2" t="s">
        <v>536</v>
      </c>
      <c r="B157" s="2" t="s">
        <v>537</v>
      </c>
      <c r="C157" s="2" t="s">
        <v>250</v>
      </c>
      <c r="D157" s="2" t="s">
        <v>446</v>
      </c>
      <c r="E157" s="2" t="s">
        <v>2896</v>
      </c>
      <c r="F157" s="2" t="s">
        <v>26</v>
      </c>
      <c r="G157" s="2" t="s">
        <v>15</v>
      </c>
      <c r="H157" s="2" t="s">
        <v>442</v>
      </c>
      <c r="I157" s="2">
        <v>1</v>
      </c>
      <c r="J157" s="2">
        <v>20</v>
      </c>
      <c r="K157" s="2" t="s">
        <v>12</v>
      </c>
      <c r="L157" s="2" t="s">
        <v>12</v>
      </c>
      <c r="M157" s="2">
        <v>20</v>
      </c>
      <c r="N157" s="2">
        <v>20</v>
      </c>
    </row>
    <row r="158" spans="1:14">
      <c r="A158" s="2" t="s">
        <v>536</v>
      </c>
      <c r="B158" s="2" t="s">
        <v>537</v>
      </c>
      <c r="C158" s="2" t="s">
        <v>250</v>
      </c>
      <c r="D158" s="2" t="s">
        <v>446</v>
      </c>
      <c r="E158" s="2" t="s">
        <v>2901</v>
      </c>
      <c r="F158" s="2" t="s">
        <v>29</v>
      </c>
      <c r="G158" s="2" t="s">
        <v>15</v>
      </c>
      <c r="H158" s="2" t="s">
        <v>442</v>
      </c>
      <c r="I158" s="2">
        <v>1</v>
      </c>
      <c r="J158" s="2">
        <v>20</v>
      </c>
      <c r="K158" s="2" t="s">
        <v>12</v>
      </c>
      <c r="L158" s="2" t="s">
        <v>12</v>
      </c>
      <c r="M158" s="2">
        <v>20</v>
      </c>
      <c r="N158" s="2">
        <v>20</v>
      </c>
    </row>
    <row r="159" spans="1:14">
      <c r="A159" s="2" t="s">
        <v>536</v>
      </c>
      <c r="B159" s="2" t="s">
        <v>537</v>
      </c>
      <c r="C159" s="2" t="s">
        <v>250</v>
      </c>
      <c r="D159" s="2" t="s">
        <v>446</v>
      </c>
      <c r="E159" s="2" t="s">
        <v>2904</v>
      </c>
      <c r="F159" s="2" t="s">
        <v>32</v>
      </c>
      <c r="G159" s="2" t="s">
        <v>33</v>
      </c>
      <c r="H159" s="2" t="s">
        <v>443</v>
      </c>
      <c r="I159" s="2" t="s">
        <v>12</v>
      </c>
      <c r="J159" s="2" t="s">
        <v>12</v>
      </c>
      <c r="K159" s="2" t="s">
        <v>12</v>
      </c>
      <c r="L159" s="2" t="s">
        <v>12</v>
      </c>
      <c r="M159" s="2">
        <v>20</v>
      </c>
      <c r="N159" s="2" t="s">
        <v>12</v>
      </c>
    </row>
    <row r="160" spans="1:14">
      <c r="A160" s="2" t="s">
        <v>538</v>
      </c>
      <c r="B160" s="2" t="s">
        <v>539</v>
      </c>
      <c r="C160" s="2" t="s">
        <v>290</v>
      </c>
      <c r="D160" s="2" t="s">
        <v>446</v>
      </c>
      <c r="E160" s="2" t="s">
        <v>2870</v>
      </c>
      <c r="F160" s="2" t="s">
        <v>26</v>
      </c>
      <c r="G160" s="2" t="s">
        <v>15</v>
      </c>
      <c r="H160" s="2" t="s">
        <v>443</v>
      </c>
      <c r="I160" s="2">
        <v>0.9</v>
      </c>
      <c r="J160" s="2">
        <v>18</v>
      </c>
      <c r="K160" s="2" t="s">
        <v>12</v>
      </c>
      <c r="L160" s="2" t="s">
        <v>12</v>
      </c>
      <c r="M160" s="2">
        <v>20</v>
      </c>
      <c r="N160" s="2">
        <v>18</v>
      </c>
    </row>
    <row r="161" spans="1:14">
      <c r="A161" s="2" t="s">
        <v>538</v>
      </c>
      <c r="B161" s="2" t="s">
        <v>539</v>
      </c>
      <c r="C161" s="2" t="s">
        <v>290</v>
      </c>
      <c r="D161" s="2" t="s">
        <v>446</v>
      </c>
      <c r="E161" s="2" t="s">
        <v>2882</v>
      </c>
      <c r="F161" s="2" t="s">
        <v>29</v>
      </c>
      <c r="G161" s="2" t="s">
        <v>15</v>
      </c>
      <c r="H161" s="2" t="s">
        <v>442</v>
      </c>
      <c r="I161" s="2">
        <v>1.05</v>
      </c>
      <c r="J161" s="2">
        <v>19</v>
      </c>
      <c r="K161" s="2" t="s">
        <v>12</v>
      </c>
      <c r="L161" s="2">
        <v>2</v>
      </c>
      <c r="M161" s="2">
        <v>20</v>
      </c>
      <c r="N161" s="2">
        <v>21</v>
      </c>
    </row>
    <row r="162" spans="1:14">
      <c r="A162" s="2" t="s">
        <v>538</v>
      </c>
      <c r="B162" s="2" t="s">
        <v>539</v>
      </c>
      <c r="C162" s="2" t="s">
        <v>290</v>
      </c>
      <c r="D162" s="2" t="s">
        <v>446</v>
      </c>
      <c r="E162" s="2" t="s">
        <v>2886</v>
      </c>
      <c r="F162" s="2" t="s">
        <v>32</v>
      </c>
      <c r="G162" s="2" t="s">
        <v>33</v>
      </c>
      <c r="H162" s="2" t="s">
        <v>443</v>
      </c>
      <c r="I162" s="2">
        <v>0.5</v>
      </c>
      <c r="J162" s="2">
        <v>2</v>
      </c>
      <c r="K162" s="2" t="s">
        <v>12</v>
      </c>
      <c r="L162" s="2" t="s">
        <v>12</v>
      </c>
      <c r="M162" s="2">
        <v>20</v>
      </c>
      <c r="N162" s="2">
        <v>2</v>
      </c>
    </row>
    <row r="163" spans="1:14">
      <c r="A163" s="2" t="s">
        <v>540</v>
      </c>
      <c r="B163" s="2" t="s">
        <v>541</v>
      </c>
      <c r="C163" s="2" t="s">
        <v>12</v>
      </c>
      <c r="D163" s="2" t="s">
        <v>446</v>
      </c>
      <c r="E163" s="2" t="s">
        <v>2870</v>
      </c>
      <c r="F163" s="2" t="s">
        <v>322</v>
      </c>
      <c r="G163" s="2" t="s">
        <v>15</v>
      </c>
      <c r="H163" s="2" t="s">
        <v>443</v>
      </c>
      <c r="I163" s="2">
        <v>0.5</v>
      </c>
      <c r="J163" s="2">
        <v>2</v>
      </c>
      <c r="K163" s="2" t="s">
        <v>12</v>
      </c>
      <c r="L163" s="2" t="s">
        <v>12</v>
      </c>
      <c r="M163" s="2">
        <v>20</v>
      </c>
      <c r="N163" s="2">
        <v>2</v>
      </c>
    </row>
    <row r="164" spans="1:14">
      <c r="A164" s="2" t="s">
        <v>540</v>
      </c>
      <c r="B164" s="2" t="s">
        <v>541</v>
      </c>
      <c r="C164" s="2" t="s">
        <v>12</v>
      </c>
      <c r="D164" s="2" t="s">
        <v>446</v>
      </c>
      <c r="E164" s="2" t="s">
        <v>2882</v>
      </c>
      <c r="F164" s="2" t="s">
        <v>293</v>
      </c>
      <c r="G164" s="2" t="s">
        <v>15</v>
      </c>
      <c r="H164" s="2" t="s">
        <v>443</v>
      </c>
      <c r="I164" s="2">
        <v>0.5</v>
      </c>
      <c r="J164" s="2">
        <v>8</v>
      </c>
      <c r="K164" s="2" t="s">
        <v>12</v>
      </c>
      <c r="L164" s="2" t="s">
        <v>12</v>
      </c>
      <c r="M164" s="2">
        <v>20</v>
      </c>
      <c r="N164" s="2">
        <v>8</v>
      </c>
    </row>
    <row r="165" spans="1:14">
      <c r="A165" s="2" t="s">
        <v>540</v>
      </c>
      <c r="B165" s="2" t="s">
        <v>541</v>
      </c>
      <c r="C165" s="2" t="s">
        <v>12</v>
      </c>
      <c r="D165" s="2" t="s">
        <v>446</v>
      </c>
      <c r="E165" s="2" t="s">
        <v>2886</v>
      </c>
      <c r="F165" s="2" t="s">
        <v>294</v>
      </c>
      <c r="G165" s="2" t="s">
        <v>33</v>
      </c>
      <c r="H165" s="2" t="s">
        <v>443</v>
      </c>
      <c r="I165" s="2">
        <v>0.5</v>
      </c>
      <c r="J165" s="2">
        <v>10</v>
      </c>
      <c r="K165" s="2" t="s">
        <v>12</v>
      </c>
      <c r="L165" s="2" t="s">
        <v>12</v>
      </c>
      <c r="M165" s="2">
        <v>20</v>
      </c>
      <c r="N165" s="2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3"/>
  <sheetViews>
    <sheetView workbookViewId="0">
      <pane ySplit="1" topLeftCell="A2" activePane="bottomLeft" state="frozen"/>
      <selection pane="bottomLeft"/>
    </sheetView>
  </sheetViews>
  <sheetFormatPr defaultColWidth="9" defaultRowHeight="15"/>
  <cols>
    <col min="1" max="1" width="22" customWidth="1"/>
    <col min="2" max="2" width="40" customWidth="1"/>
    <col min="3" max="3" width="13" customWidth="1"/>
    <col min="4" max="4" width="14" customWidth="1"/>
    <col min="5" max="5" width="10" customWidth="1"/>
    <col min="6" max="6" width="25" customWidth="1"/>
    <col min="7" max="7" width="15" customWidth="1"/>
    <col min="8" max="8" width="20" customWidth="1"/>
    <col min="9" max="9" width="15" customWidth="1"/>
    <col min="10" max="11" width="17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2862</v>
      </c>
      <c r="I1" s="1" t="s">
        <v>7</v>
      </c>
      <c r="J1" s="1" t="s">
        <v>3361</v>
      </c>
      <c r="K1" s="1" t="s">
        <v>3362</v>
      </c>
    </row>
    <row r="2" spans="1:11">
      <c r="A2" s="2" t="s">
        <v>542</v>
      </c>
      <c r="B2" s="2" t="s">
        <v>543</v>
      </c>
      <c r="C2" s="2" t="s">
        <v>76</v>
      </c>
      <c r="D2" s="2" t="s">
        <v>446</v>
      </c>
      <c r="E2" s="2" t="s">
        <v>2870</v>
      </c>
      <c r="F2" s="2" t="s">
        <v>104</v>
      </c>
      <c r="G2" s="2" t="s">
        <v>15</v>
      </c>
      <c r="H2" s="2" t="s">
        <v>44</v>
      </c>
      <c r="I2" s="2" t="s">
        <v>12</v>
      </c>
      <c r="J2" s="2">
        <v>1</v>
      </c>
      <c r="K2" s="2" t="s">
        <v>12</v>
      </c>
    </row>
    <row r="3" spans="1:11">
      <c r="A3" s="2" t="s">
        <v>542</v>
      </c>
      <c r="B3" s="2" t="s">
        <v>543</v>
      </c>
      <c r="C3" s="2" t="s">
        <v>76</v>
      </c>
      <c r="D3" s="2" t="s">
        <v>446</v>
      </c>
      <c r="E3" s="2" t="s">
        <v>2882</v>
      </c>
      <c r="F3" s="2" t="s">
        <v>106</v>
      </c>
      <c r="G3" s="2" t="s">
        <v>15</v>
      </c>
      <c r="H3" s="2" t="s">
        <v>44</v>
      </c>
      <c r="I3" s="2">
        <v>0.56000000000000005</v>
      </c>
      <c r="J3" s="2">
        <v>38</v>
      </c>
      <c r="K3" s="2">
        <v>18</v>
      </c>
    </row>
    <row r="4" spans="1:11">
      <c r="A4" s="2" t="s">
        <v>542</v>
      </c>
      <c r="B4" s="2" t="s">
        <v>543</v>
      </c>
      <c r="C4" s="2" t="s">
        <v>76</v>
      </c>
      <c r="D4" s="2" t="s">
        <v>446</v>
      </c>
      <c r="E4" s="2" t="s">
        <v>2886</v>
      </c>
      <c r="F4" s="2" t="s">
        <v>108</v>
      </c>
      <c r="G4" s="2" t="s">
        <v>15</v>
      </c>
      <c r="H4" s="2" t="s">
        <v>44</v>
      </c>
      <c r="I4" s="2">
        <v>0.5</v>
      </c>
      <c r="J4" s="2">
        <v>33</v>
      </c>
      <c r="K4" s="2">
        <v>10</v>
      </c>
    </row>
    <row r="5" spans="1:11">
      <c r="A5" s="2" t="s">
        <v>542</v>
      </c>
      <c r="B5" s="2" t="s">
        <v>543</v>
      </c>
      <c r="C5" s="2" t="s">
        <v>76</v>
      </c>
      <c r="D5" s="2" t="s">
        <v>446</v>
      </c>
      <c r="E5" s="2" t="s">
        <v>2896</v>
      </c>
      <c r="F5" s="2" t="s">
        <v>109</v>
      </c>
      <c r="G5" s="2" t="s">
        <v>33</v>
      </c>
      <c r="H5" s="2" t="s">
        <v>44</v>
      </c>
      <c r="I5" s="2" t="s">
        <v>12</v>
      </c>
      <c r="J5" s="2">
        <v>0</v>
      </c>
      <c r="K5" s="2" t="s">
        <v>12</v>
      </c>
    </row>
    <row r="6" spans="1:11">
      <c r="A6" s="2" t="s">
        <v>544</v>
      </c>
      <c r="B6" s="2" t="s">
        <v>545</v>
      </c>
      <c r="C6" s="2" t="s">
        <v>48</v>
      </c>
      <c r="D6" s="2" t="s">
        <v>441</v>
      </c>
      <c r="E6" s="2" t="s">
        <v>2870</v>
      </c>
      <c r="F6" s="2" t="s">
        <v>39</v>
      </c>
      <c r="G6" s="2" t="s">
        <v>15</v>
      </c>
      <c r="H6" s="2" t="s">
        <v>44</v>
      </c>
      <c r="I6" s="2">
        <v>0.5</v>
      </c>
      <c r="J6" s="2">
        <v>21</v>
      </c>
      <c r="K6" s="2">
        <v>9</v>
      </c>
    </row>
    <row r="7" spans="1:11">
      <c r="A7" s="2" t="s">
        <v>544</v>
      </c>
      <c r="B7" s="2" t="s">
        <v>545</v>
      </c>
      <c r="C7" s="2" t="s">
        <v>48</v>
      </c>
      <c r="D7" s="2" t="s">
        <v>441</v>
      </c>
      <c r="E7" s="2" t="s">
        <v>2882</v>
      </c>
      <c r="F7" s="2" t="s">
        <v>41</v>
      </c>
      <c r="G7" s="2" t="s">
        <v>15</v>
      </c>
      <c r="H7" s="2" t="s">
        <v>44</v>
      </c>
      <c r="I7" s="2">
        <v>0.5</v>
      </c>
      <c r="J7" s="2">
        <v>35</v>
      </c>
      <c r="K7" s="2">
        <v>10</v>
      </c>
    </row>
    <row r="8" spans="1:11">
      <c r="A8" s="2" t="s">
        <v>544</v>
      </c>
      <c r="B8" s="2" t="s">
        <v>545</v>
      </c>
      <c r="C8" s="2" t="s">
        <v>48</v>
      </c>
      <c r="D8" s="2" t="s">
        <v>441</v>
      </c>
      <c r="E8" s="2" t="s">
        <v>2886</v>
      </c>
      <c r="F8" s="2" t="s">
        <v>43</v>
      </c>
      <c r="G8" s="2" t="s">
        <v>33</v>
      </c>
      <c r="H8" s="2" t="s">
        <v>44</v>
      </c>
      <c r="I8" s="2">
        <v>0.5</v>
      </c>
      <c r="J8" s="2">
        <v>0</v>
      </c>
      <c r="K8" s="2">
        <v>1</v>
      </c>
    </row>
    <row r="9" spans="1:11">
      <c r="A9" s="2" t="s">
        <v>546</v>
      </c>
      <c r="B9" s="2" t="s">
        <v>547</v>
      </c>
      <c r="C9" s="2" t="s">
        <v>48</v>
      </c>
      <c r="D9" s="2" t="s">
        <v>441</v>
      </c>
      <c r="E9" s="2" t="s">
        <v>2870</v>
      </c>
      <c r="F9" s="2" t="s">
        <v>54</v>
      </c>
      <c r="G9" s="2" t="s">
        <v>15</v>
      </c>
      <c r="H9" s="2" t="s">
        <v>44</v>
      </c>
      <c r="I9" s="2" t="s">
        <v>12</v>
      </c>
      <c r="J9" s="2">
        <v>23</v>
      </c>
      <c r="K9" s="2" t="s">
        <v>12</v>
      </c>
    </row>
    <row r="10" spans="1:11">
      <c r="A10" s="2" t="s">
        <v>546</v>
      </c>
      <c r="B10" s="2" t="s">
        <v>547</v>
      </c>
      <c r="C10" s="2" t="s">
        <v>48</v>
      </c>
      <c r="D10" s="2" t="s">
        <v>441</v>
      </c>
      <c r="E10" s="2" t="s">
        <v>2882</v>
      </c>
      <c r="F10" s="2" t="s">
        <v>56</v>
      </c>
      <c r="G10" s="2" t="s">
        <v>15</v>
      </c>
      <c r="H10" s="2" t="s">
        <v>44</v>
      </c>
      <c r="I10" s="2">
        <v>0.5</v>
      </c>
      <c r="J10" s="2">
        <v>12</v>
      </c>
      <c r="K10" s="2">
        <v>2</v>
      </c>
    </row>
    <row r="11" spans="1:11">
      <c r="A11" s="2" t="s">
        <v>546</v>
      </c>
      <c r="B11" s="2" t="s">
        <v>547</v>
      </c>
      <c r="C11" s="2" t="s">
        <v>48</v>
      </c>
      <c r="D11" s="2" t="s">
        <v>441</v>
      </c>
      <c r="E11" s="2" t="s">
        <v>2886</v>
      </c>
      <c r="F11" s="2" t="s">
        <v>57</v>
      </c>
      <c r="G11" s="2" t="s">
        <v>33</v>
      </c>
      <c r="H11" s="2" t="s">
        <v>44</v>
      </c>
      <c r="I11" s="2" t="s">
        <v>12</v>
      </c>
      <c r="J11" s="2">
        <v>1</v>
      </c>
      <c r="K11" s="2" t="s">
        <v>12</v>
      </c>
    </row>
    <row r="12" spans="1:11">
      <c r="A12" s="2" t="s">
        <v>548</v>
      </c>
      <c r="B12" s="2" t="s">
        <v>549</v>
      </c>
      <c r="C12" s="2" t="s">
        <v>76</v>
      </c>
      <c r="D12" s="2" t="s">
        <v>441</v>
      </c>
      <c r="E12" s="2" t="s">
        <v>2870</v>
      </c>
      <c r="F12" s="2" t="s">
        <v>54</v>
      </c>
      <c r="G12" s="2" t="s">
        <v>15</v>
      </c>
      <c r="H12" s="2" t="s">
        <v>44</v>
      </c>
      <c r="I12" s="2" t="s">
        <v>12</v>
      </c>
      <c r="J12" s="2">
        <v>0</v>
      </c>
      <c r="K12" s="2" t="s">
        <v>12</v>
      </c>
    </row>
    <row r="13" spans="1:11">
      <c r="A13" s="2" t="s">
        <v>548</v>
      </c>
      <c r="B13" s="2" t="s">
        <v>549</v>
      </c>
      <c r="C13" s="2" t="s">
        <v>76</v>
      </c>
      <c r="D13" s="2" t="s">
        <v>441</v>
      </c>
      <c r="E13" s="2" t="s">
        <v>2882</v>
      </c>
      <c r="F13" s="2" t="s">
        <v>56</v>
      </c>
      <c r="G13" s="2" t="s">
        <v>15</v>
      </c>
      <c r="H13" s="2" t="s">
        <v>44</v>
      </c>
      <c r="I13" s="2">
        <v>0.5</v>
      </c>
      <c r="J13" s="2">
        <v>40</v>
      </c>
      <c r="K13" s="2">
        <v>9</v>
      </c>
    </row>
    <row r="14" spans="1:11">
      <c r="A14" s="2" t="s">
        <v>548</v>
      </c>
      <c r="B14" s="2" t="s">
        <v>549</v>
      </c>
      <c r="C14" s="2" t="s">
        <v>76</v>
      </c>
      <c r="D14" s="2" t="s">
        <v>441</v>
      </c>
      <c r="E14" s="2" t="s">
        <v>2886</v>
      </c>
      <c r="F14" s="2" t="s">
        <v>57</v>
      </c>
      <c r="G14" s="2" t="s">
        <v>33</v>
      </c>
      <c r="H14" s="2" t="s">
        <v>44</v>
      </c>
      <c r="I14" s="2" t="s">
        <v>12</v>
      </c>
      <c r="J14" s="2">
        <v>11</v>
      </c>
      <c r="K14" s="2" t="s">
        <v>12</v>
      </c>
    </row>
    <row r="15" spans="1:11">
      <c r="A15" s="2" t="s">
        <v>550</v>
      </c>
      <c r="B15" s="2" t="s">
        <v>551</v>
      </c>
      <c r="C15" s="2" t="s">
        <v>48</v>
      </c>
      <c r="D15" s="2" t="s">
        <v>441</v>
      </c>
      <c r="E15" s="2" t="s">
        <v>2870</v>
      </c>
      <c r="F15" s="2" t="s">
        <v>449</v>
      </c>
      <c r="G15" s="2" t="s">
        <v>15</v>
      </c>
      <c r="H15" s="2" t="s">
        <v>44</v>
      </c>
      <c r="I15" s="2" t="s">
        <v>12</v>
      </c>
      <c r="J15" s="2" t="s">
        <v>12</v>
      </c>
      <c r="K15" s="2" t="s">
        <v>12</v>
      </c>
    </row>
    <row r="16" spans="1:11">
      <c r="A16" s="2" t="s">
        <v>550</v>
      </c>
      <c r="B16" s="2" t="s">
        <v>551</v>
      </c>
      <c r="C16" s="2" t="s">
        <v>48</v>
      </c>
      <c r="D16" s="2" t="s">
        <v>441</v>
      </c>
      <c r="E16" s="2" t="s">
        <v>2882</v>
      </c>
      <c r="F16" s="2" t="s">
        <v>450</v>
      </c>
      <c r="G16" s="2" t="s">
        <v>15</v>
      </c>
      <c r="H16" s="2" t="s">
        <v>44</v>
      </c>
      <c r="I16" s="2" t="s">
        <v>12</v>
      </c>
      <c r="J16" s="2" t="s">
        <v>12</v>
      </c>
      <c r="K16" s="2" t="s">
        <v>12</v>
      </c>
    </row>
    <row r="17" spans="1:11">
      <c r="A17" s="2" t="s">
        <v>550</v>
      </c>
      <c r="B17" s="2" t="s">
        <v>551</v>
      </c>
      <c r="C17" s="2" t="s">
        <v>48</v>
      </c>
      <c r="D17" s="2" t="s">
        <v>441</v>
      </c>
      <c r="E17" s="2" t="s">
        <v>2886</v>
      </c>
      <c r="F17" s="2" t="s">
        <v>451</v>
      </c>
      <c r="G17" s="2" t="s">
        <v>15</v>
      </c>
      <c r="H17" s="2" t="s">
        <v>44</v>
      </c>
      <c r="I17" s="2" t="s">
        <v>12</v>
      </c>
      <c r="J17" s="2" t="s">
        <v>12</v>
      </c>
      <c r="K17" s="2" t="s">
        <v>12</v>
      </c>
    </row>
    <row r="18" spans="1:11">
      <c r="A18" s="2" t="s">
        <v>550</v>
      </c>
      <c r="B18" s="2" t="s">
        <v>551</v>
      </c>
      <c r="C18" s="2" t="s">
        <v>48</v>
      </c>
      <c r="D18" s="2" t="s">
        <v>441</v>
      </c>
      <c r="E18" s="2" t="s">
        <v>2896</v>
      </c>
      <c r="F18" s="2" t="s">
        <v>452</v>
      </c>
      <c r="G18" s="2" t="s">
        <v>33</v>
      </c>
      <c r="H18" s="2" t="s">
        <v>44</v>
      </c>
      <c r="I18" s="2" t="s">
        <v>12</v>
      </c>
      <c r="J18" s="2" t="s">
        <v>12</v>
      </c>
      <c r="K18" s="2" t="s">
        <v>12</v>
      </c>
    </row>
    <row r="19" spans="1:11">
      <c r="A19" s="2" t="s">
        <v>552</v>
      </c>
      <c r="B19" s="2" t="s">
        <v>553</v>
      </c>
      <c r="C19" s="2" t="s">
        <v>76</v>
      </c>
      <c r="D19" s="2" t="s">
        <v>441</v>
      </c>
      <c r="E19" s="2" t="s">
        <v>2870</v>
      </c>
      <c r="F19" s="2" t="s">
        <v>26</v>
      </c>
      <c r="G19" s="2" t="s">
        <v>15</v>
      </c>
      <c r="H19" s="2" t="s">
        <v>44</v>
      </c>
      <c r="I19" s="2">
        <v>0.56000000000000005</v>
      </c>
      <c r="J19" s="2">
        <v>52</v>
      </c>
      <c r="K19" s="2">
        <v>18</v>
      </c>
    </row>
    <row r="20" spans="1:11">
      <c r="A20" s="2" t="s">
        <v>552</v>
      </c>
      <c r="B20" s="2" t="s">
        <v>553</v>
      </c>
      <c r="C20" s="2" t="s">
        <v>76</v>
      </c>
      <c r="D20" s="2" t="s">
        <v>441</v>
      </c>
      <c r="E20" s="2" t="s">
        <v>2882</v>
      </c>
      <c r="F20" s="2" t="s">
        <v>29</v>
      </c>
      <c r="G20" s="2" t="s">
        <v>15</v>
      </c>
      <c r="H20" s="2" t="s">
        <v>44</v>
      </c>
      <c r="I20" s="2">
        <v>0.5</v>
      </c>
      <c r="J20" s="2">
        <v>25</v>
      </c>
      <c r="K20" s="2">
        <v>4</v>
      </c>
    </row>
    <row r="21" spans="1:11">
      <c r="A21" s="2" t="s">
        <v>552</v>
      </c>
      <c r="B21" s="2" t="s">
        <v>553</v>
      </c>
      <c r="C21" s="2" t="s">
        <v>76</v>
      </c>
      <c r="D21" s="2" t="s">
        <v>441</v>
      </c>
      <c r="E21" s="2" t="s">
        <v>2886</v>
      </c>
      <c r="F21" s="2" t="s">
        <v>32</v>
      </c>
      <c r="G21" s="2" t="s">
        <v>33</v>
      </c>
      <c r="H21" s="2" t="s">
        <v>44</v>
      </c>
      <c r="I21" s="2" t="s">
        <v>12</v>
      </c>
      <c r="J21" s="2">
        <v>0</v>
      </c>
      <c r="K21" s="2" t="s">
        <v>12</v>
      </c>
    </row>
    <row r="22" spans="1:11">
      <c r="A22" s="2" t="s">
        <v>554</v>
      </c>
      <c r="B22" s="2" t="s">
        <v>555</v>
      </c>
      <c r="C22" s="2" t="s">
        <v>48</v>
      </c>
      <c r="D22" s="2" t="s">
        <v>441</v>
      </c>
      <c r="E22" s="2" t="s">
        <v>2870</v>
      </c>
      <c r="F22" s="2" t="s">
        <v>54</v>
      </c>
      <c r="G22" s="2" t="s">
        <v>15</v>
      </c>
      <c r="H22" s="2" t="s">
        <v>44</v>
      </c>
      <c r="I22" s="2">
        <v>0.5</v>
      </c>
      <c r="J22" s="2">
        <v>24</v>
      </c>
      <c r="K22" s="2">
        <v>5</v>
      </c>
    </row>
    <row r="23" spans="1:11">
      <c r="A23" s="2" t="s">
        <v>554</v>
      </c>
      <c r="B23" s="2" t="s">
        <v>555</v>
      </c>
      <c r="C23" s="2" t="s">
        <v>48</v>
      </c>
      <c r="D23" s="2" t="s">
        <v>441</v>
      </c>
      <c r="E23" s="2" t="s">
        <v>2882</v>
      </c>
      <c r="F23" s="2" t="s">
        <v>56</v>
      </c>
      <c r="G23" s="2" t="s">
        <v>15</v>
      </c>
      <c r="H23" s="2" t="s">
        <v>44</v>
      </c>
      <c r="I23" s="2" t="s">
        <v>12</v>
      </c>
      <c r="J23" s="2">
        <v>18</v>
      </c>
      <c r="K23" s="2" t="s">
        <v>12</v>
      </c>
    </row>
    <row r="24" spans="1:11">
      <c r="A24" s="2" t="s">
        <v>554</v>
      </c>
      <c r="B24" s="2" t="s">
        <v>555</v>
      </c>
      <c r="C24" s="2" t="s">
        <v>48</v>
      </c>
      <c r="D24" s="2" t="s">
        <v>441</v>
      </c>
      <c r="E24" s="2" t="s">
        <v>2886</v>
      </c>
      <c r="F24" s="2" t="s">
        <v>57</v>
      </c>
      <c r="G24" s="2" t="s">
        <v>33</v>
      </c>
      <c r="H24" s="2" t="s">
        <v>44</v>
      </c>
      <c r="I24" s="2">
        <v>0.5</v>
      </c>
      <c r="J24" s="2">
        <v>4</v>
      </c>
      <c r="K24" s="2">
        <v>1</v>
      </c>
    </row>
    <row r="25" spans="1:11">
      <c r="A25" s="2" t="s">
        <v>556</v>
      </c>
      <c r="B25" s="2" t="s">
        <v>557</v>
      </c>
      <c r="C25" s="2" t="s">
        <v>487</v>
      </c>
      <c r="D25" s="2" t="s">
        <v>488</v>
      </c>
      <c r="E25" s="2" t="s">
        <v>2870</v>
      </c>
      <c r="F25" s="2" t="s">
        <v>54</v>
      </c>
      <c r="G25" s="2" t="s">
        <v>15</v>
      </c>
      <c r="H25" s="2" t="s">
        <v>44</v>
      </c>
      <c r="I25" s="2" t="s">
        <v>12</v>
      </c>
      <c r="J25" s="2" t="s">
        <v>12</v>
      </c>
      <c r="K25" s="2" t="s">
        <v>12</v>
      </c>
    </row>
    <row r="26" spans="1:11">
      <c r="A26" s="2" t="s">
        <v>556</v>
      </c>
      <c r="B26" s="2" t="s">
        <v>557</v>
      </c>
      <c r="C26" s="2" t="s">
        <v>487</v>
      </c>
      <c r="D26" s="2" t="s">
        <v>488</v>
      </c>
      <c r="E26" s="2" t="s">
        <v>2882</v>
      </c>
      <c r="F26" s="2" t="s">
        <v>56</v>
      </c>
      <c r="G26" s="2" t="s">
        <v>15</v>
      </c>
      <c r="H26" s="2" t="s">
        <v>44</v>
      </c>
      <c r="I26" s="2" t="s">
        <v>12</v>
      </c>
      <c r="J26" s="2" t="s">
        <v>12</v>
      </c>
      <c r="K26" s="2" t="s">
        <v>12</v>
      </c>
    </row>
    <row r="27" spans="1:11">
      <c r="A27" s="2" t="s">
        <v>556</v>
      </c>
      <c r="B27" s="2" t="s">
        <v>557</v>
      </c>
      <c r="C27" s="2" t="s">
        <v>487</v>
      </c>
      <c r="D27" s="2" t="s">
        <v>488</v>
      </c>
      <c r="E27" s="2" t="s">
        <v>2886</v>
      </c>
      <c r="F27" s="2" t="s">
        <v>57</v>
      </c>
      <c r="G27" s="2" t="s">
        <v>33</v>
      </c>
      <c r="H27" s="2" t="s">
        <v>44</v>
      </c>
      <c r="I27" s="2" t="s">
        <v>12</v>
      </c>
      <c r="J27" s="2" t="s">
        <v>12</v>
      </c>
      <c r="K27" s="2" t="s">
        <v>12</v>
      </c>
    </row>
    <row r="28" spans="1:11">
      <c r="A28" s="2" t="s">
        <v>558</v>
      </c>
      <c r="B28" s="2" t="s">
        <v>559</v>
      </c>
      <c r="C28" s="2" t="s">
        <v>76</v>
      </c>
      <c r="D28" s="2" t="s">
        <v>446</v>
      </c>
      <c r="E28" s="2" t="s">
        <v>2870</v>
      </c>
      <c r="F28" s="2" t="s">
        <v>336</v>
      </c>
      <c r="G28" s="2" t="s">
        <v>15</v>
      </c>
      <c r="H28" s="2" t="s">
        <v>44</v>
      </c>
      <c r="I28" s="2">
        <v>0.5</v>
      </c>
      <c r="J28" s="2">
        <v>50</v>
      </c>
      <c r="K28" s="2">
        <v>14</v>
      </c>
    </row>
    <row r="29" spans="1:11">
      <c r="A29" s="2" t="s">
        <v>558</v>
      </c>
      <c r="B29" s="2" t="s">
        <v>559</v>
      </c>
      <c r="C29" s="2" t="s">
        <v>76</v>
      </c>
      <c r="D29" s="2" t="s">
        <v>446</v>
      </c>
      <c r="E29" s="2" t="s">
        <v>2882</v>
      </c>
      <c r="F29" s="2" t="s">
        <v>337</v>
      </c>
      <c r="G29" s="2" t="s">
        <v>15</v>
      </c>
      <c r="H29" s="2" t="s">
        <v>44</v>
      </c>
      <c r="I29" s="2">
        <v>0.56000000000000005</v>
      </c>
      <c r="J29" s="2">
        <v>72</v>
      </c>
      <c r="K29" s="2">
        <v>18</v>
      </c>
    </row>
    <row r="30" spans="1:11">
      <c r="A30" s="2" t="s">
        <v>558</v>
      </c>
      <c r="B30" s="2" t="s">
        <v>559</v>
      </c>
      <c r="C30" s="2" t="s">
        <v>76</v>
      </c>
      <c r="D30" s="2" t="s">
        <v>446</v>
      </c>
      <c r="E30" s="2" t="s">
        <v>2886</v>
      </c>
      <c r="F30" s="2" t="s">
        <v>338</v>
      </c>
      <c r="G30" s="2" t="s">
        <v>15</v>
      </c>
      <c r="H30" s="2" t="s">
        <v>44</v>
      </c>
      <c r="I30" s="2">
        <v>0.5</v>
      </c>
      <c r="J30" s="2">
        <v>18</v>
      </c>
      <c r="K30" s="2">
        <v>6</v>
      </c>
    </row>
    <row r="31" spans="1:11">
      <c r="A31" s="2" t="s">
        <v>558</v>
      </c>
      <c r="B31" s="2" t="s">
        <v>559</v>
      </c>
      <c r="C31" s="2" t="s">
        <v>76</v>
      </c>
      <c r="D31" s="2" t="s">
        <v>446</v>
      </c>
      <c r="E31" s="2" t="s">
        <v>2896</v>
      </c>
      <c r="F31" s="2" t="s">
        <v>339</v>
      </c>
      <c r="G31" s="2" t="s">
        <v>33</v>
      </c>
      <c r="H31" s="2" t="s">
        <v>44</v>
      </c>
      <c r="I31" s="2" t="s">
        <v>12</v>
      </c>
      <c r="J31" s="2" t="s">
        <v>12</v>
      </c>
      <c r="K31" s="2" t="s">
        <v>12</v>
      </c>
    </row>
    <row r="32" spans="1:11">
      <c r="A32" s="2" t="s">
        <v>560</v>
      </c>
      <c r="B32" s="2" t="s">
        <v>561</v>
      </c>
      <c r="C32" s="2" t="s">
        <v>76</v>
      </c>
      <c r="D32" s="2" t="s">
        <v>441</v>
      </c>
      <c r="E32" s="2" t="s">
        <v>2870</v>
      </c>
      <c r="F32" s="2" t="s">
        <v>26</v>
      </c>
      <c r="G32" s="2" t="s">
        <v>15</v>
      </c>
      <c r="H32" s="2" t="s">
        <v>44</v>
      </c>
      <c r="I32" s="2">
        <v>0.5</v>
      </c>
      <c r="J32" s="2">
        <v>54</v>
      </c>
      <c r="K32" s="2">
        <v>5</v>
      </c>
    </row>
    <row r="33" spans="1:11">
      <c r="A33" s="2" t="s">
        <v>560</v>
      </c>
      <c r="B33" s="2" t="s">
        <v>561</v>
      </c>
      <c r="C33" s="2" t="s">
        <v>76</v>
      </c>
      <c r="D33" s="2" t="s">
        <v>441</v>
      </c>
      <c r="E33" s="2" t="s">
        <v>2882</v>
      </c>
      <c r="F33" s="2" t="s">
        <v>29</v>
      </c>
      <c r="G33" s="2" t="s">
        <v>15</v>
      </c>
      <c r="H33" s="2" t="s">
        <v>44</v>
      </c>
      <c r="I33" s="2">
        <v>0.5</v>
      </c>
      <c r="J33" s="2">
        <v>8</v>
      </c>
      <c r="K33" s="2">
        <v>5</v>
      </c>
    </row>
    <row r="34" spans="1:11">
      <c r="A34" s="2" t="s">
        <v>560</v>
      </c>
      <c r="B34" s="2" t="s">
        <v>561</v>
      </c>
      <c r="C34" s="2" t="s">
        <v>76</v>
      </c>
      <c r="D34" s="2" t="s">
        <v>441</v>
      </c>
      <c r="E34" s="2" t="s">
        <v>2886</v>
      </c>
      <c r="F34" s="2" t="s">
        <v>32</v>
      </c>
      <c r="G34" s="2" t="s">
        <v>33</v>
      </c>
      <c r="H34" s="2" t="s">
        <v>44</v>
      </c>
      <c r="I34" s="2" t="s">
        <v>12</v>
      </c>
      <c r="J34" s="2">
        <v>0</v>
      </c>
      <c r="K34" s="2" t="s">
        <v>12</v>
      </c>
    </row>
    <row r="35" spans="1:11">
      <c r="A35" s="2" t="s">
        <v>562</v>
      </c>
      <c r="B35" s="2" t="s">
        <v>563</v>
      </c>
      <c r="C35" s="2" t="s">
        <v>48</v>
      </c>
      <c r="D35" s="2" t="s">
        <v>441</v>
      </c>
      <c r="E35" s="2" t="s">
        <v>2870</v>
      </c>
      <c r="F35" s="2" t="s">
        <v>54</v>
      </c>
      <c r="G35" s="2" t="s">
        <v>15</v>
      </c>
      <c r="H35" s="2" t="s">
        <v>44</v>
      </c>
      <c r="I35" s="2">
        <v>0.5</v>
      </c>
      <c r="J35" s="2">
        <v>26</v>
      </c>
      <c r="K35" s="2">
        <v>3</v>
      </c>
    </row>
    <row r="36" spans="1:11">
      <c r="A36" s="2" t="s">
        <v>562</v>
      </c>
      <c r="B36" s="2" t="s">
        <v>563</v>
      </c>
      <c r="C36" s="2" t="s">
        <v>48</v>
      </c>
      <c r="D36" s="2" t="s">
        <v>441</v>
      </c>
      <c r="E36" s="2" t="s">
        <v>2882</v>
      </c>
      <c r="F36" s="2" t="s">
        <v>56</v>
      </c>
      <c r="G36" s="2" t="s">
        <v>15</v>
      </c>
      <c r="H36" s="2" t="s">
        <v>44</v>
      </c>
      <c r="I36" s="2">
        <v>0.5</v>
      </c>
      <c r="J36" s="2">
        <v>31</v>
      </c>
      <c r="K36" s="2">
        <v>8</v>
      </c>
    </row>
    <row r="37" spans="1:11">
      <c r="A37" s="2" t="s">
        <v>562</v>
      </c>
      <c r="B37" s="2" t="s">
        <v>563</v>
      </c>
      <c r="C37" s="2" t="s">
        <v>48</v>
      </c>
      <c r="D37" s="2" t="s">
        <v>441</v>
      </c>
      <c r="E37" s="2" t="s">
        <v>2886</v>
      </c>
      <c r="F37" s="2" t="s">
        <v>57</v>
      </c>
      <c r="G37" s="2" t="s">
        <v>33</v>
      </c>
      <c r="H37" s="2" t="s">
        <v>44</v>
      </c>
      <c r="I37" s="2">
        <v>0.5</v>
      </c>
      <c r="J37" s="2">
        <v>7</v>
      </c>
      <c r="K37" s="2">
        <v>9</v>
      </c>
    </row>
    <row r="38" spans="1:11">
      <c r="A38" s="2" t="s">
        <v>564</v>
      </c>
      <c r="B38" s="2" t="s">
        <v>565</v>
      </c>
      <c r="C38" s="2" t="s">
        <v>76</v>
      </c>
      <c r="D38" s="2" t="s">
        <v>441</v>
      </c>
      <c r="E38" s="2" t="s">
        <v>2870</v>
      </c>
      <c r="F38" s="2" t="s">
        <v>54</v>
      </c>
      <c r="G38" s="2" t="s">
        <v>15</v>
      </c>
      <c r="H38" s="2" t="s">
        <v>44</v>
      </c>
      <c r="I38" s="2">
        <v>0.5</v>
      </c>
      <c r="J38" s="2">
        <v>59</v>
      </c>
      <c r="K38" s="2">
        <v>13</v>
      </c>
    </row>
    <row r="39" spans="1:11">
      <c r="A39" s="2" t="s">
        <v>564</v>
      </c>
      <c r="B39" s="2" t="s">
        <v>565</v>
      </c>
      <c r="C39" s="2" t="s">
        <v>76</v>
      </c>
      <c r="D39" s="2" t="s">
        <v>441</v>
      </c>
      <c r="E39" s="2" t="s">
        <v>2882</v>
      </c>
      <c r="F39" s="2" t="s">
        <v>56</v>
      </c>
      <c r="G39" s="2" t="s">
        <v>15</v>
      </c>
      <c r="H39" s="2" t="s">
        <v>44</v>
      </c>
      <c r="I39" s="2">
        <v>0.5</v>
      </c>
      <c r="J39" s="2">
        <v>47</v>
      </c>
      <c r="K39" s="2">
        <v>7</v>
      </c>
    </row>
    <row r="40" spans="1:11">
      <c r="A40" s="2" t="s">
        <v>564</v>
      </c>
      <c r="B40" s="2" t="s">
        <v>565</v>
      </c>
      <c r="C40" s="2" t="s">
        <v>76</v>
      </c>
      <c r="D40" s="2" t="s">
        <v>441</v>
      </c>
      <c r="E40" s="2" t="s">
        <v>2886</v>
      </c>
      <c r="F40" s="2" t="s">
        <v>57</v>
      </c>
      <c r="G40" s="2" t="s">
        <v>33</v>
      </c>
      <c r="H40" s="2" t="s">
        <v>44</v>
      </c>
      <c r="I40" s="2">
        <v>0.5</v>
      </c>
      <c r="J40" s="2">
        <v>5</v>
      </c>
      <c r="K40" s="2">
        <v>1</v>
      </c>
    </row>
    <row r="41" spans="1:11">
      <c r="A41" s="2" t="s">
        <v>566</v>
      </c>
      <c r="B41" s="2" t="s">
        <v>567</v>
      </c>
      <c r="C41" s="2" t="s">
        <v>48</v>
      </c>
      <c r="D41" s="2" t="s">
        <v>457</v>
      </c>
      <c r="E41" s="2" t="s">
        <v>2870</v>
      </c>
      <c r="F41" s="2" t="s">
        <v>67</v>
      </c>
      <c r="G41" s="2" t="s">
        <v>15</v>
      </c>
      <c r="H41" s="2" t="s">
        <v>44</v>
      </c>
      <c r="I41" s="2" t="s">
        <v>12</v>
      </c>
      <c r="J41" s="2" t="s">
        <v>12</v>
      </c>
      <c r="K41" s="2" t="s">
        <v>12</v>
      </c>
    </row>
    <row r="42" spans="1:11">
      <c r="A42" s="2" t="s">
        <v>566</v>
      </c>
      <c r="B42" s="2" t="s">
        <v>567</v>
      </c>
      <c r="C42" s="2" t="s">
        <v>48</v>
      </c>
      <c r="D42" s="2" t="s">
        <v>457</v>
      </c>
      <c r="E42" s="2" t="s">
        <v>2882</v>
      </c>
      <c r="F42" s="2" t="s">
        <v>69</v>
      </c>
      <c r="G42" s="2" t="s">
        <v>15</v>
      </c>
      <c r="H42" s="2" t="s">
        <v>44</v>
      </c>
      <c r="I42" s="2">
        <v>0.5</v>
      </c>
      <c r="J42" s="2">
        <v>10</v>
      </c>
      <c r="K42" s="2">
        <v>3</v>
      </c>
    </row>
    <row r="43" spans="1:11">
      <c r="A43" s="2" t="s">
        <v>566</v>
      </c>
      <c r="B43" s="2" t="s">
        <v>567</v>
      </c>
      <c r="C43" s="2" t="s">
        <v>48</v>
      </c>
      <c r="D43" s="2" t="s">
        <v>457</v>
      </c>
      <c r="E43" s="2" t="s">
        <v>2886</v>
      </c>
      <c r="F43" s="2" t="s">
        <v>71</v>
      </c>
      <c r="G43" s="2" t="s">
        <v>15</v>
      </c>
      <c r="H43" s="2" t="s">
        <v>44</v>
      </c>
      <c r="I43" s="2">
        <v>0.5</v>
      </c>
      <c r="J43" s="2">
        <v>5</v>
      </c>
      <c r="K43" s="2">
        <v>5</v>
      </c>
    </row>
    <row r="44" spans="1:11">
      <c r="A44" s="2" t="s">
        <v>566</v>
      </c>
      <c r="B44" s="2" t="s">
        <v>567</v>
      </c>
      <c r="C44" s="2" t="s">
        <v>48</v>
      </c>
      <c r="D44" s="2" t="s">
        <v>457</v>
      </c>
      <c r="E44" s="2" t="s">
        <v>2896</v>
      </c>
      <c r="F44" s="2" t="s">
        <v>73</v>
      </c>
      <c r="G44" s="2" t="s">
        <v>33</v>
      </c>
      <c r="H44" s="2" t="s">
        <v>44</v>
      </c>
      <c r="I44" s="2" t="s">
        <v>12</v>
      </c>
      <c r="J44" s="2" t="s">
        <v>12</v>
      </c>
      <c r="K44" s="2" t="s">
        <v>12</v>
      </c>
    </row>
    <row r="45" spans="1:11">
      <c r="A45" s="2" t="s">
        <v>568</v>
      </c>
      <c r="B45" s="2" t="s">
        <v>569</v>
      </c>
      <c r="C45" s="2" t="s">
        <v>48</v>
      </c>
      <c r="D45" s="2" t="s">
        <v>441</v>
      </c>
      <c r="E45" s="2" t="s">
        <v>2870</v>
      </c>
      <c r="F45" s="2" t="s">
        <v>26</v>
      </c>
      <c r="G45" s="2" t="s">
        <v>15</v>
      </c>
      <c r="H45" s="2" t="s">
        <v>44</v>
      </c>
      <c r="I45" s="2">
        <v>0.5</v>
      </c>
      <c r="J45" s="2">
        <v>23</v>
      </c>
      <c r="K45" s="2">
        <v>2</v>
      </c>
    </row>
    <row r="46" spans="1:11">
      <c r="A46" s="2" t="s">
        <v>568</v>
      </c>
      <c r="B46" s="2" t="s">
        <v>569</v>
      </c>
      <c r="C46" s="2" t="s">
        <v>48</v>
      </c>
      <c r="D46" s="2" t="s">
        <v>441</v>
      </c>
      <c r="E46" s="2" t="s">
        <v>2882</v>
      </c>
      <c r="F46" s="2" t="s">
        <v>29</v>
      </c>
      <c r="G46" s="2" t="s">
        <v>15</v>
      </c>
      <c r="H46" s="2" t="s">
        <v>44</v>
      </c>
      <c r="I46" s="2">
        <v>0.5</v>
      </c>
      <c r="J46" s="2">
        <v>35</v>
      </c>
      <c r="K46" s="2">
        <v>13</v>
      </c>
    </row>
    <row r="47" spans="1:11">
      <c r="A47" s="2" t="s">
        <v>568</v>
      </c>
      <c r="B47" s="2" t="s">
        <v>569</v>
      </c>
      <c r="C47" s="2" t="s">
        <v>48</v>
      </c>
      <c r="D47" s="2" t="s">
        <v>441</v>
      </c>
      <c r="E47" s="2" t="s">
        <v>2886</v>
      </c>
      <c r="F47" s="2" t="s">
        <v>32</v>
      </c>
      <c r="G47" s="2" t="s">
        <v>33</v>
      </c>
      <c r="H47" s="2" t="s">
        <v>44</v>
      </c>
      <c r="I47" s="2">
        <v>0.5</v>
      </c>
      <c r="J47" s="2">
        <v>0</v>
      </c>
      <c r="K47" s="2">
        <v>1</v>
      </c>
    </row>
    <row r="48" spans="1:11">
      <c r="A48" s="2" t="s">
        <v>570</v>
      </c>
      <c r="B48" s="2" t="s">
        <v>571</v>
      </c>
      <c r="C48" s="2" t="s">
        <v>48</v>
      </c>
      <c r="D48" s="2" t="s">
        <v>441</v>
      </c>
      <c r="E48" s="2" t="s">
        <v>2870</v>
      </c>
      <c r="F48" s="2" t="s">
        <v>54</v>
      </c>
      <c r="G48" s="2" t="s">
        <v>15</v>
      </c>
      <c r="H48" s="2" t="s">
        <v>44</v>
      </c>
      <c r="I48" s="2">
        <v>0.75</v>
      </c>
      <c r="J48" s="2">
        <v>42</v>
      </c>
      <c r="K48" s="2">
        <v>24</v>
      </c>
    </row>
    <row r="49" spans="1:11">
      <c r="A49" s="2" t="s">
        <v>570</v>
      </c>
      <c r="B49" s="2" t="s">
        <v>571</v>
      </c>
      <c r="C49" s="2" t="s">
        <v>48</v>
      </c>
      <c r="D49" s="2" t="s">
        <v>441</v>
      </c>
      <c r="E49" s="2" t="s">
        <v>2882</v>
      </c>
      <c r="F49" s="2" t="s">
        <v>56</v>
      </c>
      <c r="G49" s="2" t="s">
        <v>15</v>
      </c>
      <c r="H49" s="2" t="s">
        <v>44</v>
      </c>
      <c r="I49" s="2">
        <v>0.5</v>
      </c>
      <c r="J49" s="2">
        <v>7</v>
      </c>
      <c r="K49" s="2">
        <v>4</v>
      </c>
    </row>
    <row r="50" spans="1:11">
      <c r="A50" s="2" t="s">
        <v>570</v>
      </c>
      <c r="B50" s="2" t="s">
        <v>571</v>
      </c>
      <c r="C50" s="2" t="s">
        <v>48</v>
      </c>
      <c r="D50" s="2" t="s">
        <v>441</v>
      </c>
      <c r="E50" s="2" t="s">
        <v>2886</v>
      </c>
      <c r="F50" s="2" t="s">
        <v>57</v>
      </c>
      <c r="G50" s="2" t="s">
        <v>33</v>
      </c>
      <c r="H50" s="2" t="s">
        <v>44</v>
      </c>
      <c r="I50" s="2" t="s">
        <v>12</v>
      </c>
      <c r="J50" s="2" t="s">
        <v>12</v>
      </c>
      <c r="K50" s="2" t="s">
        <v>12</v>
      </c>
    </row>
    <row r="51" spans="1:11">
      <c r="A51" s="2" t="s">
        <v>572</v>
      </c>
      <c r="B51" s="2" t="s">
        <v>573</v>
      </c>
      <c r="C51" s="2" t="s">
        <v>48</v>
      </c>
      <c r="D51" s="2" t="s">
        <v>441</v>
      </c>
      <c r="E51" s="2" t="s">
        <v>2870</v>
      </c>
      <c r="F51" s="2" t="s">
        <v>54</v>
      </c>
      <c r="G51" s="2" t="s">
        <v>15</v>
      </c>
      <c r="H51" s="2" t="s">
        <v>44</v>
      </c>
      <c r="I51" s="2" t="s">
        <v>12</v>
      </c>
      <c r="J51" s="2">
        <v>0</v>
      </c>
      <c r="K51" s="2" t="s">
        <v>12</v>
      </c>
    </row>
    <row r="52" spans="1:11">
      <c r="A52" s="2" t="s">
        <v>572</v>
      </c>
      <c r="B52" s="2" t="s">
        <v>573</v>
      </c>
      <c r="C52" s="2" t="s">
        <v>48</v>
      </c>
      <c r="D52" s="2" t="s">
        <v>441</v>
      </c>
      <c r="E52" s="2" t="s">
        <v>2882</v>
      </c>
      <c r="F52" s="2" t="s">
        <v>56</v>
      </c>
      <c r="G52" s="2" t="s">
        <v>15</v>
      </c>
      <c r="H52" s="2" t="s">
        <v>44</v>
      </c>
      <c r="I52" s="2" t="s">
        <v>12</v>
      </c>
      <c r="J52" s="2" t="s">
        <v>12</v>
      </c>
      <c r="K52" s="2" t="s">
        <v>12</v>
      </c>
    </row>
    <row r="53" spans="1:11">
      <c r="A53" s="2" t="s">
        <v>572</v>
      </c>
      <c r="B53" s="2" t="s">
        <v>573</v>
      </c>
      <c r="C53" s="2" t="s">
        <v>48</v>
      </c>
      <c r="D53" s="2" t="s">
        <v>441</v>
      </c>
      <c r="E53" s="2" t="s">
        <v>2886</v>
      </c>
      <c r="F53" s="2" t="s">
        <v>57</v>
      </c>
      <c r="G53" s="2" t="s">
        <v>33</v>
      </c>
      <c r="H53" s="2" t="s">
        <v>44</v>
      </c>
      <c r="I53" s="2" t="s">
        <v>12</v>
      </c>
      <c r="J53" s="2" t="s">
        <v>12</v>
      </c>
      <c r="K53" s="2" t="s">
        <v>12</v>
      </c>
    </row>
    <row r="54" spans="1:11">
      <c r="A54" s="2" t="s">
        <v>574</v>
      </c>
      <c r="B54" s="2" t="s">
        <v>575</v>
      </c>
      <c r="C54" s="2" t="s">
        <v>48</v>
      </c>
      <c r="D54" s="2" t="s">
        <v>468</v>
      </c>
      <c r="E54" s="2" t="s">
        <v>2870</v>
      </c>
      <c r="F54" s="2" t="s">
        <v>576</v>
      </c>
      <c r="G54" s="2" t="s">
        <v>15</v>
      </c>
      <c r="H54" s="2" t="s">
        <v>44</v>
      </c>
      <c r="I54" s="2">
        <v>0.5</v>
      </c>
      <c r="J54" s="2">
        <v>6</v>
      </c>
      <c r="K54" s="2">
        <v>4</v>
      </c>
    </row>
    <row r="55" spans="1:11">
      <c r="A55" s="2" t="s">
        <v>574</v>
      </c>
      <c r="B55" s="2" t="s">
        <v>575</v>
      </c>
      <c r="C55" s="2" t="s">
        <v>48</v>
      </c>
      <c r="D55" s="2" t="s">
        <v>468</v>
      </c>
      <c r="E55" s="2" t="s">
        <v>2882</v>
      </c>
      <c r="F55" s="2" t="s">
        <v>526</v>
      </c>
      <c r="G55" s="2" t="s">
        <v>15</v>
      </c>
      <c r="H55" s="2" t="s">
        <v>44</v>
      </c>
      <c r="I55" s="2">
        <v>0.72</v>
      </c>
      <c r="J55" s="2">
        <v>48</v>
      </c>
      <c r="K55" s="2">
        <v>23</v>
      </c>
    </row>
    <row r="56" spans="1:11">
      <c r="A56" s="2" t="s">
        <v>574</v>
      </c>
      <c r="B56" s="2" t="s">
        <v>575</v>
      </c>
      <c r="C56" s="2" t="s">
        <v>48</v>
      </c>
      <c r="D56" s="2" t="s">
        <v>468</v>
      </c>
      <c r="E56" s="2" t="s">
        <v>2886</v>
      </c>
      <c r="F56" s="2" t="s">
        <v>527</v>
      </c>
      <c r="G56" s="2" t="s">
        <v>33</v>
      </c>
      <c r="H56" s="2" t="s">
        <v>44</v>
      </c>
      <c r="I56" s="2">
        <v>0.63</v>
      </c>
      <c r="J56" s="2">
        <v>27</v>
      </c>
      <c r="K56" s="2">
        <v>20</v>
      </c>
    </row>
    <row r="57" spans="1:11">
      <c r="A57" s="2" t="s">
        <v>577</v>
      </c>
      <c r="B57" s="2" t="s">
        <v>578</v>
      </c>
      <c r="C57" s="2" t="s">
        <v>76</v>
      </c>
      <c r="D57" s="2" t="s">
        <v>520</v>
      </c>
      <c r="E57" s="2" t="s">
        <v>2870</v>
      </c>
      <c r="F57" s="2" t="s">
        <v>200</v>
      </c>
      <c r="G57" s="2" t="s">
        <v>15</v>
      </c>
      <c r="H57" s="2" t="s">
        <v>44</v>
      </c>
      <c r="I57" s="2" t="s">
        <v>12</v>
      </c>
      <c r="J57" s="2" t="s">
        <v>12</v>
      </c>
      <c r="K57" s="2" t="s">
        <v>12</v>
      </c>
    </row>
    <row r="58" spans="1:11">
      <c r="A58" s="2" t="s">
        <v>577</v>
      </c>
      <c r="B58" s="2" t="s">
        <v>578</v>
      </c>
      <c r="C58" s="2" t="s">
        <v>76</v>
      </c>
      <c r="D58" s="2" t="s">
        <v>520</v>
      </c>
      <c r="E58" s="2" t="s">
        <v>2882</v>
      </c>
      <c r="F58" s="2" t="s">
        <v>202</v>
      </c>
      <c r="G58" s="2" t="s">
        <v>15</v>
      </c>
      <c r="H58" s="2" t="s">
        <v>44</v>
      </c>
      <c r="I58" s="2" t="s">
        <v>12</v>
      </c>
      <c r="J58" s="2" t="s">
        <v>12</v>
      </c>
      <c r="K58" s="2" t="s">
        <v>12</v>
      </c>
    </row>
    <row r="59" spans="1:11">
      <c r="A59" s="2" t="s">
        <v>577</v>
      </c>
      <c r="B59" s="2" t="s">
        <v>578</v>
      </c>
      <c r="C59" s="2" t="s">
        <v>76</v>
      </c>
      <c r="D59" s="2" t="s">
        <v>520</v>
      </c>
      <c r="E59" s="2" t="s">
        <v>2886</v>
      </c>
      <c r="F59" s="2" t="s">
        <v>204</v>
      </c>
      <c r="G59" s="2" t="s">
        <v>15</v>
      </c>
      <c r="H59" s="2" t="s">
        <v>44</v>
      </c>
      <c r="I59" s="2" t="s">
        <v>12</v>
      </c>
      <c r="J59" s="2" t="s">
        <v>12</v>
      </c>
      <c r="K59" s="2" t="s">
        <v>12</v>
      </c>
    </row>
    <row r="60" spans="1:11">
      <c r="A60" s="2" t="s">
        <v>577</v>
      </c>
      <c r="B60" s="2" t="s">
        <v>578</v>
      </c>
      <c r="C60" s="2" t="s">
        <v>76</v>
      </c>
      <c r="D60" s="2" t="s">
        <v>520</v>
      </c>
      <c r="E60" s="2" t="s">
        <v>2896</v>
      </c>
      <c r="F60" s="2" t="s">
        <v>206</v>
      </c>
      <c r="G60" s="2" t="s">
        <v>15</v>
      </c>
      <c r="H60" s="2" t="s">
        <v>44</v>
      </c>
      <c r="I60" s="2" t="s">
        <v>12</v>
      </c>
      <c r="J60" s="2">
        <v>28</v>
      </c>
      <c r="K60" s="2" t="s">
        <v>12</v>
      </c>
    </row>
    <row r="61" spans="1:11">
      <c r="A61" s="2" t="s">
        <v>577</v>
      </c>
      <c r="B61" s="2" t="s">
        <v>578</v>
      </c>
      <c r="C61" s="2" t="s">
        <v>76</v>
      </c>
      <c r="D61" s="2" t="s">
        <v>520</v>
      </c>
      <c r="E61" s="2" t="s">
        <v>2901</v>
      </c>
      <c r="F61" s="2" t="s">
        <v>208</v>
      </c>
      <c r="G61" s="2" t="s">
        <v>15</v>
      </c>
      <c r="H61" s="2" t="s">
        <v>44</v>
      </c>
      <c r="I61" s="2" t="s">
        <v>12</v>
      </c>
      <c r="J61" s="2" t="s">
        <v>12</v>
      </c>
      <c r="K61" s="2" t="s">
        <v>12</v>
      </c>
    </row>
    <row r="62" spans="1:11">
      <c r="A62" s="2" t="s">
        <v>577</v>
      </c>
      <c r="B62" s="2" t="s">
        <v>578</v>
      </c>
      <c r="C62" s="2" t="s">
        <v>76</v>
      </c>
      <c r="D62" s="2" t="s">
        <v>520</v>
      </c>
      <c r="E62" s="2" t="s">
        <v>2904</v>
      </c>
      <c r="F62" s="2" t="s">
        <v>210</v>
      </c>
      <c r="G62" s="2" t="s">
        <v>33</v>
      </c>
      <c r="H62" s="2" t="s">
        <v>44</v>
      </c>
      <c r="I62" s="2" t="s">
        <v>12</v>
      </c>
      <c r="J62" s="2" t="s">
        <v>12</v>
      </c>
      <c r="K62" s="2" t="s">
        <v>12</v>
      </c>
    </row>
    <row r="63" spans="1:11">
      <c r="A63" s="2" t="s">
        <v>579</v>
      </c>
      <c r="B63" s="2" t="s">
        <v>580</v>
      </c>
      <c r="C63" s="2" t="s">
        <v>76</v>
      </c>
      <c r="D63" s="2" t="s">
        <v>441</v>
      </c>
      <c r="E63" s="2" t="s">
        <v>2870</v>
      </c>
      <c r="F63" s="2" t="s">
        <v>54</v>
      </c>
      <c r="G63" s="2" t="s">
        <v>15</v>
      </c>
      <c r="H63" s="2" t="s">
        <v>44</v>
      </c>
      <c r="I63" s="2">
        <v>0.5</v>
      </c>
      <c r="J63" s="2">
        <v>37</v>
      </c>
      <c r="K63" s="2">
        <v>13</v>
      </c>
    </row>
    <row r="64" spans="1:11">
      <c r="A64" s="2" t="s">
        <v>579</v>
      </c>
      <c r="B64" s="2" t="s">
        <v>580</v>
      </c>
      <c r="C64" s="2" t="s">
        <v>76</v>
      </c>
      <c r="D64" s="2" t="s">
        <v>441</v>
      </c>
      <c r="E64" s="2" t="s">
        <v>2882</v>
      </c>
      <c r="F64" s="2" t="s">
        <v>56</v>
      </c>
      <c r="G64" s="2" t="s">
        <v>15</v>
      </c>
      <c r="H64" s="2" t="s">
        <v>44</v>
      </c>
      <c r="I64" s="2">
        <v>0.5</v>
      </c>
      <c r="J64" s="2">
        <v>58</v>
      </c>
      <c r="K64" s="2">
        <v>6</v>
      </c>
    </row>
    <row r="65" spans="1:11">
      <c r="A65" s="2" t="s">
        <v>579</v>
      </c>
      <c r="B65" s="2" t="s">
        <v>580</v>
      </c>
      <c r="C65" s="2" t="s">
        <v>76</v>
      </c>
      <c r="D65" s="2" t="s">
        <v>441</v>
      </c>
      <c r="E65" s="2" t="s">
        <v>2886</v>
      </c>
      <c r="F65" s="2" t="s">
        <v>57</v>
      </c>
      <c r="G65" s="2" t="s">
        <v>33</v>
      </c>
      <c r="H65" s="2" t="s">
        <v>44</v>
      </c>
      <c r="I65" s="2" t="s">
        <v>12</v>
      </c>
      <c r="J65" s="2">
        <v>6</v>
      </c>
      <c r="K65" s="2" t="s">
        <v>12</v>
      </c>
    </row>
    <row r="66" spans="1:11">
      <c r="A66" s="2" t="s">
        <v>581</v>
      </c>
      <c r="B66" s="2" t="s">
        <v>582</v>
      </c>
      <c r="C66" s="2" t="s">
        <v>48</v>
      </c>
      <c r="D66" s="2" t="s">
        <v>457</v>
      </c>
      <c r="E66" s="2" t="s">
        <v>2870</v>
      </c>
      <c r="F66" s="2" t="s">
        <v>251</v>
      </c>
      <c r="G66" s="2" t="s">
        <v>15</v>
      </c>
      <c r="H66" s="2" t="s">
        <v>44</v>
      </c>
      <c r="I66" s="2" t="s">
        <v>12</v>
      </c>
      <c r="J66" s="2" t="s">
        <v>12</v>
      </c>
      <c r="K66" s="2" t="s">
        <v>12</v>
      </c>
    </row>
    <row r="67" spans="1:11">
      <c r="A67" s="2" t="s">
        <v>581</v>
      </c>
      <c r="B67" s="2" t="s">
        <v>582</v>
      </c>
      <c r="C67" s="2" t="s">
        <v>48</v>
      </c>
      <c r="D67" s="2" t="s">
        <v>457</v>
      </c>
      <c r="E67" s="2" t="s">
        <v>2882</v>
      </c>
      <c r="F67" s="2" t="s">
        <v>253</v>
      </c>
      <c r="G67" s="2" t="s">
        <v>15</v>
      </c>
      <c r="H67" s="2" t="s">
        <v>44</v>
      </c>
      <c r="I67" s="2">
        <v>0.5</v>
      </c>
      <c r="J67" s="2">
        <v>12</v>
      </c>
      <c r="K67" s="2">
        <v>5</v>
      </c>
    </row>
    <row r="68" spans="1:11">
      <c r="A68" s="2" t="s">
        <v>581</v>
      </c>
      <c r="B68" s="2" t="s">
        <v>582</v>
      </c>
      <c r="C68" s="2" t="s">
        <v>48</v>
      </c>
      <c r="D68" s="2" t="s">
        <v>457</v>
      </c>
      <c r="E68" s="2" t="s">
        <v>2886</v>
      </c>
      <c r="F68" s="2" t="s">
        <v>255</v>
      </c>
      <c r="G68" s="2" t="s">
        <v>15</v>
      </c>
      <c r="H68" s="2" t="s">
        <v>44</v>
      </c>
      <c r="I68" s="2" t="s">
        <v>12</v>
      </c>
      <c r="J68" s="2" t="s">
        <v>12</v>
      </c>
      <c r="K68" s="2" t="s">
        <v>12</v>
      </c>
    </row>
    <row r="69" spans="1:11">
      <c r="A69" s="2" t="s">
        <v>581</v>
      </c>
      <c r="B69" s="2" t="s">
        <v>582</v>
      </c>
      <c r="C69" s="2" t="s">
        <v>48</v>
      </c>
      <c r="D69" s="2" t="s">
        <v>457</v>
      </c>
      <c r="E69" s="2" t="s">
        <v>2896</v>
      </c>
      <c r="F69" s="2" t="s">
        <v>257</v>
      </c>
      <c r="G69" s="2" t="s">
        <v>33</v>
      </c>
      <c r="H69" s="2" t="s">
        <v>44</v>
      </c>
      <c r="I69" s="2" t="s">
        <v>12</v>
      </c>
      <c r="J69" s="2" t="s">
        <v>12</v>
      </c>
      <c r="K69" s="2" t="s">
        <v>12</v>
      </c>
    </row>
    <row r="70" spans="1:11">
      <c r="A70" s="2" t="s">
        <v>583</v>
      </c>
      <c r="B70" s="2" t="s">
        <v>584</v>
      </c>
      <c r="C70" s="2" t="s">
        <v>76</v>
      </c>
      <c r="D70" s="2" t="s">
        <v>461</v>
      </c>
      <c r="E70" s="2" t="s">
        <v>2870</v>
      </c>
      <c r="F70" s="2" t="s">
        <v>49</v>
      </c>
      <c r="G70" s="2" t="s">
        <v>15</v>
      </c>
      <c r="H70" s="2" t="s">
        <v>44</v>
      </c>
      <c r="I70" s="2" t="s">
        <v>12</v>
      </c>
      <c r="J70" s="2">
        <v>3</v>
      </c>
      <c r="K70" s="2" t="s">
        <v>12</v>
      </c>
    </row>
    <row r="71" spans="1:11">
      <c r="A71" s="2" t="s">
        <v>583</v>
      </c>
      <c r="B71" s="2" t="s">
        <v>584</v>
      </c>
      <c r="C71" s="2" t="s">
        <v>76</v>
      </c>
      <c r="D71" s="2" t="s">
        <v>461</v>
      </c>
      <c r="E71" s="2" t="s">
        <v>2882</v>
      </c>
      <c r="F71" s="2" t="s">
        <v>51</v>
      </c>
      <c r="G71" s="2" t="s">
        <v>15</v>
      </c>
      <c r="H71" s="2" t="s">
        <v>44</v>
      </c>
      <c r="I71" s="2" t="s">
        <v>12</v>
      </c>
      <c r="J71" s="2">
        <v>11</v>
      </c>
      <c r="K71" s="2" t="s">
        <v>12</v>
      </c>
    </row>
    <row r="72" spans="1:11">
      <c r="A72" s="2" t="s">
        <v>583</v>
      </c>
      <c r="B72" s="2" t="s">
        <v>584</v>
      </c>
      <c r="C72" s="2" t="s">
        <v>76</v>
      </c>
      <c r="D72" s="2" t="s">
        <v>461</v>
      </c>
      <c r="E72" s="2" t="s">
        <v>2886</v>
      </c>
      <c r="F72" s="2" t="s">
        <v>52</v>
      </c>
      <c r="G72" s="2" t="s">
        <v>15</v>
      </c>
      <c r="H72" s="2" t="s">
        <v>44</v>
      </c>
      <c r="I72" s="2" t="s">
        <v>12</v>
      </c>
      <c r="J72" s="2">
        <v>3</v>
      </c>
      <c r="K72" s="2" t="s">
        <v>12</v>
      </c>
    </row>
    <row r="73" spans="1:11">
      <c r="A73" s="2" t="s">
        <v>583</v>
      </c>
      <c r="B73" s="2" t="s">
        <v>584</v>
      </c>
      <c r="C73" s="2" t="s">
        <v>76</v>
      </c>
      <c r="D73" s="2" t="s">
        <v>461</v>
      </c>
      <c r="E73" s="2" t="s">
        <v>2896</v>
      </c>
      <c r="F73" s="2" t="s">
        <v>54</v>
      </c>
      <c r="G73" s="2" t="s">
        <v>15</v>
      </c>
      <c r="H73" s="2" t="s">
        <v>44</v>
      </c>
      <c r="I73" s="2" t="s">
        <v>12</v>
      </c>
      <c r="J73" s="2">
        <v>8</v>
      </c>
      <c r="K73" s="2" t="s">
        <v>12</v>
      </c>
    </row>
    <row r="74" spans="1:11">
      <c r="A74" s="2" t="s">
        <v>583</v>
      </c>
      <c r="B74" s="2" t="s">
        <v>584</v>
      </c>
      <c r="C74" s="2" t="s">
        <v>76</v>
      </c>
      <c r="D74" s="2" t="s">
        <v>461</v>
      </c>
      <c r="E74" s="2" t="s">
        <v>2901</v>
      </c>
      <c r="F74" s="2" t="s">
        <v>56</v>
      </c>
      <c r="G74" s="2" t="s">
        <v>15</v>
      </c>
      <c r="H74" s="2" t="s">
        <v>44</v>
      </c>
      <c r="I74" s="2">
        <v>0.5</v>
      </c>
      <c r="J74" s="2" t="s">
        <v>12</v>
      </c>
      <c r="K74" s="2">
        <v>1</v>
      </c>
    </row>
    <row r="75" spans="1:11">
      <c r="A75" s="2" t="s">
        <v>583</v>
      </c>
      <c r="B75" s="2" t="s">
        <v>584</v>
      </c>
      <c r="C75" s="2" t="s">
        <v>76</v>
      </c>
      <c r="D75" s="2" t="s">
        <v>461</v>
      </c>
      <c r="E75" s="2" t="s">
        <v>2904</v>
      </c>
      <c r="F75" s="2" t="s">
        <v>57</v>
      </c>
      <c r="G75" s="2" t="s">
        <v>33</v>
      </c>
      <c r="H75" s="2" t="s">
        <v>44</v>
      </c>
      <c r="I75" s="2" t="s">
        <v>12</v>
      </c>
      <c r="J75" s="2" t="s">
        <v>12</v>
      </c>
      <c r="K75" s="2" t="s">
        <v>12</v>
      </c>
    </row>
    <row r="76" spans="1:11">
      <c r="A76" s="2" t="s">
        <v>585</v>
      </c>
      <c r="B76" s="2" t="s">
        <v>586</v>
      </c>
      <c r="C76" s="2" t="s">
        <v>76</v>
      </c>
      <c r="D76" s="2" t="s">
        <v>441</v>
      </c>
      <c r="E76" s="2" t="s">
        <v>2870</v>
      </c>
      <c r="F76" s="2" t="s">
        <v>54</v>
      </c>
      <c r="G76" s="2" t="s">
        <v>15</v>
      </c>
      <c r="H76" s="2" t="s">
        <v>44</v>
      </c>
      <c r="I76" s="2">
        <v>0.5</v>
      </c>
      <c r="J76" s="2">
        <v>32</v>
      </c>
      <c r="K76" s="2">
        <v>13</v>
      </c>
    </row>
    <row r="77" spans="1:11">
      <c r="A77" s="2" t="s">
        <v>585</v>
      </c>
      <c r="B77" s="2" t="s">
        <v>586</v>
      </c>
      <c r="C77" s="2" t="s">
        <v>76</v>
      </c>
      <c r="D77" s="2" t="s">
        <v>441</v>
      </c>
      <c r="E77" s="2" t="s">
        <v>2882</v>
      </c>
      <c r="F77" s="2" t="s">
        <v>56</v>
      </c>
      <c r="G77" s="2" t="s">
        <v>15</v>
      </c>
      <c r="H77" s="2" t="s">
        <v>44</v>
      </c>
      <c r="I77" s="2">
        <v>0.5</v>
      </c>
      <c r="J77" s="2">
        <v>54</v>
      </c>
      <c r="K77" s="2">
        <v>5</v>
      </c>
    </row>
    <row r="78" spans="1:11">
      <c r="A78" s="2" t="s">
        <v>585</v>
      </c>
      <c r="B78" s="2" t="s">
        <v>586</v>
      </c>
      <c r="C78" s="2" t="s">
        <v>76</v>
      </c>
      <c r="D78" s="2" t="s">
        <v>441</v>
      </c>
      <c r="E78" s="2" t="s">
        <v>2886</v>
      </c>
      <c r="F78" s="2" t="s">
        <v>57</v>
      </c>
      <c r="G78" s="2" t="s">
        <v>33</v>
      </c>
      <c r="H78" s="2" t="s">
        <v>44</v>
      </c>
      <c r="I78" s="2" t="s">
        <v>12</v>
      </c>
      <c r="J78" s="2">
        <v>8</v>
      </c>
      <c r="K78" s="2" t="s">
        <v>12</v>
      </c>
    </row>
    <row r="79" spans="1:11">
      <c r="A79" s="2" t="s">
        <v>587</v>
      </c>
      <c r="B79" s="2" t="s">
        <v>588</v>
      </c>
      <c r="C79" s="2" t="s">
        <v>76</v>
      </c>
      <c r="D79" s="2" t="s">
        <v>441</v>
      </c>
      <c r="E79" s="2" t="s">
        <v>2870</v>
      </c>
      <c r="F79" s="2" t="s">
        <v>589</v>
      </c>
      <c r="G79" s="2" t="s">
        <v>15</v>
      </c>
      <c r="H79" s="2" t="s">
        <v>44</v>
      </c>
      <c r="I79" s="2" t="s">
        <v>12</v>
      </c>
      <c r="J79" s="2" t="s">
        <v>12</v>
      </c>
      <c r="K79" s="2" t="s">
        <v>12</v>
      </c>
    </row>
    <row r="80" spans="1:11">
      <c r="A80" s="2" t="s">
        <v>587</v>
      </c>
      <c r="B80" s="2" t="s">
        <v>588</v>
      </c>
      <c r="C80" s="2" t="s">
        <v>76</v>
      </c>
      <c r="D80" s="2" t="s">
        <v>441</v>
      </c>
      <c r="E80" s="2" t="s">
        <v>2882</v>
      </c>
      <c r="F80" s="2" t="s">
        <v>590</v>
      </c>
      <c r="G80" s="2" t="s">
        <v>15</v>
      </c>
      <c r="H80" s="2" t="s">
        <v>44</v>
      </c>
      <c r="I80" s="2" t="s">
        <v>12</v>
      </c>
      <c r="J80" s="2" t="s">
        <v>12</v>
      </c>
      <c r="K80" s="2" t="s">
        <v>12</v>
      </c>
    </row>
    <row r="81" spans="1:11">
      <c r="A81" s="2" t="s">
        <v>587</v>
      </c>
      <c r="B81" s="2" t="s">
        <v>588</v>
      </c>
      <c r="C81" s="2" t="s">
        <v>76</v>
      </c>
      <c r="D81" s="2" t="s">
        <v>441</v>
      </c>
      <c r="E81" s="2" t="s">
        <v>2886</v>
      </c>
      <c r="F81" s="2" t="s">
        <v>376</v>
      </c>
      <c r="G81" s="2" t="s">
        <v>33</v>
      </c>
      <c r="H81" s="2" t="s">
        <v>44</v>
      </c>
      <c r="I81" s="2" t="s">
        <v>12</v>
      </c>
      <c r="J81" s="2" t="s">
        <v>12</v>
      </c>
      <c r="K81" s="2" t="s">
        <v>12</v>
      </c>
    </row>
    <row r="82" spans="1:11">
      <c r="A82" s="2" t="s">
        <v>591</v>
      </c>
      <c r="B82" s="2" t="s">
        <v>592</v>
      </c>
      <c r="C82" s="2" t="s">
        <v>48</v>
      </c>
      <c r="D82" s="2" t="s">
        <v>441</v>
      </c>
      <c r="E82" s="2" t="s">
        <v>2870</v>
      </c>
      <c r="F82" s="2" t="s">
        <v>404</v>
      </c>
      <c r="G82" s="2" t="s">
        <v>33</v>
      </c>
      <c r="H82" s="2" t="s">
        <v>44</v>
      </c>
      <c r="I82" s="2">
        <v>0.5</v>
      </c>
      <c r="J82" s="2">
        <v>4</v>
      </c>
      <c r="K82" s="2">
        <v>2</v>
      </c>
    </row>
    <row r="83" spans="1:11">
      <c r="A83" s="2" t="s">
        <v>593</v>
      </c>
      <c r="B83" s="2" t="s">
        <v>594</v>
      </c>
      <c r="C83" s="2" t="s">
        <v>76</v>
      </c>
      <c r="D83" s="2" t="s">
        <v>441</v>
      </c>
      <c r="E83" s="2" t="s">
        <v>2870</v>
      </c>
      <c r="F83" s="2" t="s">
        <v>26</v>
      </c>
      <c r="G83" s="2" t="s">
        <v>15</v>
      </c>
      <c r="H83" s="2" t="s">
        <v>44</v>
      </c>
      <c r="I83" s="2">
        <v>0.69</v>
      </c>
      <c r="J83" s="2">
        <v>48</v>
      </c>
      <c r="K83" s="2">
        <v>22</v>
      </c>
    </row>
    <row r="84" spans="1:11">
      <c r="A84" s="2" t="s">
        <v>593</v>
      </c>
      <c r="B84" s="2" t="s">
        <v>594</v>
      </c>
      <c r="C84" s="2" t="s">
        <v>76</v>
      </c>
      <c r="D84" s="2" t="s">
        <v>441</v>
      </c>
      <c r="E84" s="2" t="s">
        <v>2882</v>
      </c>
      <c r="F84" s="2" t="s">
        <v>29</v>
      </c>
      <c r="G84" s="2" t="s">
        <v>15</v>
      </c>
      <c r="H84" s="2" t="s">
        <v>44</v>
      </c>
      <c r="I84" s="2">
        <v>0.5</v>
      </c>
      <c r="J84" s="2">
        <v>52</v>
      </c>
      <c r="K84" s="2">
        <v>7</v>
      </c>
    </row>
    <row r="85" spans="1:11">
      <c r="A85" s="2" t="s">
        <v>593</v>
      </c>
      <c r="B85" s="2" t="s">
        <v>594</v>
      </c>
      <c r="C85" s="2" t="s">
        <v>76</v>
      </c>
      <c r="D85" s="2" t="s">
        <v>441</v>
      </c>
      <c r="E85" s="2" t="s">
        <v>2886</v>
      </c>
      <c r="F85" s="2" t="s">
        <v>32</v>
      </c>
      <c r="G85" s="2" t="s">
        <v>33</v>
      </c>
      <c r="H85" s="2" t="s">
        <v>44</v>
      </c>
      <c r="I85" s="2" t="s">
        <v>12</v>
      </c>
      <c r="J85" s="2">
        <v>3</v>
      </c>
      <c r="K85" s="2" t="s">
        <v>12</v>
      </c>
    </row>
    <row r="86" spans="1:11">
      <c r="A86" s="2" t="s">
        <v>595</v>
      </c>
      <c r="B86" s="2" t="s">
        <v>596</v>
      </c>
      <c r="C86" s="2" t="s">
        <v>76</v>
      </c>
      <c r="D86" s="2" t="s">
        <v>441</v>
      </c>
      <c r="E86" s="2" t="s">
        <v>2870</v>
      </c>
      <c r="F86" s="2" t="s">
        <v>26</v>
      </c>
      <c r="G86" s="2" t="s">
        <v>15</v>
      </c>
      <c r="H86" s="2" t="s">
        <v>44</v>
      </c>
      <c r="I86" s="2">
        <v>0.5</v>
      </c>
      <c r="J86" s="2">
        <v>29</v>
      </c>
      <c r="K86" s="2">
        <v>11</v>
      </c>
    </row>
    <row r="87" spans="1:11">
      <c r="A87" s="2" t="s">
        <v>595</v>
      </c>
      <c r="B87" s="2" t="s">
        <v>596</v>
      </c>
      <c r="C87" s="2" t="s">
        <v>76</v>
      </c>
      <c r="D87" s="2" t="s">
        <v>441</v>
      </c>
      <c r="E87" s="2" t="s">
        <v>2882</v>
      </c>
      <c r="F87" s="2" t="s">
        <v>29</v>
      </c>
      <c r="G87" s="2" t="s">
        <v>15</v>
      </c>
      <c r="H87" s="2" t="s">
        <v>44</v>
      </c>
      <c r="I87" s="2">
        <v>0.5</v>
      </c>
      <c r="J87" s="2">
        <v>29</v>
      </c>
      <c r="K87" s="2">
        <v>1</v>
      </c>
    </row>
    <row r="88" spans="1:11">
      <c r="A88" s="2" t="s">
        <v>595</v>
      </c>
      <c r="B88" s="2" t="s">
        <v>596</v>
      </c>
      <c r="C88" s="2" t="s">
        <v>76</v>
      </c>
      <c r="D88" s="2" t="s">
        <v>441</v>
      </c>
      <c r="E88" s="2" t="s">
        <v>2886</v>
      </c>
      <c r="F88" s="2" t="s">
        <v>32</v>
      </c>
      <c r="G88" s="2" t="s">
        <v>33</v>
      </c>
      <c r="H88" s="2" t="s">
        <v>44</v>
      </c>
      <c r="I88" s="2" t="s">
        <v>12</v>
      </c>
      <c r="J88" s="2">
        <v>9</v>
      </c>
      <c r="K88" s="2" t="s">
        <v>12</v>
      </c>
    </row>
    <row r="89" spans="1:11">
      <c r="A89" s="2" t="s">
        <v>597</v>
      </c>
      <c r="B89" s="2" t="s">
        <v>598</v>
      </c>
      <c r="C89" s="2" t="s">
        <v>48</v>
      </c>
      <c r="D89" s="2" t="s">
        <v>441</v>
      </c>
      <c r="E89" s="2" t="s">
        <v>2870</v>
      </c>
      <c r="F89" s="2" t="s">
        <v>128</v>
      </c>
      <c r="G89" s="2" t="s">
        <v>15</v>
      </c>
      <c r="H89" s="2" t="s">
        <v>44</v>
      </c>
      <c r="I89" s="2">
        <v>0.5</v>
      </c>
      <c r="J89" s="2">
        <v>24</v>
      </c>
      <c r="K89" s="2">
        <v>14</v>
      </c>
    </row>
    <row r="90" spans="1:11">
      <c r="A90" s="2" t="s">
        <v>597</v>
      </c>
      <c r="B90" s="2" t="s">
        <v>598</v>
      </c>
      <c r="C90" s="2" t="s">
        <v>48</v>
      </c>
      <c r="D90" s="2" t="s">
        <v>441</v>
      </c>
      <c r="E90" s="2" t="s">
        <v>2882</v>
      </c>
      <c r="F90" s="2" t="s">
        <v>130</v>
      </c>
      <c r="G90" s="2" t="s">
        <v>15</v>
      </c>
      <c r="H90" s="2" t="s">
        <v>44</v>
      </c>
      <c r="I90" s="2">
        <v>0.5</v>
      </c>
      <c r="J90" s="2">
        <v>31</v>
      </c>
      <c r="K90" s="2">
        <v>11</v>
      </c>
    </row>
    <row r="91" spans="1:11">
      <c r="A91" s="2" t="s">
        <v>597</v>
      </c>
      <c r="B91" s="2" t="s">
        <v>598</v>
      </c>
      <c r="C91" s="2" t="s">
        <v>48</v>
      </c>
      <c r="D91" s="2" t="s">
        <v>441</v>
      </c>
      <c r="E91" s="2" t="s">
        <v>2886</v>
      </c>
      <c r="F91" s="2" t="s">
        <v>132</v>
      </c>
      <c r="G91" s="2" t="s">
        <v>33</v>
      </c>
      <c r="H91" s="2" t="s">
        <v>44</v>
      </c>
      <c r="I91" s="2">
        <v>0.5</v>
      </c>
      <c r="J91" s="2">
        <v>0</v>
      </c>
      <c r="K91" s="2">
        <v>2</v>
      </c>
    </row>
    <row r="92" spans="1:11">
      <c r="A92" s="2" t="s">
        <v>599</v>
      </c>
      <c r="B92" s="2" t="s">
        <v>600</v>
      </c>
      <c r="C92" s="2" t="s">
        <v>76</v>
      </c>
      <c r="D92" s="2" t="s">
        <v>441</v>
      </c>
      <c r="E92" s="2" t="s">
        <v>2870</v>
      </c>
      <c r="F92" s="2" t="s">
        <v>128</v>
      </c>
      <c r="G92" s="2" t="s">
        <v>15</v>
      </c>
      <c r="H92" s="2" t="s">
        <v>44</v>
      </c>
      <c r="I92" s="2">
        <v>0.5</v>
      </c>
      <c r="J92" s="2">
        <v>1</v>
      </c>
      <c r="K92" s="2">
        <v>4</v>
      </c>
    </row>
    <row r="93" spans="1:11">
      <c r="A93" s="2" t="s">
        <v>599</v>
      </c>
      <c r="B93" s="2" t="s">
        <v>600</v>
      </c>
      <c r="C93" s="2" t="s">
        <v>76</v>
      </c>
      <c r="D93" s="2" t="s">
        <v>441</v>
      </c>
      <c r="E93" s="2" t="s">
        <v>2882</v>
      </c>
      <c r="F93" s="2" t="s">
        <v>130</v>
      </c>
      <c r="G93" s="2" t="s">
        <v>15</v>
      </c>
      <c r="H93" s="2" t="s">
        <v>44</v>
      </c>
      <c r="I93" s="2">
        <v>0.5</v>
      </c>
      <c r="J93" s="2">
        <v>17</v>
      </c>
      <c r="K93" s="2">
        <v>1</v>
      </c>
    </row>
    <row r="94" spans="1:11">
      <c r="A94" s="2" t="s">
        <v>599</v>
      </c>
      <c r="B94" s="2" t="s">
        <v>600</v>
      </c>
      <c r="C94" s="2" t="s">
        <v>76</v>
      </c>
      <c r="D94" s="2" t="s">
        <v>441</v>
      </c>
      <c r="E94" s="2" t="s">
        <v>2886</v>
      </c>
      <c r="F94" s="2" t="s">
        <v>132</v>
      </c>
      <c r="G94" s="2" t="s">
        <v>33</v>
      </c>
      <c r="H94" s="2" t="s">
        <v>44</v>
      </c>
      <c r="I94" s="2" t="s">
        <v>12</v>
      </c>
      <c r="J94" s="2">
        <v>0</v>
      </c>
      <c r="K94" s="2" t="s">
        <v>12</v>
      </c>
    </row>
    <row r="95" spans="1:11">
      <c r="A95" s="2" t="s">
        <v>601</v>
      </c>
      <c r="B95" s="2" t="s">
        <v>602</v>
      </c>
      <c r="C95" s="2" t="s">
        <v>290</v>
      </c>
      <c r="D95" s="2" t="s">
        <v>475</v>
      </c>
      <c r="E95" s="2" t="s">
        <v>2870</v>
      </c>
      <c r="F95" s="2" t="s">
        <v>14</v>
      </c>
      <c r="G95" s="2" t="s">
        <v>15</v>
      </c>
      <c r="H95" s="2" t="s">
        <v>44</v>
      </c>
      <c r="I95" s="2" t="s">
        <v>12</v>
      </c>
      <c r="J95" s="2" t="s">
        <v>12</v>
      </c>
      <c r="K95" s="2" t="s">
        <v>12</v>
      </c>
    </row>
    <row r="96" spans="1:11">
      <c r="A96" s="2" t="s">
        <v>601</v>
      </c>
      <c r="B96" s="2" t="s">
        <v>602</v>
      </c>
      <c r="C96" s="2" t="s">
        <v>290</v>
      </c>
      <c r="D96" s="2" t="s">
        <v>475</v>
      </c>
      <c r="E96" s="2" t="s">
        <v>2882</v>
      </c>
      <c r="F96" s="2" t="s">
        <v>19</v>
      </c>
      <c r="G96" s="2" t="s">
        <v>15</v>
      </c>
      <c r="H96" s="2" t="s">
        <v>44</v>
      </c>
      <c r="I96" s="2" t="s">
        <v>12</v>
      </c>
      <c r="J96" s="2" t="s">
        <v>12</v>
      </c>
      <c r="K96" s="2" t="s">
        <v>12</v>
      </c>
    </row>
    <row r="97" spans="1:11">
      <c r="A97" s="2" t="s">
        <v>601</v>
      </c>
      <c r="B97" s="2" t="s">
        <v>602</v>
      </c>
      <c r="C97" s="2" t="s">
        <v>290</v>
      </c>
      <c r="D97" s="2" t="s">
        <v>475</v>
      </c>
      <c r="E97" s="2" t="s">
        <v>2886</v>
      </c>
      <c r="F97" s="2" t="s">
        <v>23</v>
      </c>
      <c r="G97" s="2" t="s">
        <v>15</v>
      </c>
      <c r="H97" s="2" t="s">
        <v>44</v>
      </c>
      <c r="I97" s="2" t="s">
        <v>12</v>
      </c>
      <c r="J97" s="2" t="s">
        <v>12</v>
      </c>
      <c r="K97" s="2" t="s">
        <v>12</v>
      </c>
    </row>
    <row r="98" spans="1:11">
      <c r="A98" s="2" t="s">
        <v>601</v>
      </c>
      <c r="B98" s="2" t="s">
        <v>602</v>
      </c>
      <c r="C98" s="2" t="s">
        <v>290</v>
      </c>
      <c r="D98" s="2" t="s">
        <v>475</v>
      </c>
      <c r="E98" s="2" t="s">
        <v>2896</v>
      </c>
      <c r="F98" s="2" t="s">
        <v>26</v>
      </c>
      <c r="G98" s="2" t="s">
        <v>15</v>
      </c>
      <c r="H98" s="2" t="s">
        <v>44</v>
      </c>
      <c r="I98" s="2" t="s">
        <v>12</v>
      </c>
      <c r="J98" s="2" t="s">
        <v>12</v>
      </c>
      <c r="K98" s="2" t="s">
        <v>12</v>
      </c>
    </row>
    <row r="99" spans="1:11">
      <c r="A99" s="2" t="s">
        <v>601</v>
      </c>
      <c r="B99" s="2" t="s">
        <v>602</v>
      </c>
      <c r="C99" s="2" t="s">
        <v>290</v>
      </c>
      <c r="D99" s="2" t="s">
        <v>475</v>
      </c>
      <c r="E99" s="2" t="s">
        <v>2901</v>
      </c>
      <c r="F99" s="2" t="s">
        <v>29</v>
      </c>
      <c r="G99" s="2" t="s">
        <v>15</v>
      </c>
      <c r="H99" s="2" t="s">
        <v>44</v>
      </c>
      <c r="I99" s="2" t="s">
        <v>12</v>
      </c>
      <c r="J99" s="2" t="s">
        <v>12</v>
      </c>
      <c r="K99" s="2" t="s">
        <v>12</v>
      </c>
    </row>
    <row r="100" spans="1:11">
      <c r="A100" s="2" t="s">
        <v>601</v>
      </c>
      <c r="B100" s="2" t="s">
        <v>602</v>
      </c>
      <c r="C100" s="2" t="s">
        <v>290</v>
      </c>
      <c r="D100" s="2" t="s">
        <v>475</v>
      </c>
      <c r="E100" s="2" t="s">
        <v>2904</v>
      </c>
      <c r="F100" s="2" t="s">
        <v>32</v>
      </c>
      <c r="G100" s="2" t="s">
        <v>33</v>
      </c>
      <c r="H100" s="2" t="s">
        <v>44</v>
      </c>
      <c r="I100" s="2" t="s">
        <v>12</v>
      </c>
      <c r="J100" s="2" t="s">
        <v>12</v>
      </c>
      <c r="K100" s="2" t="s">
        <v>12</v>
      </c>
    </row>
    <row r="101" spans="1:11">
      <c r="A101" s="2" t="s">
        <v>603</v>
      </c>
      <c r="B101" s="2" t="s">
        <v>604</v>
      </c>
      <c r="C101" s="2" t="s">
        <v>76</v>
      </c>
      <c r="D101" s="2" t="s">
        <v>520</v>
      </c>
      <c r="E101" s="2" t="s">
        <v>2870</v>
      </c>
      <c r="F101" s="2" t="s">
        <v>49</v>
      </c>
      <c r="G101" s="2" t="s">
        <v>15</v>
      </c>
      <c r="H101" s="2" t="s">
        <v>44</v>
      </c>
      <c r="I101" s="2" t="s">
        <v>12</v>
      </c>
      <c r="J101" s="2" t="s">
        <v>12</v>
      </c>
      <c r="K101" s="2" t="s">
        <v>12</v>
      </c>
    </row>
    <row r="102" spans="1:11">
      <c r="A102" s="2" t="s">
        <v>603</v>
      </c>
      <c r="B102" s="2" t="s">
        <v>604</v>
      </c>
      <c r="C102" s="2" t="s">
        <v>76</v>
      </c>
      <c r="D102" s="2" t="s">
        <v>520</v>
      </c>
      <c r="E102" s="2" t="s">
        <v>2882</v>
      </c>
      <c r="F102" s="2" t="s">
        <v>51</v>
      </c>
      <c r="G102" s="2" t="s">
        <v>15</v>
      </c>
      <c r="H102" s="2" t="s">
        <v>44</v>
      </c>
      <c r="I102" s="2" t="s">
        <v>12</v>
      </c>
      <c r="J102" s="2" t="s">
        <v>12</v>
      </c>
      <c r="K102" s="2" t="s">
        <v>12</v>
      </c>
    </row>
    <row r="103" spans="1:11">
      <c r="A103" s="2" t="s">
        <v>603</v>
      </c>
      <c r="B103" s="2" t="s">
        <v>604</v>
      </c>
      <c r="C103" s="2" t="s">
        <v>76</v>
      </c>
      <c r="D103" s="2" t="s">
        <v>520</v>
      </c>
      <c r="E103" s="2" t="s">
        <v>2886</v>
      </c>
      <c r="F103" s="2" t="s">
        <v>52</v>
      </c>
      <c r="G103" s="2" t="s">
        <v>15</v>
      </c>
      <c r="H103" s="2" t="s">
        <v>44</v>
      </c>
      <c r="I103" s="2" t="s">
        <v>12</v>
      </c>
      <c r="J103" s="2" t="s">
        <v>12</v>
      </c>
      <c r="K103" s="2" t="s">
        <v>12</v>
      </c>
    </row>
    <row r="104" spans="1:11">
      <c r="A104" s="2" t="s">
        <v>603</v>
      </c>
      <c r="B104" s="2" t="s">
        <v>604</v>
      </c>
      <c r="C104" s="2" t="s">
        <v>76</v>
      </c>
      <c r="D104" s="2" t="s">
        <v>520</v>
      </c>
      <c r="E104" s="2" t="s">
        <v>2896</v>
      </c>
      <c r="F104" s="2" t="s">
        <v>605</v>
      </c>
      <c r="G104" s="2" t="s">
        <v>15</v>
      </c>
      <c r="H104" s="2" t="s">
        <v>44</v>
      </c>
      <c r="I104" s="2" t="s">
        <v>12</v>
      </c>
      <c r="J104" s="2" t="s">
        <v>12</v>
      </c>
      <c r="K104" s="2" t="s">
        <v>12</v>
      </c>
    </row>
    <row r="105" spans="1:11">
      <c r="A105" s="2" t="s">
        <v>606</v>
      </c>
      <c r="B105" s="2" t="s">
        <v>607</v>
      </c>
      <c r="C105" s="2" t="s">
        <v>48</v>
      </c>
      <c r="D105" s="2" t="s">
        <v>441</v>
      </c>
      <c r="E105" s="2" t="s">
        <v>2870</v>
      </c>
      <c r="F105" s="2" t="s">
        <v>268</v>
      </c>
      <c r="G105" s="2" t="s">
        <v>15</v>
      </c>
      <c r="H105" s="2" t="s">
        <v>44</v>
      </c>
      <c r="I105" s="2" t="s">
        <v>12</v>
      </c>
      <c r="J105" s="2" t="s">
        <v>12</v>
      </c>
      <c r="K105" s="2" t="s">
        <v>12</v>
      </c>
    </row>
    <row r="106" spans="1:11">
      <c r="A106" s="2" t="s">
        <v>606</v>
      </c>
      <c r="B106" s="2" t="s">
        <v>607</v>
      </c>
      <c r="C106" s="2" t="s">
        <v>48</v>
      </c>
      <c r="D106" s="2" t="s">
        <v>441</v>
      </c>
      <c r="E106" s="2" t="s">
        <v>2882</v>
      </c>
      <c r="F106" s="2" t="s">
        <v>270</v>
      </c>
      <c r="G106" s="2" t="s">
        <v>15</v>
      </c>
      <c r="H106" s="2" t="s">
        <v>44</v>
      </c>
      <c r="I106" s="2">
        <v>0.5</v>
      </c>
      <c r="J106" s="2">
        <v>12</v>
      </c>
      <c r="K106" s="2">
        <v>3</v>
      </c>
    </row>
    <row r="107" spans="1:11">
      <c r="A107" s="2" t="s">
        <v>606</v>
      </c>
      <c r="B107" s="2" t="s">
        <v>607</v>
      </c>
      <c r="C107" s="2" t="s">
        <v>48</v>
      </c>
      <c r="D107" s="2" t="s">
        <v>441</v>
      </c>
      <c r="E107" s="2" t="s">
        <v>2886</v>
      </c>
      <c r="F107" s="2" t="s">
        <v>272</v>
      </c>
      <c r="G107" s="2" t="s">
        <v>33</v>
      </c>
      <c r="H107" s="2" t="s">
        <v>44</v>
      </c>
      <c r="I107" s="2">
        <v>0.5</v>
      </c>
      <c r="J107" s="2">
        <v>32</v>
      </c>
      <c r="K107" s="2">
        <v>11</v>
      </c>
    </row>
    <row r="108" spans="1:11">
      <c r="A108" s="2" t="s">
        <v>606</v>
      </c>
      <c r="B108" s="2" t="s">
        <v>607</v>
      </c>
      <c r="C108" s="2" t="s">
        <v>48</v>
      </c>
      <c r="D108" s="2" t="s">
        <v>441</v>
      </c>
      <c r="E108" s="2" t="s">
        <v>2896</v>
      </c>
      <c r="F108" s="2" t="s">
        <v>274</v>
      </c>
      <c r="G108" s="2" t="s">
        <v>225</v>
      </c>
      <c r="H108" s="2" t="s">
        <v>44</v>
      </c>
      <c r="I108" s="2" t="s">
        <v>12</v>
      </c>
      <c r="J108" s="2" t="s">
        <v>12</v>
      </c>
      <c r="K108" s="2" t="s">
        <v>12</v>
      </c>
    </row>
    <row r="109" spans="1:11">
      <c r="A109" s="2" t="s">
        <v>608</v>
      </c>
      <c r="B109" s="2" t="s">
        <v>609</v>
      </c>
      <c r="C109" s="2" t="s">
        <v>48</v>
      </c>
      <c r="D109" s="2" t="s">
        <v>441</v>
      </c>
      <c r="E109" s="2" t="s">
        <v>2870</v>
      </c>
      <c r="F109" s="2" t="s">
        <v>220</v>
      </c>
      <c r="G109" s="2" t="s">
        <v>15</v>
      </c>
      <c r="H109" s="2" t="s">
        <v>44</v>
      </c>
      <c r="I109" s="2">
        <v>0.5</v>
      </c>
      <c r="J109" s="2">
        <v>30</v>
      </c>
      <c r="K109" s="2">
        <v>3</v>
      </c>
    </row>
    <row r="110" spans="1:11">
      <c r="A110" s="2" t="s">
        <v>608</v>
      </c>
      <c r="B110" s="2" t="s">
        <v>609</v>
      </c>
      <c r="C110" s="2" t="s">
        <v>48</v>
      </c>
      <c r="D110" s="2" t="s">
        <v>441</v>
      </c>
      <c r="E110" s="2" t="s">
        <v>2882</v>
      </c>
      <c r="F110" s="2" t="s">
        <v>222</v>
      </c>
      <c r="G110" s="2" t="s">
        <v>33</v>
      </c>
      <c r="H110" s="2" t="s">
        <v>44</v>
      </c>
      <c r="I110" s="2">
        <v>0.5</v>
      </c>
      <c r="J110" s="2">
        <v>32</v>
      </c>
      <c r="K110" s="2">
        <v>14</v>
      </c>
    </row>
    <row r="111" spans="1:11">
      <c r="A111" s="2" t="s">
        <v>608</v>
      </c>
      <c r="B111" s="2" t="s">
        <v>609</v>
      </c>
      <c r="C111" s="2" t="s">
        <v>48</v>
      </c>
      <c r="D111" s="2" t="s">
        <v>441</v>
      </c>
      <c r="E111" s="2" t="s">
        <v>2886</v>
      </c>
      <c r="F111" s="2" t="s">
        <v>224</v>
      </c>
      <c r="G111" s="2" t="s">
        <v>225</v>
      </c>
      <c r="H111" s="2" t="s">
        <v>44</v>
      </c>
      <c r="I111" s="2" t="s">
        <v>12</v>
      </c>
      <c r="J111" s="2" t="s">
        <v>12</v>
      </c>
      <c r="K111" s="2" t="s">
        <v>12</v>
      </c>
    </row>
    <row r="112" spans="1:11">
      <c r="A112" s="2" t="s">
        <v>610</v>
      </c>
      <c r="B112" s="2" t="s">
        <v>611</v>
      </c>
      <c r="C112" s="2" t="s">
        <v>76</v>
      </c>
      <c r="D112" s="2" t="s">
        <v>441</v>
      </c>
      <c r="E112" s="2" t="s">
        <v>2870</v>
      </c>
      <c r="F112" s="2" t="s">
        <v>69</v>
      </c>
      <c r="G112" s="2" t="s">
        <v>15</v>
      </c>
      <c r="H112" s="2" t="s">
        <v>44</v>
      </c>
      <c r="I112" s="2" t="s">
        <v>12</v>
      </c>
      <c r="J112" s="2" t="s">
        <v>12</v>
      </c>
      <c r="K112" s="2" t="s">
        <v>12</v>
      </c>
    </row>
    <row r="113" spans="1:11">
      <c r="A113" s="2" t="s">
        <v>610</v>
      </c>
      <c r="B113" s="2" t="s">
        <v>611</v>
      </c>
      <c r="C113" s="2" t="s">
        <v>76</v>
      </c>
      <c r="D113" s="2" t="s">
        <v>441</v>
      </c>
      <c r="E113" s="2" t="s">
        <v>2882</v>
      </c>
      <c r="F113" s="2" t="s">
        <v>71</v>
      </c>
      <c r="G113" s="2" t="s">
        <v>15</v>
      </c>
      <c r="H113" s="2" t="s">
        <v>44</v>
      </c>
      <c r="I113" s="2" t="s">
        <v>12</v>
      </c>
      <c r="J113" s="2" t="s">
        <v>12</v>
      </c>
      <c r="K113" s="2" t="s">
        <v>12</v>
      </c>
    </row>
    <row r="114" spans="1:11">
      <c r="A114" s="2" t="s">
        <v>610</v>
      </c>
      <c r="B114" s="2" t="s">
        <v>611</v>
      </c>
      <c r="C114" s="2" t="s">
        <v>76</v>
      </c>
      <c r="D114" s="2" t="s">
        <v>441</v>
      </c>
      <c r="E114" s="2" t="s">
        <v>2886</v>
      </c>
      <c r="F114" s="2" t="s">
        <v>73</v>
      </c>
      <c r="G114" s="2" t="s">
        <v>33</v>
      </c>
      <c r="H114" s="2" t="s">
        <v>44</v>
      </c>
      <c r="I114" s="2" t="s">
        <v>12</v>
      </c>
      <c r="J114" s="2" t="s">
        <v>12</v>
      </c>
      <c r="K114" s="2" t="s">
        <v>12</v>
      </c>
    </row>
    <row r="115" spans="1:11">
      <c r="A115" s="2" t="s">
        <v>612</v>
      </c>
      <c r="B115" s="2" t="s">
        <v>613</v>
      </c>
      <c r="C115" s="2" t="s">
        <v>76</v>
      </c>
      <c r="D115" s="2" t="s">
        <v>441</v>
      </c>
      <c r="E115" s="2" t="s">
        <v>2870</v>
      </c>
      <c r="F115" s="2" t="s">
        <v>614</v>
      </c>
      <c r="G115" s="2" t="s">
        <v>15</v>
      </c>
      <c r="H115" s="2" t="s">
        <v>44</v>
      </c>
      <c r="I115" s="2">
        <v>0.5</v>
      </c>
      <c r="J115" s="2">
        <v>28</v>
      </c>
      <c r="K115" s="2">
        <v>5</v>
      </c>
    </row>
    <row r="116" spans="1:11">
      <c r="A116" s="2" t="s">
        <v>612</v>
      </c>
      <c r="B116" s="2" t="s">
        <v>613</v>
      </c>
      <c r="C116" s="2" t="s">
        <v>76</v>
      </c>
      <c r="D116" s="2" t="s">
        <v>441</v>
      </c>
      <c r="E116" s="2" t="s">
        <v>2882</v>
      </c>
      <c r="F116" s="2" t="s">
        <v>615</v>
      </c>
      <c r="G116" s="2" t="s">
        <v>15</v>
      </c>
      <c r="H116" s="2" t="s">
        <v>44</v>
      </c>
      <c r="I116" s="2">
        <v>0.5</v>
      </c>
      <c r="J116" s="2">
        <v>41</v>
      </c>
      <c r="K116" s="2">
        <v>6</v>
      </c>
    </row>
    <row r="117" spans="1:11">
      <c r="A117" s="2" t="s">
        <v>612</v>
      </c>
      <c r="B117" s="2" t="s">
        <v>613</v>
      </c>
      <c r="C117" s="2" t="s">
        <v>76</v>
      </c>
      <c r="D117" s="2" t="s">
        <v>441</v>
      </c>
      <c r="E117" s="2" t="s">
        <v>2886</v>
      </c>
      <c r="F117" s="2" t="s">
        <v>616</v>
      </c>
      <c r="G117" s="2" t="s">
        <v>33</v>
      </c>
      <c r="H117" s="2" t="s">
        <v>44</v>
      </c>
      <c r="I117" s="2" t="s">
        <v>12</v>
      </c>
      <c r="J117" s="2">
        <v>9</v>
      </c>
      <c r="K117" s="2" t="s">
        <v>12</v>
      </c>
    </row>
    <row r="118" spans="1:11">
      <c r="A118" s="2" t="s">
        <v>617</v>
      </c>
      <c r="B118" s="2" t="s">
        <v>618</v>
      </c>
      <c r="C118" s="2" t="s">
        <v>140</v>
      </c>
      <c r="D118" s="2" t="s">
        <v>441</v>
      </c>
      <c r="E118" s="2" t="s">
        <v>2870</v>
      </c>
      <c r="F118" s="2" t="s">
        <v>14</v>
      </c>
      <c r="G118" s="2" t="s">
        <v>15</v>
      </c>
      <c r="H118" s="2" t="s">
        <v>44</v>
      </c>
      <c r="I118" s="2" t="s">
        <v>12</v>
      </c>
      <c r="J118" s="2" t="s">
        <v>12</v>
      </c>
      <c r="K118" s="2" t="s">
        <v>12</v>
      </c>
    </row>
    <row r="119" spans="1:11">
      <c r="A119" s="2" t="s">
        <v>617</v>
      </c>
      <c r="B119" s="2" t="s">
        <v>618</v>
      </c>
      <c r="C119" s="2" t="s">
        <v>140</v>
      </c>
      <c r="D119" s="2" t="s">
        <v>441</v>
      </c>
      <c r="E119" s="2" t="s">
        <v>2882</v>
      </c>
      <c r="F119" s="2" t="s">
        <v>19</v>
      </c>
      <c r="G119" s="2" t="s">
        <v>15</v>
      </c>
      <c r="H119" s="2" t="s">
        <v>44</v>
      </c>
      <c r="I119" s="2" t="s">
        <v>12</v>
      </c>
      <c r="J119" s="2" t="s">
        <v>12</v>
      </c>
      <c r="K119" s="2" t="s">
        <v>12</v>
      </c>
    </row>
    <row r="120" spans="1:11">
      <c r="A120" s="2" t="s">
        <v>617</v>
      </c>
      <c r="B120" s="2" t="s">
        <v>618</v>
      </c>
      <c r="C120" s="2" t="s">
        <v>140</v>
      </c>
      <c r="D120" s="2" t="s">
        <v>441</v>
      </c>
      <c r="E120" s="2" t="s">
        <v>2886</v>
      </c>
      <c r="F120" s="2" t="s">
        <v>23</v>
      </c>
      <c r="G120" s="2" t="s">
        <v>15</v>
      </c>
      <c r="H120" s="2" t="s">
        <v>44</v>
      </c>
      <c r="I120" s="2" t="s">
        <v>12</v>
      </c>
      <c r="J120" s="2" t="s">
        <v>12</v>
      </c>
      <c r="K120" s="2" t="s">
        <v>12</v>
      </c>
    </row>
    <row r="121" spans="1:11">
      <c r="A121" s="2" t="s">
        <v>617</v>
      </c>
      <c r="B121" s="2" t="s">
        <v>618</v>
      </c>
      <c r="C121" s="2" t="s">
        <v>140</v>
      </c>
      <c r="D121" s="2" t="s">
        <v>441</v>
      </c>
      <c r="E121" s="2" t="s">
        <v>2896</v>
      </c>
      <c r="F121" s="2" t="s">
        <v>26</v>
      </c>
      <c r="G121" s="2" t="s">
        <v>15</v>
      </c>
      <c r="H121" s="2" t="s">
        <v>44</v>
      </c>
      <c r="I121" s="2" t="s">
        <v>12</v>
      </c>
      <c r="J121" s="2" t="s">
        <v>12</v>
      </c>
      <c r="K121" s="2" t="s">
        <v>12</v>
      </c>
    </row>
    <row r="122" spans="1:11">
      <c r="A122" s="2" t="s">
        <v>617</v>
      </c>
      <c r="B122" s="2" t="s">
        <v>618</v>
      </c>
      <c r="C122" s="2" t="s">
        <v>140</v>
      </c>
      <c r="D122" s="2" t="s">
        <v>441</v>
      </c>
      <c r="E122" s="2" t="s">
        <v>2901</v>
      </c>
      <c r="F122" s="2" t="s">
        <v>29</v>
      </c>
      <c r="G122" s="2" t="s">
        <v>15</v>
      </c>
      <c r="H122" s="2" t="s">
        <v>44</v>
      </c>
      <c r="I122" s="2" t="s">
        <v>12</v>
      </c>
      <c r="J122" s="2" t="s">
        <v>12</v>
      </c>
      <c r="K122" s="2" t="s">
        <v>12</v>
      </c>
    </row>
    <row r="123" spans="1:11">
      <c r="A123" s="2" t="s">
        <v>617</v>
      </c>
      <c r="B123" s="2" t="s">
        <v>618</v>
      </c>
      <c r="C123" s="2" t="s">
        <v>140</v>
      </c>
      <c r="D123" s="2" t="s">
        <v>441</v>
      </c>
      <c r="E123" s="2" t="s">
        <v>2904</v>
      </c>
      <c r="F123" s="2" t="s">
        <v>32</v>
      </c>
      <c r="G123" s="2" t="s">
        <v>33</v>
      </c>
      <c r="H123" s="2" t="s">
        <v>44</v>
      </c>
      <c r="I123" s="2" t="s">
        <v>12</v>
      </c>
      <c r="J123" s="2" t="s">
        <v>12</v>
      </c>
      <c r="K123" s="2" t="s">
        <v>12</v>
      </c>
    </row>
    <row r="124" spans="1:11">
      <c r="A124" s="2" t="s">
        <v>619</v>
      </c>
      <c r="B124" s="2" t="s">
        <v>620</v>
      </c>
      <c r="C124" s="2" t="s">
        <v>76</v>
      </c>
      <c r="D124" s="2" t="s">
        <v>475</v>
      </c>
      <c r="E124" s="2" t="s">
        <v>2870</v>
      </c>
      <c r="F124" s="2" t="s">
        <v>465</v>
      </c>
      <c r="G124" s="2" t="s">
        <v>33</v>
      </c>
      <c r="H124" s="2" t="s">
        <v>44</v>
      </c>
      <c r="I124" s="2" t="s">
        <v>12</v>
      </c>
      <c r="J124" s="2" t="s">
        <v>12</v>
      </c>
      <c r="K124" s="2" t="s">
        <v>12</v>
      </c>
    </row>
    <row r="125" spans="1:11">
      <c r="A125" s="2" t="s">
        <v>621</v>
      </c>
      <c r="B125" s="2" t="s">
        <v>622</v>
      </c>
      <c r="C125" s="2" t="s">
        <v>112</v>
      </c>
      <c r="D125" s="2" t="s">
        <v>475</v>
      </c>
      <c r="E125" s="2" t="s">
        <v>2870</v>
      </c>
      <c r="F125" s="2" t="s">
        <v>614</v>
      </c>
      <c r="G125" s="2" t="s">
        <v>15</v>
      </c>
      <c r="H125" s="2" t="s">
        <v>44</v>
      </c>
      <c r="I125" s="2" t="s">
        <v>12</v>
      </c>
      <c r="J125" s="2" t="s">
        <v>12</v>
      </c>
      <c r="K125" s="2" t="s">
        <v>12</v>
      </c>
    </row>
    <row r="126" spans="1:11">
      <c r="A126" s="2" t="s">
        <v>621</v>
      </c>
      <c r="B126" s="2" t="s">
        <v>622</v>
      </c>
      <c r="C126" s="2" t="s">
        <v>112</v>
      </c>
      <c r="D126" s="2" t="s">
        <v>475</v>
      </c>
      <c r="E126" s="2" t="s">
        <v>2882</v>
      </c>
      <c r="F126" s="2" t="s">
        <v>615</v>
      </c>
      <c r="G126" s="2" t="s">
        <v>15</v>
      </c>
      <c r="H126" s="2" t="s">
        <v>44</v>
      </c>
      <c r="I126" s="2" t="s">
        <v>12</v>
      </c>
      <c r="J126" s="2" t="s">
        <v>12</v>
      </c>
      <c r="K126" s="2" t="s">
        <v>12</v>
      </c>
    </row>
    <row r="127" spans="1:11">
      <c r="A127" s="2" t="s">
        <v>621</v>
      </c>
      <c r="B127" s="2" t="s">
        <v>622</v>
      </c>
      <c r="C127" s="2" t="s">
        <v>112</v>
      </c>
      <c r="D127" s="2" t="s">
        <v>475</v>
      </c>
      <c r="E127" s="2" t="s">
        <v>2886</v>
      </c>
      <c r="F127" s="2" t="s">
        <v>616</v>
      </c>
      <c r="G127" s="2" t="s">
        <v>33</v>
      </c>
      <c r="H127" s="2" t="s">
        <v>44</v>
      </c>
      <c r="I127" s="2" t="s">
        <v>12</v>
      </c>
      <c r="J127" s="2" t="s">
        <v>12</v>
      </c>
      <c r="K127" s="2" t="s">
        <v>12</v>
      </c>
    </row>
    <row r="128" spans="1:11">
      <c r="A128" s="2" t="s">
        <v>623</v>
      </c>
      <c r="B128" s="2" t="s">
        <v>624</v>
      </c>
      <c r="C128" s="2" t="s">
        <v>76</v>
      </c>
      <c r="D128" s="2" t="s">
        <v>441</v>
      </c>
      <c r="E128" s="2" t="s">
        <v>2870</v>
      </c>
      <c r="F128" s="2" t="s">
        <v>614</v>
      </c>
      <c r="G128" s="2" t="s">
        <v>15</v>
      </c>
      <c r="H128" s="2" t="s">
        <v>44</v>
      </c>
      <c r="I128" s="2">
        <v>0.5</v>
      </c>
      <c r="J128" s="2">
        <v>27</v>
      </c>
      <c r="K128" s="2">
        <v>8</v>
      </c>
    </row>
    <row r="129" spans="1:11">
      <c r="A129" s="2" t="s">
        <v>623</v>
      </c>
      <c r="B129" s="2" t="s">
        <v>624</v>
      </c>
      <c r="C129" s="2" t="s">
        <v>76</v>
      </c>
      <c r="D129" s="2" t="s">
        <v>441</v>
      </c>
      <c r="E129" s="2" t="s">
        <v>2882</v>
      </c>
      <c r="F129" s="2" t="s">
        <v>615</v>
      </c>
      <c r="G129" s="2" t="s">
        <v>15</v>
      </c>
      <c r="H129" s="2" t="s">
        <v>44</v>
      </c>
      <c r="I129" s="2">
        <v>0.5</v>
      </c>
      <c r="J129" s="2">
        <v>11</v>
      </c>
      <c r="K129" s="2">
        <v>6</v>
      </c>
    </row>
    <row r="130" spans="1:11">
      <c r="A130" s="2" t="s">
        <v>623</v>
      </c>
      <c r="B130" s="2" t="s">
        <v>624</v>
      </c>
      <c r="C130" s="2" t="s">
        <v>76</v>
      </c>
      <c r="D130" s="2" t="s">
        <v>441</v>
      </c>
      <c r="E130" s="2" t="s">
        <v>2886</v>
      </c>
      <c r="F130" s="2" t="s">
        <v>616</v>
      </c>
      <c r="G130" s="2" t="s">
        <v>33</v>
      </c>
      <c r="H130" s="2" t="s">
        <v>44</v>
      </c>
      <c r="I130" s="2" t="s">
        <v>12</v>
      </c>
      <c r="J130" s="2">
        <v>2</v>
      </c>
      <c r="K130" s="2" t="s">
        <v>12</v>
      </c>
    </row>
    <row r="131" spans="1:11">
      <c r="A131" s="2" t="s">
        <v>625</v>
      </c>
      <c r="B131" s="2" t="s">
        <v>626</v>
      </c>
      <c r="C131" s="2" t="s">
        <v>11</v>
      </c>
      <c r="D131" s="2" t="s">
        <v>441</v>
      </c>
      <c r="E131" s="2" t="s">
        <v>2870</v>
      </c>
      <c r="F131" s="2" t="s">
        <v>614</v>
      </c>
      <c r="G131" s="2" t="s">
        <v>15</v>
      </c>
      <c r="H131" s="2" t="s">
        <v>44</v>
      </c>
      <c r="I131" s="2">
        <v>0.5</v>
      </c>
      <c r="J131" s="2">
        <v>28</v>
      </c>
      <c r="K131" s="2">
        <v>8</v>
      </c>
    </row>
    <row r="132" spans="1:11">
      <c r="A132" s="2" t="s">
        <v>625</v>
      </c>
      <c r="B132" s="2" t="s">
        <v>626</v>
      </c>
      <c r="C132" s="2" t="s">
        <v>11</v>
      </c>
      <c r="D132" s="2" t="s">
        <v>441</v>
      </c>
      <c r="E132" s="2" t="s">
        <v>2882</v>
      </c>
      <c r="F132" s="2" t="s">
        <v>615</v>
      </c>
      <c r="G132" s="2" t="s">
        <v>15</v>
      </c>
      <c r="H132" s="2" t="s">
        <v>44</v>
      </c>
      <c r="I132" s="2">
        <v>0.63</v>
      </c>
      <c r="J132" s="2">
        <v>53</v>
      </c>
      <c r="K132" s="2">
        <v>20</v>
      </c>
    </row>
    <row r="133" spans="1:11">
      <c r="A133" s="2" t="s">
        <v>625</v>
      </c>
      <c r="B133" s="2" t="s">
        <v>626</v>
      </c>
      <c r="C133" s="2" t="s">
        <v>11</v>
      </c>
      <c r="D133" s="2" t="s">
        <v>441</v>
      </c>
      <c r="E133" s="2" t="s">
        <v>2886</v>
      </c>
      <c r="F133" s="2" t="s">
        <v>616</v>
      </c>
      <c r="G133" s="2" t="s">
        <v>33</v>
      </c>
      <c r="H133" s="2" t="s">
        <v>44</v>
      </c>
      <c r="I133" s="2">
        <v>0.5</v>
      </c>
      <c r="J133" s="2">
        <v>0</v>
      </c>
      <c r="K133" s="2">
        <v>2</v>
      </c>
    </row>
    <row r="134" spans="1:11">
      <c r="A134" s="2" t="s">
        <v>627</v>
      </c>
      <c r="B134" s="2" t="s">
        <v>628</v>
      </c>
      <c r="C134" s="2" t="s">
        <v>48</v>
      </c>
      <c r="D134" s="2" t="s">
        <v>441</v>
      </c>
      <c r="E134" s="2" t="s">
        <v>2870</v>
      </c>
      <c r="F134" s="2" t="s">
        <v>337</v>
      </c>
      <c r="G134" s="2" t="s">
        <v>15</v>
      </c>
      <c r="H134" s="2" t="s">
        <v>44</v>
      </c>
      <c r="I134" s="2">
        <v>0.5</v>
      </c>
      <c r="J134" s="2">
        <v>25</v>
      </c>
      <c r="K134" s="2">
        <v>7</v>
      </c>
    </row>
    <row r="135" spans="1:11">
      <c r="A135" s="2" t="s">
        <v>627</v>
      </c>
      <c r="B135" s="2" t="s">
        <v>628</v>
      </c>
      <c r="C135" s="2" t="s">
        <v>48</v>
      </c>
      <c r="D135" s="2" t="s">
        <v>441</v>
      </c>
      <c r="E135" s="2" t="s">
        <v>2882</v>
      </c>
      <c r="F135" s="2" t="s">
        <v>338</v>
      </c>
      <c r="G135" s="2" t="s">
        <v>15</v>
      </c>
      <c r="H135" s="2" t="s">
        <v>44</v>
      </c>
      <c r="I135" s="2">
        <v>0.5</v>
      </c>
      <c r="J135" s="2">
        <v>16</v>
      </c>
      <c r="K135" s="2">
        <v>6</v>
      </c>
    </row>
    <row r="136" spans="1:11">
      <c r="A136" s="2" t="s">
        <v>627</v>
      </c>
      <c r="B136" s="2" t="s">
        <v>628</v>
      </c>
      <c r="C136" s="2" t="s">
        <v>48</v>
      </c>
      <c r="D136" s="2" t="s">
        <v>441</v>
      </c>
      <c r="E136" s="2" t="s">
        <v>2886</v>
      </c>
      <c r="F136" s="2" t="s">
        <v>339</v>
      </c>
      <c r="G136" s="2" t="s">
        <v>33</v>
      </c>
      <c r="H136" s="2" t="s">
        <v>44</v>
      </c>
      <c r="I136" s="2">
        <v>0.5</v>
      </c>
      <c r="J136" s="2">
        <v>0</v>
      </c>
      <c r="K136" s="2">
        <v>6</v>
      </c>
    </row>
    <row r="137" spans="1:11">
      <c r="A137" s="2" t="s">
        <v>629</v>
      </c>
      <c r="B137" s="2" t="s">
        <v>630</v>
      </c>
      <c r="C137" s="2" t="s">
        <v>76</v>
      </c>
      <c r="D137" s="2" t="s">
        <v>441</v>
      </c>
      <c r="E137" s="2" t="s">
        <v>2870</v>
      </c>
      <c r="F137" s="2" t="s">
        <v>14</v>
      </c>
      <c r="G137" s="2" t="s">
        <v>15</v>
      </c>
      <c r="H137" s="2" t="s">
        <v>44</v>
      </c>
      <c r="I137" s="2" t="s">
        <v>12</v>
      </c>
      <c r="J137" s="2" t="s">
        <v>12</v>
      </c>
      <c r="K137" s="2" t="s">
        <v>12</v>
      </c>
    </row>
    <row r="138" spans="1:11">
      <c r="A138" s="2" t="s">
        <v>629</v>
      </c>
      <c r="B138" s="2" t="s">
        <v>630</v>
      </c>
      <c r="C138" s="2" t="s">
        <v>76</v>
      </c>
      <c r="D138" s="2" t="s">
        <v>441</v>
      </c>
      <c r="E138" s="2" t="s">
        <v>2882</v>
      </c>
      <c r="F138" s="2" t="s">
        <v>19</v>
      </c>
      <c r="G138" s="2" t="s">
        <v>15</v>
      </c>
      <c r="H138" s="2" t="s">
        <v>44</v>
      </c>
      <c r="I138" s="2" t="s">
        <v>12</v>
      </c>
      <c r="J138" s="2" t="s">
        <v>12</v>
      </c>
      <c r="K138" s="2" t="s">
        <v>12</v>
      </c>
    </row>
    <row r="139" spans="1:11">
      <c r="A139" s="2" t="s">
        <v>629</v>
      </c>
      <c r="B139" s="2" t="s">
        <v>630</v>
      </c>
      <c r="C139" s="2" t="s">
        <v>76</v>
      </c>
      <c r="D139" s="2" t="s">
        <v>441</v>
      </c>
      <c r="E139" s="2" t="s">
        <v>2886</v>
      </c>
      <c r="F139" s="2" t="s">
        <v>23</v>
      </c>
      <c r="G139" s="2" t="s">
        <v>15</v>
      </c>
      <c r="H139" s="2" t="s">
        <v>44</v>
      </c>
      <c r="I139" s="2" t="s">
        <v>12</v>
      </c>
      <c r="J139" s="2" t="s">
        <v>12</v>
      </c>
      <c r="K139" s="2" t="s">
        <v>12</v>
      </c>
    </row>
    <row r="140" spans="1:11">
      <c r="A140" s="2" t="s">
        <v>629</v>
      </c>
      <c r="B140" s="2" t="s">
        <v>630</v>
      </c>
      <c r="C140" s="2" t="s">
        <v>76</v>
      </c>
      <c r="D140" s="2" t="s">
        <v>441</v>
      </c>
      <c r="E140" s="2" t="s">
        <v>2896</v>
      </c>
      <c r="F140" s="2" t="s">
        <v>26</v>
      </c>
      <c r="G140" s="2" t="s">
        <v>15</v>
      </c>
      <c r="H140" s="2" t="s">
        <v>44</v>
      </c>
      <c r="I140" s="2" t="s">
        <v>12</v>
      </c>
      <c r="J140" s="2" t="s">
        <v>12</v>
      </c>
      <c r="K140" s="2" t="s">
        <v>12</v>
      </c>
    </row>
    <row r="141" spans="1:11">
      <c r="A141" s="2" t="s">
        <v>629</v>
      </c>
      <c r="B141" s="2" t="s">
        <v>630</v>
      </c>
      <c r="C141" s="2" t="s">
        <v>76</v>
      </c>
      <c r="D141" s="2" t="s">
        <v>441</v>
      </c>
      <c r="E141" s="2" t="s">
        <v>2901</v>
      </c>
      <c r="F141" s="2" t="s">
        <v>29</v>
      </c>
      <c r="G141" s="2" t="s">
        <v>15</v>
      </c>
      <c r="H141" s="2" t="s">
        <v>44</v>
      </c>
      <c r="I141" s="2" t="s">
        <v>12</v>
      </c>
      <c r="J141" s="2" t="s">
        <v>12</v>
      </c>
      <c r="K141" s="2" t="s">
        <v>12</v>
      </c>
    </row>
    <row r="142" spans="1:11">
      <c r="A142" s="2" t="s">
        <v>629</v>
      </c>
      <c r="B142" s="2" t="s">
        <v>630</v>
      </c>
      <c r="C142" s="2" t="s">
        <v>76</v>
      </c>
      <c r="D142" s="2" t="s">
        <v>441</v>
      </c>
      <c r="E142" s="2" t="s">
        <v>2904</v>
      </c>
      <c r="F142" s="2" t="s">
        <v>32</v>
      </c>
      <c r="G142" s="2" t="s">
        <v>33</v>
      </c>
      <c r="H142" s="2" t="s">
        <v>44</v>
      </c>
      <c r="I142" s="2" t="s">
        <v>12</v>
      </c>
      <c r="J142" s="2" t="s">
        <v>12</v>
      </c>
      <c r="K142" s="2" t="s">
        <v>12</v>
      </c>
    </row>
    <row r="143" spans="1:11">
      <c r="A143" s="2" t="s">
        <v>631</v>
      </c>
      <c r="B143" s="2" t="s">
        <v>632</v>
      </c>
      <c r="C143" s="2" t="s">
        <v>48</v>
      </c>
      <c r="D143" s="2" t="s">
        <v>441</v>
      </c>
      <c r="E143" s="2" t="s">
        <v>2870</v>
      </c>
      <c r="F143" s="2" t="s">
        <v>404</v>
      </c>
      <c r="G143" s="2" t="s">
        <v>33</v>
      </c>
      <c r="H143" s="2" t="s">
        <v>44</v>
      </c>
      <c r="I143" s="2" t="s">
        <v>12</v>
      </c>
      <c r="J143" s="2">
        <v>0</v>
      </c>
      <c r="K143" s="2" t="s">
        <v>12</v>
      </c>
    </row>
    <row r="144" spans="1:11">
      <c r="A144" s="2" t="s">
        <v>633</v>
      </c>
      <c r="B144" s="2" t="s">
        <v>634</v>
      </c>
      <c r="C144" s="2" t="s">
        <v>76</v>
      </c>
      <c r="D144" s="2" t="s">
        <v>441</v>
      </c>
      <c r="E144" s="2" t="s">
        <v>2870</v>
      </c>
      <c r="F144" s="2" t="s">
        <v>337</v>
      </c>
      <c r="G144" s="2" t="s">
        <v>15</v>
      </c>
      <c r="H144" s="2" t="s">
        <v>44</v>
      </c>
      <c r="I144" s="2" t="s">
        <v>12</v>
      </c>
      <c r="J144" s="2" t="s">
        <v>12</v>
      </c>
      <c r="K144" s="2" t="s">
        <v>12</v>
      </c>
    </row>
    <row r="145" spans="1:11">
      <c r="A145" s="2" t="s">
        <v>633</v>
      </c>
      <c r="B145" s="2" t="s">
        <v>634</v>
      </c>
      <c r="C145" s="2" t="s">
        <v>76</v>
      </c>
      <c r="D145" s="2" t="s">
        <v>441</v>
      </c>
      <c r="E145" s="2" t="s">
        <v>2882</v>
      </c>
      <c r="F145" s="2" t="s">
        <v>338</v>
      </c>
      <c r="G145" s="2" t="s">
        <v>15</v>
      </c>
      <c r="H145" s="2" t="s">
        <v>44</v>
      </c>
      <c r="I145" s="2" t="s">
        <v>12</v>
      </c>
      <c r="J145" s="2" t="s">
        <v>12</v>
      </c>
      <c r="K145" s="2" t="s">
        <v>12</v>
      </c>
    </row>
    <row r="146" spans="1:11">
      <c r="A146" s="2" t="s">
        <v>633</v>
      </c>
      <c r="B146" s="2" t="s">
        <v>634</v>
      </c>
      <c r="C146" s="2" t="s">
        <v>76</v>
      </c>
      <c r="D146" s="2" t="s">
        <v>441</v>
      </c>
      <c r="E146" s="2" t="s">
        <v>2886</v>
      </c>
      <c r="F146" s="2" t="s">
        <v>339</v>
      </c>
      <c r="G146" s="2" t="s">
        <v>33</v>
      </c>
      <c r="H146" s="2" t="s">
        <v>44</v>
      </c>
      <c r="I146" s="2" t="s">
        <v>12</v>
      </c>
      <c r="J146" s="2" t="s">
        <v>12</v>
      </c>
      <c r="K146" s="2" t="s">
        <v>12</v>
      </c>
    </row>
    <row r="147" spans="1:11">
      <c r="A147" s="2" t="s">
        <v>635</v>
      </c>
      <c r="B147" s="2" t="s">
        <v>636</v>
      </c>
      <c r="C147" s="2" t="s">
        <v>48</v>
      </c>
      <c r="D147" s="2" t="s">
        <v>441</v>
      </c>
      <c r="E147" s="2" t="s">
        <v>2870</v>
      </c>
      <c r="F147" s="2" t="s">
        <v>450</v>
      </c>
      <c r="G147" s="2" t="s">
        <v>15</v>
      </c>
      <c r="H147" s="2" t="s">
        <v>44</v>
      </c>
      <c r="I147" s="2">
        <v>0.5</v>
      </c>
      <c r="J147" s="2">
        <v>28</v>
      </c>
      <c r="K147" s="2">
        <v>9</v>
      </c>
    </row>
    <row r="148" spans="1:11">
      <c r="A148" s="2" t="s">
        <v>635</v>
      </c>
      <c r="B148" s="2" t="s">
        <v>636</v>
      </c>
      <c r="C148" s="2" t="s">
        <v>48</v>
      </c>
      <c r="D148" s="2" t="s">
        <v>441</v>
      </c>
      <c r="E148" s="2" t="s">
        <v>2882</v>
      </c>
      <c r="F148" s="2" t="s">
        <v>451</v>
      </c>
      <c r="G148" s="2" t="s">
        <v>15</v>
      </c>
      <c r="H148" s="2" t="s">
        <v>44</v>
      </c>
      <c r="I148" s="2">
        <v>0.5</v>
      </c>
      <c r="J148" s="2">
        <v>30</v>
      </c>
      <c r="K148" s="2">
        <v>8</v>
      </c>
    </row>
    <row r="149" spans="1:11">
      <c r="A149" s="2" t="s">
        <v>635</v>
      </c>
      <c r="B149" s="2" t="s">
        <v>636</v>
      </c>
      <c r="C149" s="2" t="s">
        <v>48</v>
      </c>
      <c r="D149" s="2" t="s">
        <v>441</v>
      </c>
      <c r="E149" s="2" t="s">
        <v>2886</v>
      </c>
      <c r="F149" s="2" t="s">
        <v>452</v>
      </c>
      <c r="G149" s="2" t="s">
        <v>33</v>
      </c>
      <c r="H149" s="2" t="s">
        <v>44</v>
      </c>
      <c r="I149" s="2">
        <v>0.5</v>
      </c>
      <c r="J149" s="2">
        <v>2</v>
      </c>
      <c r="K149" s="2">
        <v>9</v>
      </c>
    </row>
    <row r="150" spans="1:11">
      <c r="A150" s="2" t="s">
        <v>637</v>
      </c>
      <c r="B150" s="2" t="s">
        <v>638</v>
      </c>
      <c r="C150" s="2" t="s">
        <v>76</v>
      </c>
      <c r="D150" s="2" t="s">
        <v>441</v>
      </c>
      <c r="E150" s="2" t="s">
        <v>2870</v>
      </c>
      <c r="F150" s="2" t="s">
        <v>337</v>
      </c>
      <c r="G150" s="2" t="s">
        <v>15</v>
      </c>
      <c r="H150" s="2" t="s">
        <v>44</v>
      </c>
      <c r="I150" s="2">
        <v>0.5</v>
      </c>
      <c r="J150" s="2">
        <v>37</v>
      </c>
      <c r="K150" s="2">
        <v>8</v>
      </c>
    </row>
    <row r="151" spans="1:11">
      <c r="A151" s="2" t="s">
        <v>637</v>
      </c>
      <c r="B151" s="2" t="s">
        <v>638</v>
      </c>
      <c r="C151" s="2" t="s">
        <v>76</v>
      </c>
      <c r="D151" s="2" t="s">
        <v>441</v>
      </c>
      <c r="E151" s="2" t="s">
        <v>2882</v>
      </c>
      <c r="F151" s="2" t="s">
        <v>338</v>
      </c>
      <c r="G151" s="2" t="s">
        <v>15</v>
      </c>
      <c r="H151" s="2" t="s">
        <v>44</v>
      </c>
      <c r="I151" s="2">
        <v>0.5</v>
      </c>
      <c r="J151" s="2">
        <v>53</v>
      </c>
      <c r="K151" s="2">
        <v>4</v>
      </c>
    </row>
    <row r="152" spans="1:11">
      <c r="A152" s="2" t="s">
        <v>637</v>
      </c>
      <c r="B152" s="2" t="s">
        <v>638</v>
      </c>
      <c r="C152" s="2" t="s">
        <v>76</v>
      </c>
      <c r="D152" s="2" t="s">
        <v>441</v>
      </c>
      <c r="E152" s="2" t="s">
        <v>2886</v>
      </c>
      <c r="F152" s="2" t="s">
        <v>339</v>
      </c>
      <c r="G152" s="2" t="s">
        <v>33</v>
      </c>
      <c r="H152" s="2" t="s">
        <v>44</v>
      </c>
      <c r="I152" s="2" t="s">
        <v>12</v>
      </c>
      <c r="J152" s="2">
        <v>5</v>
      </c>
      <c r="K152" s="2" t="s">
        <v>12</v>
      </c>
    </row>
    <row r="153" spans="1:11">
      <c r="A153" s="2" t="s">
        <v>639</v>
      </c>
      <c r="B153" s="2" t="s">
        <v>640</v>
      </c>
      <c r="C153" s="2" t="s">
        <v>48</v>
      </c>
      <c r="D153" s="2" t="s">
        <v>441</v>
      </c>
      <c r="E153" s="2" t="s">
        <v>2870</v>
      </c>
      <c r="F153" s="2" t="s">
        <v>337</v>
      </c>
      <c r="G153" s="2" t="s">
        <v>15</v>
      </c>
      <c r="H153" s="2" t="s">
        <v>44</v>
      </c>
      <c r="I153" s="2">
        <v>0.5</v>
      </c>
      <c r="J153" s="2">
        <v>20</v>
      </c>
      <c r="K153" s="2">
        <v>8</v>
      </c>
    </row>
    <row r="154" spans="1:11">
      <c r="A154" s="2" t="s">
        <v>639</v>
      </c>
      <c r="B154" s="2" t="s">
        <v>640</v>
      </c>
      <c r="C154" s="2" t="s">
        <v>48</v>
      </c>
      <c r="D154" s="2" t="s">
        <v>441</v>
      </c>
      <c r="E154" s="2" t="s">
        <v>2882</v>
      </c>
      <c r="F154" s="2" t="s">
        <v>338</v>
      </c>
      <c r="G154" s="2" t="s">
        <v>15</v>
      </c>
      <c r="H154" s="2" t="s">
        <v>44</v>
      </c>
      <c r="I154" s="2">
        <v>0.5</v>
      </c>
      <c r="J154" s="2">
        <v>13</v>
      </c>
      <c r="K154" s="2">
        <v>6</v>
      </c>
    </row>
    <row r="155" spans="1:11">
      <c r="A155" s="2" t="s">
        <v>639</v>
      </c>
      <c r="B155" s="2" t="s">
        <v>640</v>
      </c>
      <c r="C155" s="2" t="s">
        <v>48</v>
      </c>
      <c r="D155" s="2" t="s">
        <v>441</v>
      </c>
      <c r="E155" s="2" t="s">
        <v>2886</v>
      </c>
      <c r="F155" s="2" t="s">
        <v>339</v>
      </c>
      <c r="G155" s="2" t="s">
        <v>33</v>
      </c>
      <c r="H155" s="2" t="s">
        <v>44</v>
      </c>
      <c r="I155" s="2">
        <v>0.5</v>
      </c>
      <c r="J155" s="2">
        <v>2</v>
      </c>
      <c r="K155" s="2">
        <v>6</v>
      </c>
    </row>
    <row r="156" spans="1:11">
      <c r="A156" s="2" t="s">
        <v>641</v>
      </c>
      <c r="B156" s="2" t="s">
        <v>642</v>
      </c>
      <c r="C156" s="2" t="s">
        <v>48</v>
      </c>
      <c r="D156" s="2" t="s">
        <v>441</v>
      </c>
      <c r="E156" s="2" t="s">
        <v>2870</v>
      </c>
      <c r="F156" s="2" t="s">
        <v>643</v>
      </c>
      <c r="G156" s="2" t="s">
        <v>15</v>
      </c>
      <c r="H156" s="2" t="s">
        <v>44</v>
      </c>
      <c r="I156" s="2" t="s">
        <v>12</v>
      </c>
      <c r="J156" s="2" t="s">
        <v>12</v>
      </c>
      <c r="K156" s="2" t="s">
        <v>12</v>
      </c>
    </row>
    <row r="157" spans="1:11">
      <c r="A157" s="2" t="s">
        <v>641</v>
      </c>
      <c r="B157" s="2" t="s">
        <v>642</v>
      </c>
      <c r="C157" s="2" t="s">
        <v>48</v>
      </c>
      <c r="D157" s="2" t="s">
        <v>441</v>
      </c>
      <c r="E157" s="2" t="s">
        <v>2882</v>
      </c>
      <c r="F157" s="2" t="s">
        <v>576</v>
      </c>
      <c r="G157" s="2" t="s">
        <v>15</v>
      </c>
      <c r="H157" s="2" t="s">
        <v>44</v>
      </c>
      <c r="I157" s="2" t="s">
        <v>12</v>
      </c>
      <c r="J157" s="2" t="s">
        <v>12</v>
      </c>
      <c r="K157" s="2" t="s">
        <v>12</v>
      </c>
    </row>
    <row r="158" spans="1:11">
      <c r="A158" s="2" t="s">
        <v>641</v>
      </c>
      <c r="B158" s="2" t="s">
        <v>642</v>
      </c>
      <c r="C158" s="2" t="s">
        <v>48</v>
      </c>
      <c r="D158" s="2" t="s">
        <v>441</v>
      </c>
      <c r="E158" s="2" t="s">
        <v>2886</v>
      </c>
      <c r="F158" s="2" t="s">
        <v>526</v>
      </c>
      <c r="G158" s="2" t="s">
        <v>15</v>
      </c>
      <c r="H158" s="2" t="s">
        <v>44</v>
      </c>
      <c r="I158" s="2" t="s">
        <v>12</v>
      </c>
      <c r="J158" s="2" t="s">
        <v>12</v>
      </c>
      <c r="K158" s="2" t="s">
        <v>12</v>
      </c>
    </row>
    <row r="159" spans="1:11">
      <c r="A159" s="2" t="s">
        <v>641</v>
      </c>
      <c r="B159" s="2" t="s">
        <v>642</v>
      </c>
      <c r="C159" s="2" t="s">
        <v>48</v>
      </c>
      <c r="D159" s="2" t="s">
        <v>441</v>
      </c>
      <c r="E159" s="2" t="s">
        <v>2896</v>
      </c>
      <c r="F159" s="2" t="s">
        <v>527</v>
      </c>
      <c r="G159" s="2" t="s">
        <v>33</v>
      </c>
      <c r="H159" s="2" t="s">
        <v>44</v>
      </c>
      <c r="I159" s="2" t="s">
        <v>12</v>
      </c>
      <c r="J159" s="2" t="s">
        <v>12</v>
      </c>
      <c r="K159" s="2" t="s">
        <v>12</v>
      </c>
    </row>
    <row r="160" spans="1:11">
      <c r="A160" s="2" t="s">
        <v>644</v>
      </c>
      <c r="B160" s="2" t="s">
        <v>645</v>
      </c>
      <c r="C160" s="2" t="s">
        <v>11</v>
      </c>
      <c r="D160" s="2" t="s">
        <v>461</v>
      </c>
      <c r="E160" s="2" t="s">
        <v>2870</v>
      </c>
      <c r="F160" s="2" t="s">
        <v>531</v>
      </c>
      <c r="G160" s="2" t="s">
        <v>15</v>
      </c>
      <c r="H160" s="2" t="s">
        <v>44</v>
      </c>
      <c r="I160" s="2">
        <v>0.5</v>
      </c>
      <c r="J160" s="2">
        <v>6</v>
      </c>
      <c r="K160" s="2">
        <v>2</v>
      </c>
    </row>
    <row r="161" spans="1:11">
      <c r="A161" s="2" t="s">
        <v>644</v>
      </c>
      <c r="B161" s="2" t="s">
        <v>645</v>
      </c>
      <c r="C161" s="2" t="s">
        <v>11</v>
      </c>
      <c r="D161" s="2" t="s">
        <v>461</v>
      </c>
      <c r="E161" s="2" t="s">
        <v>2882</v>
      </c>
      <c r="F161" s="2" t="s">
        <v>302</v>
      </c>
      <c r="G161" s="2" t="s">
        <v>33</v>
      </c>
      <c r="H161" s="2" t="s">
        <v>44</v>
      </c>
      <c r="I161" s="2">
        <v>0.5</v>
      </c>
      <c r="J161" s="2">
        <v>2</v>
      </c>
      <c r="K161" s="2">
        <v>1</v>
      </c>
    </row>
    <row r="162" spans="1:11">
      <c r="A162" s="2" t="s">
        <v>644</v>
      </c>
      <c r="B162" s="2" t="s">
        <v>645</v>
      </c>
      <c r="C162" s="2" t="s">
        <v>11</v>
      </c>
      <c r="D162" s="2" t="s">
        <v>461</v>
      </c>
      <c r="E162" s="2" t="s">
        <v>2886</v>
      </c>
      <c r="F162" s="2" t="s">
        <v>303</v>
      </c>
      <c r="G162" s="2" t="s">
        <v>225</v>
      </c>
      <c r="H162" s="2" t="s">
        <v>44</v>
      </c>
      <c r="I162" s="2" t="s">
        <v>12</v>
      </c>
      <c r="J162" s="2" t="s">
        <v>12</v>
      </c>
      <c r="K162" s="2" t="s">
        <v>12</v>
      </c>
    </row>
    <row r="163" spans="1:11">
      <c r="A163" s="2" t="s">
        <v>646</v>
      </c>
      <c r="B163" s="2" t="s">
        <v>647</v>
      </c>
      <c r="C163" s="2" t="s">
        <v>48</v>
      </c>
      <c r="D163" s="2" t="s">
        <v>441</v>
      </c>
      <c r="E163" s="2" t="s">
        <v>2870</v>
      </c>
      <c r="F163" s="2" t="s">
        <v>337</v>
      </c>
      <c r="G163" s="2" t="s">
        <v>15</v>
      </c>
      <c r="H163" s="2" t="s">
        <v>44</v>
      </c>
      <c r="I163" s="2" t="s">
        <v>12</v>
      </c>
      <c r="J163" s="2">
        <v>1</v>
      </c>
      <c r="K163" s="2" t="s">
        <v>12</v>
      </c>
    </row>
    <row r="164" spans="1:11">
      <c r="A164" s="2" t="s">
        <v>646</v>
      </c>
      <c r="B164" s="2" t="s">
        <v>647</v>
      </c>
      <c r="C164" s="2" t="s">
        <v>48</v>
      </c>
      <c r="D164" s="2" t="s">
        <v>441</v>
      </c>
      <c r="E164" s="2" t="s">
        <v>2882</v>
      </c>
      <c r="F164" s="2" t="s">
        <v>338</v>
      </c>
      <c r="G164" s="2" t="s">
        <v>15</v>
      </c>
      <c r="H164" s="2" t="s">
        <v>44</v>
      </c>
      <c r="I164" s="2" t="s">
        <v>12</v>
      </c>
      <c r="J164" s="2" t="s">
        <v>12</v>
      </c>
      <c r="K164" s="2" t="s">
        <v>12</v>
      </c>
    </row>
    <row r="165" spans="1:11">
      <c r="A165" s="2" t="s">
        <v>646</v>
      </c>
      <c r="B165" s="2" t="s">
        <v>647</v>
      </c>
      <c r="C165" s="2" t="s">
        <v>48</v>
      </c>
      <c r="D165" s="2" t="s">
        <v>441</v>
      </c>
      <c r="E165" s="2" t="s">
        <v>2886</v>
      </c>
      <c r="F165" s="2" t="s">
        <v>339</v>
      </c>
      <c r="G165" s="2" t="s">
        <v>33</v>
      </c>
      <c r="H165" s="2" t="s">
        <v>44</v>
      </c>
      <c r="I165" s="2" t="s">
        <v>12</v>
      </c>
      <c r="J165" s="2" t="s">
        <v>12</v>
      </c>
      <c r="K165" s="2" t="s">
        <v>12</v>
      </c>
    </row>
    <row r="166" spans="1:11">
      <c r="A166" s="2" t="s">
        <v>648</v>
      </c>
      <c r="B166" s="2" t="s">
        <v>649</v>
      </c>
      <c r="C166" s="2" t="s">
        <v>76</v>
      </c>
      <c r="D166" s="2" t="s">
        <v>441</v>
      </c>
      <c r="E166" s="2" t="s">
        <v>2870</v>
      </c>
      <c r="F166" s="2" t="s">
        <v>450</v>
      </c>
      <c r="G166" s="2" t="s">
        <v>15</v>
      </c>
      <c r="H166" s="2" t="s">
        <v>44</v>
      </c>
      <c r="I166" s="2">
        <v>0.5</v>
      </c>
      <c r="J166" s="2">
        <v>25</v>
      </c>
      <c r="K166" s="2">
        <v>11</v>
      </c>
    </row>
    <row r="167" spans="1:11">
      <c r="A167" s="2" t="s">
        <v>648</v>
      </c>
      <c r="B167" s="2" t="s">
        <v>649</v>
      </c>
      <c r="C167" s="2" t="s">
        <v>76</v>
      </c>
      <c r="D167" s="2" t="s">
        <v>441</v>
      </c>
      <c r="E167" s="2" t="s">
        <v>2882</v>
      </c>
      <c r="F167" s="2" t="s">
        <v>451</v>
      </c>
      <c r="G167" s="2" t="s">
        <v>15</v>
      </c>
      <c r="H167" s="2" t="s">
        <v>44</v>
      </c>
      <c r="I167" s="2">
        <v>0.5</v>
      </c>
      <c r="J167" s="2">
        <v>45</v>
      </c>
      <c r="K167" s="2">
        <v>6</v>
      </c>
    </row>
    <row r="168" spans="1:11">
      <c r="A168" s="2" t="s">
        <v>648</v>
      </c>
      <c r="B168" s="2" t="s">
        <v>649</v>
      </c>
      <c r="C168" s="2" t="s">
        <v>76</v>
      </c>
      <c r="D168" s="2" t="s">
        <v>441</v>
      </c>
      <c r="E168" s="2" t="s">
        <v>2886</v>
      </c>
      <c r="F168" s="2" t="s">
        <v>452</v>
      </c>
      <c r="G168" s="2" t="s">
        <v>33</v>
      </c>
      <c r="H168" s="2" t="s">
        <v>44</v>
      </c>
      <c r="I168" s="2" t="s">
        <v>12</v>
      </c>
      <c r="J168" s="2">
        <v>0</v>
      </c>
      <c r="K168" s="2" t="s">
        <v>12</v>
      </c>
    </row>
    <row r="169" spans="1:11">
      <c r="A169" s="2" t="s">
        <v>650</v>
      </c>
      <c r="B169" s="2" t="s">
        <v>651</v>
      </c>
      <c r="C169" s="2" t="s">
        <v>48</v>
      </c>
      <c r="D169" s="2" t="s">
        <v>441</v>
      </c>
      <c r="E169" s="2" t="s">
        <v>2870</v>
      </c>
      <c r="F169" s="2" t="s">
        <v>643</v>
      </c>
      <c r="G169" s="2" t="s">
        <v>15</v>
      </c>
      <c r="H169" s="2" t="s">
        <v>44</v>
      </c>
      <c r="I169" s="2" t="s">
        <v>12</v>
      </c>
      <c r="J169" s="2" t="s">
        <v>12</v>
      </c>
      <c r="K169" s="2" t="s">
        <v>12</v>
      </c>
    </row>
    <row r="170" spans="1:11">
      <c r="A170" s="2" t="s">
        <v>650</v>
      </c>
      <c r="B170" s="2" t="s">
        <v>651</v>
      </c>
      <c r="C170" s="2" t="s">
        <v>48</v>
      </c>
      <c r="D170" s="2" t="s">
        <v>441</v>
      </c>
      <c r="E170" s="2" t="s">
        <v>2882</v>
      </c>
      <c r="F170" s="2" t="s">
        <v>576</v>
      </c>
      <c r="G170" s="2" t="s">
        <v>15</v>
      </c>
      <c r="H170" s="2" t="s">
        <v>44</v>
      </c>
      <c r="I170" s="2" t="s">
        <v>12</v>
      </c>
      <c r="J170" s="2" t="s">
        <v>12</v>
      </c>
      <c r="K170" s="2" t="s">
        <v>12</v>
      </c>
    </row>
    <row r="171" spans="1:11">
      <c r="A171" s="2" t="s">
        <v>650</v>
      </c>
      <c r="B171" s="2" t="s">
        <v>651</v>
      </c>
      <c r="C171" s="2" t="s">
        <v>48</v>
      </c>
      <c r="D171" s="2" t="s">
        <v>441</v>
      </c>
      <c r="E171" s="2" t="s">
        <v>2886</v>
      </c>
      <c r="F171" s="2" t="s">
        <v>526</v>
      </c>
      <c r="G171" s="2" t="s">
        <v>15</v>
      </c>
      <c r="H171" s="2" t="s">
        <v>44</v>
      </c>
      <c r="I171" s="2" t="s">
        <v>12</v>
      </c>
      <c r="J171" s="2" t="s">
        <v>12</v>
      </c>
      <c r="K171" s="2" t="s">
        <v>12</v>
      </c>
    </row>
    <row r="172" spans="1:11">
      <c r="A172" s="2" t="s">
        <v>650</v>
      </c>
      <c r="B172" s="2" t="s">
        <v>651</v>
      </c>
      <c r="C172" s="2" t="s">
        <v>48</v>
      </c>
      <c r="D172" s="2" t="s">
        <v>441</v>
      </c>
      <c r="E172" s="2" t="s">
        <v>2896</v>
      </c>
      <c r="F172" s="2" t="s">
        <v>527</v>
      </c>
      <c r="G172" s="2" t="s">
        <v>33</v>
      </c>
      <c r="H172" s="2" t="s">
        <v>44</v>
      </c>
      <c r="I172" s="2" t="s">
        <v>12</v>
      </c>
      <c r="J172" s="2" t="s">
        <v>12</v>
      </c>
      <c r="K172" s="2" t="s">
        <v>12</v>
      </c>
    </row>
    <row r="173" spans="1:11">
      <c r="A173" s="2" t="s">
        <v>652</v>
      </c>
      <c r="B173" s="2" t="s">
        <v>653</v>
      </c>
      <c r="C173" s="2" t="s">
        <v>48</v>
      </c>
      <c r="D173" s="2" t="s">
        <v>461</v>
      </c>
      <c r="E173" s="2" t="s">
        <v>2870</v>
      </c>
      <c r="F173" s="2" t="s">
        <v>122</v>
      </c>
      <c r="G173" s="2" t="s">
        <v>15</v>
      </c>
      <c r="H173" s="2" t="s">
        <v>44</v>
      </c>
      <c r="I173" s="2" t="s">
        <v>12</v>
      </c>
      <c r="J173" s="2" t="s">
        <v>12</v>
      </c>
      <c r="K173" s="2" t="s">
        <v>12</v>
      </c>
    </row>
    <row r="174" spans="1:11">
      <c r="A174" s="2" t="s">
        <v>652</v>
      </c>
      <c r="B174" s="2" t="s">
        <v>653</v>
      </c>
      <c r="C174" s="2" t="s">
        <v>48</v>
      </c>
      <c r="D174" s="2" t="s">
        <v>461</v>
      </c>
      <c r="E174" s="2" t="s">
        <v>2882</v>
      </c>
      <c r="F174" s="2" t="s">
        <v>124</v>
      </c>
      <c r="G174" s="2" t="s">
        <v>15</v>
      </c>
      <c r="H174" s="2" t="s">
        <v>44</v>
      </c>
      <c r="I174" s="2" t="s">
        <v>12</v>
      </c>
      <c r="J174" s="2" t="s">
        <v>12</v>
      </c>
      <c r="K174" s="2" t="s">
        <v>12</v>
      </c>
    </row>
    <row r="175" spans="1:11">
      <c r="A175" s="2" t="s">
        <v>652</v>
      </c>
      <c r="B175" s="2" t="s">
        <v>653</v>
      </c>
      <c r="C175" s="2" t="s">
        <v>48</v>
      </c>
      <c r="D175" s="2" t="s">
        <v>461</v>
      </c>
      <c r="E175" s="2" t="s">
        <v>2886</v>
      </c>
      <c r="F175" s="2" t="s">
        <v>126</v>
      </c>
      <c r="G175" s="2" t="s">
        <v>15</v>
      </c>
      <c r="H175" s="2" t="s">
        <v>44</v>
      </c>
      <c r="I175" s="2" t="s">
        <v>12</v>
      </c>
      <c r="J175" s="2" t="s">
        <v>12</v>
      </c>
      <c r="K175" s="2" t="s">
        <v>12</v>
      </c>
    </row>
    <row r="176" spans="1:11">
      <c r="A176" s="2" t="s">
        <v>652</v>
      </c>
      <c r="B176" s="2" t="s">
        <v>653</v>
      </c>
      <c r="C176" s="2" t="s">
        <v>48</v>
      </c>
      <c r="D176" s="2" t="s">
        <v>461</v>
      </c>
      <c r="E176" s="2" t="s">
        <v>2896</v>
      </c>
      <c r="F176" s="2" t="s">
        <v>128</v>
      </c>
      <c r="G176" s="2" t="s">
        <v>15</v>
      </c>
      <c r="H176" s="2" t="s">
        <v>44</v>
      </c>
      <c r="I176" s="2" t="s">
        <v>12</v>
      </c>
      <c r="J176" s="2" t="s">
        <v>12</v>
      </c>
      <c r="K176" s="2" t="s">
        <v>12</v>
      </c>
    </row>
    <row r="177" spans="1:11">
      <c r="A177" s="2" t="s">
        <v>652</v>
      </c>
      <c r="B177" s="2" t="s">
        <v>653</v>
      </c>
      <c r="C177" s="2" t="s">
        <v>48</v>
      </c>
      <c r="D177" s="2" t="s">
        <v>461</v>
      </c>
      <c r="E177" s="2" t="s">
        <v>2901</v>
      </c>
      <c r="F177" s="2" t="s">
        <v>130</v>
      </c>
      <c r="G177" s="2" t="s">
        <v>15</v>
      </c>
      <c r="H177" s="2" t="s">
        <v>44</v>
      </c>
      <c r="I177" s="2" t="s">
        <v>12</v>
      </c>
      <c r="J177" s="2" t="s">
        <v>12</v>
      </c>
      <c r="K177" s="2" t="s">
        <v>12</v>
      </c>
    </row>
    <row r="178" spans="1:11">
      <c r="A178" s="2" t="s">
        <v>652</v>
      </c>
      <c r="B178" s="2" t="s">
        <v>653</v>
      </c>
      <c r="C178" s="2" t="s">
        <v>48</v>
      </c>
      <c r="D178" s="2" t="s">
        <v>461</v>
      </c>
      <c r="E178" s="2" t="s">
        <v>2904</v>
      </c>
      <c r="F178" s="2" t="s">
        <v>132</v>
      </c>
      <c r="G178" s="2" t="s">
        <v>33</v>
      </c>
      <c r="H178" s="2" t="s">
        <v>44</v>
      </c>
      <c r="I178" s="2" t="s">
        <v>12</v>
      </c>
      <c r="J178" s="2" t="s">
        <v>12</v>
      </c>
      <c r="K178" s="2" t="s">
        <v>12</v>
      </c>
    </row>
    <row r="179" spans="1:11">
      <c r="A179" s="2" t="s">
        <v>654</v>
      </c>
      <c r="B179" s="2" t="s">
        <v>655</v>
      </c>
      <c r="C179" s="2" t="s">
        <v>76</v>
      </c>
      <c r="D179" s="2" t="s">
        <v>441</v>
      </c>
      <c r="E179" s="2" t="s">
        <v>2870</v>
      </c>
      <c r="F179" s="2" t="s">
        <v>450</v>
      </c>
      <c r="G179" s="2" t="s">
        <v>15</v>
      </c>
      <c r="H179" s="2" t="s">
        <v>44</v>
      </c>
      <c r="I179" s="2">
        <v>0.5</v>
      </c>
      <c r="J179" s="2">
        <v>13</v>
      </c>
      <c r="K179" s="2">
        <v>3</v>
      </c>
    </row>
    <row r="180" spans="1:11">
      <c r="A180" s="2" t="s">
        <v>654</v>
      </c>
      <c r="B180" s="2" t="s">
        <v>655</v>
      </c>
      <c r="C180" s="2" t="s">
        <v>76</v>
      </c>
      <c r="D180" s="2" t="s">
        <v>441</v>
      </c>
      <c r="E180" s="2" t="s">
        <v>2882</v>
      </c>
      <c r="F180" s="2" t="s">
        <v>451</v>
      </c>
      <c r="G180" s="2" t="s">
        <v>15</v>
      </c>
      <c r="H180" s="2" t="s">
        <v>44</v>
      </c>
      <c r="I180" s="2">
        <v>0.5</v>
      </c>
      <c r="J180" s="2">
        <v>54</v>
      </c>
      <c r="K180" s="2">
        <v>6</v>
      </c>
    </row>
    <row r="181" spans="1:11">
      <c r="A181" s="2" t="s">
        <v>654</v>
      </c>
      <c r="B181" s="2" t="s">
        <v>655</v>
      </c>
      <c r="C181" s="2" t="s">
        <v>76</v>
      </c>
      <c r="D181" s="2" t="s">
        <v>441</v>
      </c>
      <c r="E181" s="2" t="s">
        <v>2886</v>
      </c>
      <c r="F181" s="2" t="s">
        <v>452</v>
      </c>
      <c r="G181" s="2" t="s">
        <v>33</v>
      </c>
      <c r="H181" s="2" t="s">
        <v>44</v>
      </c>
      <c r="I181" s="2" t="s">
        <v>12</v>
      </c>
      <c r="J181" s="2">
        <v>14</v>
      </c>
      <c r="K181" s="2" t="s">
        <v>12</v>
      </c>
    </row>
    <row r="182" spans="1:11">
      <c r="A182" s="2" t="s">
        <v>656</v>
      </c>
      <c r="B182" s="2" t="s">
        <v>657</v>
      </c>
      <c r="C182" s="2" t="s">
        <v>76</v>
      </c>
      <c r="D182" s="2" t="s">
        <v>441</v>
      </c>
      <c r="E182" s="2" t="s">
        <v>2870</v>
      </c>
      <c r="F182" s="2" t="s">
        <v>115</v>
      </c>
      <c r="G182" s="2" t="s">
        <v>15</v>
      </c>
      <c r="H182" s="2" t="s">
        <v>44</v>
      </c>
      <c r="I182" s="2">
        <v>0.5</v>
      </c>
      <c r="J182" s="2">
        <v>43</v>
      </c>
      <c r="K182" s="2">
        <v>14</v>
      </c>
    </row>
    <row r="183" spans="1:11">
      <c r="A183" s="2" t="s">
        <v>656</v>
      </c>
      <c r="B183" s="2" t="s">
        <v>657</v>
      </c>
      <c r="C183" s="2" t="s">
        <v>76</v>
      </c>
      <c r="D183" s="2" t="s">
        <v>441</v>
      </c>
      <c r="E183" s="2" t="s">
        <v>2882</v>
      </c>
      <c r="F183" s="2" t="s">
        <v>117</v>
      </c>
      <c r="G183" s="2" t="s">
        <v>15</v>
      </c>
      <c r="H183" s="2" t="s">
        <v>44</v>
      </c>
      <c r="I183" s="2">
        <v>0.5</v>
      </c>
      <c r="J183" s="2">
        <v>23</v>
      </c>
      <c r="K183" s="2">
        <v>6</v>
      </c>
    </row>
    <row r="184" spans="1:11">
      <c r="A184" s="2" t="s">
        <v>656</v>
      </c>
      <c r="B184" s="2" t="s">
        <v>657</v>
      </c>
      <c r="C184" s="2" t="s">
        <v>76</v>
      </c>
      <c r="D184" s="2" t="s">
        <v>441</v>
      </c>
      <c r="E184" s="2" t="s">
        <v>2886</v>
      </c>
      <c r="F184" s="2" t="s">
        <v>119</v>
      </c>
      <c r="G184" s="2" t="s">
        <v>33</v>
      </c>
      <c r="H184" s="2" t="s">
        <v>44</v>
      </c>
      <c r="I184" s="2" t="s">
        <v>12</v>
      </c>
      <c r="J184" s="2">
        <v>0</v>
      </c>
      <c r="K184" s="2" t="s">
        <v>12</v>
      </c>
    </row>
    <row r="185" spans="1:11">
      <c r="A185" s="2" t="s">
        <v>658</v>
      </c>
      <c r="B185" s="2" t="s">
        <v>659</v>
      </c>
      <c r="C185" s="2" t="s">
        <v>48</v>
      </c>
      <c r="D185" s="2" t="s">
        <v>441</v>
      </c>
      <c r="E185" s="2" t="s">
        <v>2870</v>
      </c>
      <c r="F185" s="2" t="s">
        <v>643</v>
      </c>
      <c r="G185" s="2" t="s">
        <v>15</v>
      </c>
      <c r="H185" s="2" t="s">
        <v>44</v>
      </c>
      <c r="I185" s="2" t="s">
        <v>12</v>
      </c>
      <c r="J185" s="2" t="s">
        <v>12</v>
      </c>
      <c r="K185" s="2" t="s">
        <v>12</v>
      </c>
    </row>
    <row r="186" spans="1:11">
      <c r="A186" s="2" t="s">
        <v>658</v>
      </c>
      <c r="B186" s="2" t="s">
        <v>659</v>
      </c>
      <c r="C186" s="2" t="s">
        <v>48</v>
      </c>
      <c r="D186" s="2" t="s">
        <v>441</v>
      </c>
      <c r="E186" s="2" t="s">
        <v>2882</v>
      </c>
      <c r="F186" s="2" t="s">
        <v>576</v>
      </c>
      <c r="G186" s="2" t="s">
        <v>15</v>
      </c>
      <c r="H186" s="2" t="s">
        <v>44</v>
      </c>
      <c r="I186" s="2" t="s">
        <v>12</v>
      </c>
      <c r="J186" s="2" t="s">
        <v>12</v>
      </c>
      <c r="K186" s="2" t="s">
        <v>12</v>
      </c>
    </row>
    <row r="187" spans="1:11">
      <c r="A187" s="2" t="s">
        <v>658</v>
      </c>
      <c r="B187" s="2" t="s">
        <v>659</v>
      </c>
      <c r="C187" s="2" t="s">
        <v>48</v>
      </c>
      <c r="D187" s="2" t="s">
        <v>441</v>
      </c>
      <c r="E187" s="2" t="s">
        <v>2886</v>
      </c>
      <c r="F187" s="2" t="s">
        <v>526</v>
      </c>
      <c r="G187" s="2" t="s">
        <v>15</v>
      </c>
      <c r="H187" s="2" t="s">
        <v>44</v>
      </c>
      <c r="I187" s="2" t="s">
        <v>12</v>
      </c>
      <c r="J187" s="2">
        <v>3</v>
      </c>
      <c r="K187" s="2" t="s">
        <v>12</v>
      </c>
    </row>
    <row r="188" spans="1:11">
      <c r="A188" s="2" t="s">
        <v>658</v>
      </c>
      <c r="B188" s="2" t="s">
        <v>659</v>
      </c>
      <c r="C188" s="2" t="s">
        <v>48</v>
      </c>
      <c r="D188" s="2" t="s">
        <v>441</v>
      </c>
      <c r="E188" s="2" t="s">
        <v>2896</v>
      </c>
      <c r="F188" s="2" t="s">
        <v>527</v>
      </c>
      <c r="G188" s="2" t="s">
        <v>33</v>
      </c>
      <c r="H188" s="2" t="s">
        <v>44</v>
      </c>
      <c r="I188" s="2">
        <v>0.5</v>
      </c>
      <c r="J188" s="2">
        <v>13</v>
      </c>
      <c r="K188" s="2">
        <v>8</v>
      </c>
    </row>
    <row r="189" spans="1:11">
      <c r="A189" s="2" t="s">
        <v>660</v>
      </c>
      <c r="B189" s="2" t="s">
        <v>661</v>
      </c>
      <c r="C189" s="2" t="s">
        <v>76</v>
      </c>
      <c r="D189" s="2" t="s">
        <v>475</v>
      </c>
      <c r="E189" s="2" t="s">
        <v>2870</v>
      </c>
      <c r="F189" s="2" t="s">
        <v>465</v>
      </c>
      <c r="G189" s="2" t="s">
        <v>33</v>
      </c>
      <c r="H189" s="2" t="s">
        <v>44</v>
      </c>
      <c r="I189" s="2">
        <v>0.5</v>
      </c>
      <c r="J189" s="2">
        <v>3</v>
      </c>
      <c r="K189" s="2">
        <v>3</v>
      </c>
    </row>
    <row r="190" spans="1:11">
      <c r="A190" s="2" t="s">
        <v>662</v>
      </c>
      <c r="B190" s="2" t="s">
        <v>663</v>
      </c>
      <c r="C190" s="2" t="s">
        <v>48</v>
      </c>
      <c r="D190" s="2" t="s">
        <v>441</v>
      </c>
      <c r="E190" s="2" t="s">
        <v>2870</v>
      </c>
      <c r="F190" s="2" t="s">
        <v>115</v>
      </c>
      <c r="G190" s="2" t="s">
        <v>15</v>
      </c>
      <c r="H190" s="2" t="s">
        <v>44</v>
      </c>
      <c r="I190" s="2">
        <v>0.5</v>
      </c>
      <c r="J190" s="2">
        <v>25</v>
      </c>
      <c r="K190" s="2">
        <v>3</v>
      </c>
    </row>
    <row r="191" spans="1:11">
      <c r="A191" s="2" t="s">
        <v>662</v>
      </c>
      <c r="B191" s="2" t="s">
        <v>663</v>
      </c>
      <c r="C191" s="2" t="s">
        <v>48</v>
      </c>
      <c r="D191" s="2" t="s">
        <v>441</v>
      </c>
      <c r="E191" s="2" t="s">
        <v>2882</v>
      </c>
      <c r="F191" s="2" t="s">
        <v>117</v>
      </c>
      <c r="G191" s="2" t="s">
        <v>15</v>
      </c>
      <c r="H191" s="2" t="s">
        <v>44</v>
      </c>
      <c r="I191" s="2">
        <v>0.5</v>
      </c>
      <c r="J191" s="2">
        <v>34</v>
      </c>
      <c r="K191" s="2">
        <v>7</v>
      </c>
    </row>
    <row r="192" spans="1:11">
      <c r="A192" s="2" t="s">
        <v>662</v>
      </c>
      <c r="B192" s="2" t="s">
        <v>663</v>
      </c>
      <c r="C192" s="2" t="s">
        <v>48</v>
      </c>
      <c r="D192" s="2" t="s">
        <v>441</v>
      </c>
      <c r="E192" s="2" t="s">
        <v>2886</v>
      </c>
      <c r="F192" s="2" t="s">
        <v>119</v>
      </c>
      <c r="G192" s="2" t="s">
        <v>33</v>
      </c>
      <c r="H192" s="2" t="s">
        <v>44</v>
      </c>
      <c r="I192" s="2">
        <v>0.5</v>
      </c>
      <c r="J192" s="2">
        <v>6</v>
      </c>
      <c r="K192" s="2">
        <v>8</v>
      </c>
    </row>
    <row r="193" spans="1:11">
      <c r="A193" s="2" t="s">
        <v>664</v>
      </c>
      <c r="B193" s="2" t="s">
        <v>665</v>
      </c>
      <c r="C193" s="2" t="s">
        <v>76</v>
      </c>
      <c r="D193" s="2" t="s">
        <v>441</v>
      </c>
      <c r="E193" s="2" t="s">
        <v>2870</v>
      </c>
      <c r="F193" s="2" t="s">
        <v>115</v>
      </c>
      <c r="G193" s="2" t="s">
        <v>15</v>
      </c>
      <c r="H193" s="2" t="s">
        <v>44</v>
      </c>
      <c r="I193" s="2">
        <v>0.5</v>
      </c>
      <c r="J193" s="2">
        <v>1</v>
      </c>
      <c r="K193" s="2">
        <v>6</v>
      </c>
    </row>
    <row r="194" spans="1:11">
      <c r="A194" s="2" t="s">
        <v>664</v>
      </c>
      <c r="B194" s="2" t="s">
        <v>665</v>
      </c>
      <c r="C194" s="2" t="s">
        <v>76</v>
      </c>
      <c r="D194" s="2" t="s">
        <v>441</v>
      </c>
      <c r="E194" s="2" t="s">
        <v>2882</v>
      </c>
      <c r="F194" s="2" t="s">
        <v>117</v>
      </c>
      <c r="G194" s="2" t="s">
        <v>15</v>
      </c>
      <c r="H194" s="2" t="s">
        <v>44</v>
      </c>
      <c r="I194" s="2">
        <v>0.5</v>
      </c>
      <c r="J194" s="2">
        <v>3</v>
      </c>
      <c r="K194" s="2">
        <v>12</v>
      </c>
    </row>
    <row r="195" spans="1:11">
      <c r="A195" s="2" t="s">
        <v>664</v>
      </c>
      <c r="B195" s="2" t="s">
        <v>665</v>
      </c>
      <c r="C195" s="2" t="s">
        <v>76</v>
      </c>
      <c r="D195" s="2" t="s">
        <v>441</v>
      </c>
      <c r="E195" s="2" t="s">
        <v>2886</v>
      </c>
      <c r="F195" s="2" t="s">
        <v>119</v>
      </c>
      <c r="G195" s="2" t="s">
        <v>33</v>
      </c>
      <c r="H195" s="2" t="s">
        <v>44</v>
      </c>
      <c r="I195" s="2" t="s">
        <v>12</v>
      </c>
      <c r="J195" s="2">
        <v>0</v>
      </c>
      <c r="K195" s="2" t="s">
        <v>12</v>
      </c>
    </row>
    <row r="196" spans="1:11">
      <c r="A196" s="2" t="s">
        <v>666</v>
      </c>
      <c r="B196" s="2" t="s">
        <v>667</v>
      </c>
      <c r="C196" s="2" t="s">
        <v>48</v>
      </c>
      <c r="D196" s="2" t="s">
        <v>441</v>
      </c>
      <c r="E196" s="2" t="s">
        <v>2870</v>
      </c>
      <c r="F196" s="2" t="s">
        <v>643</v>
      </c>
      <c r="G196" s="2" t="s">
        <v>15</v>
      </c>
      <c r="H196" s="2" t="s">
        <v>44</v>
      </c>
      <c r="I196" s="2" t="s">
        <v>12</v>
      </c>
      <c r="J196" s="2" t="s">
        <v>12</v>
      </c>
      <c r="K196" s="2" t="s">
        <v>12</v>
      </c>
    </row>
    <row r="197" spans="1:11">
      <c r="A197" s="2" t="s">
        <v>666</v>
      </c>
      <c r="B197" s="2" t="s">
        <v>667</v>
      </c>
      <c r="C197" s="2" t="s">
        <v>48</v>
      </c>
      <c r="D197" s="2" t="s">
        <v>441</v>
      </c>
      <c r="E197" s="2" t="s">
        <v>2882</v>
      </c>
      <c r="F197" s="2" t="s">
        <v>576</v>
      </c>
      <c r="G197" s="2" t="s">
        <v>15</v>
      </c>
      <c r="H197" s="2" t="s">
        <v>44</v>
      </c>
      <c r="I197" s="2" t="s">
        <v>12</v>
      </c>
      <c r="J197" s="2" t="s">
        <v>12</v>
      </c>
      <c r="K197" s="2" t="s">
        <v>12</v>
      </c>
    </row>
    <row r="198" spans="1:11">
      <c r="A198" s="2" t="s">
        <v>666</v>
      </c>
      <c r="B198" s="2" t="s">
        <v>667</v>
      </c>
      <c r="C198" s="2" t="s">
        <v>48</v>
      </c>
      <c r="D198" s="2" t="s">
        <v>441</v>
      </c>
      <c r="E198" s="2" t="s">
        <v>2886</v>
      </c>
      <c r="F198" s="2" t="s">
        <v>526</v>
      </c>
      <c r="G198" s="2" t="s">
        <v>15</v>
      </c>
      <c r="H198" s="2" t="s">
        <v>44</v>
      </c>
      <c r="I198" s="2" t="s">
        <v>12</v>
      </c>
      <c r="J198" s="2" t="s">
        <v>12</v>
      </c>
      <c r="K198" s="2" t="s">
        <v>12</v>
      </c>
    </row>
    <row r="199" spans="1:11">
      <c r="A199" s="2" t="s">
        <v>666</v>
      </c>
      <c r="B199" s="2" t="s">
        <v>667</v>
      </c>
      <c r="C199" s="2" t="s">
        <v>48</v>
      </c>
      <c r="D199" s="2" t="s">
        <v>441</v>
      </c>
      <c r="E199" s="2" t="s">
        <v>2896</v>
      </c>
      <c r="F199" s="2" t="s">
        <v>527</v>
      </c>
      <c r="G199" s="2" t="s">
        <v>33</v>
      </c>
      <c r="H199" s="2" t="s">
        <v>44</v>
      </c>
      <c r="I199" s="2" t="s">
        <v>12</v>
      </c>
      <c r="J199" s="2" t="s">
        <v>12</v>
      </c>
      <c r="K199" s="2" t="s">
        <v>12</v>
      </c>
    </row>
    <row r="200" spans="1:11">
      <c r="A200" s="2" t="s">
        <v>668</v>
      </c>
      <c r="B200" s="2" t="s">
        <v>669</v>
      </c>
      <c r="C200" s="2" t="s">
        <v>76</v>
      </c>
      <c r="D200" s="2" t="s">
        <v>493</v>
      </c>
      <c r="E200" s="2" t="s">
        <v>2870</v>
      </c>
      <c r="F200" s="2" t="s">
        <v>670</v>
      </c>
      <c r="G200" s="2" t="s">
        <v>33</v>
      </c>
      <c r="H200" s="2" t="s">
        <v>44</v>
      </c>
      <c r="I200" s="2">
        <v>0.5</v>
      </c>
      <c r="J200" s="2">
        <v>9</v>
      </c>
      <c r="K200" s="2">
        <v>6</v>
      </c>
    </row>
    <row r="201" spans="1:11">
      <c r="A201" s="2" t="s">
        <v>668</v>
      </c>
      <c r="B201" s="2" t="s">
        <v>669</v>
      </c>
      <c r="C201" s="2" t="s">
        <v>76</v>
      </c>
      <c r="D201" s="2" t="s">
        <v>493</v>
      </c>
      <c r="E201" s="2" t="s">
        <v>2882</v>
      </c>
      <c r="F201" s="2" t="s">
        <v>671</v>
      </c>
      <c r="G201" s="2" t="s">
        <v>225</v>
      </c>
      <c r="H201" s="2" t="s">
        <v>44</v>
      </c>
      <c r="I201" s="2" t="s">
        <v>12</v>
      </c>
      <c r="J201" s="2" t="s">
        <v>12</v>
      </c>
      <c r="K201" s="2" t="s">
        <v>12</v>
      </c>
    </row>
    <row r="202" spans="1:11">
      <c r="A202" s="2" t="s">
        <v>672</v>
      </c>
      <c r="B202" s="2" t="s">
        <v>673</v>
      </c>
      <c r="C202" s="2" t="s">
        <v>76</v>
      </c>
      <c r="D202" s="2" t="s">
        <v>441</v>
      </c>
      <c r="E202" s="2" t="s">
        <v>2870</v>
      </c>
      <c r="F202" s="2" t="s">
        <v>115</v>
      </c>
      <c r="G202" s="2" t="s">
        <v>15</v>
      </c>
      <c r="H202" s="2" t="s">
        <v>44</v>
      </c>
      <c r="I202" s="2">
        <v>0.5</v>
      </c>
      <c r="J202" s="2">
        <v>41</v>
      </c>
      <c r="K202" s="2">
        <v>3</v>
      </c>
    </row>
    <row r="203" spans="1:11">
      <c r="A203" s="2" t="s">
        <v>672</v>
      </c>
      <c r="B203" s="2" t="s">
        <v>673</v>
      </c>
      <c r="C203" s="2" t="s">
        <v>76</v>
      </c>
      <c r="D203" s="2" t="s">
        <v>441</v>
      </c>
      <c r="E203" s="2" t="s">
        <v>2882</v>
      </c>
      <c r="F203" s="2" t="s">
        <v>117</v>
      </c>
      <c r="G203" s="2" t="s">
        <v>15</v>
      </c>
      <c r="H203" s="2" t="s">
        <v>44</v>
      </c>
      <c r="I203" s="2">
        <v>0.5</v>
      </c>
      <c r="J203" s="2">
        <v>30</v>
      </c>
      <c r="K203" s="2">
        <v>5</v>
      </c>
    </row>
    <row r="204" spans="1:11">
      <c r="A204" s="2" t="s">
        <v>672</v>
      </c>
      <c r="B204" s="2" t="s">
        <v>673</v>
      </c>
      <c r="C204" s="2" t="s">
        <v>76</v>
      </c>
      <c r="D204" s="2" t="s">
        <v>441</v>
      </c>
      <c r="E204" s="2" t="s">
        <v>2886</v>
      </c>
      <c r="F204" s="2" t="s">
        <v>119</v>
      </c>
      <c r="G204" s="2" t="s">
        <v>33</v>
      </c>
      <c r="H204" s="2" t="s">
        <v>44</v>
      </c>
      <c r="I204" s="2" t="s">
        <v>12</v>
      </c>
      <c r="J204" s="2">
        <v>1</v>
      </c>
      <c r="K204" s="2" t="s">
        <v>12</v>
      </c>
    </row>
    <row r="205" spans="1:11">
      <c r="A205" s="2" t="s">
        <v>674</v>
      </c>
      <c r="B205" s="2" t="s">
        <v>675</v>
      </c>
      <c r="C205" s="2" t="s">
        <v>48</v>
      </c>
      <c r="D205" s="2" t="s">
        <v>441</v>
      </c>
      <c r="E205" s="2" t="s">
        <v>2870</v>
      </c>
      <c r="F205" s="2" t="s">
        <v>115</v>
      </c>
      <c r="G205" s="2" t="s">
        <v>15</v>
      </c>
      <c r="H205" s="2" t="s">
        <v>44</v>
      </c>
      <c r="I205" s="2">
        <v>0.5</v>
      </c>
      <c r="J205" s="2">
        <v>9</v>
      </c>
      <c r="K205" s="2">
        <v>1</v>
      </c>
    </row>
    <row r="206" spans="1:11">
      <c r="A206" s="2" t="s">
        <v>674</v>
      </c>
      <c r="B206" s="2" t="s">
        <v>675</v>
      </c>
      <c r="C206" s="2" t="s">
        <v>48</v>
      </c>
      <c r="D206" s="2" t="s">
        <v>441</v>
      </c>
      <c r="E206" s="2" t="s">
        <v>2882</v>
      </c>
      <c r="F206" s="2" t="s">
        <v>117</v>
      </c>
      <c r="G206" s="2" t="s">
        <v>15</v>
      </c>
      <c r="H206" s="2" t="s">
        <v>44</v>
      </c>
      <c r="I206" s="2">
        <v>0.5</v>
      </c>
      <c r="J206" s="2">
        <v>25</v>
      </c>
      <c r="K206" s="2">
        <v>4</v>
      </c>
    </row>
    <row r="207" spans="1:11">
      <c r="A207" s="2" t="s">
        <v>674</v>
      </c>
      <c r="B207" s="2" t="s">
        <v>675</v>
      </c>
      <c r="C207" s="2" t="s">
        <v>48</v>
      </c>
      <c r="D207" s="2" t="s">
        <v>441</v>
      </c>
      <c r="E207" s="2" t="s">
        <v>2886</v>
      </c>
      <c r="F207" s="2" t="s">
        <v>119</v>
      </c>
      <c r="G207" s="2" t="s">
        <v>33</v>
      </c>
      <c r="H207" s="2" t="s">
        <v>44</v>
      </c>
      <c r="I207" s="2">
        <v>0.5</v>
      </c>
      <c r="J207" s="2">
        <v>5</v>
      </c>
      <c r="K207" s="2">
        <v>4</v>
      </c>
    </row>
    <row r="208" spans="1:11">
      <c r="A208" s="2" t="s">
        <v>676</v>
      </c>
      <c r="B208" s="2" t="s">
        <v>677</v>
      </c>
      <c r="C208" s="2" t="s">
        <v>76</v>
      </c>
      <c r="D208" s="2" t="s">
        <v>441</v>
      </c>
      <c r="E208" s="2" t="s">
        <v>2870</v>
      </c>
      <c r="F208" s="2" t="s">
        <v>392</v>
      </c>
      <c r="G208" s="2" t="s">
        <v>15</v>
      </c>
      <c r="H208" s="2" t="s">
        <v>44</v>
      </c>
      <c r="I208" s="2">
        <v>0.5</v>
      </c>
      <c r="J208" s="2">
        <v>11</v>
      </c>
      <c r="K208" s="2">
        <v>3</v>
      </c>
    </row>
    <row r="209" spans="1:11">
      <c r="A209" s="2" t="s">
        <v>676</v>
      </c>
      <c r="B209" s="2" t="s">
        <v>677</v>
      </c>
      <c r="C209" s="2" t="s">
        <v>76</v>
      </c>
      <c r="D209" s="2" t="s">
        <v>441</v>
      </c>
      <c r="E209" s="2" t="s">
        <v>2882</v>
      </c>
      <c r="F209" s="2" t="s">
        <v>393</v>
      </c>
      <c r="G209" s="2" t="s">
        <v>15</v>
      </c>
      <c r="H209" s="2" t="s">
        <v>44</v>
      </c>
      <c r="I209" s="2">
        <v>0.5</v>
      </c>
      <c r="J209" s="2">
        <v>30</v>
      </c>
      <c r="K209" s="2">
        <v>4</v>
      </c>
    </row>
    <row r="210" spans="1:11">
      <c r="A210" s="2" t="s">
        <v>676</v>
      </c>
      <c r="B210" s="2" t="s">
        <v>677</v>
      </c>
      <c r="C210" s="2" t="s">
        <v>76</v>
      </c>
      <c r="D210" s="2" t="s">
        <v>441</v>
      </c>
      <c r="E210" s="2" t="s">
        <v>2886</v>
      </c>
      <c r="F210" s="2" t="s">
        <v>395</v>
      </c>
      <c r="G210" s="2" t="s">
        <v>15</v>
      </c>
      <c r="H210" s="2" t="s">
        <v>44</v>
      </c>
      <c r="I210" s="2">
        <v>0.5</v>
      </c>
      <c r="J210" s="2">
        <v>49</v>
      </c>
      <c r="K210" s="2">
        <v>9</v>
      </c>
    </row>
    <row r="211" spans="1:11">
      <c r="A211" s="2" t="s">
        <v>676</v>
      </c>
      <c r="B211" s="2" t="s">
        <v>677</v>
      </c>
      <c r="C211" s="2" t="s">
        <v>76</v>
      </c>
      <c r="D211" s="2" t="s">
        <v>441</v>
      </c>
      <c r="E211" s="2" t="s">
        <v>2896</v>
      </c>
      <c r="F211" s="2" t="s">
        <v>348</v>
      </c>
      <c r="G211" s="2" t="s">
        <v>33</v>
      </c>
      <c r="H211" s="2" t="s">
        <v>44</v>
      </c>
      <c r="I211" s="2" t="s">
        <v>12</v>
      </c>
      <c r="J211" s="2">
        <v>9</v>
      </c>
      <c r="K211" s="2" t="s">
        <v>12</v>
      </c>
    </row>
    <row r="212" spans="1:11">
      <c r="A212" s="2" t="s">
        <v>678</v>
      </c>
      <c r="B212" s="2" t="s">
        <v>679</v>
      </c>
      <c r="C212" s="2" t="s">
        <v>48</v>
      </c>
      <c r="D212" s="2" t="s">
        <v>441</v>
      </c>
      <c r="E212" s="2" t="s">
        <v>2870</v>
      </c>
      <c r="F212" s="2" t="s">
        <v>69</v>
      </c>
      <c r="G212" s="2" t="s">
        <v>15</v>
      </c>
      <c r="H212" s="2" t="s">
        <v>44</v>
      </c>
      <c r="I212" s="2">
        <v>0.5</v>
      </c>
      <c r="J212" s="2">
        <v>13</v>
      </c>
      <c r="K212" s="2">
        <v>1</v>
      </c>
    </row>
    <row r="213" spans="1:11">
      <c r="A213" s="2" t="s">
        <v>678</v>
      </c>
      <c r="B213" s="2" t="s">
        <v>679</v>
      </c>
      <c r="C213" s="2" t="s">
        <v>48</v>
      </c>
      <c r="D213" s="2" t="s">
        <v>441</v>
      </c>
      <c r="E213" s="2" t="s">
        <v>2882</v>
      </c>
      <c r="F213" s="2" t="s">
        <v>71</v>
      </c>
      <c r="G213" s="2" t="s">
        <v>15</v>
      </c>
      <c r="H213" s="2" t="s">
        <v>44</v>
      </c>
      <c r="I213" s="2">
        <v>0.5</v>
      </c>
      <c r="J213" s="2">
        <v>19</v>
      </c>
      <c r="K213" s="2">
        <v>5</v>
      </c>
    </row>
    <row r="214" spans="1:11">
      <c r="A214" s="2" t="s">
        <v>678</v>
      </c>
      <c r="B214" s="2" t="s">
        <v>679</v>
      </c>
      <c r="C214" s="2" t="s">
        <v>48</v>
      </c>
      <c r="D214" s="2" t="s">
        <v>441</v>
      </c>
      <c r="E214" s="2" t="s">
        <v>2886</v>
      </c>
      <c r="F214" s="2" t="s">
        <v>73</v>
      </c>
      <c r="G214" s="2" t="s">
        <v>33</v>
      </c>
      <c r="H214" s="2" t="s">
        <v>44</v>
      </c>
      <c r="I214" s="2" t="s">
        <v>12</v>
      </c>
      <c r="J214" s="2">
        <v>0</v>
      </c>
      <c r="K214" s="2" t="s">
        <v>12</v>
      </c>
    </row>
    <row r="215" spans="1:11">
      <c r="A215" s="2" t="s">
        <v>680</v>
      </c>
      <c r="B215" s="2" t="s">
        <v>681</v>
      </c>
      <c r="C215" s="2" t="s">
        <v>76</v>
      </c>
      <c r="D215" s="2" t="s">
        <v>441</v>
      </c>
      <c r="E215" s="2" t="s">
        <v>2870</v>
      </c>
      <c r="F215" s="2" t="s">
        <v>115</v>
      </c>
      <c r="G215" s="2" t="s">
        <v>15</v>
      </c>
      <c r="H215" s="2" t="s">
        <v>44</v>
      </c>
      <c r="I215" s="2">
        <v>0.5</v>
      </c>
      <c r="J215" s="2">
        <v>1</v>
      </c>
      <c r="K215" s="2">
        <v>1</v>
      </c>
    </row>
    <row r="216" spans="1:11">
      <c r="A216" s="2" t="s">
        <v>680</v>
      </c>
      <c r="B216" s="2" t="s">
        <v>681</v>
      </c>
      <c r="C216" s="2" t="s">
        <v>76</v>
      </c>
      <c r="D216" s="2" t="s">
        <v>441</v>
      </c>
      <c r="E216" s="2" t="s">
        <v>2882</v>
      </c>
      <c r="F216" s="2" t="s">
        <v>117</v>
      </c>
      <c r="G216" s="2" t="s">
        <v>15</v>
      </c>
      <c r="H216" s="2" t="s">
        <v>44</v>
      </c>
      <c r="I216" s="2">
        <v>0.75</v>
      </c>
      <c r="J216" s="2">
        <v>34</v>
      </c>
      <c r="K216" s="2">
        <v>24</v>
      </c>
    </row>
    <row r="217" spans="1:11">
      <c r="A217" s="2" t="s">
        <v>680</v>
      </c>
      <c r="B217" s="2" t="s">
        <v>681</v>
      </c>
      <c r="C217" s="2" t="s">
        <v>76</v>
      </c>
      <c r="D217" s="2" t="s">
        <v>441</v>
      </c>
      <c r="E217" s="2" t="s">
        <v>2886</v>
      </c>
      <c r="F217" s="2" t="s">
        <v>119</v>
      </c>
      <c r="G217" s="2" t="s">
        <v>33</v>
      </c>
      <c r="H217" s="2" t="s">
        <v>44</v>
      </c>
      <c r="I217" s="2">
        <v>0.5</v>
      </c>
      <c r="J217" s="2">
        <v>6</v>
      </c>
      <c r="K217" s="2">
        <v>1</v>
      </c>
    </row>
    <row r="218" spans="1:11">
      <c r="A218" s="2" t="s">
        <v>682</v>
      </c>
      <c r="B218" s="2" t="s">
        <v>683</v>
      </c>
      <c r="C218" s="2" t="s">
        <v>76</v>
      </c>
      <c r="D218" s="2" t="s">
        <v>461</v>
      </c>
      <c r="E218" s="2" t="s">
        <v>2870</v>
      </c>
      <c r="F218" s="2" t="s">
        <v>322</v>
      </c>
      <c r="G218" s="2" t="s">
        <v>15</v>
      </c>
      <c r="H218" s="2" t="s">
        <v>44</v>
      </c>
      <c r="I218" s="2" t="s">
        <v>12</v>
      </c>
      <c r="J218" s="2">
        <v>4</v>
      </c>
      <c r="K218" s="2" t="s">
        <v>12</v>
      </c>
    </row>
    <row r="219" spans="1:11">
      <c r="A219" s="2" t="s">
        <v>682</v>
      </c>
      <c r="B219" s="2" t="s">
        <v>683</v>
      </c>
      <c r="C219" s="2" t="s">
        <v>76</v>
      </c>
      <c r="D219" s="2" t="s">
        <v>461</v>
      </c>
      <c r="E219" s="2" t="s">
        <v>2882</v>
      </c>
      <c r="F219" s="2" t="s">
        <v>293</v>
      </c>
      <c r="G219" s="2" t="s">
        <v>15</v>
      </c>
      <c r="H219" s="2" t="s">
        <v>44</v>
      </c>
      <c r="I219" s="2" t="s">
        <v>12</v>
      </c>
      <c r="J219" s="2">
        <v>3</v>
      </c>
      <c r="K219" s="2" t="s">
        <v>12</v>
      </c>
    </row>
    <row r="220" spans="1:11">
      <c r="A220" s="2" t="s">
        <v>682</v>
      </c>
      <c r="B220" s="2" t="s">
        <v>683</v>
      </c>
      <c r="C220" s="2" t="s">
        <v>76</v>
      </c>
      <c r="D220" s="2" t="s">
        <v>461</v>
      </c>
      <c r="E220" s="2" t="s">
        <v>2886</v>
      </c>
      <c r="F220" s="2" t="s">
        <v>294</v>
      </c>
      <c r="G220" s="2" t="s">
        <v>33</v>
      </c>
      <c r="H220" s="2" t="s">
        <v>44</v>
      </c>
      <c r="I220" s="2">
        <v>0.5</v>
      </c>
      <c r="J220" s="2">
        <v>1</v>
      </c>
      <c r="K220" s="2">
        <v>2</v>
      </c>
    </row>
    <row r="221" spans="1:11">
      <c r="A221" s="2" t="s">
        <v>684</v>
      </c>
      <c r="B221" s="2" t="s">
        <v>685</v>
      </c>
      <c r="C221" s="2" t="s">
        <v>76</v>
      </c>
      <c r="D221" s="2" t="s">
        <v>441</v>
      </c>
      <c r="E221" s="2" t="s">
        <v>2870</v>
      </c>
      <c r="F221" s="2" t="s">
        <v>392</v>
      </c>
      <c r="G221" s="2" t="s">
        <v>15</v>
      </c>
      <c r="H221" s="2" t="s">
        <v>44</v>
      </c>
      <c r="I221" s="2">
        <v>0.5</v>
      </c>
      <c r="J221" s="2">
        <v>27</v>
      </c>
      <c r="K221" s="2">
        <v>4</v>
      </c>
    </row>
    <row r="222" spans="1:11">
      <c r="A222" s="2" t="s">
        <v>684</v>
      </c>
      <c r="B222" s="2" t="s">
        <v>685</v>
      </c>
      <c r="C222" s="2" t="s">
        <v>76</v>
      </c>
      <c r="D222" s="2" t="s">
        <v>441</v>
      </c>
      <c r="E222" s="2" t="s">
        <v>2882</v>
      </c>
      <c r="F222" s="2" t="s">
        <v>393</v>
      </c>
      <c r="G222" s="2" t="s">
        <v>15</v>
      </c>
      <c r="H222" s="2" t="s">
        <v>44</v>
      </c>
      <c r="I222" s="2">
        <v>0.5</v>
      </c>
      <c r="J222" s="2">
        <v>44</v>
      </c>
      <c r="K222" s="2">
        <v>13</v>
      </c>
    </row>
    <row r="223" spans="1:11">
      <c r="A223" s="2" t="s">
        <v>684</v>
      </c>
      <c r="B223" s="2" t="s">
        <v>685</v>
      </c>
      <c r="C223" s="2" t="s">
        <v>76</v>
      </c>
      <c r="D223" s="2" t="s">
        <v>441</v>
      </c>
      <c r="E223" s="2" t="s">
        <v>2886</v>
      </c>
      <c r="F223" s="2" t="s">
        <v>395</v>
      </c>
      <c r="G223" s="2" t="s">
        <v>15</v>
      </c>
      <c r="H223" s="2" t="s">
        <v>44</v>
      </c>
      <c r="I223" s="2">
        <v>0.69</v>
      </c>
      <c r="J223" s="2">
        <v>54</v>
      </c>
      <c r="K223" s="2">
        <v>22</v>
      </c>
    </row>
    <row r="224" spans="1:11">
      <c r="A224" s="2" t="s">
        <v>684</v>
      </c>
      <c r="B224" s="2" t="s">
        <v>685</v>
      </c>
      <c r="C224" s="2" t="s">
        <v>76</v>
      </c>
      <c r="D224" s="2" t="s">
        <v>441</v>
      </c>
      <c r="E224" s="2" t="s">
        <v>2896</v>
      </c>
      <c r="F224" s="2" t="s">
        <v>348</v>
      </c>
      <c r="G224" s="2" t="s">
        <v>33</v>
      </c>
      <c r="H224" s="2" t="s">
        <v>44</v>
      </c>
      <c r="I224" s="2" t="s">
        <v>12</v>
      </c>
      <c r="J224" s="2">
        <v>7</v>
      </c>
      <c r="K224" s="2" t="s">
        <v>12</v>
      </c>
    </row>
    <row r="225" spans="1:11">
      <c r="A225" s="2" t="s">
        <v>686</v>
      </c>
      <c r="B225" s="2" t="s">
        <v>687</v>
      </c>
      <c r="C225" s="2" t="s">
        <v>76</v>
      </c>
      <c r="D225" s="2" t="s">
        <v>441</v>
      </c>
      <c r="E225" s="2" t="s">
        <v>2870</v>
      </c>
      <c r="F225" s="2" t="s">
        <v>39</v>
      </c>
      <c r="G225" s="2" t="s">
        <v>15</v>
      </c>
      <c r="H225" s="2" t="s">
        <v>44</v>
      </c>
      <c r="I225" s="2">
        <v>0.5</v>
      </c>
      <c r="J225" s="2">
        <v>23</v>
      </c>
      <c r="K225" s="2">
        <v>7</v>
      </c>
    </row>
    <row r="226" spans="1:11">
      <c r="A226" s="2" t="s">
        <v>686</v>
      </c>
      <c r="B226" s="2" t="s">
        <v>687</v>
      </c>
      <c r="C226" s="2" t="s">
        <v>76</v>
      </c>
      <c r="D226" s="2" t="s">
        <v>441</v>
      </c>
      <c r="E226" s="2" t="s">
        <v>2882</v>
      </c>
      <c r="F226" s="2" t="s">
        <v>41</v>
      </c>
      <c r="G226" s="2" t="s">
        <v>15</v>
      </c>
      <c r="H226" s="2" t="s">
        <v>44</v>
      </c>
      <c r="I226" s="2">
        <v>0.5</v>
      </c>
      <c r="J226" s="2">
        <v>45</v>
      </c>
      <c r="K226" s="2">
        <v>3</v>
      </c>
    </row>
    <row r="227" spans="1:11">
      <c r="A227" s="2" t="s">
        <v>686</v>
      </c>
      <c r="B227" s="2" t="s">
        <v>687</v>
      </c>
      <c r="C227" s="2" t="s">
        <v>76</v>
      </c>
      <c r="D227" s="2" t="s">
        <v>441</v>
      </c>
      <c r="E227" s="2" t="s">
        <v>2886</v>
      </c>
      <c r="F227" s="2" t="s">
        <v>43</v>
      </c>
      <c r="G227" s="2" t="s">
        <v>33</v>
      </c>
      <c r="H227" s="2" t="s">
        <v>44</v>
      </c>
      <c r="I227" s="2" t="s">
        <v>12</v>
      </c>
      <c r="J227" s="2">
        <v>2</v>
      </c>
      <c r="K227" s="2" t="s">
        <v>12</v>
      </c>
    </row>
    <row r="228" spans="1:11">
      <c r="A228" s="2" t="s">
        <v>688</v>
      </c>
      <c r="B228" s="2" t="s">
        <v>689</v>
      </c>
      <c r="C228" s="2" t="s">
        <v>487</v>
      </c>
      <c r="D228" s="2" t="s">
        <v>488</v>
      </c>
      <c r="E228" s="2" t="s">
        <v>2870</v>
      </c>
      <c r="F228" s="2" t="s">
        <v>54</v>
      </c>
      <c r="G228" s="2" t="s">
        <v>15</v>
      </c>
      <c r="H228" s="2" t="s">
        <v>44</v>
      </c>
      <c r="I228" s="2" t="s">
        <v>12</v>
      </c>
      <c r="J228" s="2" t="s">
        <v>12</v>
      </c>
      <c r="K228" s="2" t="s">
        <v>12</v>
      </c>
    </row>
    <row r="229" spans="1:11">
      <c r="A229" s="2" t="s">
        <v>688</v>
      </c>
      <c r="B229" s="2" t="s">
        <v>689</v>
      </c>
      <c r="C229" s="2" t="s">
        <v>487</v>
      </c>
      <c r="D229" s="2" t="s">
        <v>488</v>
      </c>
      <c r="E229" s="2" t="s">
        <v>2882</v>
      </c>
      <c r="F229" s="2" t="s">
        <v>56</v>
      </c>
      <c r="G229" s="2" t="s">
        <v>15</v>
      </c>
      <c r="H229" s="2" t="s">
        <v>44</v>
      </c>
      <c r="I229" s="2" t="s">
        <v>12</v>
      </c>
      <c r="J229" s="2" t="s">
        <v>12</v>
      </c>
      <c r="K229" s="2" t="s">
        <v>12</v>
      </c>
    </row>
    <row r="230" spans="1:11">
      <c r="A230" s="2" t="s">
        <v>688</v>
      </c>
      <c r="B230" s="2" t="s">
        <v>689</v>
      </c>
      <c r="C230" s="2" t="s">
        <v>487</v>
      </c>
      <c r="D230" s="2" t="s">
        <v>488</v>
      </c>
      <c r="E230" s="2" t="s">
        <v>2886</v>
      </c>
      <c r="F230" s="2" t="s">
        <v>57</v>
      </c>
      <c r="G230" s="2" t="s">
        <v>33</v>
      </c>
      <c r="H230" s="2" t="s">
        <v>44</v>
      </c>
      <c r="I230" s="2" t="s">
        <v>12</v>
      </c>
      <c r="J230" s="2" t="s">
        <v>12</v>
      </c>
      <c r="K230" s="2" t="s">
        <v>12</v>
      </c>
    </row>
    <row r="231" spans="1:11">
      <c r="A231" s="2" t="s">
        <v>690</v>
      </c>
      <c r="B231" s="2" t="s">
        <v>691</v>
      </c>
      <c r="C231" s="2" t="s">
        <v>487</v>
      </c>
      <c r="D231" s="2" t="s">
        <v>488</v>
      </c>
      <c r="E231" s="2" t="s">
        <v>2870</v>
      </c>
      <c r="F231" s="2" t="s">
        <v>54</v>
      </c>
      <c r="G231" s="2" t="s">
        <v>15</v>
      </c>
      <c r="H231" s="2" t="s">
        <v>44</v>
      </c>
      <c r="I231" s="2" t="s">
        <v>12</v>
      </c>
      <c r="J231" s="2" t="s">
        <v>12</v>
      </c>
      <c r="K231" s="2" t="s">
        <v>12</v>
      </c>
    </row>
    <row r="232" spans="1:11">
      <c r="A232" s="2" t="s">
        <v>690</v>
      </c>
      <c r="B232" s="2" t="s">
        <v>691</v>
      </c>
      <c r="C232" s="2" t="s">
        <v>487</v>
      </c>
      <c r="D232" s="2" t="s">
        <v>488</v>
      </c>
      <c r="E232" s="2" t="s">
        <v>2882</v>
      </c>
      <c r="F232" s="2" t="s">
        <v>56</v>
      </c>
      <c r="G232" s="2" t="s">
        <v>15</v>
      </c>
      <c r="H232" s="2" t="s">
        <v>44</v>
      </c>
      <c r="I232" s="2" t="s">
        <v>12</v>
      </c>
      <c r="J232" s="2" t="s">
        <v>12</v>
      </c>
      <c r="K232" s="2" t="s">
        <v>12</v>
      </c>
    </row>
    <row r="233" spans="1:11">
      <c r="A233" s="2" t="s">
        <v>690</v>
      </c>
      <c r="B233" s="2" t="s">
        <v>691</v>
      </c>
      <c r="C233" s="2" t="s">
        <v>487</v>
      </c>
      <c r="D233" s="2" t="s">
        <v>488</v>
      </c>
      <c r="E233" s="2" t="s">
        <v>2886</v>
      </c>
      <c r="F233" s="2" t="s">
        <v>57</v>
      </c>
      <c r="G233" s="2" t="s">
        <v>33</v>
      </c>
      <c r="H233" s="2" t="s">
        <v>44</v>
      </c>
      <c r="I233" s="2" t="s">
        <v>12</v>
      </c>
      <c r="J233" s="2" t="s">
        <v>12</v>
      </c>
      <c r="K233" s="2" t="s">
        <v>12</v>
      </c>
    </row>
    <row r="234" spans="1:11">
      <c r="A234" s="2" t="s">
        <v>692</v>
      </c>
      <c r="B234" s="2" t="s">
        <v>693</v>
      </c>
      <c r="C234" s="2" t="s">
        <v>76</v>
      </c>
      <c r="D234" s="2" t="s">
        <v>441</v>
      </c>
      <c r="E234" s="2" t="s">
        <v>2870</v>
      </c>
      <c r="F234" s="2" t="s">
        <v>392</v>
      </c>
      <c r="G234" s="2" t="s">
        <v>15</v>
      </c>
      <c r="H234" s="2" t="s">
        <v>44</v>
      </c>
      <c r="I234" s="2">
        <v>0.5</v>
      </c>
      <c r="J234" s="2">
        <v>19</v>
      </c>
      <c r="K234" s="2">
        <v>4</v>
      </c>
    </row>
    <row r="235" spans="1:11">
      <c r="A235" s="2" t="s">
        <v>692</v>
      </c>
      <c r="B235" s="2" t="s">
        <v>693</v>
      </c>
      <c r="C235" s="2" t="s">
        <v>76</v>
      </c>
      <c r="D235" s="2" t="s">
        <v>441</v>
      </c>
      <c r="E235" s="2" t="s">
        <v>2882</v>
      </c>
      <c r="F235" s="2" t="s">
        <v>393</v>
      </c>
      <c r="G235" s="2" t="s">
        <v>15</v>
      </c>
      <c r="H235" s="2" t="s">
        <v>44</v>
      </c>
      <c r="I235" s="2">
        <v>0.5</v>
      </c>
      <c r="J235" s="2">
        <v>25</v>
      </c>
      <c r="K235" s="2">
        <v>4</v>
      </c>
    </row>
    <row r="236" spans="1:11">
      <c r="A236" s="2" t="s">
        <v>692</v>
      </c>
      <c r="B236" s="2" t="s">
        <v>693</v>
      </c>
      <c r="C236" s="2" t="s">
        <v>76</v>
      </c>
      <c r="D236" s="2" t="s">
        <v>441</v>
      </c>
      <c r="E236" s="2" t="s">
        <v>2886</v>
      </c>
      <c r="F236" s="2" t="s">
        <v>395</v>
      </c>
      <c r="G236" s="2" t="s">
        <v>15</v>
      </c>
      <c r="H236" s="2" t="s">
        <v>44</v>
      </c>
      <c r="I236" s="2">
        <v>0.5</v>
      </c>
      <c r="J236" s="2">
        <v>4</v>
      </c>
      <c r="K236" s="2">
        <v>6</v>
      </c>
    </row>
    <row r="237" spans="1:11">
      <c r="A237" s="2" t="s">
        <v>692</v>
      </c>
      <c r="B237" s="2" t="s">
        <v>693</v>
      </c>
      <c r="C237" s="2" t="s">
        <v>76</v>
      </c>
      <c r="D237" s="2" t="s">
        <v>441</v>
      </c>
      <c r="E237" s="2" t="s">
        <v>2896</v>
      </c>
      <c r="F237" s="2" t="s">
        <v>348</v>
      </c>
      <c r="G237" s="2" t="s">
        <v>33</v>
      </c>
      <c r="H237" s="2" t="s">
        <v>44</v>
      </c>
      <c r="I237" s="2" t="s">
        <v>12</v>
      </c>
      <c r="J237" s="2">
        <v>0</v>
      </c>
      <c r="K237" s="2" t="s">
        <v>12</v>
      </c>
    </row>
    <row r="238" spans="1:11">
      <c r="A238" s="2" t="s">
        <v>694</v>
      </c>
      <c r="B238" s="2" t="s">
        <v>695</v>
      </c>
      <c r="C238" s="2" t="s">
        <v>48</v>
      </c>
      <c r="D238" s="2" t="s">
        <v>441</v>
      </c>
      <c r="E238" s="2" t="s">
        <v>2870</v>
      </c>
      <c r="F238" s="2" t="s">
        <v>39</v>
      </c>
      <c r="G238" s="2" t="s">
        <v>15</v>
      </c>
      <c r="H238" s="2" t="s">
        <v>44</v>
      </c>
      <c r="I238" s="2">
        <v>0.5</v>
      </c>
      <c r="J238" s="2">
        <v>23</v>
      </c>
      <c r="K238" s="2">
        <v>5</v>
      </c>
    </row>
    <row r="239" spans="1:11">
      <c r="A239" s="2" t="s">
        <v>694</v>
      </c>
      <c r="B239" s="2" t="s">
        <v>695</v>
      </c>
      <c r="C239" s="2" t="s">
        <v>48</v>
      </c>
      <c r="D239" s="2" t="s">
        <v>441</v>
      </c>
      <c r="E239" s="2" t="s">
        <v>2882</v>
      </c>
      <c r="F239" s="2" t="s">
        <v>41</v>
      </c>
      <c r="G239" s="2" t="s">
        <v>15</v>
      </c>
      <c r="H239" s="2" t="s">
        <v>44</v>
      </c>
      <c r="I239" s="2">
        <v>0.5</v>
      </c>
      <c r="J239" s="2">
        <v>15</v>
      </c>
      <c r="K239" s="2">
        <v>5</v>
      </c>
    </row>
    <row r="240" spans="1:11">
      <c r="A240" s="2" t="s">
        <v>694</v>
      </c>
      <c r="B240" s="2" t="s">
        <v>695</v>
      </c>
      <c r="C240" s="2" t="s">
        <v>48</v>
      </c>
      <c r="D240" s="2" t="s">
        <v>441</v>
      </c>
      <c r="E240" s="2" t="s">
        <v>2886</v>
      </c>
      <c r="F240" s="2" t="s">
        <v>43</v>
      </c>
      <c r="G240" s="2" t="s">
        <v>33</v>
      </c>
      <c r="H240" s="2" t="s">
        <v>44</v>
      </c>
      <c r="I240" s="2">
        <v>0.5</v>
      </c>
      <c r="J240" s="2">
        <v>0</v>
      </c>
      <c r="K240" s="2">
        <v>1</v>
      </c>
    </row>
    <row r="241" spans="1:11">
      <c r="A241" s="2" t="s">
        <v>696</v>
      </c>
      <c r="B241" s="2" t="s">
        <v>697</v>
      </c>
      <c r="C241" s="2" t="s">
        <v>76</v>
      </c>
      <c r="D241" s="2" t="s">
        <v>441</v>
      </c>
      <c r="E241" s="2" t="s">
        <v>2870</v>
      </c>
      <c r="F241" s="2" t="s">
        <v>54</v>
      </c>
      <c r="G241" s="2" t="s">
        <v>15</v>
      </c>
      <c r="H241" s="2" t="s">
        <v>44</v>
      </c>
      <c r="I241" s="2">
        <v>0.5</v>
      </c>
      <c r="J241" s="2">
        <v>14</v>
      </c>
      <c r="K241" s="2">
        <v>3</v>
      </c>
    </row>
    <row r="242" spans="1:11">
      <c r="A242" s="2" t="s">
        <v>696</v>
      </c>
      <c r="B242" s="2" t="s">
        <v>697</v>
      </c>
      <c r="C242" s="2" t="s">
        <v>76</v>
      </c>
      <c r="D242" s="2" t="s">
        <v>441</v>
      </c>
      <c r="E242" s="2" t="s">
        <v>2882</v>
      </c>
      <c r="F242" s="2" t="s">
        <v>56</v>
      </c>
      <c r="G242" s="2" t="s">
        <v>15</v>
      </c>
      <c r="H242" s="2" t="s">
        <v>44</v>
      </c>
      <c r="I242" s="2" t="s">
        <v>12</v>
      </c>
      <c r="J242" s="2" t="s">
        <v>12</v>
      </c>
      <c r="K242" s="2" t="s">
        <v>12</v>
      </c>
    </row>
    <row r="243" spans="1:11">
      <c r="A243" s="2" t="s">
        <v>696</v>
      </c>
      <c r="B243" s="2" t="s">
        <v>697</v>
      </c>
      <c r="C243" s="2" t="s">
        <v>76</v>
      </c>
      <c r="D243" s="2" t="s">
        <v>441</v>
      </c>
      <c r="E243" s="2" t="s">
        <v>2886</v>
      </c>
      <c r="F243" s="2" t="s">
        <v>57</v>
      </c>
      <c r="G243" s="2" t="s">
        <v>33</v>
      </c>
      <c r="H243" s="2" t="s">
        <v>44</v>
      </c>
      <c r="I243" s="2" t="s">
        <v>12</v>
      </c>
      <c r="J243" s="2" t="s">
        <v>12</v>
      </c>
      <c r="K243" s="2" t="s">
        <v>12</v>
      </c>
    </row>
    <row r="244" spans="1:11">
      <c r="A244" s="2" t="s">
        <v>698</v>
      </c>
      <c r="B244" s="2" t="s">
        <v>699</v>
      </c>
      <c r="C244" s="2" t="s">
        <v>48</v>
      </c>
      <c r="D244" s="2" t="s">
        <v>441</v>
      </c>
      <c r="E244" s="2" t="s">
        <v>2870</v>
      </c>
      <c r="F244" s="2" t="s">
        <v>54</v>
      </c>
      <c r="G244" s="2" t="s">
        <v>15</v>
      </c>
      <c r="H244" s="2" t="s">
        <v>44</v>
      </c>
      <c r="I244" s="2">
        <v>0.63</v>
      </c>
      <c r="J244" s="2">
        <v>45</v>
      </c>
      <c r="K244" s="2">
        <v>20</v>
      </c>
    </row>
    <row r="245" spans="1:11">
      <c r="A245" s="2" t="s">
        <v>698</v>
      </c>
      <c r="B245" s="2" t="s">
        <v>699</v>
      </c>
      <c r="C245" s="2" t="s">
        <v>48</v>
      </c>
      <c r="D245" s="2" t="s">
        <v>441</v>
      </c>
      <c r="E245" s="2" t="s">
        <v>2882</v>
      </c>
      <c r="F245" s="2" t="s">
        <v>56</v>
      </c>
      <c r="G245" s="2" t="s">
        <v>15</v>
      </c>
      <c r="H245" s="2" t="s">
        <v>44</v>
      </c>
      <c r="I245" s="2">
        <v>0.5</v>
      </c>
      <c r="J245" s="2">
        <v>21</v>
      </c>
      <c r="K245" s="2">
        <v>6</v>
      </c>
    </row>
    <row r="246" spans="1:11">
      <c r="A246" s="2" t="s">
        <v>698</v>
      </c>
      <c r="B246" s="2" t="s">
        <v>699</v>
      </c>
      <c r="C246" s="2" t="s">
        <v>48</v>
      </c>
      <c r="D246" s="2" t="s">
        <v>441</v>
      </c>
      <c r="E246" s="2" t="s">
        <v>2886</v>
      </c>
      <c r="F246" s="2" t="s">
        <v>57</v>
      </c>
      <c r="G246" s="2" t="s">
        <v>33</v>
      </c>
      <c r="H246" s="2" t="s">
        <v>44</v>
      </c>
      <c r="I246" s="2">
        <v>0.5</v>
      </c>
      <c r="J246" s="2">
        <v>8</v>
      </c>
      <c r="K246" s="2">
        <v>9</v>
      </c>
    </row>
    <row r="247" spans="1:11">
      <c r="A247" s="2" t="s">
        <v>700</v>
      </c>
      <c r="B247" s="2" t="s">
        <v>701</v>
      </c>
      <c r="C247" s="2" t="s">
        <v>76</v>
      </c>
      <c r="D247" s="2" t="s">
        <v>441</v>
      </c>
      <c r="E247" s="2" t="s">
        <v>2870</v>
      </c>
      <c r="F247" s="2" t="s">
        <v>392</v>
      </c>
      <c r="G247" s="2" t="s">
        <v>15</v>
      </c>
      <c r="H247" s="2" t="s">
        <v>44</v>
      </c>
      <c r="I247" s="2">
        <v>0.5</v>
      </c>
      <c r="J247" s="2">
        <v>42</v>
      </c>
      <c r="K247" s="2">
        <v>14</v>
      </c>
    </row>
    <row r="248" spans="1:11">
      <c r="A248" s="2" t="s">
        <v>700</v>
      </c>
      <c r="B248" s="2" t="s">
        <v>701</v>
      </c>
      <c r="C248" s="2" t="s">
        <v>76</v>
      </c>
      <c r="D248" s="2" t="s">
        <v>441</v>
      </c>
      <c r="E248" s="2" t="s">
        <v>2882</v>
      </c>
      <c r="F248" s="2" t="s">
        <v>393</v>
      </c>
      <c r="G248" s="2" t="s">
        <v>15</v>
      </c>
      <c r="H248" s="2" t="s">
        <v>44</v>
      </c>
      <c r="I248" s="2">
        <v>0.69</v>
      </c>
      <c r="J248" s="2">
        <v>54</v>
      </c>
      <c r="K248" s="2">
        <v>22</v>
      </c>
    </row>
    <row r="249" spans="1:11">
      <c r="A249" s="2" t="s">
        <v>700</v>
      </c>
      <c r="B249" s="2" t="s">
        <v>701</v>
      </c>
      <c r="C249" s="2" t="s">
        <v>76</v>
      </c>
      <c r="D249" s="2" t="s">
        <v>441</v>
      </c>
      <c r="E249" s="2" t="s">
        <v>2886</v>
      </c>
      <c r="F249" s="2" t="s">
        <v>395</v>
      </c>
      <c r="G249" s="2" t="s">
        <v>15</v>
      </c>
      <c r="H249" s="2" t="s">
        <v>44</v>
      </c>
      <c r="I249" s="2">
        <v>0.94</v>
      </c>
      <c r="J249" s="2">
        <v>29</v>
      </c>
      <c r="K249" s="2">
        <v>30</v>
      </c>
    </row>
    <row r="250" spans="1:11">
      <c r="A250" s="2" t="s">
        <v>700</v>
      </c>
      <c r="B250" s="2" t="s">
        <v>701</v>
      </c>
      <c r="C250" s="2" t="s">
        <v>76</v>
      </c>
      <c r="D250" s="2" t="s">
        <v>441</v>
      </c>
      <c r="E250" s="2" t="s">
        <v>2896</v>
      </c>
      <c r="F250" s="2" t="s">
        <v>348</v>
      </c>
      <c r="G250" s="2" t="s">
        <v>33</v>
      </c>
      <c r="H250" s="2" t="s">
        <v>44</v>
      </c>
      <c r="I250" s="2">
        <v>0.5</v>
      </c>
      <c r="J250" s="2">
        <v>0</v>
      </c>
      <c r="K250" s="2">
        <v>1</v>
      </c>
    </row>
    <row r="251" spans="1:11">
      <c r="A251" s="2" t="s">
        <v>702</v>
      </c>
      <c r="B251" s="2" t="s">
        <v>703</v>
      </c>
      <c r="C251" s="2" t="s">
        <v>48</v>
      </c>
      <c r="D251" s="2" t="s">
        <v>520</v>
      </c>
      <c r="E251" s="2" t="s">
        <v>2870</v>
      </c>
      <c r="F251" s="2" t="s">
        <v>122</v>
      </c>
      <c r="G251" s="2" t="s">
        <v>15</v>
      </c>
      <c r="H251" s="2" t="s">
        <v>44</v>
      </c>
      <c r="I251" s="2" t="s">
        <v>12</v>
      </c>
      <c r="J251" s="2" t="s">
        <v>12</v>
      </c>
      <c r="K251" s="2" t="s">
        <v>12</v>
      </c>
    </row>
    <row r="252" spans="1:11">
      <c r="A252" s="2" t="s">
        <v>702</v>
      </c>
      <c r="B252" s="2" t="s">
        <v>703</v>
      </c>
      <c r="C252" s="2" t="s">
        <v>48</v>
      </c>
      <c r="D252" s="2" t="s">
        <v>520</v>
      </c>
      <c r="E252" s="2" t="s">
        <v>2882</v>
      </c>
      <c r="F252" s="2" t="s">
        <v>124</v>
      </c>
      <c r="G252" s="2" t="s">
        <v>15</v>
      </c>
      <c r="H252" s="2" t="s">
        <v>44</v>
      </c>
      <c r="I252" s="2" t="s">
        <v>12</v>
      </c>
      <c r="J252" s="2" t="s">
        <v>12</v>
      </c>
      <c r="K252" s="2" t="s">
        <v>12</v>
      </c>
    </row>
    <row r="253" spans="1:11">
      <c r="A253" s="2" t="s">
        <v>702</v>
      </c>
      <c r="B253" s="2" t="s">
        <v>703</v>
      </c>
      <c r="C253" s="2" t="s">
        <v>48</v>
      </c>
      <c r="D253" s="2" t="s">
        <v>520</v>
      </c>
      <c r="E253" s="2" t="s">
        <v>2886</v>
      </c>
      <c r="F253" s="2" t="s">
        <v>126</v>
      </c>
      <c r="G253" s="2" t="s">
        <v>15</v>
      </c>
      <c r="H253" s="2" t="s">
        <v>44</v>
      </c>
      <c r="I253" s="2" t="s">
        <v>12</v>
      </c>
      <c r="J253" s="2" t="s">
        <v>12</v>
      </c>
      <c r="K253" s="2" t="s">
        <v>12</v>
      </c>
    </row>
    <row r="254" spans="1:11">
      <c r="A254" s="2" t="s">
        <v>702</v>
      </c>
      <c r="B254" s="2" t="s">
        <v>703</v>
      </c>
      <c r="C254" s="2" t="s">
        <v>48</v>
      </c>
      <c r="D254" s="2" t="s">
        <v>520</v>
      </c>
      <c r="E254" s="2" t="s">
        <v>2896</v>
      </c>
      <c r="F254" s="2" t="s">
        <v>128</v>
      </c>
      <c r="G254" s="2" t="s">
        <v>15</v>
      </c>
      <c r="H254" s="2" t="s">
        <v>44</v>
      </c>
      <c r="I254" s="2" t="s">
        <v>12</v>
      </c>
      <c r="J254" s="2">
        <v>21</v>
      </c>
      <c r="K254" s="2" t="s">
        <v>12</v>
      </c>
    </row>
    <row r="255" spans="1:11">
      <c r="A255" s="2" t="s">
        <v>702</v>
      </c>
      <c r="B255" s="2" t="s">
        <v>703</v>
      </c>
      <c r="C255" s="2" t="s">
        <v>48</v>
      </c>
      <c r="D255" s="2" t="s">
        <v>520</v>
      </c>
      <c r="E255" s="2" t="s">
        <v>2901</v>
      </c>
      <c r="F255" s="2" t="s">
        <v>130</v>
      </c>
      <c r="G255" s="2" t="s">
        <v>15</v>
      </c>
      <c r="H255" s="2" t="s">
        <v>44</v>
      </c>
      <c r="I255" s="2" t="s">
        <v>12</v>
      </c>
      <c r="J255" s="2" t="s">
        <v>12</v>
      </c>
      <c r="K255" s="2" t="s">
        <v>12</v>
      </c>
    </row>
    <row r="256" spans="1:11">
      <c r="A256" s="2" t="s">
        <v>702</v>
      </c>
      <c r="B256" s="2" t="s">
        <v>703</v>
      </c>
      <c r="C256" s="2" t="s">
        <v>48</v>
      </c>
      <c r="D256" s="2" t="s">
        <v>520</v>
      </c>
      <c r="E256" s="2" t="s">
        <v>2904</v>
      </c>
      <c r="F256" s="2" t="s">
        <v>132</v>
      </c>
      <c r="G256" s="2" t="s">
        <v>33</v>
      </c>
      <c r="H256" s="2" t="s">
        <v>44</v>
      </c>
      <c r="I256" s="2" t="s">
        <v>12</v>
      </c>
      <c r="J256" s="2" t="s">
        <v>12</v>
      </c>
      <c r="K256" s="2" t="s">
        <v>12</v>
      </c>
    </row>
    <row r="257" spans="1:11">
      <c r="A257" s="2" t="s">
        <v>704</v>
      </c>
      <c r="B257" s="2" t="s">
        <v>705</v>
      </c>
      <c r="C257" s="2" t="s">
        <v>76</v>
      </c>
      <c r="D257" s="2" t="s">
        <v>441</v>
      </c>
      <c r="E257" s="2" t="s">
        <v>2870</v>
      </c>
      <c r="F257" s="2" t="s">
        <v>54</v>
      </c>
      <c r="G257" s="2" t="s">
        <v>15</v>
      </c>
      <c r="H257" s="2" t="s">
        <v>44</v>
      </c>
      <c r="I257" s="2">
        <v>0.5</v>
      </c>
      <c r="J257" s="2">
        <v>15</v>
      </c>
      <c r="K257" s="2">
        <v>2</v>
      </c>
    </row>
    <row r="258" spans="1:11">
      <c r="A258" s="2" t="s">
        <v>704</v>
      </c>
      <c r="B258" s="2" t="s">
        <v>705</v>
      </c>
      <c r="C258" s="2" t="s">
        <v>76</v>
      </c>
      <c r="D258" s="2" t="s">
        <v>441</v>
      </c>
      <c r="E258" s="2" t="s">
        <v>2882</v>
      </c>
      <c r="F258" s="2" t="s">
        <v>56</v>
      </c>
      <c r="G258" s="2" t="s">
        <v>15</v>
      </c>
      <c r="H258" s="2" t="s">
        <v>44</v>
      </c>
      <c r="I258" s="2">
        <v>0.5</v>
      </c>
      <c r="J258" s="2">
        <v>23</v>
      </c>
      <c r="K258" s="2">
        <v>6</v>
      </c>
    </row>
    <row r="259" spans="1:11">
      <c r="A259" s="2" t="s">
        <v>704</v>
      </c>
      <c r="B259" s="2" t="s">
        <v>705</v>
      </c>
      <c r="C259" s="2" t="s">
        <v>76</v>
      </c>
      <c r="D259" s="2" t="s">
        <v>441</v>
      </c>
      <c r="E259" s="2" t="s">
        <v>2886</v>
      </c>
      <c r="F259" s="2" t="s">
        <v>57</v>
      </c>
      <c r="G259" s="2" t="s">
        <v>33</v>
      </c>
      <c r="H259" s="2" t="s">
        <v>44</v>
      </c>
      <c r="I259" s="2" t="s">
        <v>12</v>
      </c>
      <c r="J259" s="2">
        <v>2</v>
      </c>
      <c r="K259" s="2" t="s">
        <v>12</v>
      </c>
    </row>
    <row r="260" spans="1:11">
      <c r="A260" s="2" t="s">
        <v>706</v>
      </c>
      <c r="B260" s="2" t="s">
        <v>707</v>
      </c>
      <c r="C260" s="2" t="s">
        <v>76</v>
      </c>
      <c r="D260" s="2" t="s">
        <v>441</v>
      </c>
      <c r="E260" s="2" t="s">
        <v>2870</v>
      </c>
      <c r="F260" s="2" t="s">
        <v>54</v>
      </c>
      <c r="G260" s="2" t="s">
        <v>15</v>
      </c>
      <c r="H260" s="2" t="s">
        <v>44</v>
      </c>
      <c r="I260" s="2">
        <v>0.53</v>
      </c>
      <c r="J260" s="2">
        <v>44</v>
      </c>
      <c r="K260" s="2">
        <v>17</v>
      </c>
    </row>
    <row r="261" spans="1:11">
      <c r="A261" s="2" t="s">
        <v>706</v>
      </c>
      <c r="B261" s="2" t="s">
        <v>707</v>
      </c>
      <c r="C261" s="2" t="s">
        <v>76</v>
      </c>
      <c r="D261" s="2" t="s">
        <v>441</v>
      </c>
      <c r="E261" s="2" t="s">
        <v>2882</v>
      </c>
      <c r="F261" s="2" t="s">
        <v>56</v>
      </c>
      <c r="G261" s="2" t="s">
        <v>15</v>
      </c>
      <c r="H261" s="2" t="s">
        <v>44</v>
      </c>
      <c r="I261" s="2">
        <v>0.5</v>
      </c>
      <c r="J261" s="2">
        <v>28</v>
      </c>
      <c r="K261" s="2">
        <v>4</v>
      </c>
    </row>
    <row r="262" spans="1:11">
      <c r="A262" s="2" t="s">
        <v>706</v>
      </c>
      <c r="B262" s="2" t="s">
        <v>707</v>
      </c>
      <c r="C262" s="2" t="s">
        <v>76</v>
      </c>
      <c r="D262" s="2" t="s">
        <v>441</v>
      </c>
      <c r="E262" s="2" t="s">
        <v>2886</v>
      </c>
      <c r="F262" s="2" t="s">
        <v>57</v>
      </c>
      <c r="G262" s="2" t="s">
        <v>33</v>
      </c>
      <c r="H262" s="2" t="s">
        <v>44</v>
      </c>
      <c r="I262" s="2" t="s">
        <v>12</v>
      </c>
      <c r="J262" s="2">
        <v>0</v>
      </c>
      <c r="K262" s="2" t="s">
        <v>12</v>
      </c>
    </row>
    <row r="263" spans="1:11">
      <c r="A263" s="2" t="s">
        <v>708</v>
      </c>
      <c r="B263" s="2" t="s">
        <v>709</v>
      </c>
      <c r="C263" s="2" t="s">
        <v>76</v>
      </c>
      <c r="D263" s="2" t="s">
        <v>441</v>
      </c>
      <c r="E263" s="2" t="s">
        <v>2870</v>
      </c>
      <c r="F263" s="2" t="s">
        <v>336</v>
      </c>
      <c r="G263" s="2" t="s">
        <v>15</v>
      </c>
      <c r="H263" s="2" t="s">
        <v>44</v>
      </c>
      <c r="I263" s="2" t="s">
        <v>12</v>
      </c>
      <c r="J263" s="2" t="s">
        <v>12</v>
      </c>
      <c r="K263" s="2" t="s">
        <v>12</v>
      </c>
    </row>
    <row r="264" spans="1:11">
      <c r="A264" s="2" t="s">
        <v>708</v>
      </c>
      <c r="B264" s="2" t="s">
        <v>709</v>
      </c>
      <c r="C264" s="2" t="s">
        <v>76</v>
      </c>
      <c r="D264" s="2" t="s">
        <v>441</v>
      </c>
      <c r="E264" s="2" t="s">
        <v>2882</v>
      </c>
      <c r="F264" s="2" t="s">
        <v>337</v>
      </c>
      <c r="G264" s="2" t="s">
        <v>15</v>
      </c>
      <c r="H264" s="2" t="s">
        <v>44</v>
      </c>
      <c r="I264" s="2" t="s">
        <v>12</v>
      </c>
      <c r="J264" s="2" t="s">
        <v>12</v>
      </c>
      <c r="K264" s="2" t="s">
        <v>12</v>
      </c>
    </row>
    <row r="265" spans="1:11">
      <c r="A265" s="2" t="s">
        <v>708</v>
      </c>
      <c r="B265" s="2" t="s">
        <v>709</v>
      </c>
      <c r="C265" s="2" t="s">
        <v>76</v>
      </c>
      <c r="D265" s="2" t="s">
        <v>441</v>
      </c>
      <c r="E265" s="2" t="s">
        <v>2886</v>
      </c>
      <c r="F265" s="2" t="s">
        <v>338</v>
      </c>
      <c r="G265" s="2" t="s">
        <v>15</v>
      </c>
      <c r="H265" s="2" t="s">
        <v>44</v>
      </c>
      <c r="I265" s="2" t="s">
        <v>12</v>
      </c>
      <c r="J265" s="2" t="s">
        <v>12</v>
      </c>
      <c r="K265" s="2" t="s">
        <v>12</v>
      </c>
    </row>
    <row r="266" spans="1:11">
      <c r="A266" s="2" t="s">
        <v>708</v>
      </c>
      <c r="B266" s="2" t="s">
        <v>709</v>
      </c>
      <c r="C266" s="2" t="s">
        <v>76</v>
      </c>
      <c r="D266" s="2" t="s">
        <v>441</v>
      </c>
      <c r="E266" s="2" t="s">
        <v>2896</v>
      </c>
      <c r="F266" s="2" t="s">
        <v>339</v>
      </c>
      <c r="G266" s="2" t="s">
        <v>33</v>
      </c>
      <c r="H266" s="2" t="s">
        <v>44</v>
      </c>
      <c r="I266" s="2" t="s">
        <v>12</v>
      </c>
      <c r="J266" s="2" t="s">
        <v>12</v>
      </c>
      <c r="K266" s="2" t="s">
        <v>12</v>
      </c>
    </row>
    <row r="267" spans="1:11">
      <c r="A267" s="2" t="s">
        <v>710</v>
      </c>
      <c r="B267" s="2" t="s">
        <v>711</v>
      </c>
      <c r="C267" s="2" t="s">
        <v>76</v>
      </c>
      <c r="D267" s="2" t="s">
        <v>475</v>
      </c>
      <c r="E267" s="2" t="s">
        <v>2870</v>
      </c>
      <c r="F267" s="2" t="s">
        <v>465</v>
      </c>
      <c r="G267" s="2" t="s">
        <v>33</v>
      </c>
      <c r="H267" s="2" t="s">
        <v>44</v>
      </c>
      <c r="I267" s="2" t="s">
        <v>12</v>
      </c>
      <c r="J267" s="2">
        <v>4</v>
      </c>
      <c r="K267" s="2" t="s">
        <v>12</v>
      </c>
    </row>
    <row r="268" spans="1:11">
      <c r="A268" s="2" t="s">
        <v>712</v>
      </c>
      <c r="B268" s="2" t="s">
        <v>713</v>
      </c>
      <c r="C268" s="2" t="s">
        <v>76</v>
      </c>
      <c r="D268" s="2" t="s">
        <v>441</v>
      </c>
      <c r="E268" s="2" t="s">
        <v>2870</v>
      </c>
      <c r="F268" s="2" t="s">
        <v>54</v>
      </c>
      <c r="G268" s="2" t="s">
        <v>15</v>
      </c>
      <c r="H268" s="2" t="s">
        <v>44</v>
      </c>
      <c r="I268" s="2">
        <v>0.5</v>
      </c>
      <c r="J268" s="2">
        <v>4</v>
      </c>
      <c r="K268" s="2">
        <v>2</v>
      </c>
    </row>
    <row r="269" spans="1:11">
      <c r="A269" s="2" t="s">
        <v>712</v>
      </c>
      <c r="B269" s="2" t="s">
        <v>713</v>
      </c>
      <c r="C269" s="2" t="s">
        <v>76</v>
      </c>
      <c r="D269" s="2" t="s">
        <v>441</v>
      </c>
      <c r="E269" s="2" t="s">
        <v>2882</v>
      </c>
      <c r="F269" s="2" t="s">
        <v>56</v>
      </c>
      <c r="G269" s="2" t="s">
        <v>15</v>
      </c>
      <c r="H269" s="2" t="s">
        <v>44</v>
      </c>
      <c r="I269" s="2">
        <v>0.72</v>
      </c>
      <c r="J269" s="2">
        <v>44</v>
      </c>
      <c r="K269" s="2">
        <v>23</v>
      </c>
    </row>
    <row r="270" spans="1:11">
      <c r="A270" s="2" t="s">
        <v>712</v>
      </c>
      <c r="B270" s="2" t="s">
        <v>713</v>
      </c>
      <c r="C270" s="2" t="s">
        <v>76</v>
      </c>
      <c r="D270" s="2" t="s">
        <v>441</v>
      </c>
      <c r="E270" s="2" t="s">
        <v>2886</v>
      </c>
      <c r="F270" s="2" t="s">
        <v>57</v>
      </c>
      <c r="G270" s="2" t="s">
        <v>33</v>
      </c>
      <c r="H270" s="2" t="s">
        <v>44</v>
      </c>
      <c r="I270" s="2" t="s">
        <v>12</v>
      </c>
      <c r="J270" s="2">
        <v>0</v>
      </c>
      <c r="K270" s="2" t="s">
        <v>12</v>
      </c>
    </row>
    <row r="271" spans="1:11">
      <c r="A271" s="2" t="s">
        <v>714</v>
      </c>
      <c r="B271" s="2" t="s">
        <v>715</v>
      </c>
      <c r="C271" s="2" t="s">
        <v>487</v>
      </c>
      <c r="D271" s="2" t="s">
        <v>488</v>
      </c>
      <c r="E271" s="2" t="s">
        <v>2870</v>
      </c>
      <c r="F271" s="2" t="s">
        <v>54</v>
      </c>
      <c r="G271" s="2" t="s">
        <v>15</v>
      </c>
      <c r="H271" s="2" t="s">
        <v>44</v>
      </c>
      <c r="I271" s="2" t="s">
        <v>12</v>
      </c>
      <c r="J271" s="2" t="s">
        <v>12</v>
      </c>
      <c r="K271" s="2" t="s">
        <v>12</v>
      </c>
    </row>
    <row r="272" spans="1:11">
      <c r="A272" s="2" t="s">
        <v>714</v>
      </c>
      <c r="B272" s="2" t="s">
        <v>715</v>
      </c>
      <c r="C272" s="2" t="s">
        <v>487</v>
      </c>
      <c r="D272" s="2" t="s">
        <v>488</v>
      </c>
      <c r="E272" s="2" t="s">
        <v>2882</v>
      </c>
      <c r="F272" s="2" t="s">
        <v>56</v>
      </c>
      <c r="G272" s="2" t="s">
        <v>15</v>
      </c>
      <c r="H272" s="2" t="s">
        <v>44</v>
      </c>
      <c r="I272" s="2" t="s">
        <v>12</v>
      </c>
      <c r="J272" s="2" t="s">
        <v>12</v>
      </c>
      <c r="K272" s="2" t="s">
        <v>12</v>
      </c>
    </row>
    <row r="273" spans="1:11">
      <c r="A273" s="2" t="s">
        <v>714</v>
      </c>
      <c r="B273" s="2" t="s">
        <v>715</v>
      </c>
      <c r="C273" s="2" t="s">
        <v>487</v>
      </c>
      <c r="D273" s="2" t="s">
        <v>488</v>
      </c>
      <c r="E273" s="2" t="s">
        <v>2886</v>
      </c>
      <c r="F273" s="2" t="s">
        <v>57</v>
      </c>
      <c r="G273" s="2" t="s">
        <v>33</v>
      </c>
      <c r="H273" s="2" t="s">
        <v>44</v>
      </c>
      <c r="I273" s="2" t="s">
        <v>12</v>
      </c>
      <c r="J273" s="2" t="s">
        <v>12</v>
      </c>
      <c r="K273" s="2" t="s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36"/>
  <sheetViews>
    <sheetView workbookViewId="0">
      <pane ySplit="1" topLeftCell="A2" activePane="bottomLeft" state="frozen"/>
      <selection pane="bottomLeft"/>
    </sheetView>
  </sheetViews>
  <sheetFormatPr defaultColWidth="9" defaultRowHeight="15"/>
  <cols>
    <col min="1" max="1" width="25" customWidth="1"/>
    <col min="2" max="2" width="40" customWidth="1"/>
    <col min="3" max="3" width="13" customWidth="1"/>
    <col min="4" max="4" width="14" customWidth="1"/>
    <col min="5" max="5" width="10" customWidth="1"/>
    <col min="6" max="6" width="25" customWidth="1"/>
    <col min="7" max="7" width="15" customWidth="1"/>
    <col min="8" max="8" width="20" customWidth="1"/>
    <col min="9" max="9" width="15" customWidth="1"/>
    <col min="10" max="10" width="18" customWidth="1"/>
    <col min="11" max="11" width="27" customWidth="1"/>
    <col min="12" max="12" width="16" customWidth="1"/>
    <col min="13" max="13" width="20" customWidth="1"/>
    <col min="14" max="14" width="21" customWidth="1"/>
    <col min="15" max="15" width="13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2862</v>
      </c>
      <c r="I1" s="1" t="s">
        <v>7</v>
      </c>
      <c r="J1" s="1" t="s">
        <v>3363</v>
      </c>
      <c r="K1" s="1" t="s">
        <v>3364</v>
      </c>
      <c r="L1" s="1" t="s">
        <v>3365</v>
      </c>
      <c r="M1" s="1" t="s">
        <v>3366</v>
      </c>
      <c r="N1" s="1" t="s">
        <v>3367</v>
      </c>
      <c r="O1" s="1" t="s">
        <v>3368</v>
      </c>
    </row>
    <row r="2" spans="1:15">
      <c r="A2" s="2" t="s">
        <v>717</v>
      </c>
      <c r="B2" s="2" t="s">
        <v>718</v>
      </c>
      <c r="C2" s="2" t="s">
        <v>48</v>
      </c>
      <c r="D2" s="2" t="s">
        <v>493</v>
      </c>
      <c r="E2" s="2" t="s">
        <v>2870</v>
      </c>
      <c r="F2" s="2" t="s">
        <v>49</v>
      </c>
      <c r="G2" s="2" t="s">
        <v>15</v>
      </c>
      <c r="H2" s="2" t="s">
        <v>16</v>
      </c>
      <c r="I2" s="2">
        <v>1.5</v>
      </c>
      <c r="J2" s="2">
        <v>2464</v>
      </c>
      <c r="K2" s="2">
        <v>3756</v>
      </c>
      <c r="L2" s="2">
        <v>2932</v>
      </c>
      <c r="M2" s="2" t="s">
        <v>12</v>
      </c>
      <c r="N2" s="2">
        <v>2370</v>
      </c>
      <c r="O2" s="2">
        <v>11522</v>
      </c>
    </row>
    <row r="3" spans="1:15">
      <c r="A3" s="2" t="s">
        <v>717</v>
      </c>
      <c r="B3" s="2" t="s">
        <v>718</v>
      </c>
      <c r="C3" s="2" t="s">
        <v>48</v>
      </c>
      <c r="D3" s="2" t="s">
        <v>493</v>
      </c>
      <c r="E3" s="2" t="s">
        <v>2882</v>
      </c>
      <c r="F3" s="2" t="s">
        <v>51</v>
      </c>
      <c r="G3" s="2" t="s">
        <v>15</v>
      </c>
      <c r="H3" s="2" t="s">
        <v>16</v>
      </c>
      <c r="I3" s="2">
        <v>1.5</v>
      </c>
      <c r="J3" s="2">
        <v>2400</v>
      </c>
      <c r="K3" s="2">
        <v>3762</v>
      </c>
      <c r="L3" s="2">
        <v>2472</v>
      </c>
      <c r="M3" s="2" t="s">
        <v>12</v>
      </c>
      <c r="N3" s="2">
        <v>1074</v>
      </c>
      <c r="O3" s="2">
        <v>9708</v>
      </c>
    </row>
    <row r="4" spans="1:15">
      <c r="A4" s="2" t="s">
        <v>717</v>
      </c>
      <c r="B4" s="2" t="s">
        <v>718</v>
      </c>
      <c r="C4" s="2" t="s">
        <v>48</v>
      </c>
      <c r="D4" s="2" t="s">
        <v>493</v>
      </c>
      <c r="E4" s="2" t="s">
        <v>2886</v>
      </c>
      <c r="F4" s="2" t="s">
        <v>52</v>
      </c>
      <c r="G4" s="2" t="s">
        <v>15</v>
      </c>
      <c r="H4" s="2" t="s">
        <v>16</v>
      </c>
      <c r="I4" s="2">
        <v>1.5</v>
      </c>
      <c r="J4" s="2">
        <v>2864</v>
      </c>
      <c r="K4" s="2">
        <v>4116</v>
      </c>
      <c r="L4" s="2">
        <v>2860</v>
      </c>
      <c r="M4" s="2" t="s">
        <v>12</v>
      </c>
      <c r="N4" s="2">
        <v>1400</v>
      </c>
      <c r="O4" s="2">
        <v>11240</v>
      </c>
    </row>
    <row r="5" spans="1:15">
      <c r="A5" s="2" t="s">
        <v>717</v>
      </c>
      <c r="B5" s="2" t="s">
        <v>718</v>
      </c>
      <c r="C5" s="2" t="s">
        <v>48</v>
      </c>
      <c r="D5" s="2" t="s">
        <v>493</v>
      </c>
      <c r="E5" s="2" t="s">
        <v>2896</v>
      </c>
      <c r="F5" s="2" t="s">
        <v>54</v>
      </c>
      <c r="G5" s="2" t="s">
        <v>15</v>
      </c>
      <c r="H5" s="2" t="s">
        <v>16</v>
      </c>
      <c r="I5" s="2">
        <v>1.07</v>
      </c>
      <c r="J5" s="2">
        <v>1260</v>
      </c>
      <c r="K5" s="2">
        <v>2280</v>
      </c>
      <c r="L5" s="2">
        <v>1628</v>
      </c>
      <c r="M5" s="2" t="s">
        <v>12</v>
      </c>
      <c r="N5" s="2">
        <v>1258</v>
      </c>
      <c r="O5" s="2">
        <v>6426</v>
      </c>
    </row>
    <row r="6" spans="1:15">
      <c r="A6" s="2" t="s">
        <v>717</v>
      </c>
      <c r="B6" s="2" t="s">
        <v>718</v>
      </c>
      <c r="C6" s="2" t="s">
        <v>48</v>
      </c>
      <c r="D6" s="2" t="s">
        <v>493</v>
      </c>
      <c r="E6" s="2" t="s">
        <v>2901</v>
      </c>
      <c r="F6" s="2" t="s">
        <v>56</v>
      </c>
      <c r="G6" s="2" t="s">
        <v>15</v>
      </c>
      <c r="H6" s="2" t="s">
        <v>719</v>
      </c>
      <c r="I6" s="2">
        <v>1</v>
      </c>
      <c r="J6" s="2">
        <v>360</v>
      </c>
      <c r="K6" s="2">
        <v>792</v>
      </c>
      <c r="L6" s="2">
        <v>980</v>
      </c>
      <c r="M6" s="2" t="s">
        <v>12</v>
      </c>
      <c r="N6" s="2">
        <v>544</v>
      </c>
      <c r="O6" s="2">
        <v>2676</v>
      </c>
    </row>
    <row r="7" spans="1:15">
      <c r="A7" s="2" t="s">
        <v>717</v>
      </c>
      <c r="B7" s="2" t="s">
        <v>718</v>
      </c>
      <c r="C7" s="2" t="s">
        <v>48</v>
      </c>
      <c r="D7" s="2" t="s">
        <v>493</v>
      </c>
      <c r="E7" s="2" t="s">
        <v>2904</v>
      </c>
      <c r="F7" s="2" t="s">
        <v>57</v>
      </c>
      <c r="G7" s="2" t="s">
        <v>33</v>
      </c>
      <c r="H7" s="2" t="s">
        <v>44</v>
      </c>
      <c r="I7" s="2" t="s">
        <v>12</v>
      </c>
      <c r="J7" s="2" t="s">
        <v>12</v>
      </c>
      <c r="K7" s="2" t="s">
        <v>12</v>
      </c>
      <c r="L7" s="2" t="s">
        <v>12</v>
      </c>
      <c r="M7" s="2" t="s">
        <v>12</v>
      </c>
      <c r="N7" s="2" t="s">
        <v>12</v>
      </c>
      <c r="O7" s="2" t="s">
        <v>12</v>
      </c>
    </row>
    <row r="8" spans="1:15">
      <c r="A8" s="2" t="s">
        <v>720</v>
      </c>
      <c r="B8" s="2" t="s">
        <v>721</v>
      </c>
      <c r="C8" s="2" t="s">
        <v>76</v>
      </c>
      <c r="D8" s="2" t="s">
        <v>441</v>
      </c>
      <c r="E8" s="2" t="s">
        <v>2870</v>
      </c>
      <c r="F8" s="2" t="s">
        <v>37</v>
      </c>
      <c r="G8" s="2" t="s">
        <v>15</v>
      </c>
      <c r="H8" s="2" t="s">
        <v>16</v>
      </c>
      <c r="I8" s="2">
        <v>1.5</v>
      </c>
      <c r="J8" s="2">
        <v>2944</v>
      </c>
      <c r="K8" s="2">
        <v>5364</v>
      </c>
      <c r="L8" s="2">
        <v>2488</v>
      </c>
      <c r="M8" s="2" t="s">
        <v>12</v>
      </c>
      <c r="N8" s="2">
        <v>312</v>
      </c>
      <c r="O8" s="2">
        <v>11108</v>
      </c>
    </row>
    <row r="9" spans="1:15">
      <c r="A9" s="2" t="s">
        <v>720</v>
      </c>
      <c r="B9" s="2" t="s">
        <v>721</v>
      </c>
      <c r="C9" s="2" t="s">
        <v>76</v>
      </c>
      <c r="D9" s="2" t="s">
        <v>441</v>
      </c>
      <c r="E9" s="2" t="s">
        <v>2882</v>
      </c>
      <c r="F9" s="2" t="s">
        <v>39</v>
      </c>
      <c r="G9" s="2" t="s">
        <v>15</v>
      </c>
      <c r="H9" s="2" t="s">
        <v>16</v>
      </c>
      <c r="I9" s="2">
        <v>1.5</v>
      </c>
      <c r="J9" s="2">
        <v>3256</v>
      </c>
      <c r="K9" s="2">
        <v>5388</v>
      </c>
      <c r="L9" s="2">
        <v>1552</v>
      </c>
      <c r="M9" s="2" t="s">
        <v>12</v>
      </c>
      <c r="N9" s="2">
        <v>780</v>
      </c>
      <c r="O9" s="2">
        <v>10976</v>
      </c>
    </row>
    <row r="10" spans="1:15">
      <c r="A10" s="2" t="s">
        <v>720</v>
      </c>
      <c r="B10" s="2" t="s">
        <v>721</v>
      </c>
      <c r="C10" s="2" t="s">
        <v>76</v>
      </c>
      <c r="D10" s="2" t="s">
        <v>441</v>
      </c>
      <c r="E10" s="2" t="s">
        <v>2886</v>
      </c>
      <c r="F10" s="2" t="s">
        <v>41</v>
      </c>
      <c r="G10" s="2" t="s">
        <v>15</v>
      </c>
      <c r="H10" s="2" t="s">
        <v>16</v>
      </c>
      <c r="I10" s="2">
        <v>1.5</v>
      </c>
      <c r="J10" s="2">
        <v>2832</v>
      </c>
      <c r="K10" s="2">
        <v>5484</v>
      </c>
      <c r="L10" s="2">
        <v>1904</v>
      </c>
      <c r="M10" s="2" t="s">
        <v>12</v>
      </c>
      <c r="N10" s="2">
        <v>640</v>
      </c>
      <c r="O10" s="2">
        <v>10860</v>
      </c>
    </row>
    <row r="11" spans="1:15">
      <c r="A11" s="2" t="s">
        <v>720</v>
      </c>
      <c r="B11" s="2" t="s">
        <v>721</v>
      </c>
      <c r="C11" s="2" t="s">
        <v>76</v>
      </c>
      <c r="D11" s="2" t="s">
        <v>441</v>
      </c>
      <c r="E11" s="2" t="s">
        <v>2896</v>
      </c>
      <c r="F11" s="2" t="s">
        <v>43</v>
      </c>
      <c r="G11" s="2" t="s">
        <v>33</v>
      </c>
      <c r="H11" s="2" t="s">
        <v>44</v>
      </c>
      <c r="I11" s="2">
        <v>0.5</v>
      </c>
      <c r="J11" s="2">
        <v>96</v>
      </c>
      <c r="K11" s="2">
        <v>396</v>
      </c>
      <c r="L11" s="2" t="s">
        <v>12</v>
      </c>
      <c r="M11" s="2" t="s">
        <v>12</v>
      </c>
      <c r="N11" s="2">
        <v>12</v>
      </c>
      <c r="O11" s="2">
        <v>504</v>
      </c>
    </row>
    <row r="12" spans="1:15">
      <c r="A12" s="2" t="s">
        <v>722</v>
      </c>
      <c r="B12" s="2" t="s">
        <v>723</v>
      </c>
      <c r="C12" s="2" t="s">
        <v>48</v>
      </c>
      <c r="D12" s="2" t="s">
        <v>457</v>
      </c>
      <c r="E12" s="2" t="s">
        <v>2870</v>
      </c>
      <c r="F12" s="2" t="s">
        <v>26</v>
      </c>
      <c r="G12" s="2" t="s">
        <v>15</v>
      </c>
      <c r="H12" s="2" t="s">
        <v>16</v>
      </c>
      <c r="I12" s="2">
        <v>1.5</v>
      </c>
      <c r="J12" s="2">
        <v>3032</v>
      </c>
      <c r="K12" s="2">
        <v>4110</v>
      </c>
      <c r="L12" s="2">
        <v>740</v>
      </c>
      <c r="M12" s="2" t="s">
        <v>12</v>
      </c>
      <c r="N12" s="2">
        <v>1168</v>
      </c>
      <c r="O12" s="2">
        <v>9050</v>
      </c>
    </row>
    <row r="13" spans="1:15">
      <c r="A13" s="2" t="s">
        <v>722</v>
      </c>
      <c r="B13" s="2" t="s">
        <v>723</v>
      </c>
      <c r="C13" s="2" t="s">
        <v>48</v>
      </c>
      <c r="D13" s="2" t="s">
        <v>457</v>
      </c>
      <c r="E13" s="2" t="s">
        <v>2882</v>
      </c>
      <c r="F13" s="2" t="s">
        <v>29</v>
      </c>
      <c r="G13" s="2" t="s">
        <v>15</v>
      </c>
      <c r="H13" s="2" t="s">
        <v>16</v>
      </c>
      <c r="I13" s="2">
        <v>1.3</v>
      </c>
      <c r="J13" s="2">
        <v>2144</v>
      </c>
      <c r="K13" s="2">
        <v>3384</v>
      </c>
      <c r="L13" s="2">
        <v>1392</v>
      </c>
      <c r="M13" s="2" t="s">
        <v>12</v>
      </c>
      <c r="N13" s="2">
        <v>906</v>
      </c>
      <c r="O13" s="2">
        <v>7826</v>
      </c>
    </row>
    <row r="14" spans="1:15">
      <c r="A14" s="2" t="s">
        <v>722</v>
      </c>
      <c r="B14" s="2" t="s">
        <v>723</v>
      </c>
      <c r="C14" s="2" t="s">
        <v>48</v>
      </c>
      <c r="D14" s="2" t="s">
        <v>457</v>
      </c>
      <c r="E14" s="2" t="s">
        <v>2886</v>
      </c>
      <c r="F14" s="2" t="s">
        <v>32</v>
      </c>
      <c r="G14" s="2" t="s">
        <v>33</v>
      </c>
      <c r="H14" s="2" t="s">
        <v>44</v>
      </c>
      <c r="I14" s="2">
        <v>0.5</v>
      </c>
      <c r="J14" s="2">
        <v>32</v>
      </c>
      <c r="K14" s="2">
        <v>96</v>
      </c>
      <c r="L14" s="2">
        <v>100</v>
      </c>
      <c r="M14" s="2" t="s">
        <v>12</v>
      </c>
      <c r="N14" s="2">
        <v>216</v>
      </c>
      <c r="O14" s="2">
        <v>444</v>
      </c>
    </row>
    <row r="15" spans="1:15">
      <c r="A15" s="2" t="s">
        <v>724</v>
      </c>
      <c r="B15" s="2" t="s">
        <v>725</v>
      </c>
      <c r="C15" s="2" t="s">
        <v>290</v>
      </c>
      <c r="D15" s="2" t="s">
        <v>520</v>
      </c>
      <c r="E15" s="2" t="s">
        <v>2870</v>
      </c>
      <c r="F15" s="2" t="s">
        <v>122</v>
      </c>
      <c r="G15" s="2" t="s">
        <v>15</v>
      </c>
      <c r="H15" s="2" t="s">
        <v>16</v>
      </c>
      <c r="I15" s="2">
        <v>1.46</v>
      </c>
      <c r="J15" s="2">
        <v>424</v>
      </c>
      <c r="K15" s="2">
        <v>3366</v>
      </c>
      <c r="L15" s="2">
        <v>3048</v>
      </c>
      <c r="M15" s="2" t="s">
        <v>12</v>
      </c>
      <c r="N15" s="2">
        <v>1904</v>
      </c>
      <c r="O15" s="2">
        <v>8742</v>
      </c>
    </row>
    <row r="16" spans="1:15">
      <c r="A16" s="2" t="s">
        <v>724</v>
      </c>
      <c r="B16" s="2" t="s">
        <v>725</v>
      </c>
      <c r="C16" s="2" t="s">
        <v>290</v>
      </c>
      <c r="D16" s="2" t="s">
        <v>520</v>
      </c>
      <c r="E16" s="2" t="s">
        <v>2882</v>
      </c>
      <c r="F16" s="2" t="s">
        <v>124</v>
      </c>
      <c r="G16" s="2" t="s">
        <v>15</v>
      </c>
      <c r="H16" s="2" t="s">
        <v>16</v>
      </c>
      <c r="I16" s="2">
        <v>1.5</v>
      </c>
      <c r="J16" s="2">
        <v>3232</v>
      </c>
      <c r="K16" s="2">
        <v>5652</v>
      </c>
      <c r="L16" s="2">
        <v>6300</v>
      </c>
      <c r="M16" s="2" t="s">
        <v>12</v>
      </c>
      <c r="N16" s="2">
        <v>656</v>
      </c>
      <c r="O16" s="2">
        <v>15840</v>
      </c>
    </row>
    <row r="17" spans="1:15">
      <c r="A17" s="2" t="s">
        <v>724</v>
      </c>
      <c r="B17" s="2" t="s">
        <v>725</v>
      </c>
      <c r="C17" s="2" t="s">
        <v>290</v>
      </c>
      <c r="D17" s="2" t="s">
        <v>520</v>
      </c>
      <c r="E17" s="2" t="s">
        <v>2886</v>
      </c>
      <c r="F17" s="2" t="s">
        <v>126</v>
      </c>
      <c r="G17" s="2" t="s">
        <v>15</v>
      </c>
      <c r="H17" s="2" t="s">
        <v>16</v>
      </c>
      <c r="I17" s="2">
        <v>1.4</v>
      </c>
      <c r="J17" s="2">
        <v>1992</v>
      </c>
      <c r="K17" s="2">
        <v>1842</v>
      </c>
      <c r="L17" s="2">
        <v>3024</v>
      </c>
      <c r="M17" s="2" t="s">
        <v>12</v>
      </c>
      <c r="N17" s="2">
        <v>1528</v>
      </c>
      <c r="O17" s="2">
        <v>8386</v>
      </c>
    </row>
    <row r="18" spans="1:15">
      <c r="A18" s="2" t="s">
        <v>724</v>
      </c>
      <c r="B18" s="2" t="s">
        <v>725</v>
      </c>
      <c r="C18" s="2" t="s">
        <v>290</v>
      </c>
      <c r="D18" s="2" t="s">
        <v>520</v>
      </c>
      <c r="E18" s="2" t="s">
        <v>2896</v>
      </c>
      <c r="F18" s="2" t="s">
        <v>128</v>
      </c>
      <c r="G18" s="2" t="s">
        <v>15</v>
      </c>
      <c r="H18" s="2" t="s">
        <v>16</v>
      </c>
      <c r="I18" s="2">
        <v>1.5</v>
      </c>
      <c r="J18" s="2">
        <v>2712</v>
      </c>
      <c r="K18" s="2">
        <v>5940</v>
      </c>
      <c r="L18" s="2">
        <v>1172</v>
      </c>
      <c r="M18" s="2" t="s">
        <v>12</v>
      </c>
      <c r="N18" s="2">
        <v>2048</v>
      </c>
      <c r="O18" s="2">
        <v>11872</v>
      </c>
    </row>
    <row r="19" spans="1:15">
      <c r="A19" s="2" t="s">
        <v>724</v>
      </c>
      <c r="B19" s="2" t="s">
        <v>725</v>
      </c>
      <c r="C19" s="2" t="s">
        <v>290</v>
      </c>
      <c r="D19" s="2" t="s">
        <v>520</v>
      </c>
      <c r="E19" s="2" t="s">
        <v>2901</v>
      </c>
      <c r="F19" s="2" t="s">
        <v>130</v>
      </c>
      <c r="G19" s="2" t="s">
        <v>15</v>
      </c>
      <c r="H19" s="2" t="s">
        <v>16</v>
      </c>
      <c r="I19" s="2">
        <v>1.5</v>
      </c>
      <c r="J19" s="2">
        <v>1352</v>
      </c>
      <c r="K19" s="2">
        <v>2016</v>
      </c>
      <c r="L19" s="2">
        <v>3912</v>
      </c>
      <c r="M19" s="2" t="s">
        <v>12</v>
      </c>
      <c r="N19" s="2">
        <v>3894</v>
      </c>
      <c r="O19" s="2">
        <v>11174</v>
      </c>
    </row>
    <row r="20" spans="1:15">
      <c r="A20" s="2" t="s">
        <v>724</v>
      </c>
      <c r="B20" s="2" t="s">
        <v>725</v>
      </c>
      <c r="C20" s="2" t="s">
        <v>290</v>
      </c>
      <c r="D20" s="2" t="s">
        <v>520</v>
      </c>
      <c r="E20" s="2" t="s">
        <v>2904</v>
      </c>
      <c r="F20" s="2" t="s">
        <v>132</v>
      </c>
      <c r="G20" s="2" t="s">
        <v>33</v>
      </c>
      <c r="H20" s="2" t="s">
        <v>44</v>
      </c>
      <c r="I20" s="2" t="s">
        <v>12</v>
      </c>
      <c r="J20" s="2" t="s">
        <v>12</v>
      </c>
      <c r="K20" s="2" t="s">
        <v>12</v>
      </c>
      <c r="L20" s="2" t="s">
        <v>12</v>
      </c>
      <c r="M20" s="2" t="s">
        <v>12</v>
      </c>
      <c r="N20" s="2" t="s">
        <v>12</v>
      </c>
      <c r="O20" s="2" t="s">
        <v>12</v>
      </c>
    </row>
    <row r="21" spans="1:15">
      <c r="A21" s="2" t="s">
        <v>726</v>
      </c>
      <c r="B21" s="2" t="s">
        <v>727</v>
      </c>
      <c r="C21" s="2" t="s">
        <v>76</v>
      </c>
      <c r="D21" s="2" t="s">
        <v>446</v>
      </c>
      <c r="E21" s="2" t="s">
        <v>2870</v>
      </c>
      <c r="F21" s="2" t="s">
        <v>26</v>
      </c>
      <c r="G21" s="2" t="s">
        <v>15</v>
      </c>
      <c r="H21" s="2" t="s">
        <v>16</v>
      </c>
      <c r="I21" s="2">
        <v>1.29</v>
      </c>
      <c r="J21" s="2">
        <v>1740</v>
      </c>
      <c r="K21" s="2">
        <v>2964</v>
      </c>
      <c r="L21" s="2">
        <v>2040</v>
      </c>
      <c r="M21" s="2" t="s">
        <v>12</v>
      </c>
      <c r="N21" s="2">
        <v>1006</v>
      </c>
      <c r="O21" s="2">
        <v>7750</v>
      </c>
    </row>
    <row r="22" spans="1:15">
      <c r="A22" s="2" t="s">
        <v>726</v>
      </c>
      <c r="B22" s="2" t="s">
        <v>727</v>
      </c>
      <c r="C22" s="2" t="s">
        <v>76</v>
      </c>
      <c r="D22" s="2" t="s">
        <v>446</v>
      </c>
      <c r="E22" s="2" t="s">
        <v>2882</v>
      </c>
      <c r="F22" s="2" t="s">
        <v>29</v>
      </c>
      <c r="G22" s="2" t="s">
        <v>15</v>
      </c>
      <c r="H22" s="2" t="s">
        <v>16</v>
      </c>
      <c r="I22" s="2">
        <v>1.26</v>
      </c>
      <c r="J22" s="2">
        <v>2240</v>
      </c>
      <c r="K22" s="2">
        <v>2730</v>
      </c>
      <c r="L22" s="2">
        <v>1696</v>
      </c>
      <c r="M22" s="2" t="s">
        <v>12</v>
      </c>
      <c r="N22" s="2">
        <v>880</v>
      </c>
      <c r="O22" s="2">
        <v>7546</v>
      </c>
    </row>
    <row r="23" spans="1:15">
      <c r="A23" s="2" t="s">
        <v>726</v>
      </c>
      <c r="B23" s="2" t="s">
        <v>727</v>
      </c>
      <c r="C23" s="2" t="s">
        <v>76</v>
      </c>
      <c r="D23" s="2" t="s">
        <v>446</v>
      </c>
      <c r="E23" s="2" t="s">
        <v>2886</v>
      </c>
      <c r="F23" s="2" t="s">
        <v>32</v>
      </c>
      <c r="G23" s="2" t="s">
        <v>33</v>
      </c>
      <c r="H23" s="2" t="s">
        <v>44</v>
      </c>
      <c r="I23" s="2">
        <v>0.5</v>
      </c>
      <c r="J23" s="2">
        <v>220</v>
      </c>
      <c r="K23" s="2">
        <v>420</v>
      </c>
      <c r="L23" s="2">
        <v>20</v>
      </c>
      <c r="M23" s="2" t="s">
        <v>12</v>
      </c>
      <c r="N23" s="2">
        <v>260</v>
      </c>
      <c r="O23" s="2">
        <v>920</v>
      </c>
    </row>
    <row r="24" spans="1:15">
      <c r="A24" s="2" t="s">
        <v>728</v>
      </c>
      <c r="B24" s="2" t="s">
        <v>729</v>
      </c>
      <c r="C24" s="2" t="s">
        <v>76</v>
      </c>
      <c r="D24" s="2" t="s">
        <v>441</v>
      </c>
      <c r="E24" s="2" t="s">
        <v>2870</v>
      </c>
      <c r="F24" s="2" t="s">
        <v>14</v>
      </c>
      <c r="G24" s="2" t="s">
        <v>15</v>
      </c>
      <c r="H24" s="2" t="s">
        <v>16</v>
      </c>
      <c r="I24" s="2">
        <v>1.33</v>
      </c>
      <c r="J24" s="2">
        <v>3504</v>
      </c>
      <c r="K24" s="2">
        <v>4212</v>
      </c>
      <c r="L24" s="2">
        <v>264</v>
      </c>
      <c r="M24" s="2" t="s">
        <v>12</v>
      </c>
      <c r="N24" s="2">
        <v>12</v>
      </c>
      <c r="O24" s="2">
        <v>7992</v>
      </c>
    </row>
    <row r="25" spans="1:15">
      <c r="A25" s="2" t="s">
        <v>728</v>
      </c>
      <c r="B25" s="2" t="s">
        <v>729</v>
      </c>
      <c r="C25" s="2" t="s">
        <v>76</v>
      </c>
      <c r="D25" s="2" t="s">
        <v>441</v>
      </c>
      <c r="E25" s="2" t="s">
        <v>2882</v>
      </c>
      <c r="F25" s="2" t="s">
        <v>19</v>
      </c>
      <c r="G25" s="2" t="s">
        <v>15</v>
      </c>
      <c r="H25" s="2" t="s">
        <v>44</v>
      </c>
      <c r="I25" s="2">
        <v>0.94</v>
      </c>
      <c r="J25" s="2">
        <v>264</v>
      </c>
      <c r="K25" s="2">
        <v>1440</v>
      </c>
      <c r="L25" s="2">
        <v>96</v>
      </c>
      <c r="M25" s="2" t="s">
        <v>12</v>
      </c>
      <c r="N25" s="2">
        <v>84</v>
      </c>
      <c r="O25" s="2">
        <v>1884</v>
      </c>
    </row>
    <row r="26" spans="1:15">
      <c r="A26" s="2" t="s">
        <v>728</v>
      </c>
      <c r="B26" s="2" t="s">
        <v>729</v>
      </c>
      <c r="C26" s="2" t="s">
        <v>76</v>
      </c>
      <c r="D26" s="2" t="s">
        <v>441</v>
      </c>
      <c r="E26" s="2" t="s">
        <v>2886</v>
      </c>
      <c r="F26" s="2" t="s">
        <v>23</v>
      </c>
      <c r="G26" s="2" t="s">
        <v>15</v>
      </c>
      <c r="H26" s="2" t="s">
        <v>44</v>
      </c>
      <c r="I26" s="2">
        <v>0.69</v>
      </c>
      <c r="J26" s="2" t="s">
        <v>12</v>
      </c>
      <c r="K26" s="2">
        <v>360</v>
      </c>
      <c r="L26" s="2">
        <v>888</v>
      </c>
      <c r="M26" s="2" t="s">
        <v>12</v>
      </c>
      <c r="N26" s="2">
        <v>132</v>
      </c>
      <c r="O26" s="2">
        <v>1380</v>
      </c>
    </row>
    <row r="27" spans="1:15">
      <c r="A27" s="2" t="s">
        <v>728</v>
      </c>
      <c r="B27" s="2" t="s">
        <v>729</v>
      </c>
      <c r="C27" s="2" t="s">
        <v>76</v>
      </c>
      <c r="D27" s="2" t="s">
        <v>441</v>
      </c>
      <c r="E27" s="2" t="s">
        <v>2896</v>
      </c>
      <c r="F27" s="2" t="s">
        <v>26</v>
      </c>
      <c r="G27" s="2" t="s">
        <v>15</v>
      </c>
      <c r="H27" s="2" t="s">
        <v>44</v>
      </c>
      <c r="I27" s="2">
        <v>0.5</v>
      </c>
      <c r="J27" s="2">
        <v>48</v>
      </c>
      <c r="K27" s="2">
        <v>144</v>
      </c>
      <c r="L27" s="2">
        <v>144</v>
      </c>
      <c r="M27" s="2" t="s">
        <v>12</v>
      </c>
      <c r="N27" s="2">
        <v>72</v>
      </c>
      <c r="O27" s="2">
        <v>408</v>
      </c>
    </row>
    <row r="28" spans="1:15">
      <c r="A28" s="2" t="s">
        <v>728</v>
      </c>
      <c r="B28" s="2" t="s">
        <v>729</v>
      </c>
      <c r="C28" s="2" t="s">
        <v>76</v>
      </c>
      <c r="D28" s="2" t="s">
        <v>441</v>
      </c>
      <c r="E28" s="2" t="s">
        <v>2901</v>
      </c>
      <c r="F28" s="2" t="s">
        <v>29</v>
      </c>
      <c r="G28" s="2" t="s">
        <v>15</v>
      </c>
      <c r="H28" s="2" t="s">
        <v>44</v>
      </c>
      <c r="I28" s="2">
        <v>0.52</v>
      </c>
      <c r="J28" s="2" t="s">
        <v>12</v>
      </c>
      <c r="K28" s="2">
        <v>720</v>
      </c>
      <c r="L28" s="2">
        <v>288</v>
      </c>
      <c r="M28" s="2" t="s">
        <v>12</v>
      </c>
      <c r="N28" s="2">
        <v>36</v>
      </c>
      <c r="O28" s="2">
        <v>1044</v>
      </c>
    </row>
    <row r="29" spans="1:15">
      <c r="A29" s="2" t="s">
        <v>728</v>
      </c>
      <c r="B29" s="2" t="s">
        <v>729</v>
      </c>
      <c r="C29" s="2" t="s">
        <v>76</v>
      </c>
      <c r="D29" s="2" t="s">
        <v>441</v>
      </c>
      <c r="E29" s="2" t="s">
        <v>2904</v>
      </c>
      <c r="F29" s="2" t="s">
        <v>32</v>
      </c>
      <c r="G29" s="2" t="s">
        <v>33</v>
      </c>
      <c r="H29" s="2" t="s">
        <v>44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</row>
    <row r="30" spans="1:15">
      <c r="A30" s="2" t="s">
        <v>730</v>
      </c>
      <c r="B30" s="2" t="s">
        <v>731</v>
      </c>
      <c r="C30" s="2" t="s">
        <v>76</v>
      </c>
      <c r="D30" s="2" t="s">
        <v>441</v>
      </c>
      <c r="E30" s="2" t="s">
        <v>2870</v>
      </c>
      <c r="F30" s="2" t="s">
        <v>37</v>
      </c>
      <c r="G30" s="2" t="s">
        <v>15</v>
      </c>
      <c r="H30" s="2" t="s">
        <v>16</v>
      </c>
      <c r="I30" s="2">
        <v>1.5</v>
      </c>
      <c r="J30" s="2">
        <v>2592</v>
      </c>
      <c r="K30" s="2">
        <v>3756</v>
      </c>
      <c r="L30" s="2">
        <v>3772</v>
      </c>
      <c r="M30" s="2" t="s">
        <v>12</v>
      </c>
      <c r="N30" s="2">
        <v>712</v>
      </c>
      <c r="O30" s="2">
        <v>10832</v>
      </c>
    </row>
    <row r="31" spans="1:15">
      <c r="A31" s="2" t="s">
        <v>730</v>
      </c>
      <c r="B31" s="2" t="s">
        <v>731</v>
      </c>
      <c r="C31" s="2" t="s">
        <v>76</v>
      </c>
      <c r="D31" s="2" t="s">
        <v>441</v>
      </c>
      <c r="E31" s="2" t="s">
        <v>2882</v>
      </c>
      <c r="F31" s="2" t="s">
        <v>39</v>
      </c>
      <c r="G31" s="2" t="s">
        <v>15</v>
      </c>
      <c r="H31" s="2" t="s">
        <v>16</v>
      </c>
      <c r="I31" s="2">
        <v>1.5</v>
      </c>
      <c r="J31" s="2">
        <v>3112</v>
      </c>
      <c r="K31" s="2">
        <v>5856</v>
      </c>
      <c r="L31" s="2">
        <v>1336</v>
      </c>
      <c r="M31" s="2" t="s">
        <v>12</v>
      </c>
      <c r="N31" s="2">
        <v>564</v>
      </c>
      <c r="O31" s="2">
        <v>10868</v>
      </c>
    </row>
    <row r="32" spans="1:15">
      <c r="A32" s="2" t="s">
        <v>730</v>
      </c>
      <c r="B32" s="2" t="s">
        <v>731</v>
      </c>
      <c r="C32" s="2" t="s">
        <v>76</v>
      </c>
      <c r="D32" s="2" t="s">
        <v>441</v>
      </c>
      <c r="E32" s="2" t="s">
        <v>2886</v>
      </c>
      <c r="F32" s="2" t="s">
        <v>41</v>
      </c>
      <c r="G32" s="2" t="s">
        <v>15</v>
      </c>
      <c r="H32" s="2" t="s">
        <v>16</v>
      </c>
      <c r="I32" s="2">
        <v>1.5</v>
      </c>
      <c r="J32" s="2">
        <v>3168</v>
      </c>
      <c r="K32" s="2">
        <v>10950</v>
      </c>
      <c r="L32" s="2">
        <v>1584</v>
      </c>
      <c r="M32" s="2" t="s">
        <v>12</v>
      </c>
      <c r="N32" s="2">
        <v>468</v>
      </c>
      <c r="O32" s="2">
        <v>16170</v>
      </c>
    </row>
    <row r="33" spans="1:15">
      <c r="A33" s="2" t="s">
        <v>730</v>
      </c>
      <c r="B33" s="2" t="s">
        <v>731</v>
      </c>
      <c r="C33" s="2" t="s">
        <v>76</v>
      </c>
      <c r="D33" s="2" t="s">
        <v>441</v>
      </c>
      <c r="E33" s="2" t="s">
        <v>2896</v>
      </c>
      <c r="F33" s="2" t="s">
        <v>43</v>
      </c>
      <c r="G33" s="2" t="s">
        <v>33</v>
      </c>
      <c r="H33" s="2" t="s">
        <v>44</v>
      </c>
      <c r="I33" s="2">
        <v>0.5</v>
      </c>
      <c r="J33" s="2">
        <v>168</v>
      </c>
      <c r="K33" s="2">
        <v>576</v>
      </c>
      <c r="L33" s="2" t="s">
        <v>12</v>
      </c>
      <c r="M33" s="2" t="s">
        <v>12</v>
      </c>
      <c r="N33" s="2" t="s">
        <v>12</v>
      </c>
      <c r="O33" s="2">
        <v>744</v>
      </c>
    </row>
    <row r="34" spans="1:15">
      <c r="A34" s="2" t="s">
        <v>732</v>
      </c>
      <c r="B34" s="2" t="s">
        <v>733</v>
      </c>
      <c r="C34" s="2" t="s">
        <v>76</v>
      </c>
      <c r="D34" s="2" t="s">
        <v>475</v>
      </c>
      <c r="E34" s="2" t="s">
        <v>2870</v>
      </c>
      <c r="F34" s="2" t="s">
        <v>14</v>
      </c>
      <c r="G34" s="2" t="s">
        <v>15</v>
      </c>
      <c r="H34" s="2" t="s">
        <v>16</v>
      </c>
      <c r="I34" s="2">
        <v>1.5</v>
      </c>
      <c r="J34" s="2">
        <v>6228</v>
      </c>
      <c r="K34" s="2">
        <v>11814</v>
      </c>
      <c r="L34" s="2">
        <v>6772</v>
      </c>
      <c r="M34" s="2" t="s">
        <v>12</v>
      </c>
      <c r="N34" s="2">
        <v>902</v>
      </c>
      <c r="O34" s="2">
        <v>25716</v>
      </c>
    </row>
    <row r="35" spans="1:15">
      <c r="A35" s="2" t="s">
        <v>732</v>
      </c>
      <c r="B35" s="2" t="s">
        <v>733</v>
      </c>
      <c r="C35" s="2" t="s">
        <v>76</v>
      </c>
      <c r="D35" s="2" t="s">
        <v>475</v>
      </c>
      <c r="E35" s="2" t="s">
        <v>2882</v>
      </c>
      <c r="F35" s="2" t="s">
        <v>19</v>
      </c>
      <c r="G35" s="2" t="s">
        <v>15</v>
      </c>
      <c r="H35" s="2" t="s">
        <v>16</v>
      </c>
      <c r="I35" s="2">
        <v>1.23</v>
      </c>
      <c r="J35" s="2">
        <v>48</v>
      </c>
      <c r="K35" s="2">
        <v>1410</v>
      </c>
      <c r="L35" s="2">
        <v>2984</v>
      </c>
      <c r="M35" s="2" t="s">
        <v>12</v>
      </c>
      <c r="N35" s="2">
        <v>2942</v>
      </c>
      <c r="O35" s="2">
        <v>7384</v>
      </c>
    </row>
    <row r="36" spans="1:15">
      <c r="A36" s="2" t="s">
        <v>732</v>
      </c>
      <c r="B36" s="2" t="s">
        <v>733</v>
      </c>
      <c r="C36" s="2" t="s">
        <v>76</v>
      </c>
      <c r="D36" s="2" t="s">
        <v>475</v>
      </c>
      <c r="E36" s="2" t="s">
        <v>2886</v>
      </c>
      <c r="F36" s="2" t="s">
        <v>23</v>
      </c>
      <c r="G36" s="2" t="s">
        <v>15</v>
      </c>
      <c r="H36" s="2" t="s">
        <v>719</v>
      </c>
      <c r="I36" s="2">
        <v>1</v>
      </c>
      <c r="J36" s="2" t="s">
        <v>12</v>
      </c>
      <c r="K36" s="2">
        <v>300</v>
      </c>
      <c r="L36" s="2">
        <v>1676</v>
      </c>
      <c r="M36" s="2" t="s">
        <v>12</v>
      </c>
      <c r="N36" s="2">
        <v>1378</v>
      </c>
      <c r="O36" s="2">
        <v>3354</v>
      </c>
    </row>
    <row r="37" spans="1:15">
      <c r="A37" s="2" t="s">
        <v>732</v>
      </c>
      <c r="B37" s="2" t="s">
        <v>733</v>
      </c>
      <c r="C37" s="2" t="s">
        <v>76</v>
      </c>
      <c r="D37" s="2" t="s">
        <v>475</v>
      </c>
      <c r="E37" s="2" t="s">
        <v>2896</v>
      </c>
      <c r="F37" s="2" t="s">
        <v>26</v>
      </c>
      <c r="G37" s="2" t="s">
        <v>15</v>
      </c>
      <c r="H37" s="2" t="s">
        <v>44</v>
      </c>
      <c r="I37" s="2">
        <v>0.77</v>
      </c>
      <c r="J37" s="2" t="s">
        <v>12</v>
      </c>
      <c r="K37" s="2">
        <v>120</v>
      </c>
      <c r="L37" s="2">
        <v>576</v>
      </c>
      <c r="M37" s="2" t="s">
        <v>12</v>
      </c>
      <c r="N37" s="2">
        <v>838</v>
      </c>
      <c r="O37" s="2">
        <v>1534</v>
      </c>
    </row>
    <row r="38" spans="1:15">
      <c r="A38" s="2" t="s">
        <v>732</v>
      </c>
      <c r="B38" s="2" t="s">
        <v>733</v>
      </c>
      <c r="C38" s="2" t="s">
        <v>76</v>
      </c>
      <c r="D38" s="2" t="s">
        <v>475</v>
      </c>
      <c r="E38" s="2" t="s">
        <v>2901</v>
      </c>
      <c r="F38" s="2" t="s">
        <v>29</v>
      </c>
      <c r="G38" s="2" t="s">
        <v>15</v>
      </c>
      <c r="H38" s="2" t="s">
        <v>44</v>
      </c>
      <c r="I38" s="2">
        <v>0.5</v>
      </c>
      <c r="J38" s="2">
        <v>24</v>
      </c>
      <c r="K38" s="2">
        <v>96</v>
      </c>
      <c r="L38" s="2">
        <v>312</v>
      </c>
      <c r="M38" s="2" t="s">
        <v>12</v>
      </c>
      <c r="N38" s="2">
        <v>294</v>
      </c>
      <c r="O38" s="2">
        <v>726</v>
      </c>
    </row>
    <row r="39" spans="1:15">
      <c r="A39" s="2" t="s">
        <v>732</v>
      </c>
      <c r="B39" s="2" t="s">
        <v>733</v>
      </c>
      <c r="C39" s="2" t="s">
        <v>76</v>
      </c>
      <c r="D39" s="2" t="s">
        <v>475</v>
      </c>
      <c r="E39" s="2" t="s">
        <v>2904</v>
      </c>
      <c r="F39" s="2" t="s">
        <v>32</v>
      </c>
      <c r="G39" s="2" t="s">
        <v>33</v>
      </c>
      <c r="H39" s="2" t="s">
        <v>44</v>
      </c>
      <c r="I39" s="2" t="s">
        <v>12</v>
      </c>
      <c r="J39" s="2" t="s">
        <v>12</v>
      </c>
      <c r="K39" s="2" t="s">
        <v>12</v>
      </c>
      <c r="L39" s="2" t="s">
        <v>12</v>
      </c>
      <c r="M39" s="2" t="s">
        <v>12</v>
      </c>
      <c r="N39" s="2" t="s">
        <v>12</v>
      </c>
      <c r="O39" s="2" t="s">
        <v>12</v>
      </c>
    </row>
    <row r="40" spans="1:15">
      <c r="A40" s="2" t="s">
        <v>734</v>
      </c>
      <c r="B40" s="2" t="s">
        <v>735</v>
      </c>
      <c r="C40" s="2" t="s">
        <v>76</v>
      </c>
      <c r="D40" s="2" t="s">
        <v>441</v>
      </c>
      <c r="E40" s="2" t="s">
        <v>2870</v>
      </c>
      <c r="F40" s="2" t="s">
        <v>49</v>
      </c>
      <c r="G40" s="2" t="s">
        <v>15</v>
      </c>
      <c r="H40" s="2" t="s">
        <v>16</v>
      </c>
      <c r="I40" s="2">
        <v>1.01</v>
      </c>
      <c r="J40" s="2">
        <v>1980</v>
      </c>
      <c r="K40" s="2">
        <v>3366</v>
      </c>
      <c r="L40" s="2">
        <v>552</v>
      </c>
      <c r="M40" s="2" t="s">
        <v>12</v>
      </c>
      <c r="N40" s="2">
        <v>172</v>
      </c>
      <c r="O40" s="2">
        <v>6070</v>
      </c>
    </row>
    <row r="41" spans="1:15">
      <c r="A41" s="2" t="s">
        <v>734</v>
      </c>
      <c r="B41" s="2" t="s">
        <v>735</v>
      </c>
      <c r="C41" s="2" t="s">
        <v>76</v>
      </c>
      <c r="D41" s="2" t="s">
        <v>441</v>
      </c>
      <c r="E41" s="2" t="s">
        <v>2882</v>
      </c>
      <c r="F41" s="2" t="s">
        <v>51</v>
      </c>
      <c r="G41" s="2" t="s">
        <v>15</v>
      </c>
      <c r="H41" s="2" t="s">
        <v>44</v>
      </c>
      <c r="I41" s="2">
        <v>0.69</v>
      </c>
      <c r="J41" s="2">
        <v>44</v>
      </c>
      <c r="K41" s="2">
        <v>1020</v>
      </c>
      <c r="L41" s="2">
        <v>244</v>
      </c>
      <c r="M41" s="2" t="s">
        <v>12</v>
      </c>
      <c r="N41" s="2">
        <v>64</v>
      </c>
      <c r="O41" s="2">
        <v>1372</v>
      </c>
    </row>
    <row r="42" spans="1:15">
      <c r="A42" s="2" t="s">
        <v>734</v>
      </c>
      <c r="B42" s="2" t="s">
        <v>735</v>
      </c>
      <c r="C42" s="2" t="s">
        <v>76</v>
      </c>
      <c r="D42" s="2" t="s">
        <v>441</v>
      </c>
      <c r="E42" s="2" t="s">
        <v>2886</v>
      </c>
      <c r="F42" s="2" t="s">
        <v>52</v>
      </c>
      <c r="G42" s="2" t="s">
        <v>15</v>
      </c>
      <c r="H42" s="2" t="s">
        <v>44</v>
      </c>
      <c r="I42" s="2">
        <v>0.5</v>
      </c>
      <c r="J42" s="2" t="s">
        <v>12</v>
      </c>
      <c r="K42" s="2">
        <v>180</v>
      </c>
      <c r="L42" s="2">
        <v>248</v>
      </c>
      <c r="M42" s="2" t="s">
        <v>12</v>
      </c>
      <c r="N42" s="2">
        <v>114</v>
      </c>
      <c r="O42" s="2">
        <v>542</v>
      </c>
    </row>
    <row r="43" spans="1:15">
      <c r="A43" s="2" t="s">
        <v>734</v>
      </c>
      <c r="B43" s="2" t="s">
        <v>735</v>
      </c>
      <c r="C43" s="2" t="s">
        <v>76</v>
      </c>
      <c r="D43" s="2" t="s">
        <v>441</v>
      </c>
      <c r="E43" s="2" t="s">
        <v>2896</v>
      </c>
      <c r="F43" s="2" t="s">
        <v>54</v>
      </c>
      <c r="G43" s="2" t="s">
        <v>15</v>
      </c>
      <c r="H43" s="2" t="s">
        <v>44</v>
      </c>
      <c r="I43" s="2">
        <v>0.5</v>
      </c>
      <c r="J43" s="2">
        <v>24</v>
      </c>
      <c r="K43" s="2">
        <v>144</v>
      </c>
      <c r="L43" s="2">
        <v>544</v>
      </c>
      <c r="M43" s="2" t="s">
        <v>12</v>
      </c>
      <c r="N43" s="2">
        <v>88</v>
      </c>
      <c r="O43" s="2">
        <v>800</v>
      </c>
    </row>
    <row r="44" spans="1:15">
      <c r="A44" s="2" t="s">
        <v>734</v>
      </c>
      <c r="B44" s="2" t="s">
        <v>735</v>
      </c>
      <c r="C44" s="2" t="s">
        <v>76</v>
      </c>
      <c r="D44" s="2" t="s">
        <v>441</v>
      </c>
      <c r="E44" s="2" t="s">
        <v>2901</v>
      </c>
      <c r="F44" s="2" t="s">
        <v>56</v>
      </c>
      <c r="G44" s="2" t="s">
        <v>15</v>
      </c>
      <c r="H44" s="2" t="s">
        <v>44</v>
      </c>
      <c r="I44" s="2">
        <v>0.5</v>
      </c>
      <c r="J44" s="2" t="s">
        <v>12</v>
      </c>
      <c r="K44" s="2">
        <v>24</v>
      </c>
      <c r="L44" s="2">
        <v>48</v>
      </c>
      <c r="M44" s="2" t="s">
        <v>12</v>
      </c>
      <c r="N44" s="2">
        <v>124</v>
      </c>
      <c r="O44" s="2">
        <v>196</v>
      </c>
    </row>
    <row r="45" spans="1:15">
      <c r="A45" s="2" t="s">
        <v>734</v>
      </c>
      <c r="B45" s="2" t="s">
        <v>735</v>
      </c>
      <c r="C45" s="2" t="s">
        <v>76</v>
      </c>
      <c r="D45" s="2" t="s">
        <v>441</v>
      </c>
      <c r="E45" s="2" t="s">
        <v>2904</v>
      </c>
      <c r="F45" s="2" t="s">
        <v>57</v>
      </c>
      <c r="G45" s="2" t="s">
        <v>33</v>
      </c>
      <c r="H45" s="2" t="s">
        <v>44</v>
      </c>
      <c r="I45" s="2" t="s">
        <v>12</v>
      </c>
      <c r="J45" s="2" t="s">
        <v>12</v>
      </c>
      <c r="K45" s="2" t="s">
        <v>12</v>
      </c>
      <c r="L45" s="2" t="s">
        <v>12</v>
      </c>
      <c r="M45" s="2" t="s">
        <v>12</v>
      </c>
      <c r="N45" s="2" t="s">
        <v>12</v>
      </c>
      <c r="O45" s="2" t="s">
        <v>12</v>
      </c>
    </row>
    <row r="46" spans="1:15">
      <c r="A46" s="2" t="s">
        <v>736</v>
      </c>
      <c r="B46" s="2" t="s">
        <v>737</v>
      </c>
      <c r="C46" s="2" t="s">
        <v>76</v>
      </c>
      <c r="D46" s="2" t="s">
        <v>441</v>
      </c>
      <c r="E46" s="2" t="s">
        <v>2870</v>
      </c>
      <c r="F46" s="2" t="s">
        <v>14</v>
      </c>
      <c r="G46" s="2" t="s">
        <v>15</v>
      </c>
      <c r="H46" s="2" t="s">
        <v>16</v>
      </c>
      <c r="I46" s="2">
        <v>1.5</v>
      </c>
      <c r="J46" s="2">
        <v>3864</v>
      </c>
      <c r="K46" s="2">
        <v>5544</v>
      </c>
      <c r="L46" s="2">
        <v>840</v>
      </c>
      <c r="M46" s="2" t="s">
        <v>12</v>
      </c>
      <c r="N46" s="2">
        <v>824</v>
      </c>
      <c r="O46" s="2">
        <v>11072</v>
      </c>
    </row>
    <row r="47" spans="1:15">
      <c r="A47" s="2" t="s">
        <v>736</v>
      </c>
      <c r="B47" s="2" t="s">
        <v>737</v>
      </c>
      <c r="C47" s="2" t="s">
        <v>76</v>
      </c>
      <c r="D47" s="2" t="s">
        <v>441</v>
      </c>
      <c r="E47" s="2" t="s">
        <v>2882</v>
      </c>
      <c r="F47" s="2" t="s">
        <v>19</v>
      </c>
      <c r="G47" s="2" t="s">
        <v>15</v>
      </c>
      <c r="H47" s="2" t="s">
        <v>719</v>
      </c>
      <c r="I47" s="2">
        <v>1</v>
      </c>
      <c r="J47" s="2">
        <v>136</v>
      </c>
      <c r="K47" s="2">
        <v>1248</v>
      </c>
      <c r="L47" s="2">
        <v>720</v>
      </c>
      <c r="M47" s="2" t="s">
        <v>12</v>
      </c>
      <c r="N47" s="2">
        <v>204</v>
      </c>
      <c r="O47" s="2">
        <v>2308</v>
      </c>
    </row>
    <row r="48" spans="1:15">
      <c r="A48" s="2" t="s">
        <v>736</v>
      </c>
      <c r="B48" s="2" t="s">
        <v>737</v>
      </c>
      <c r="C48" s="2" t="s">
        <v>76</v>
      </c>
      <c r="D48" s="2" t="s">
        <v>441</v>
      </c>
      <c r="E48" s="2" t="s">
        <v>2886</v>
      </c>
      <c r="F48" s="2" t="s">
        <v>23</v>
      </c>
      <c r="G48" s="2" t="s">
        <v>15</v>
      </c>
      <c r="H48" s="2" t="s">
        <v>719</v>
      </c>
      <c r="I48" s="2">
        <v>1</v>
      </c>
      <c r="J48" s="2">
        <v>128</v>
      </c>
      <c r="K48" s="2">
        <v>660</v>
      </c>
      <c r="L48" s="2">
        <v>1504</v>
      </c>
      <c r="M48" s="2" t="s">
        <v>12</v>
      </c>
      <c r="N48" s="2">
        <v>108</v>
      </c>
      <c r="O48" s="2">
        <v>2400</v>
      </c>
    </row>
    <row r="49" spans="1:15">
      <c r="A49" s="2" t="s">
        <v>736</v>
      </c>
      <c r="B49" s="2" t="s">
        <v>737</v>
      </c>
      <c r="C49" s="2" t="s">
        <v>76</v>
      </c>
      <c r="D49" s="2" t="s">
        <v>441</v>
      </c>
      <c r="E49" s="2" t="s">
        <v>2896</v>
      </c>
      <c r="F49" s="2" t="s">
        <v>26</v>
      </c>
      <c r="G49" s="2" t="s">
        <v>15</v>
      </c>
      <c r="H49" s="2" t="s">
        <v>719</v>
      </c>
      <c r="I49" s="2">
        <v>1</v>
      </c>
      <c r="J49" s="2">
        <v>1088</v>
      </c>
      <c r="K49" s="2">
        <v>1548</v>
      </c>
      <c r="L49" s="2">
        <v>1016</v>
      </c>
      <c r="M49" s="2" t="s">
        <v>12</v>
      </c>
      <c r="N49" s="2">
        <v>552</v>
      </c>
      <c r="O49" s="2">
        <v>4204</v>
      </c>
    </row>
    <row r="50" spans="1:15">
      <c r="A50" s="2" t="s">
        <v>736</v>
      </c>
      <c r="B50" s="2" t="s">
        <v>737</v>
      </c>
      <c r="C50" s="2" t="s">
        <v>76</v>
      </c>
      <c r="D50" s="2" t="s">
        <v>441</v>
      </c>
      <c r="E50" s="2" t="s">
        <v>2901</v>
      </c>
      <c r="F50" s="2" t="s">
        <v>29</v>
      </c>
      <c r="G50" s="2" t="s">
        <v>15</v>
      </c>
      <c r="H50" s="2" t="s">
        <v>719</v>
      </c>
      <c r="I50" s="2">
        <v>1</v>
      </c>
      <c r="J50" s="2">
        <v>176</v>
      </c>
      <c r="K50" s="2">
        <v>924</v>
      </c>
      <c r="L50" s="2">
        <v>984</v>
      </c>
      <c r="M50" s="2" t="s">
        <v>12</v>
      </c>
      <c r="N50" s="2">
        <v>412</v>
      </c>
      <c r="O50" s="2">
        <v>2496</v>
      </c>
    </row>
    <row r="51" spans="1:15">
      <c r="A51" s="2" t="s">
        <v>736</v>
      </c>
      <c r="B51" s="2" t="s">
        <v>737</v>
      </c>
      <c r="C51" s="2" t="s">
        <v>76</v>
      </c>
      <c r="D51" s="2" t="s">
        <v>441</v>
      </c>
      <c r="E51" s="2" t="s">
        <v>2904</v>
      </c>
      <c r="F51" s="2" t="s">
        <v>32</v>
      </c>
      <c r="G51" s="2" t="s">
        <v>33</v>
      </c>
      <c r="H51" s="2" t="s">
        <v>44</v>
      </c>
      <c r="I51" s="2" t="s">
        <v>12</v>
      </c>
      <c r="J51" s="2" t="s">
        <v>12</v>
      </c>
      <c r="K51" s="2" t="s">
        <v>12</v>
      </c>
      <c r="L51" s="2" t="s">
        <v>12</v>
      </c>
      <c r="M51" s="2" t="s">
        <v>12</v>
      </c>
      <c r="N51" s="2" t="s">
        <v>12</v>
      </c>
      <c r="O51" s="2" t="s">
        <v>12</v>
      </c>
    </row>
    <row r="52" spans="1:15">
      <c r="A52" s="2" t="s">
        <v>738</v>
      </c>
      <c r="B52" s="2" t="s">
        <v>739</v>
      </c>
      <c r="C52" s="2" t="s">
        <v>48</v>
      </c>
      <c r="D52" s="2" t="s">
        <v>441</v>
      </c>
      <c r="E52" s="2" t="s">
        <v>2870</v>
      </c>
      <c r="F52" s="2" t="s">
        <v>14</v>
      </c>
      <c r="G52" s="2" t="s">
        <v>15</v>
      </c>
      <c r="H52" s="2" t="s">
        <v>16</v>
      </c>
      <c r="I52" s="2">
        <v>1.5</v>
      </c>
      <c r="J52" s="2">
        <v>1912</v>
      </c>
      <c r="K52" s="2">
        <v>3294</v>
      </c>
      <c r="L52" s="2">
        <v>2520</v>
      </c>
      <c r="M52" s="2" t="s">
        <v>12</v>
      </c>
      <c r="N52" s="2">
        <v>1492</v>
      </c>
      <c r="O52" s="2">
        <v>9218</v>
      </c>
    </row>
    <row r="53" spans="1:15">
      <c r="A53" s="2" t="s">
        <v>738</v>
      </c>
      <c r="B53" s="2" t="s">
        <v>739</v>
      </c>
      <c r="C53" s="2" t="s">
        <v>48</v>
      </c>
      <c r="D53" s="2" t="s">
        <v>441</v>
      </c>
      <c r="E53" s="2" t="s">
        <v>2882</v>
      </c>
      <c r="F53" s="2" t="s">
        <v>19</v>
      </c>
      <c r="G53" s="2" t="s">
        <v>15</v>
      </c>
      <c r="H53" s="2" t="s">
        <v>44</v>
      </c>
      <c r="I53" s="2">
        <v>0.5</v>
      </c>
      <c r="J53" s="2" t="s">
        <v>12</v>
      </c>
      <c r="K53" s="2">
        <v>72</v>
      </c>
      <c r="L53" s="2">
        <v>104</v>
      </c>
      <c r="M53" s="2" t="s">
        <v>12</v>
      </c>
      <c r="N53" s="2">
        <v>570</v>
      </c>
      <c r="O53" s="2">
        <v>746</v>
      </c>
    </row>
    <row r="54" spans="1:15">
      <c r="A54" s="2" t="s">
        <v>738</v>
      </c>
      <c r="B54" s="2" t="s">
        <v>739</v>
      </c>
      <c r="C54" s="2" t="s">
        <v>48</v>
      </c>
      <c r="D54" s="2" t="s">
        <v>441</v>
      </c>
      <c r="E54" s="2" t="s">
        <v>2886</v>
      </c>
      <c r="F54" s="2" t="s">
        <v>23</v>
      </c>
      <c r="G54" s="2" t="s">
        <v>15</v>
      </c>
      <c r="H54" s="2" t="s">
        <v>44</v>
      </c>
      <c r="I54" s="2">
        <v>0.5</v>
      </c>
      <c r="J54" s="2" t="s">
        <v>12</v>
      </c>
      <c r="K54" s="2" t="s">
        <v>12</v>
      </c>
      <c r="L54" s="2" t="s">
        <v>12</v>
      </c>
      <c r="M54" s="2" t="s">
        <v>12</v>
      </c>
      <c r="N54" s="2">
        <v>34</v>
      </c>
      <c r="O54" s="2">
        <v>34</v>
      </c>
    </row>
    <row r="55" spans="1:15">
      <c r="A55" s="2" t="s">
        <v>738</v>
      </c>
      <c r="B55" s="2" t="s">
        <v>739</v>
      </c>
      <c r="C55" s="2" t="s">
        <v>48</v>
      </c>
      <c r="D55" s="2" t="s">
        <v>441</v>
      </c>
      <c r="E55" s="2" t="s">
        <v>2896</v>
      </c>
      <c r="F55" s="2" t="s">
        <v>26</v>
      </c>
      <c r="G55" s="2" t="s">
        <v>15</v>
      </c>
      <c r="H55" s="2" t="s">
        <v>44</v>
      </c>
      <c r="I55" s="2">
        <v>0.5</v>
      </c>
      <c r="J55" s="2" t="s">
        <v>12</v>
      </c>
      <c r="K55" s="2">
        <v>24</v>
      </c>
      <c r="L55" s="2">
        <v>36</v>
      </c>
      <c r="M55" s="2" t="s">
        <v>12</v>
      </c>
      <c r="N55" s="2">
        <v>26</v>
      </c>
      <c r="O55" s="2">
        <v>86</v>
      </c>
    </row>
    <row r="56" spans="1:15">
      <c r="A56" s="2" t="s">
        <v>738</v>
      </c>
      <c r="B56" s="2" t="s">
        <v>739</v>
      </c>
      <c r="C56" s="2" t="s">
        <v>48</v>
      </c>
      <c r="D56" s="2" t="s">
        <v>441</v>
      </c>
      <c r="E56" s="2" t="s">
        <v>2901</v>
      </c>
      <c r="F56" s="2" t="s">
        <v>29</v>
      </c>
      <c r="G56" s="2" t="s">
        <v>15</v>
      </c>
      <c r="H56" s="2" t="s">
        <v>44</v>
      </c>
      <c r="I56" s="2">
        <v>0.5</v>
      </c>
      <c r="J56" s="2">
        <v>16</v>
      </c>
      <c r="K56" s="2" t="s">
        <v>12</v>
      </c>
      <c r="L56" s="2">
        <v>20</v>
      </c>
      <c r="M56" s="2" t="s">
        <v>12</v>
      </c>
      <c r="N56" s="2">
        <v>10</v>
      </c>
      <c r="O56" s="2">
        <v>46</v>
      </c>
    </row>
    <row r="57" spans="1:15">
      <c r="A57" s="2" t="s">
        <v>738</v>
      </c>
      <c r="B57" s="2" t="s">
        <v>739</v>
      </c>
      <c r="C57" s="2" t="s">
        <v>48</v>
      </c>
      <c r="D57" s="2" t="s">
        <v>441</v>
      </c>
      <c r="E57" s="2" t="s">
        <v>2904</v>
      </c>
      <c r="F57" s="2" t="s">
        <v>32</v>
      </c>
      <c r="G57" s="2" t="s">
        <v>33</v>
      </c>
      <c r="H57" s="2" t="s">
        <v>44</v>
      </c>
      <c r="I57" s="2" t="s">
        <v>12</v>
      </c>
      <c r="J57" s="2" t="s">
        <v>12</v>
      </c>
      <c r="K57" s="2" t="s">
        <v>12</v>
      </c>
      <c r="L57" s="2" t="s">
        <v>12</v>
      </c>
      <c r="M57" s="2" t="s">
        <v>12</v>
      </c>
      <c r="N57" s="2" t="s">
        <v>12</v>
      </c>
      <c r="O57" s="2" t="s">
        <v>12</v>
      </c>
    </row>
    <row r="58" spans="1:15">
      <c r="A58" s="2" t="s">
        <v>740</v>
      </c>
      <c r="B58" s="2" t="s">
        <v>741</v>
      </c>
      <c r="C58" s="2" t="s">
        <v>76</v>
      </c>
      <c r="D58" s="2" t="s">
        <v>520</v>
      </c>
      <c r="E58" s="2" t="s">
        <v>2870</v>
      </c>
      <c r="F58" s="2" t="s">
        <v>26</v>
      </c>
      <c r="G58" s="2" t="s">
        <v>15</v>
      </c>
      <c r="H58" s="2" t="s">
        <v>16</v>
      </c>
      <c r="I58" s="2">
        <v>1.5</v>
      </c>
      <c r="J58" s="2">
        <v>7176</v>
      </c>
      <c r="K58" s="2">
        <v>9708</v>
      </c>
      <c r="L58" s="2">
        <v>6264</v>
      </c>
      <c r="M58" s="2" t="s">
        <v>12</v>
      </c>
      <c r="N58" s="2">
        <v>396</v>
      </c>
      <c r="O58" s="2">
        <v>23544</v>
      </c>
    </row>
    <row r="59" spans="1:15">
      <c r="A59" s="2" t="s">
        <v>740</v>
      </c>
      <c r="B59" s="2" t="s">
        <v>741</v>
      </c>
      <c r="C59" s="2" t="s">
        <v>76</v>
      </c>
      <c r="D59" s="2" t="s">
        <v>520</v>
      </c>
      <c r="E59" s="2" t="s">
        <v>2882</v>
      </c>
      <c r="F59" s="2" t="s">
        <v>29</v>
      </c>
      <c r="G59" s="2" t="s">
        <v>15</v>
      </c>
      <c r="H59" s="2" t="s">
        <v>16</v>
      </c>
      <c r="I59" s="2">
        <v>1.5</v>
      </c>
      <c r="J59" s="2">
        <v>10336</v>
      </c>
      <c r="K59" s="2">
        <v>15372</v>
      </c>
      <c r="L59" s="2">
        <v>9296</v>
      </c>
      <c r="M59" s="2" t="s">
        <v>12</v>
      </c>
      <c r="N59" s="2">
        <v>4428</v>
      </c>
      <c r="O59" s="2">
        <v>39432</v>
      </c>
    </row>
    <row r="60" spans="1:15">
      <c r="A60" s="2" t="s">
        <v>740</v>
      </c>
      <c r="B60" s="2" t="s">
        <v>741</v>
      </c>
      <c r="C60" s="2" t="s">
        <v>76</v>
      </c>
      <c r="D60" s="2" t="s">
        <v>520</v>
      </c>
      <c r="E60" s="2" t="s">
        <v>2886</v>
      </c>
      <c r="F60" s="2" t="s">
        <v>32</v>
      </c>
      <c r="G60" s="2" t="s">
        <v>33</v>
      </c>
      <c r="H60" s="2" t="s">
        <v>719</v>
      </c>
      <c r="I60" s="2">
        <v>1</v>
      </c>
      <c r="J60" s="2">
        <v>792</v>
      </c>
      <c r="K60" s="2">
        <v>1296</v>
      </c>
      <c r="L60" s="2">
        <v>32</v>
      </c>
      <c r="M60" s="2" t="s">
        <v>12</v>
      </c>
      <c r="N60" s="2">
        <v>340</v>
      </c>
      <c r="O60" s="2">
        <v>2460</v>
      </c>
    </row>
    <row r="61" spans="1:15">
      <c r="A61" s="2" t="s">
        <v>742</v>
      </c>
      <c r="B61" s="2" t="s">
        <v>743</v>
      </c>
      <c r="C61" s="2" t="s">
        <v>76</v>
      </c>
      <c r="D61" s="2" t="s">
        <v>461</v>
      </c>
      <c r="E61" s="2" t="s">
        <v>2870</v>
      </c>
      <c r="F61" s="2" t="s">
        <v>122</v>
      </c>
      <c r="G61" s="2" t="s">
        <v>15</v>
      </c>
      <c r="H61" s="2" t="s">
        <v>16</v>
      </c>
      <c r="I61" s="2">
        <v>1.5</v>
      </c>
      <c r="J61" s="2">
        <v>3240</v>
      </c>
      <c r="K61" s="2">
        <v>4530</v>
      </c>
      <c r="L61" s="2">
        <v>2740</v>
      </c>
      <c r="M61" s="2" t="s">
        <v>12</v>
      </c>
      <c r="N61" s="2">
        <v>2756</v>
      </c>
      <c r="O61" s="2">
        <v>13266</v>
      </c>
    </row>
    <row r="62" spans="1:15">
      <c r="A62" s="2" t="s">
        <v>742</v>
      </c>
      <c r="B62" s="2" t="s">
        <v>743</v>
      </c>
      <c r="C62" s="2" t="s">
        <v>76</v>
      </c>
      <c r="D62" s="2" t="s">
        <v>461</v>
      </c>
      <c r="E62" s="2" t="s">
        <v>2882</v>
      </c>
      <c r="F62" s="2" t="s">
        <v>124</v>
      </c>
      <c r="G62" s="2" t="s">
        <v>15</v>
      </c>
      <c r="H62" s="2" t="s">
        <v>16</v>
      </c>
      <c r="I62" s="2">
        <v>1.5</v>
      </c>
      <c r="J62" s="2">
        <v>2692</v>
      </c>
      <c r="K62" s="2">
        <v>4440</v>
      </c>
      <c r="L62" s="2">
        <v>2956</v>
      </c>
      <c r="M62" s="2" t="s">
        <v>12</v>
      </c>
      <c r="N62" s="2">
        <v>1678</v>
      </c>
      <c r="O62" s="2">
        <v>11766</v>
      </c>
    </row>
    <row r="63" spans="1:15">
      <c r="A63" s="2" t="s">
        <v>742</v>
      </c>
      <c r="B63" s="2" t="s">
        <v>743</v>
      </c>
      <c r="C63" s="2" t="s">
        <v>76</v>
      </c>
      <c r="D63" s="2" t="s">
        <v>461</v>
      </c>
      <c r="E63" s="2" t="s">
        <v>2886</v>
      </c>
      <c r="F63" s="2" t="s">
        <v>126</v>
      </c>
      <c r="G63" s="2" t="s">
        <v>15</v>
      </c>
      <c r="H63" s="2" t="s">
        <v>16</v>
      </c>
      <c r="I63" s="2">
        <v>1.5</v>
      </c>
      <c r="J63" s="2">
        <v>2028</v>
      </c>
      <c r="K63" s="2">
        <v>2850</v>
      </c>
      <c r="L63" s="2">
        <v>3340</v>
      </c>
      <c r="M63" s="2" t="s">
        <v>12</v>
      </c>
      <c r="N63" s="2">
        <v>2130</v>
      </c>
      <c r="O63" s="2">
        <v>10348</v>
      </c>
    </row>
    <row r="64" spans="1:15">
      <c r="A64" s="2" t="s">
        <v>742</v>
      </c>
      <c r="B64" s="2" t="s">
        <v>743</v>
      </c>
      <c r="C64" s="2" t="s">
        <v>76</v>
      </c>
      <c r="D64" s="2" t="s">
        <v>461</v>
      </c>
      <c r="E64" s="2" t="s">
        <v>2896</v>
      </c>
      <c r="F64" s="2" t="s">
        <v>128</v>
      </c>
      <c r="G64" s="2" t="s">
        <v>15</v>
      </c>
      <c r="H64" s="2" t="s">
        <v>719</v>
      </c>
      <c r="I64" s="2">
        <v>1</v>
      </c>
      <c r="J64" s="2">
        <v>860</v>
      </c>
      <c r="K64" s="2">
        <v>1968</v>
      </c>
      <c r="L64" s="2">
        <v>2100</v>
      </c>
      <c r="M64" s="2" t="s">
        <v>12</v>
      </c>
      <c r="N64" s="2">
        <v>930</v>
      </c>
      <c r="O64" s="2">
        <v>5858</v>
      </c>
    </row>
    <row r="65" spans="1:15">
      <c r="A65" s="2" t="s">
        <v>742</v>
      </c>
      <c r="B65" s="2" t="s">
        <v>743</v>
      </c>
      <c r="C65" s="2" t="s">
        <v>76</v>
      </c>
      <c r="D65" s="2" t="s">
        <v>461</v>
      </c>
      <c r="E65" s="2" t="s">
        <v>2901</v>
      </c>
      <c r="F65" s="2" t="s">
        <v>130</v>
      </c>
      <c r="G65" s="2" t="s">
        <v>15</v>
      </c>
      <c r="H65" s="2" t="s">
        <v>719</v>
      </c>
      <c r="I65" s="2">
        <v>1</v>
      </c>
      <c r="J65" s="2">
        <v>232</v>
      </c>
      <c r="K65" s="2">
        <v>852</v>
      </c>
      <c r="L65" s="2">
        <v>944</v>
      </c>
      <c r="M65" s="2" t="s">
        <v>12</v>
      </c>
      <c r="N65" s="2">
        <v>410</v>
      </c>
      <c r="O65" s="2">
        <v>2438</v>
      </c>
    </row>
    <row r="66" spans="1:15">
      <c r="A66" s="2" t="s">
        <v>742</v>
      </c>
      <c r="B66" s="2" t="s">
        <v>743</v>
      </c>
      <c r="C66" s="2" t="s">
        <v>76</v>
      </c>
      <c r="D66" s="2" t="s">
        <v>461</v>
      </c>
      <c r="E66" s="2" t="s">
        <v>2904</v>
      </c>
      <c r="F66" s="2" t="s">
        <v>132</v>
      </c>
      <c r="G66" s="2" t="s">
        <v>33</v>
      </c>
      <c r="H66" s="2" t="s">
        <v>44</v>
      </c>
      <c r="I66" s="2" t="s">
        <v>12</v>
      </c>
      <c r="J66" s="2" t="s">
        <v>12</v>
      </c>
      <c r="K66" s="2" t="s">
        <v>12</v>
      </c>
      <c r="L66" s="2" t="s">
        <v>12</v>
      </c>
      <c r="M66" s="2" t="s">
        <v>12</v>
      </c>
      <c r="N66" s="2" t="s">
        <v>12</v>
      </c>
      <c r="O66" s="2" t="s">
        <v>12</v>
      </c>
    </row>
    <row r="67" spans="1:15">
      <c r="A67" s="2" t="s">
        <v>744</v>
      </c>
      <c r="B67" s="2" t="s">
        <v>745</v>
      </c>
      <c r="C67" s="2" t="s">
        <v>11</v>
      </c>
      <c r="D67" s="2" t="s">
        <v>441</v>
      </c>
      <c r="E67" s="2" t="s">
        <v>2870</v>
      </c>
      <c r="F67" s="2" t="s">
        <v>200</v>
      </c>
      <c r="G67" s="2" t="s">
        <v>15</v>
      </c>
      <c r="H67" s="2" t="s">
        <v>16</v>
      </c>
      <c r="I67" s="2">
        <v>1.03</v>
      </c>
      <c r="J67" s="2">
        <v>1200</v>
      </c>
      <c r="K67" s="2">
        <v>2310</v>
      </c>
      <c r="L67" s="2">
        <v>2672</v>
      </c>
      <c r="M67" s="2" t="s">
        <v>12</v>
      </c>
      <c r="N67" s="2">
        <v>26</v>
      </c>
      <c r="O67" s="2">
        <v>6208</v>
      </c>
    </row>
    <row r="68" spans="1:15">
      <c r="A68" s="2" t="s">
        <v>744</v>
      </c>
      <c r="B68" s="2" t="s">
        <v>745</v>
      </c>
      <c r="C68" s="2" t="s">
        <v>11</v>
      </c>
      <c r="D68" s="2" t="s">
        <v>441</v>
      </c>
      <c r="E68" s="2" t="s">
        <v>2882</v>
      </c>
      <c r="F68" s="2" t="s">
        <v>202</v>
      </c>
      <c r="G68" s="2" t="s">
        <v>15</v>
      </c>
      <c r="H68" s="2" t="s">
        <v>719</v>
      </c>
      <c r="I68" s="2">
        <v>1</v>
      </c>
      <c r="J68" s="2">
        <v>464</v>
      </c>
      <c r="K68" s="2">
        <v>804</v>
      </c>
      <c r="L68" s="2">
        <v>524</v>
      </c>
      <c r="M68" s="2" t="s">
        <v>12</v>
      </c>
      <c r="N68" s="2">
        <v>4094</v>
      </c>
      <c r="O68" s="2">
        <v>5886</v>
      </c>
    </row>
    <row r="69" spans="1:15">
      <c r="A69" s="2" t="s">
        <v>744</v>
      </c>
      <c r="B69" s="2" t="s">
        <v>745</v>
      </c>
      <c r="C69" s="2" t="s">
        <v>11</v>
      </c>
      <c r="D69" s="2" t="s">
        <v>441</v>
      </c>
      <c r="E69" s="2" t="s">
        <v>2886</v>
      </c>
      <c r="F69" s="2" t="s">
        <v>204</v>
      </c>
      <c r="G69" s="2" t="s">
        <v>15</v>
      </c>
      <c r="H69" s="2" t="s">
        <v>719</v>
      </c>
      <c r="I69" s="2">
        <v>1</v>
      </c>
      <c r="J69" s="2">
        <v>160</v>
      </c>
      <c r="K69" s="2">
        <v>390</v>
      </c>
      <c r="L69" s="2">
        <v>2424</v>
      </c>
      <c r="M69" s="2" t="s">
        <v>12</v>
      </c>
      <c r="N69" s="2">
        <v>2498</v>
      </c>
      <c r="O69" s="2">
        <v>5472</v>
      </c>
    </row>
    <row r="70" spans="1:15">
      <c r="A70" s="2" t="s">
        <v>744</v>
      </c>
      <c r="B70" s="2" t="s">
        <v>745</v>
      </c>
      <c r="C70" s="2" t="s">
        <v>11</v>
      </c>
      <c r="D70" s="2" t="s">
        <v>441</v>
      </c>
      <c r="E70" s="2" t="s">
        <v>2896</v>
      </c>
      <c r="F70" s="2" t="s">
        <v>206</v>
      </c>
      <c r="G70" s="2" t="s">
        <v>15</v>
      </c>
      <c r="H70" s="2" t="s">
        <v>719</v>
      </c>
      <c r="I70" s="2">
        <v>1</v>
      </c>
      <c r="J70" s="2">
        <v>808</v>
      </c>
      <c r="K70" s="2">
        <v>1218</v>
      </c>
      <c r="L70" s="2">
        <v>660</v>
      </c>
      <c r="M70" s="2" t="s">
        <v>12</v>
      </c>
      <c r="N70" s="2">
        <v>1162</v>
      </c>
      <c r="O70" s="2">
        <v>3848</v>
      </c>
    </row>
    <row r="71" spans="1:15">
      <c r="A71" s="2" t="s">
        <v>744</v>
      </c>
      <c r="B71" s="2" t="s">
        <v>745</v>
      </c>
      <c r="C71" s="2" t="s">
        <v>11</v>
      </c>
      <c r="D71" s="2" t="s">
        <v>441</v>
      </c>
      <c r="E71" s="2" t="s">
        <v>2901</v>
      </c>
      <c r="F71" s="2" t="s">
        <v>208</v>
      </c>
      <c r="G71" s="2" t="s">
        <v>15</v>
      </c>
      <c r="H71" s="2" t="s">
        <v>719</v>
      </c>
      <c r="I71" s="2">
        <v>1</v>
      </c>
      <c r="J71" s="2">
        <v>16</v>
      </c>
      <c r="K71" s="2">
        <v>48</v>
      </c>
      <c r="L71" s="2">
        <v>388</v>
      </c>
      <c r="M71" s="2" t="s">
        <v>12</v>
      </c>
      <c r="N71" s="2">
        <v>1918</v>
      </c>
      <c r="O71" s="2">
        <v>2370</v>
      </c>
    </row>
    <row r="72" spans="1:15">
      <c r="A72" s="2" t="s">
        <v>744</v>
      </c>
      <c r="B72" s="2" t="s">
        <v>745</v>
      </c>
      <c r="C72" s="2" t="s">
        <v>11</v>
      </c>
      <c r="D72" s="2" t="s">
        <v>441</v>
      </c>
      <c r="E72" s="2" t="s">
        <v>2904</v>
      </c>
      <c r="F72" s="2" t="s">
        <v>210</v>
      </c>
      <c r="G72" s="2" t="s">
        <v>33</v>
      </c>
      <c r="H72" s="2" t="s">
        <v>44</v>
      </c>
      <c r="I72" s="2" t="s">
        <v>12</v>
      </c>
      <c r="J72" s="2" t="s">
        <v>12</v>
      </c>
      <c r="K72" s="2" t="s">
        <v>12</v>
      </c>
      <c r="L72" s="2" t="s">
        <v>12</v>
      </c>
      <c r="M72" s="2" t="s">
        <v>12</v>
      </c>
      <c r="N72" s="2" t="s">
        <v>12</v>
      </c>
      <c r="O72" s="2" t="s">
        <v>12</v>
      </c>
    </row>
    <row r="73" spans="1:15">
      <c r="A73" s="2" t="s">
        <v>746</v>
      </c>
      <c r="B73" s="2" t="s">
        <v>747</v>
      </c>
      <c r="C73" s="2" t="s">
        <v>48</v>
      </c>
      <c r="D73" s="2" t="s">
        <v>446</v>
      </c>
      <c r="E73" s="2" t="s">
        <v>2870</v>
      </c>
      <c r="F73" s="2" t="s">
        <v>14</v>
      </c>
      <c r="G73" s="2" t="s">
        <v>15</v>
      </c>
      <c r="H73" s="2" t="s">
        <v>16</v>
      </c>
      <c r="I73" s="2">
        <v>1.06</v>
      </c>
      <c r="J73" s="2">
        <v>1200</v>
      </c>
      <c r="K73" s="2">
        <v>1800</v>
      </c>
      <c r="L73" s="2">
        <v>1060</v>
      </c>
      <c r="M73" s="2" t="s">
        <v>12</v>
      </c>
      <c r="N73" s="2">
        <v>2320</v>
      </c>
      <c r="O73" s="2">
        <v>6380</v>
      </c>
    </row>
    <row r="74" spans="1:15">
      <c r="A74" s="2" t="s">
        <v>746</v>
      </c>
      <c r="B74" s="2" t="s">
        <v>747</v>
      </c>
      <c r="C74" s="2" t="s">
        <v>48</v>
      </c>
      <c r="D74" s="2" t="s">
        <v>446</v>
      </c>
      <c r="E74" s="2" t="s">
        <v>2882</v>
      </c>
      <c r="F74" s="2" t="s">
        <v>19</v>
      </c>
      <c r="G74" s="2" t="s">
        <v>15</v>
      </c>
      <c r="H74" s="2" t="s">
        <v>719</v>
      </c>
      <c r="I74" s="2">
        <v>1</v>
      </c>
      <c r="J74" s="2">
        <v>400</v>
      </c>
      <c r="K74" s="2">
        <v>750</v>
      </c>
      <c r="L74" s="2">
        <v>200</v>
      </c>
      <c r="M74" s="2" t="s">
        <v>12</v>
      </c>
      <c r="N74" s="2">
        <v>1080</v>
      </c>
      <c r="O74" s="2">
        <v>2430</v>
      </c>
    </row>
    <row r="75" spans="1:15">
      <c r="A75" s="2" t="s">
        <v>746</v>
      </c>
      <c r="B75" s="2" t="s">
        <v>747</v>
      </c>
      <c r="C75" s="2" t="s">
        <v>48</v>
      </c>
      <c r="D75" s="2" t="s">
        <v>446</v>
      </c>
      <c r="E75" s="2" t="s">
        <v>2886</v>
      </c>
      <c r="F75" s="2" t="s">
        <v>23</v>
      </c>
      <c r="G75" s="2" t="s">
        <v>15</v>
      </c>
      <c r="H75" s="2" t="s">
        <v>44</v>
      </c>
      <c r="I75" s="2">
        <v>0.87</v>
      </c>
      <c r="J75" s="2">
        <v>300</v>
      </c>
      <c r="K75" s="2">
        <v>450</v>
      </c>
      <c r="L75" s="2">
        <v>400</v>
      </c>
      <c r="M75" s="2" t="s">
        <v>12</v>
      </c>
      <c r="N75" s="2">
        <v>580</v>
      </c>
      <c r="O75" s="2">
        <v>1730</v>
      </c>
    </row>
    <row r="76" spans="1:15">
      <c r="A76" s="2" t="s">
        <v>746</v>
      </c>
      <c r="B76" s="2" t="s">
        <v>747</v>
      </c>
      <c r="C76" s="2" t="s">
        <v>48</v>
      </c>
      <c r="D76" s="2" t="s">
        <v>446</v>
      </c>
      <c r="E76" s="2" t="s">
        <v>2896</v>
      </c>
      <c r="F76" s="2" t="s">
        <v>26</v>
      </c>
      <c r="G76" s="2" t="s">
        <v>15</v>
      </c>
      <c r="H76" s="2" t="s">
        <v>44</v>
      </c>
      <c r="I76" s="2">
        <v>0.51</v>
      </c>
      <c r="J76" s="2">
        <v>60</v>
      </c>
      <c r="K76" s="2">
        <v>90</v>
      </c>
      <c r="L76" s="2">
        <v>200</v>
      </c>
      <c r="M76" s="2" t="s">
        <v>12</v>
      </c>
      <c r="N76" s="2">
        <v>670</v>
      </c>
      <c r="O76" s="2">
        <v>1020</v>
      </c>
    </row>
    <row r="77" spans="1:15">
      <c r="A77" s="2" t="s">
        <v>746</v>
      </c>
      <c r="B77" s="2" t="s">
        <v>747</v>
      </c>
      <c r="C77" s="2" t="s">
        <v>48</v>
      </c>
      <c r="D77" s="2" t="s">
        <v>446</v>
      </c>
      <c r="E77" s="2" t="s">
        <v>2901</v>
      </c>
      <c r="F77" s="2" t="s">
        <v>29</v>
      </c>
      <c r="G77" s="2" t="s">
        <v>15</v>
      </c>
      <c r="H77" s="2" t="s">
        <v>44</v>
      </c>
      <c r="I77" s="2">
        <v>0.86</v>
      </c>
      <c r="J77" s="2">
        <v>380</v>
      </c>
      <c r="K77" s="2">
        <v>660</v>
      </c>
      <c r="L77" s="2">
        <v>120</v>
      </c>
      <c r="M77" s="2" t="s">
        <v>12</v>
      </c>
      <c r="N77" s="2">
        <v>562</v>
      </c>
      <c r="O77" s="2">
        <v>1722</v>
      </c>
    </row>
    <row r="78" spans="1:15">
      <c r="A78" s="2" t="s">
        <v>746</v>
      </c>
      <c r="B78" s="2" t="s">
        <v>747</v>
      </c>
      <c r="C78" s="2" t="s">
        <v>48</v>
      </c>
      <c r="D78" s="2" t="s">
        <v>446</v>
      </c>
      <c r="E78" s="2" t="s">
        <v>2904</v>
      </c>
      <c r="F78" s="2" t="s">
        <v>32</v>
      </c>
      <c r="G78" s="2" t="s">
        <v>33</v>
      </c>
      <c r="H78" s="2" t="s">
        <v>44</v>
      </c>
      <c r="I78" s="2" t="s">
        <v>12</v>
      </c>
      <c r="J78" s="2" t="s">
        <v>12</v>
      </c>
      <c r="K78" s="2" t="s">
        <v>12</v>
      </c>
      <c r="L78" s="2" t="s">
        <v>12</v>
      </c>
      <c r="M78" s="2" t="s">
        <v>12</v>
      </c>
      <c r="N78" s="2" t="s">
        <v>12</v>
      </c>
      <c r="O78" s="2" t="s">
        <v>12</v>
      </c>
    </row>
    <row r="79" spans="1:15">
      <c r="A79" s="2" t="s">
        <v>748</v>
      </c>
      <c r="B79" s="2" t="s">
        <v>749</v>
      </c>
      <c r="C79" s="2" t="s">
        <v>76</v>
      </c>
      <c r="D79" s="2" t="s">
        <v>441</v>
      </c>
      <c r="E79" s="2" t="s">
        <v>2870</v>
      </c>
      <c r="F79" s="2" t="s">
        <v>26</v>
      </c>
      <c r="G79" s="2" t="s">
        <v>15</v>
      </c>
      <c r="H79" s="2" t="s">
        <v>719</v>
      </c>
      <c r="I79" s="2">
        <v>1</v>
      </c>
      <c r="J79" s="2">
        <v>1200</v>
      </c>
      <c r="K79" s="2">
        <v>1632</v>
      </c>
      <c r="L79" s="2">
        <v>560</v>
      </c>
      <c r="M79" s="2" t="s">
        <v>12</v>
      </c>
      <c r="N79" s="2">
        <v>224</v>
      </c>
      <c r="O79" s="2">
        <v>3616</v>
      </c>
    </row>
    <row r="80" spans="1:15">
      <c r="A80" s="2" t="s">
        <v>748</v>
      </c>
      <c r="B80" s="2" t="s">
        <v>749</v>
      </c>
      <c r="C80" s="2" t="s">
        <v>76</v>
      </c>
      <c r="D80" s="2" t="s">
        <v>441</v>
      </c>
      <c r="E80" s="2" t="s">
        <v>2882</v>
      </c>
      <c r="F80" s="2" t="s">
        <v>29</v>
      </c>
      <c r="G80" s="2" t="s">
        <v>15</v>
      </c>
      <c r="H80" s="2" t="s">
        <v>719</v>
      </c>
      <c r="I80" s="2">
        <v>1</v>
      </c>
      <c r="J80" s="2">
        <v>256</v>
      </c>
      <c r="K80" s="2">
        <v>528</v>
      </c>
      <c r="L80" s="2">
        <v>864</v>
      </c>
      <c r="M80" s="2" t="s">
        <v>12</v>
      </c>
      <c r="N80" s="2">
        <v>504</v>
      </c>
      <c r="O80" s="2">
        <v>2152</v>
      </c>
    </row>
    <row r="81" spans="1:15">
      <c r="A81" s="2" t="s">
        <v>748</v>
      </c>
      <c r="B81" s="2" t="s">
        <v>749</v>
      </c>
      <c r="C81" s="2" t="s">
        <v>76</v>
      </c>
      <c r="D81" s="2" t="s">
        <v>441</v>
      </c>
      <c r="E81" s="2" t="s">
        <v>2886</v>
      </c>
      <c r="F81" s="2" t="s">
        <v>32</v>
      </c>
      <c r="G81" s="2" t="s">
        <v>33</v>
      </c>
      <c r="H81" s="2" t="s">
        <v>44</v>
      </c>
      <c r="I81" s="2" t="s">
        <v>12</v>
      </c>
      <c r="J81" s="2" t="s">
        <v>12</v>
      </c>
      <c r="K81" s="2" t="s">
        <v>12</v>
      </c>
      <c r="L81" s="2" t="s">
        <v>12</v>
      </c>
      <c r="M81" s="2" t="s">
        <v>12</v>
      </c>
      <c r="N81" s="2" t="s">
        <v>12</v>
      </c>
      <c r="O81" s="2" t="s">
        <v>12</v>
      </c>
    </row>
    <row r="82" spans="1:15">
      <c r="A82" s="2" t="s">
        <v>750</v>
      </c>
      <c r="B82" s="2" t="s">
        <v>751</v>
      </c>
      <c r="C82" s="2" t="s">
        <v>48</v>
      </c>
      <c r="D82" s="2" t="s">
        <v>468</v>
      </c>
      <c r="E82" s="2" t="s">
        <v>2870</v>
      </c>
      <c r="F82" s="2" t="s">
        <v>14</v>
      </c>
      <c r="G82" s="2" t="s">
        <v>15</v>
      </c>
      <c r="H82" s="2" t="s">
        <v>719</v>
      </c>
      <c r="I82" s="2">
        <v>1</v>
      </c>
      <c r="J82" s="2">
        <v>536</v>
      </c>
      <c r="K82" s="2">
        <v>822</v>
      </c>
      <c r="L82" s="2">
        <v>752</v>
      </c>
      <c r="M82" s="2" t="s">
        <v>12</v>
      </c>
      <c r="N82" s="2">
        <v>808</v>
      </c>
      <c r="O82" s="2">
        <v>2918</v>
      </c>
    </row>
    <row r="83" spans="1:15">
      <c r="A83" s="2" t="s">
        <v>750</v>
      </c>
      <c r="B83" s="2" t="s">
        <v>751</v>
      </c>
      <c r="C83" s="2" t="s">
        <v>48</v>
      </c>
      <c r="D83" s="2" t="s">
        <v>468</v>
      </c>
      <c r="E83" s="2" t="s">
        <v>2882</v>
      </c>
      <c r="F83" s="2" t="s">
        <v>19</v>
      </c>
      <c r="G83" s="2" t="s">
        <v>15</v>
      </c>
      <c r="H83" s="2" t="s">
        <v>16</v>
      </c>
      <c r="I83" s="2">
        <v>1.5</v>
      </c>
      <c r="J83" s="2">
        <v>5020</v>
      </c>
      <c r="K83" s="2">
        <v>6564</v>
      </c>
      <c r="L83" s="2">
        <v>4064</v>
      </c>
      <c r="M83" s="2" t="s">
        <v>12</v>
      </c>
      <c r="N83" s="2">
        <v>1094</v>
      </c>
      <c r="O83" s="2">
        <v>16742</v>
      </c>
    </row>
    <row r="84" spans="1:15">
      <c r="A84" s="2" t="s">
        <v>750</v>
      </c>
      <c r="B84" s="2" t="s">
        <v>751</v>
      </c>
      <c r="C84" s="2" t="s">
        <v>48</v>
      </c>
      <c r="D84" s="2" t="s">
        <v>468</v>
      </c>
      <c r="E84" s="2" t="s">
        <v>2886</v>
      </c>
      <c r="F84" s="2" t="s">
        <v>23</v>
      </c>
      <c r="G84" s="2" t="s">
        <v>15</v>
      </c>
      <c r="H84" s="2" t="s">
        <v>16</v>
      </c>
      <c r="I84" s="2">
        <v>1.5</v>
      </c>
      <c r="J84" s="2">
        <v>5800</v>
      </c>
      <c r="K84" s="2">
        <v>8484</v>
      </c>
      <c r="L84" s="2">
        <v>1408</v>
      </c>
      <c r="M84" s="2" t="s">
        <v>12</v>
      </c>
      <c r="N84" s="2">
        <v>2938</v>
      </c>
      <c r="O84" s="2">
        <v>18630</v>
      </c>
    </row>
    <row r="85" spans="1:15">
      <c r="A85" s="2" t="s">
        <v>750</v>
      </c>
      <c r="B85" s="2" t="s">
        <v>751</v>
      </c>
      <c r="C85" s="2" t="s">
        <v>48</v>
      </c>
      <c r="D85" s="2" t="s">
        <v>468</v>
      </c>
      <c r="E85" s="2" t="s">
        <v>2896</v>
      </c>
      <c r="F85" s="2" t="s">
        <v>26</v>
      </c>
      <c r="G85" s="2" t="s">
        <v>15</v>
      </c>
      <c r="H85" s="2" t="s">
        <v>16</v>
      </c>
      <c r="I85" s="2">
        <v>1.5</v>
      </c>
      <c r="J85" s="2">
        <v>7884</v>
      </c>
      <c r="K85" s="2">
        <v>11292</v>
      </c>
      <c r="L85" s="2">
        <v>3504</v>
      </c>
      <c r="M85" s="2" t="s">
        <v>12</v>
      </c>
      <c r="N85" s="2">
        <v>3006</v>
      </c>
      <c r="O85" s="2">
        <v>25686</v>
      </c>
    </row>
    <row r="86" spans="1:15">
      <c r="A86" s="2" t="s">
        <v>750</v>
      </c>
      <c r="B86" s="2" t="s">
        <v>751</v>
      </c>
      <c r="C86" s="2" t="s">
        <v>48</v>
      </c>
      <c r="D86" s="2" t="s">
        <v>468</v>
      </c>
      <c r="E86" s="2" t="s">
        <v>2901</v>
      </c>
      <c r="F86" s="2" t="s">
        <v>29</v>
      </c>
      <c r="G86" s="2" t="s">
        <v>15</v>
      </c>
      <c r="H86" s="2" t="s">
        <v>16</v>
      </c>
      <c r="I86" s="2">
        <v>1.5</v>
      </c>
      <c r="J86" s="2">
        <v>6684</v>
      </c>
      <c r="K86" s="2">
        <v>10236</v>
      </c>
      <c r="L86" s="2">
        <v>6592</v>
      </c>
      <c r="M86" s="2" t="s">
        <v>12</v>
      </c>
      <c r="N86" s="2">
        <v>4222</v>
      </c>
      <c r="O86" s="2">
        <v>27734</v>
      </c>
    </row>
    <row r="87" spans="1:15">
      <c r="A87" s="2" t="s">
        <v>750</v>
      </c>
      <c r="B87" s="2" t="s">
        <v>751</v>
      </c>
      <c r="C87" s="2" t="s">
        <v>48</v>
      </c>
      <c r="D87" s="2" t="s">
        <v>468</v>
      </c>
      <c r="E87" s="2" t="s">
        <v>2904</v>
      </c>
      <c r="F87" s="2" t="s">
        <v>32</v>
      </c>
      <c r="G87" s="2" t="s">
        <v>33</v>
      </c>
      <c r="H87" s="2" t="s">
        <v>44</v>
      </c>
      <c r="I87" s="2" t="s">
        <v>12</v>
      </c>
      <c r="J87" s="2" t="s">
        <v>12</v>
      </c>
      <c r="K87" s="2" t="s">
        <v>12</v>
      </c>
      <c r="L87" s="2" t="s">
        <v>12</v>
      </c>
      <c r="M87" s="2" t="s">
        <v>12</v>
      </c>
      <c r="N87" s="2" t="s">
        <v>12</v>
      </c>
      <c r="O87" s="2" t="s">
        <v>12</v>
      </c>
    </row>
    <row r="88" spans="1:15">
      <c r="A88" s="2" t="s">
        <v>752</v>
      </c>
      <c r="B88" s="2" t="s">
        <v>753</v>
      </c>
      <c r="C88" s="2" t="s">
        <v>48</v>
      </c>
      <c r="D88" s="2" t="s">
        <v>446</v>
      </c>
      <c r="E88" s="2" t="s">
        <v>2870</v>
      </c>
      <c r="F88" s="2" t="s">
        <v>122</v>
      </c>
      <c r="G88" s="2" t="s">
        <v>15</v>
      </c>
      <c r="H88" s="2" t="s">
        <v>719</v>
      </c>
      <c r="I88" s="2">
        <v>1</v>
      </c>
      <c r="J88" s="2">
        <v>1440</v>
      </c>
      <c r="K88" s="2">
        <v>1800</v>
      </c>
      <c r="L88" s="2">
        <v>1120</v>
      </c>
      <c r="M88" s="2" t="s">
        <v>12</v>
      </c>
      <c r="N88" s="2">
        <v>260</v>
      </c>
      <c r="O88" s="2">
        <v>4620</v>
      </c>
    </row>
    <row r="89" spans="1:15">
      <c r="A89" s="2" t="s">
        <v>752</v>
      </c>
      <c r="B89" s="2" t="s">
        <v>753</v>
      </c>
      <c r="C89" s="2" t="s">
        <v>48</v>
      </c>
      <c r="D89" s="2" t="s">
        <v>446</v>
      </c>
      <c r="E89" s="2" t="s">
        <v>2882</v>
      </c>
      <c r="F89" s="2" t="s">
        <v>124</v>
      </c>
      <c r="G89" s="2" t="s">
        <v>15</v>
      </c>
      <c r="H89" s="2" t="s">
        <v>719</v>
      </c>
      <c r="I89" s="2">
        <v>1</v>
      </c>
      <c r="J89" s="2">
        <v>860</v>
      </c>
      <c r="K89" s="2">
        <v>2220</v>
      </c>
      <c r="L89" s="2">
        <v>1100</v>
      </c>
      <c r="M89" s="2" t="s">
        <v>12</v>
      </c>
      <c r="N89" s="2">
        <v>690</v>
      </c>
      <c r="O89" s="2">
        <v>4870</v>
      </c>
    </row>
    <row r="90" spans="1:15">
      <c r="A90" s="2" t="s">
        <v>752</v>
      </c>
      <c r="B90" s="2" t="s">
        <v>753</v>
      </c>
      <c r="C90" s="2" t="s">
        <v>48</v>
      </c>
      <c r="D90" s="2" t="s">
        <v>446</v>
      </c>
      <c r="E90" s="2" t="s">
        <v>2886</v>
      </c>
      <c r="F90" s="2" t="s">
        <v>126</v>
      </c>
      <c r="G90" s="2" t="s">
        <v>15</v>
      </c>
      <c r="H90" s="2" t="s">
        <v>719</v>
      </c>
      <c r="I90" s="2">
        <v>1</v>
      </c>
      <c r="J90" s="2">
        <v>400</v>
      </c>
      <c r="K90" s="2">
        <v>600</v>
      </c>
      <c r="L90" s="2">
        <v>520</v>
      </c>
      <c r="M90" s="2" t="s">
        <v>12</v>
      </c>
      <c r="N90" s="2">
        <v>892</v>
      </c>
      <c r="O90" s="2">
        <v>2412</v>
      </c>
    </row>
    <row r="91" spans="1:15">
      <c r="A91" s="2" t="s">
        <v>752</v>
      </c>
      <c r="B91" s="2" t="s">
        <v>753</v>
      </c>
      <c r="C91" s="2" t="s">
        <v>48</v>
      </c>
      <c r="D91" s="2" t="s">
        <v>446</v>
      </c>
      <c r="E91" s="2" t="s">
        <v>2896</v>
      </c>
      <c r="F91" s="2" t="s">
        <v>128</v>
      </c>
      <c r="G91" s="2" t="s">
        <v>15</v>
      </c>
      <c r="H91" s="2" t="s">
        <v>44</v>
      </c>
      <c r="I91" s="2">
        <v>0.57999999999999996</v>
      </c>
      <c r="J91" s="2">
        <v>360</v>
      </c>
      <c r="K91" s="2">
        <v>450</v>
      </c>
      <c r="L91" s="2">
        <v>80</v>
      </c>
      <c r="M91" s="2" t="s">
        <v>12</v>
      </c>
      <c r="N91" s="2">
        <v>260</v>
      </c>
      <c r="O91" s="2">
        <v>1150</v>
      </c>
    </row>
    <row r="92" spans="1:15">
      <c r="A92" s="2" t="s">
        <v>752</v>
      </c>
      <c r="B92" s="2" t="s">
        <v>753</v>
      </c>
      <c r="C92" s="2" t="s">
        <v>48</v>
      </c>
      <c r="D92" s="2" t="s">
        <v>446</v>
      </c>
      <c r="E92" s="2" t="s">
        <v>2901</v>
      </c>
      <c r="F92" s="2" t="s">
        <v>130</v>
      </c>
      <c r="G92" s="2" t="s">
        <v>15</v>
      </c>
      <c r="H92" s="2" t="s">
        <v>719</v>
      </c>
      <c r="I92" s="2">
        <v>1</v>
      </c>
      <c r="J92" s="2">
        <v>1260</v>
      </c>
      <c r="K92" s="2">
        <v>1770</v>
      </c>
      <c r="L92" s="2">
        <v>200</v>
      </c>
      <c r="M92" s="2" t="s">
        <v>12</v>
      </c>
      <c r="N92" s="2">
        <v>400</v>
      </c>
      <c r="O92" s="2">
        <v>3630</v>
      </c>
    </row>
    <row r="93" spans="1:15">
      <c r="A93" s="2" t="s">
        <v>752</v>
      </c>
      <c r="B93" s="2" t="s">
        <v>753</v>
      </c>
      <c r="C93" s="2" t="s">
        <v>48</v>
      </c>
      <c r="D93" s="2" t="s">
        <v>446</v>
      </c>
      <c r="E93" s="2" t="s">
        <v>2904</v>
      </c>
      <c r="F93" s="2" t="s">
        <v>132</v>
      </c>
      <c r="G93" s="2" t="s">
        <v>33</v>
      </c>
      <c r="H93" s="2" t="s">
        <v>44</v>
      </c>
      <c r="I93" s="2" t="s">
        <v>12</v>
      </c>
      <c r="J93" s="2" t="s">
        <v>12</v>
      </c>
      <c r="K93" s="2" t="s">
        <v>12</v>
      </c>
      <c r="L93" s="2" t="s">
        <v>12</v>
      </c>
      <c r="M93" s="2" t="s">
        <v>12</v>
      </c>
      <c r="N93" s="2" t="s">
        <v>12</v>
      </c>
      <c r="O93" s="2" t="s">
        <v>12</v>
      </c>
    </row>
    <row r="94" spans="1:15">
      <c r="A94" s="2" t="s">
        <v>754</v>
      </c>
      <c r="B94" s="2" t="s">
        <v>755</v>
      </c>
      <c r="C94" s="2" t="s">
        <v>76</v>
      </c>
      <c r="D94" s="2" t="s">
        <v>468</v>
      </c>
      <c r="E94" s="2" t="s">
        <v>2870</v>
      </c>
      <c r="F94" s="2" t="s">
        <v>37</v>
      </c>
      <c r="G94" s="2" t="s">
        <v>15</v>
      </c>
      <c r="H94" s="2" t="s">
        <v>719</v>
      </c>
      <c r="I94" s="2">
        <v>1</v>
      </c>
      <c r="J94" s="2">
        <v>512</v>
      </c>
      <c r="K94" s="2">
        <v>1284</v>
      </c>
      <c r="L94" s="2">
        <v>2104</v>
      </c>
      <c r="M94" s="2" t="s">
        <v>12</v>
      </c>
      <c r="N94" s="2">
        <v>788</v>
      </c>
      <c r="O94" s="2">
        <v>4688</v>
      </c>
    </row>
    <row r="95" spans="1:15">
      <c r="A95" s="2" t="s">
        <v>754</v>
      </c>
      <c r="B95" s="2" t="s">
        <v>755</v>
      </c>
      <c r="C95" s="2" t="s">
        <v>76</v>
      </c>
      <c r="D95" s="2" t="s">
        <v>468</v>
      </c>
      <c r="E95" s="2" t="s">
        <v>2882</v>
      </c>
      <c r="F95" s="2" t="s">
        <v>39</v>
      </c>
      <c r="G95" s="2" t="s">
        <v>15</v>
      </c>
      <c r="H95" s="2" t="s">
        <v>719</v>
      </c>
      <c r="I95" s="2">
        <v>1</v>
      </c>
      <c r="J95" s="2">
        <v>508</v>
      </c>
      <c r="K95" s="2">
        <v>918</v>
      </c>
      <c r="L95" s="2">
        <v>480</v>
      </c>
      <c r="M95" s="2" t="s">
        <v>12</v>
      </c>
      <c r="N95" s="2">
        <v>854</v>
      </c>
      <c r="O95" s="2">
        <v>2760</v>
      </c>
    </row>
    <row r="96" spans="1:15">
      <c r="A96" s="2" t="s">
        <v>754</v>
      </c>
      <c r="B96" s="2" t="s">
        <v>755</v>
      </c>
      <c r="C96" s="2" t="s">
        <v>76</v>
      </c>
      <c r="D96" s="2" t="s">
        <v>468</v>
      </c>
      <c r="E96" s="2" t="s">
        <v>2886</v>
      </c>
      <c r="F96" s="2" t="s">
        <v>41</v>
      </c>
      <c r="G96" s="2" t="s">
        <v>15</v>
      </c>
      <c r="H96" s="2" t="s">
        <v>719</v>
      </c>
      <c r="I96" s="2">
        <v>1</v>
      </c>
      <c r="J96" s="2">
        <v>576</v>
      </c>
      <c r="K96" s="2">
        <v>750</v>
      </c>
      <c r="L96" s="2">
        <v>964</v>
      </c>
      <c r="M96" s="2" t="s">
        <v>12</v>
      </c>
      <c r="N96" s="2">
        <v>1040</v>
      </c>
      <c r="O96" s="2">
        <v>3330</v>
      </c>
    </row>
    <row r="97" spans="1:15">
      <c r="A97" s="2" t="s">
        <v>754</v>
      </c>
      <c r="B97" s="2" t="s">
        <v>755</v>
      </c>
      <c r="C97" s="2" t="s">
        <v>76</v>
      </c>
      <c r="D97" s="2" t="s">
        <v>468</v>
      </c>
      <c r="E97" s="2" t="s">
        <v>2896</v>
      </c>
      <c r="F97" s="2" t="s">
        <v>43</v>
      </c>
      <c r="G97" s="2" t="s">
        <v>33</v>
      </c>
      <c r="H97" s="2" t="s">
        <v>44</v>
      </c>
      <c r="I97" s="2">
        <v>0.5</v>
      </c>
      <c r="J97" s="2">
        <v>40</v>
      </c>
      <c r="K97" s="2">
        <v>60</v>
      </c>
      <c r="L97" s="2" t="s">
        <v>12</v>
      </c>
      <c r="M97" s="2" t="s">
        <v>12</v>
      </c>
      <c r="N97" s="2">
        <v>380</v>
      </c>
      <c r="O97" s="2">
        <v>480</v>
      </c>
    </row>
    <row r="98" spans="1:15">
      <c r="A98" s="2" t="s">
        <v>756</v>
      </c>
      <c r="B98" s="2" t="s">
        <v>757</v>
      </c>
      <c r="C98" s="2" t="s">
        <v>11</v>
      </c>
      <c r="D98" s="2" t="s">
        <v>461</v>
      </c>
      <c r="E98" s="2" t="s">
        <v>2870</v>
      </c>
      <c r="F98" s="2" t="s">
        <v>758</v>
      </c>
      <c r="G98" s="2" t="s">
        <v>15</v>
      </c>
      <c r="H98" s="2" t="s">
        <v>719</v>
      </c>
      <c r="I98" s="2">
        <v>1</v>
      </c>
      <c r="J98" s="2">
        <v>356</v>
      </c>
      <c r="K98" s="2">
        <v>1086</v>
      </c>
      <c r="L98" s="2">
        <v>380</v>
      </c>
      <c r="M98" s="2" t="s">
        <v>12</v>
      </c>
      <c r="N98" s="2">
        <v>710</v>
      </c>
      <c r="O98" s="2">
        <v>2532</v>
      </c>
    </row>
    <row r="99" spans="1:15">
      <c r="A99" s="2" t="s">
        <v>756</v>
      </c>
      <c r="B99" s="2" t="s">
        <v>757</v>
      </c>
      <c r="C99" s="2" t="s">
        <v>11</v>
      </c>
      <c r="D99" s="2" t="s">
        <v>461</v>
      </c>
      <c r="E99" s="2" t="s">
        <v>2882</v>
      </c>
      <c r="F99" s="2" t="s">
        <v>759</v>
      </c>
      <c r="G99" s="2" t="s">
        <v>15</v>
      </c>
      <c r="H99" s="2" t="s">
        <v>16</v>
      </c>
      <c r="I99" s="2">
        <v>1.5</v>
      </c>
      <c r="J99" s="2">
        <v>4004</v>
      </c>
      <c r="K99" s="2">
        <v>5802</v>
      </c>
      <c r="L99" s="2">
        <v>760</v>
      </c>
      <c r="M99" s="2" t="s">
        <v>12</v>
      </c>
      <c r="N99" s="2">
        <v>518</v>
      </c>
      <c r="O99" s="2">
        <v>11084</v>
      </c>
    </row>
    <row r="100" spans="1:15">
      <c r="A100" s="2" t="s">
        <v>756</v>
      </c>
      <c r="B100" s="2" t="s">
        <v>757</v>
      </c>
      <c r="C100" s="2" t="s">
        <v>11</v>
      </c>
      <c r="D100" s="2" t="s">
        <v>461</v>
      </c>
      <c r="E100" s="2" t="s">
        <v>2886</v>
      </c>
      <c r="F100" s="2" t="s">
        <v>760</v>
      </c>
      <c r="G100" s="2" t="s">
        <v>15</v>
      </c>
      <c r="H100" s="2" t="s">
        <v>16</v>
      </c>
      <c r="I100" s="2">
        <v>1.41</v>
      </c>
      <c r="J100" s="2">
        <v>1360</v>
      </c>
      <c r="K100" s="2">
        <v>2298</v>
      </c>
      <c r="L100" s="2">
        <v>3004</v>
      </c>
      <c r="M100" s="2" t="s">
        <v>12</v>
      </c>
      <c r="N100" s="2">
        <v>1798</v>
      </c>
      <c r="O100" s="2">
        <v>8460</v>
      </c>
    </row>
    <row r="101" spans="1:15">
      <c r="A101" s="2" t="s">
        <v>756</v>
      </c>
      <c r="B101" s="2" t="s">
        <v>757</v>
      </c>
      <c r="C101" s="2" t="s">
        <v>11</v>
      </c>
      <c r="D101" s="2" t="s">
        <v>461</v>
      </c>
      <c r="E101" s="2" t="s">
        <v>2896</v>
      </c>
      <c r="F101" s="2" t="s">
        <v>761</v>
      </c>
      <c r="G101" s="2" t="s">
        <v>15</v>
      </c>
      <c r="H101" s="2" t="s">
        <v>16</v>
      </c>
      <c r="I101" s="2">
        <v>1.47</v>
      </c>
      <c r="J101" s="2">
        <v>2232</v>
      </c>
      <c r="K101" s="2">
        <v>3618</v>
      </c>
      <c r="L101" s="2">
        <v>2108</v>
      </c>
      <c r="M101" s="2" t="s">
        <v>12</v>
      </c>
      <c r="N101" s="2">
        <v>888</v>
      </c>
      <c r="O101" s="2">
        <v>8846</v>
      </c>
    </row>
    <row r="102" spans="1:15">
      <c r="A102" s="2" t="s">
        <v>756</v>
      </c>
      <c r="B102" s="2" t="s">
        <v>757</v>
      </c>
      <c r="C102" s="2" t="s">
        <v>11</v>
      </c>
      <c r="D102" s="2" t="s">
        <v>461</v>
      </c>
      <c r="E102" s="2" t="s">
        <v>2901</v>
      </c>
      <c r="F102" s="2" t="s">
        <v>762</v>
      </c>
      <c r="G102" s="2" t="s">
        <v>15</v>
      </c>
      <c r="H102" s="2" t="s">
        <v>16</v>
      </c>
      <c r="I102" s="2">
        <v>1.5</v>
      </c>
      <c r="J102" s="2">
        <v>4180</v>
      </c>
      <c r="K102" s="2">
        <v>5958</v>
      </c>
      <c r="L102" s="2">
        <v>1140</v>
      </c>
      <c r="M102" s="2" t="s">
        <v>12</v>
      </c>
      <c r="N102" s="2">
        <v>1996</v>
      </c>
      <c r="O102" s="2">
        <v>13274</v>
      </c>
    </row>
    <row r="103" spans="1:15">
      <c r="A103" s="2" t="s">
        <v>756</v>
      </c>
      <c r="B103" s="2" t="s">
        <v>757</v>
      </c>
      <c r="C103" s="2" t="s">
        <v>11</v>
      </c>
      <c r="D103" s="2" t="s">
        <v>461</v>
      </c>
      <c r="E103" s="2" t="s">
        <v>2904</v>
      </c>
      <c r="F103" s="2" t="s">
        <v>763</v>
      </c>
      <c r="G103" s="2" t="s">
        <v>33</v>
      </c>
      <c r="H103" s="2" t="s">
        <v>44</v>
      </c>
      <c r="I103" s="2" t="s">
        <v>12</v>
      </c>
      <c r="J103" s="2" t="s">
        <v>12</v>
      </c>
      <c r="K103" s="2" t="s">
        <v>12</v>
      </c>
      <c r="L103" s="2" t="s">
        <v>12</v>
      </c>
      <c r="M103" s="2" t="s">
        <v>12</v>
      </c>
      <c r="N103" s="2" t="s">
        <v>12</v>
      </c>
      <c r="O103" s="2" t="s">
        <v>12</v>
      </c>
    </row>
    <row r="104" spans="1:15">
      <c r="A104" s="2" t="s">
        <v>764</v>
      </c>
      <c r="B104" s="2" t="s">
        <v>765</v>
      </c>
      <c r="C104" s="2" t="s">
        <v>76</v>
      </c>
      <c r="D104" s="2" t="s">
        <v>441</v>
      </c>
      <c r="E104" s="2" t="s">
        <v>2870</v>
      </c>
      <c r="F104" s="2" t="s">
        <v>26</v>
      </c>
      <c r="G104" s="2" t="s">
        <v>15</v>
      </c>
      <c r="H104" s="2" t="s">
        <v>719</v>
      </c>
      <c r="I104" s="2">
        <v>1</v>
      </c>
      <c r="J104" s="2">
        <v>96</v>
      </c>
      <c r="K104" s="2">
        <v>2412</v>
      </c>
      <c r="L104" s="2">
        <v>1032</v>
      </c>
      <c r="M104" s="2" t="s">
        <v>12</v>
      </c>
      <c r="N104" s="2">
        <v>276</v>
      </c>
      <c r="O104" s="2">
        <v>3816</v>
      </c>
    </row>
    <row r="105" spans="1:15">
      <c r="A105" s="2" t="s">
        <v>764</v>
      </c>
      <c r="B105" s="2" t="s">
        <v>765</v>
      </c>
      <c r="C105" s="2" t="s">
        <v>76</v>
      </c>
      <c r="D105" s="2" t="s">
        <v>441</v>
      </c>
      <c r="E105" s="2" t="s">
        <v>2882</v>
      </c>
      <c r="F105" s="2" t="s">
        <v>29</v>
      </c>
      <c r="G105" s="2" t="s">
        <v>15</v>
      </c>
      <c r="H105" s="2" t="s">
        <v>16</v>
      </c>
      <c r="I105" s="2">
        <v>1.18</v>
      </c>
      <c r="J105" s="2">
        <v>24</v>
      </c>
      <c r="K105" s="2">
        <v>5040</v>
      </c>
      <c r="L105" s="2">
        <v>1752</v>
      </c>
      <c r="M105" s="2" t="s">
        <v>12</v>
      </c>
      <c r="N105" s="2">
        <v>276</v>
      </c>
      <c r="O105" s="2">
        <v>7092</v>
      </c>
    </row>
    <row r="106" spans="1:15">
      <c r="A106" s="2" t="s">
        <v>764</v>
      </c>
      <c r="B106" s="2" t="s">
        <v>765</v>
      </c>
      <c r="C106" s="2" t="s">
        <v>76</v>
      </c>
      <c r="D106" s="2" t="s">
        <v>441</v>
      </c>
      <c r="E106" s="2" t="s">
        <v>2886</v>
      </c>
      <c r="F106" s="2" t="s">
        <v>32</v>
      </c>
      <c r="G106" s="2" t="s">
        <v>33</v>
      </c>
      <c r="H106" s="2" t="s">
        <v>44</v>
      </c>
      <c r="I106" s="2">
        <v>0.5</v>
      </c>
      <c r="J106" s="2" t="s">
        <v>12</v>
      </c>
      <c r="K106" s="2">
        <v>324</v>
      </c>
      <c r="L106" s="2" t="s">
        <v>12</v>
      </c>
      <c r="M106" s="2" t="s">
        <v>12</v>
      </c>
      <c r="N106" s="2">
        <v>24</v>
      </c>
      <c r="O106" s="2">
        <v>348</v>
      </c>
    </row>
    <row r="107" spans="1:15">
      <c r="A107" s="2" t="s">
        <v>766</v>
      </c>
      <c r="B107" s="2" t="s">
        <v>767</v>
      </c>
      <c r="C107" s="2" t="s">
        <v>11</v>
      </c>
      <c r="D107" s="2" t="s">
        <v>468</v>
      </c>
      <c r="E107" s="2" t="s">
        <v>2870</v>
      </c>
      <c r="F107" s="2" t="s">
        <v>14</v>
      </c>
      <c r="G107" s="2" t="s">
        <v>15</v>
      </c>
      <c r="H107" s="2" t="s">
        <v>719</v>
      </c>
      <c r="I107" s="2">
        <v>1</v>
      </c>
      <c r="J107" s="2">
        <v>744</v>
      </c>
      <c r="K107" s="2">
        <v>876</v>
      </c>
      <c r="L107" s="2">
        <v>104</v>
      </c>
      <c r="M107" s="2" t="s">
        <v>12</v>
      </c>
      <c r="N107" s="2">
        <v>408</v>
      </c>
      <c r="O107" s="2">
        <v>2132</v>
      </c>
    </row>
    <row r="108" spans="1:15">
      <c r="A108" s="2" t="s">
        <v>766</v>
      </c>
      <c r="B108" s="2" t="s">
        <v>767</v>
      </c>
      <c r="C108" s="2" t="s">
        <v>11</v>
      </c>
      <c r="D108" s="2" t="s">
        <v>468</v>
      </c>
      <c r="E108" s="2" t="s">
        <v>2882</v>
      </c>
      <c r="F108" s="2" t="s">
        <v>19</v>
      </c>
      <c r="G108" s="2" t="s">
        <v>15</v>
      </c>
      <c r="H108" s="2" t="s">
        <v>16</v>
      </c>
      <c r="I108" s="2">
        <v>1.5</v>
      </c>
      <c r="J108" s="2">
        <v>5448</v>
      </c>
      <c r="K108" s="2">
        <v>7584</v>
      </c>
      <c r="L108" s="2">
        <v>20</v>
      </c>
      <c r="M108" s="2" t="s">
        <v>12</v>
      </c>
      <c r="N108" s="2">
        <v>222</v>
      </c>
      <c r="O108" s="2">
        <v>13274</v>
      </c>
    </row>
    <row r="109" spans="1:15">
      <c r="A109" s="2" t="s">
        <v>766</v>
      </c>
      <c r="B109" s="2" t="s">
        <v>767</v>
      </c>
      <c r="C109" s="2" t="s">
        <v>11</v>
      </c>
      <c r="D109" s="2" t="s">
        <v>468</v>
      </c>
      <c r="E109" s="2" t="s">
        <v>2886</v>
      </c>
      <c r="F109" s="2" t="s">
        <v>23</v>
      </c>
      <c r="G109" s="2" t="s">
        <v>15</v>
      </c>
      <c r="H109" s="2" t="s">
        <v>16</v>
      </c>
      <c r="I109" s="2">
        <v>1.5</v>
      </c>
      <c r="J109" s="2">
        <v>1464</v>
      </c>
      <c r="K109" s="2">
        <v>2736</v>
      </c>
      <c r="L109" s="2">
        <v>3612</v>
      </c>
      <c r="M109" s="2" t="s">
        <v>12</v>
      </c>
      <c r="N109" s="2">
        <v>1198</v>
      </c>
      <c r="O109" s="2">
        <v>9010</v>
      </c>
    </row>
    <row r="110" spans="1:15">
      <c r="A110" s="2" t="s">
        <v>766</v>
      </c>
      <c r="B110" s="2" t="s">
        <v>767</v>
      </c>
      <c r="C110" s="2" t="s">
        <v>11</v>
      </c>
      <c r="D110" s="2" t="s">
        <v>468</v>
      </c>
      <c r="E110" s="2" t="s">
        <v>2896</v>
      </c>
      <c r="F110" s="2" t="s">
        <v>26</v>
      </c>
      <c r="G110" s="2" t="s">
        <v>15</v>
      </c>
      <c r="H110" s="2" t="s">
        <v>16</v>
      </c>
      <c r="I110" s="2">
        <v>1.49</v>
      </c>
      <c r="J110" s="2">
        <v>2536</v>
      </c>
      <c r="K110" s="2">
        <v>3054</v>
      </c>
      <c r="L110" s="2">
        <v>2212</v>
      </c>
      <c r="M110" s="2" t="s">
        <v>12</v>
      </c>
      <c r="N110" s="2">
        <v>1122</v>
      </c>
      <c r="O110" s="2">
        <v>8924</v>
      </c>
    </row>
    <row r="111" spans="1:15">
      <c r="A111" s="2" t="s">
        <v>766</v>
      </c>
      <c r="B111" s="2" t="s">
        <v>767</v>
      </c>
      <c r="C111" s="2" t="s">
        <v>11</v>
      </c>
      <c r="D111" s="2" t="s">
        <v>468</v>
      </c>
      <c r="E111" s="2" t="s">
        <v>2901</v>
      </c>
      <c r="F111" s="2" t="s">
        <v>29</v>
      </c>
      <c r="G111" s="2" t="s">
        <v>15</v>
      </c>
      <c r="H111" s="2" t="s">
        <v>719</v>
      </c>
      <c r="I111" s="2">
        <v>1</v>
      </c>
      <c r="J111" s="2">
        <v>1084</v>
      </c>
      <c r="K111" s="2">
        <v>2712</v>
      </c>
      <c r="L111" s="2">
        <v>1028</v>
      </c>
      <c r="M111" s="2" t="s">
        <v>12</v>
      </c>
      <c r="N111" s="2">
        <v>418</v>
      </c>
      <c r="O111" s="2">
        <v>5242</v>
      </c>
    </row>
    <row r="112" spans="1:15">
      <c r="A112" s="2" t="s">
        <v>766</v>
      </c>
      <c r="B112" s="2" t="s">
        <v>767</v>
      </c>
      <c r="C112" s="2" t="s">
        <v>11</v>
      </c>
      <c r="D112" s="2" t="s">
        <v>468</v>
      </c>
      <c r="E112" s="2" t="s">
        <v>2904</v>
      </c>
      <c r="F112" s="2" t="s">
        <v>32</v>
      </c>
      <c r="G112" s="2" t="s">
        <v>33</v>
      </c>
      <c r="H112" s="2" t="s">
        <v>44</v>
      </c>
      <c r="I112" s="2" t="s">
        <v>12</v>
      </c>
      <c r="J112" s="2" t="s">
        <v>12</v>
      </c>
      <c r="K112" s="2" t="s">
        <v>12</v>
      </c>
      <c r="L112" s="2" t="s">
        <v>12</v>
      </c>
      <c r="M112" s="2" t="s">
        <v>12</v>
      </c>
      <c r="N112" s="2" t="s">
        <v>12</v>
      </c>
      <c r="O112" s="2" t="s">
        <v>12</v>
      </c>
    </row>
    <row r="113" spans="1:15">
      <c r="A113" s="2" t="s">
        <v>768</v>
      </c>
      <c r="B113" s="2" t="s">
        <v>769</v>
      </c>
      <c r="C113" s="2" t="s">
        <v>76</v>
      </c>
      <c r="D113" s="2" t="s">
        <v>461</v>
      </c>
      <c r="E113" s="2" t="s">
        <v>2870</v>
      </c>
      <c r="F113" s="2" t="s">
        <v>37</v>
      </c>
      <c r="G113" s="2" t="s">
        <v>15</v>
      </c>
      <c r="H113" s="2" t="s">
        <v>719</v>
      </c>
      <c r="I113" s="2">
        <v>1</v>
      </c>
      <c r="J113" s="2">
        <v>1444</v>
      </c>
      <c r="K113" s="2">
        <v>1686</v>
      </c>
      <c r="L113" s="2">
        <v>828</v>
      </c>
      <c r="M113" s="2" t="s">
        <v>12</v>
      </c>
      <c r="N113" s="2">
        <v>420</v>
      </c>
      <c r="O113" s="2">
        <v>4378</v>
      </c>
    </row>
    <row r="114" spans="1:15">
      <c r="A114" s="2" t="s">
        <v>768</v>
      </c>
      <c r="B114" s="2" t="s">
        <v>769</v>
      </c>
      <c r="C114" s="2" t="s">
        <v>76</v>
      </c>
      <c r="D114" s="2" t="s">
        <v>461</v>
      </c>
      <c r="E114" s="2" t="s">
        <v>2882</v>
      </c>
      <c r="F114" s="2" t="s">
        <v>39</v>
      </c>
      <c r="G114" s="2" t="s">
        <v>15</v>
      </c>
      <c r="H114" s="2" t="s">
        <v>719</v>
      </c>
      <c r="I114" s="2">
        <v>1</v>
      </c>
      <c r="J114" s="2">
        <v>596</v>
      </c>
      <c r="K114" s="2">
        <v>1140</v>
      </c>
      <c r="L114" s="2">
        <v>708</v>
      </c>
      <c r="M114" s="2" t="s">
        <v>12</v>
      </c>
      <c r="N114" s="2">
        <v>260</v>
      </c>
      <c r="O114" s="2">
        <v>2704</v>
      </c>
    </row>
    <row r="115" spans="1:15">
      <c r="A115" s="2" t="s">
        <v>768</v>
      </c>
      <c r="B115" s="2" t="s">
        <v>769</v>
      </c>
      <c r="C115" s="2" t="s">
        <v>76</v>
      </c>
      <c r="D115" s="2" t="s">
        <v>461</v>
      </c>
      <c r="E115" s="2" t="s">
        <v>2886</v>
      </c>
      <c r="F115" s="2" t="s">
        <v>41</v>
      </c>
      <c r="G115" s="2" t="s">
        <v>15</v>
      </c>
      <c r="H115" s="2" t="s">
        <v>719</v>
      </c>
      <c r="I115" s="2">
        <v>1</v>
      </c>
      <c r="J115" s="2">
        <v>468</v>
      </c>
      <c r="K115" s="2">
        <v>1068</v>
      </c>
      <c r="L115" s="2">
        <v>728</v>
      </c>
      <c r="M115" s="2" t="s">
        <v>12</v>
      </c>
      <c r="N115" s="2">
        <v>286</v>
      </c>
      <c r="O115" s="2">
        <v>2550</v>
      </c>
    </row>
    <row r="116" spans="1:15">
      <c r="A116" s="2" t="s">
        <v>768</v>
      </c>
      <c r="B116" s="2" t="s">
        <v>769</v>
      </c>
      <c r="C116" s="2" t="s">
        <v>76</v>
      </c>
      <c r="D116" s="2" t="s">
        <v>461</v>
      </c>
      <c r="E116" s="2" t="s">
        <v>2896</v>
      </c>
      <c r="F116" s="2" t="s">
        <v>43</v>
      </c>
      <c r="G116" s="2" t="s">
        <v>33</v>
      </c>
      <c r="H116" s="2" t="s">
        <v>44</v>
      </c>
      <c r="I116" s="2">
        <v>0.5</v>
      </c>
      <c r="J116" s="2" t="s">
        <v>12</v>
      </c>
      <c r="K116" s="2">
        <v>54</v>
      </c>
      <c r="L116" s="2" t="s">
        <v>12</v>
      </c>
      <c r="M116" s="2" t="s">
        <v>12</v>
      </c>
      <c r="N116" s="2" t="s">
        <v>12</v>
      </c>
      <c r="O116" s="2">
        <v>54</v>
      </c>
    </row>
    <row r="117" spans="1:15">
      <c r="A117" s="2" t="s">
        <v>770</v>
      </c>
      <c r="B117" s="2" t="s">
        <v>771</v>
      </c>
      <c r="C117" s="2" t="s">
        <v>290</v>
      </c>
      <c r="D117" s="2" t="s">
        <v>446</v>
      </c>
      <c r="E117" s="2" t="s">
        <v>2870</v>
      </c>
      <c r="F117" s="2" t="s">
        <v>14</v>
      </c>
      <c r="G117" s="2" t="s">
        <v>15</v>
      </c>
      <c r="H117" s="2" t="s">
        <v>719</v>
      </c>
      <c r="I117" s="2">
        <v>1</v>
      </c>
      <c r="J117" s="2">
        <v>1432</v>
      </c>
      <c r="K117" s="2">
        <v>1908</v>
      </c>
      <c r="L117" s="2">
        <v>144</v>
      </c>
      <c r="M117" s="2" t="s">
        <v>12</v>
      </c>
      <c r="N117" s="2">
        <v>124</v>
      </c>
      <c r="O117" s="2">
        <v>3608</v>
      </c>
    </row>
    <row r="118" spans="1:15">
      <c r="A118" s="2" t="s">
        <v>770</v>
      </c>
      <c r="B118" s="2" t="s">
        <v>771</v>
      </c>
      <c r="C118" s="2" t="s">
        <v>290</v>
      </c>
      <c r="D118" s="2" t="s">
        <v>446</v>
      </c>
      <c r="E118" s="2" t="s">
        <v>2882</v>
      </c>
      <c r="F118" s="2" t="s">
        <v>19</v>
      </c>
      <c r="G118" s="2" t="s">
        <v>15</v>
      </c>
      <c r="H118" s="2" t="s">
        <v>719</v>
      </c>
      <c r="I118" s="2">
        <v>1</v>
      </c>
      <c r="J118" s="2">
        <v>1208</v>
      </c>
      <c r="K118" s="2">
        <v>1836</v>
      </c>
      <c r="L118" s="2">
        <v>628</v>
      </c>
      <c r="M118" s="2" t="s">
        <v>12</v>
      </c>
      <c r="N118" s="2">
        <v>210</v>
      </c>
      <c r="O118" s="2">
        <v>3882</v>
      </c>
    </row>
    <row r="119" spans="1:15">
      <c r="A119" s="2" t="s">
        <v>770</v>
      </c>
      <c r="B119" s="2" t="s">
        <v>771</v>
      </c>
      <c r="C119" s="2" t="s">
        <v>290</v>
      </c>
      <c r="D119" s="2" t="s">
        <v>446</v>
      </c>
      <c r="E119" s="2" t="s">
        <v>2886</v>
      </c>
      <c r="F119" s="2" t="s">
        <v>23</v>
      </c>
      <c r="G119" s="2" t="s">
        <v>15</v>
      </c>
      <c r="H119" s="2" t="s">
        <v>719</v>
      </c>
      <c r="I119" s="2">
        <v>1</v>
      </c>
      <c r="J119" s="2">
        <v>1240</v>
      </c>
      <c r="K119" s="2">
        <v>1872</v>
      </c>
      <c r="L119" s="2">
        <v>1276</v>
      </c>
      <c r="M119" s="2" t="s">
        <v>12</v>
      </c>
      <c r="N119" s="2">
        <v>282</v>
      </c>
      <c r="O119" s="2">
        <v>4670</v>
      </c>
    </row>
    <row r="120" spans="1:15">
      <c r="A120" s="2" t="s">
        <v>770</v>
      </c>
      <c r="B120" s="2" t="s">
        <v>771</v>
      </c>
      <c r="C120" s="2" t="s">
        <v>290</v>
      </c>
      <c r="D120" s="2" t="s">
        <v>446</v>
      </c>
      <c r="E120" s="2" t="s">
        <v>2896</v>
      </c>
      <c r="F120" s="2" t="s">
        <v>26</v>
      </c>
      <c r="G120" s="2" t="s">
        <v>15</v>
      </c>
      <c r="H120" s="2" t="s">
        <v>719</v>
      </c>
      <c r="I120" s="2">
        <v>1</v>
      </c>
      <c r="J120" s="2">
        <v>936</v>
      </c>
      <c r="K120" s="2">
        <v>1800</v>
      </c>
      <c r="L120" s="2">
        <v>2964</v>
      </c>
      <c r="M120" s="2" t="s">
        <v>12</v>
      </c>
      <c r="N120" s="2">
        <v>112</v>
      </c>
      <c r="O120" s="2">
        <v>5812</v>
      </c>
    </row>
    <row r="121" spans="1:15">
      <c r="A121" s="2" t="s">
        <v>770</v>
      </c>
      <c r="B121" s="2" t="s">
        <v>771</v>
      </c>
      <c r="C121" s="2" t="s">
        <v>290</v>
      </c>
      <c r="D121" s="2" t="s">
        <v>446</v>
      </c>
      <c r="E121" s="2" t="s">
        <v>2901</v>
      </c>
      <c r="F121" s="2" t="s">
        <v>29</v>
      </c>
      <c r="G121" s="2" t="s">
        <v>15</v>
      </c>
      <c r="H121" s="2" t="s">
        <v>719</v>
      </c>
      <c r="I121" s="2">
        <v>1</v>
      </c>
      <c r="J121" s="2">
        <v>624</v>
      </c>
      <c r="K121" s="2">
        <v>1164</v>
      </c>
      <c r="L121" s="2">
        <v>3688</v>
      </c>
      <c r="M121" s="2" t="s">
        <v>12</v>
      </c>
      <c r="N121" s="2">
        <v>500</v>
      </c>
      <c r="O121" s="2">
        <v>5976</v>
      </c>
    </row>
    <row r="122" spans="1:15">
      <c r="A122" s="2" t="s">
        <v>770</v>
      </c>
      <c r="B122" s="2" t="s">
        <v>771</v>
      </c>
      <c r="C122" s="2" t="s">
        <v>290</v>
      </c>
      <c r="D122" s="2" t="s">
        <v>446</v>
      </c>
      <c r="E122" s="2" t="s">
        <v>2904</v>
      </c>
      <c r="F122" s="2" t="s">
        <v>32</v>
      </c>
      <c r="G122" s="2" t="s">
        <v>33</v>
      </c>
      <c r="H122" s="2" t="s">
        <v>44</v>
      </c>
      <c r="I122" s="2" t="s">
        <v>12</v>
      </c>
      <c r="J122" s="2" t="s">
        <v>12</v>
      </c>
      <c r="K122" s="2" t="s">
        <v>12</v>
      </c>
      <c r="L122" s="2" t="s">
        <v>12</v>
      </c>
      <c r="M122" s="2" t="s">
        <v>12</v>
      </c>
      <c r="N122" s="2" t="s">
        <v>12</v>
      </c>
      <c r="O122" s="2" t="s">
        <v>12</v>
      </c>
    </row>
    <row r="123" spans="1:15">
      <c r="A123" s="2" t="s">
        <v>772</v>
      </c>
      <c r="B123" s="2" t="s">
        <v>773</v>
      </c>
      <c r="C123" s="2" t="s">
        <v>112</v>
      </c>
      <c r="D123" s="2" t="s">
        <v>457</v>
      </c>
      <c r="E123" s="2" t="s">
        <v>2870</v>
      </c>
      <c r="F123" s="2" t="s">
        <v>774</v>
      </c>
      <c r="G123" s="2" t="s">
        <v>15</v>
      </c>
      <c r="H123" s="2" t="s">
        <v>719</v>
      </c>
      <c r="I123" s="2">
        <v>1</v>
      </c>
      <c r="J123" s="2">
        <v>780</v>
      </c>
      <c r="K123" s="2">
        <v>1680</v>
      </c>
      <c r="L123" s="2">
        <v>420</v>
      </c>
      <c r="M123" s="2" t="s">
        <v>12</v>
      </c>
      <c r="N123" s="2" t="s">
        <v>12</v>
      </c>
      <c r="O123" s="2">
        <v>2880</v>
      </c>
    </row>
    <row r="124" spans="1:15">
      <c r="A124" s="2" t="s">
        <v>772</v>
      </c>
      <c r="B124" s="2" t="s">
        <v>773</v>
      </c>
      <c r="C124" s="2" t="s">
        <v>112</v>
      </c>
      <c r="D124" s="2" t="s">
        <v>457</v>
      </c>
      <c r="E124" s="2" t="s">
        <v>2882</v>
      </c>
      <c r="F124" s="2" t="s">
        <v>775</v>
      </c>
      <c r="G124" s="2" t="s">
        <v>33</v>
      </c>
      <c r="H124" s="2" t="s">
        <v>16</v>
      </c>
      <c r="I124" s="2">
        <v>1.0900000000000001</v>
      </c>
      <c r="J124" s="2">
        <v>2540</v>
      </c>
      <c r="K124" s="2">
        <v>3480</v>
      </c>
      <c r="L124" s="2">
        <v>520</v>
      </c>
      <c r="M124" s="2" t="s">
        <v>12</v>
      </c>
      <c r="N124" s="2" t="s">
        <v>12</v>
      </c>
      <c r="O124" s="2">
        <v>6540</v>
      </c>
    </row>
    <row r="125" spans="1:15">
      <c r="A125" s="2" t="s">
        <v>772</v>
      </c>
      <c r="B125" s="2" t="s">
        <v>773</v>
      </c>
      <c r="C125" s="2" t="s">
        <v>112</v>
      </c>
      <c r="D125" s="2" t="s">
        <v>457</v>
      </c>
      <c r="E125" s="2" t="s">
        <v>2886</v>
      </c>
      <c r="F125" s="2" t="s">
        <v>776</v>
      </c>
      <c r="G125" s="2" t="s">
        <v>225</v>
      </c>
      <c r="H125" s="2" t="s">
        <v>44</v>
      </c>
      <c r="I125" s="2" t="s">
        <v>12</v>
      </c>
      <c r="J125" s="2" t="s">
        <v>12</v>
      </c>
      <c r="K125" s="2" t="s">
        <v>12</v>
      </c>
      <c r="L125" s="2" t="s">
        <v>12</v>
      </c>
      <c r="M125" s="2" t="s">
        <v>12</v>
      </c>
      <c r="N125" s="2" t="s">
        <v>12</v>
      </c>
      <c r="O125" s="2" t="s">
        <v>12</v>
      </c>
    </row>
    <row r="126" spans="1:15">
      <c r="A126" s="2" t="s">
        <v>777</v>
      </c>
      <c r="B126" s="2" t="s">
        <v>778</v>
      </c>
      <c r="C126" s="2" t="s">
        <v>48</v>
      </c>
      <c r="D126" s="2" t="s">
        <v>475</v>
      </c>
      <c r="E126" s="2" t="s">
        <v>2870</v>
      </c>
      <c r="F126" s="2" t="s">
        <v>49</v>
      </c>
      <c r="G126" s="2" t="s">
        <v>15</v>
      </c>
      <c r="H126" s="2" t="s">
        <v>719</v>
      </c>
      <c r="I126" s="2">
        <v>1</v>
      </c>
      <c r="J126" s="2">
        <v>776</v>
      </c>
      <c r="K126" s="2">
        <v>1140</v>
      </c>
      <c r="L126" s="2">
        <v>1076</v>
      </c>
      <c r="M126" s="2" t="s">
        <v>12</v>
      </c>
      <c r="N126" s="2">
        <v>472</v>
      </c>
      <c r="O126" s="2">
        <v>3464</v>
      </c>
    </row>
    <row r="127" spans="1:15">
      <c r="A127" s="2" t="s">
        <v>777</v>
      </c>
      <c r="B127" s="2" t="s">
        <v>778</v>
      </c>
      <c r="C127" s="2" t="s">
        <v>48</v>
      </c>
      <c r="D127" s="2" t="s">
        <v>475</v>
      </c>
      <c r="E127" s="2" t="s">
        <v>2882</v>
      </c>
      <c r="F127" s="2" t="s">
        <v>51</v>
      </c>
      <c r="G127" s="2" t="s">
        <v>15</v>
      </c>
      <c r="H127" s="2" t="s">
        <v>44</v>
      </c>
      <c r="I127" s="2">
        <v>0.5</v>
      </c>
      <c r="J127" s="2" t="s">
        <v>12</v>
      </c>
      <c r="K127" s="2">
        <v>24</v>
      </c>
      <c r="L127" s="2">
        <v>56</v>
      </c>
      <c r="M127" s="2" t="s">
        <v>12</v>
      </c>
      <c r="N127" s="2">
        <v>194</v>
      </c>
      <c r="O127" s="2">
        <v>274</v>
      </c>
    </row>
    <row r="128" spans="1:15">
      <c r="A128" s="2" t="s">
        <v>777</v>
      </c>
      <c r="B128" s="2" t="s">
        <v>778</v>
      </c>
      <c r="C128" s="2" t="s">
        <v>48</v>
      </c>
      <c r="D128" s="2" t="s">
        <v>475</v>
      </c>
      <c r="E128" s="2" t="s">
        <v>2886</v>
      </c>
      <c r="F128" s="2" t="s">
        <v>52</v>
      </c>
      <c r="G128" s="2" t="s">
        <v>15</v>
      </c>
      <c r="H128" s="2" t="s">
        <v>44</v>
      </c>
      <c r="I128" s="2">
        <v>0.5</v>
      </c>
      <c r="J128" s="2" t="s">
        <v>12</v>
      </c>
      <c r="K128" s="2" t="s">
        <v>12</v>
      </c>
      <c r="L128" s="2" t="s">
        <v>12</v>
      </c>
      <c r="M128" s="2" t="s">
        <v>12</v>
      </c>
      <c r="N128" s="2">
        <v>90</v>
      </c>
      <c r="O128" s="2">
        <v>90</v>
      </c>
    </row>
    <row r="129" spans="1:15">
      <c r="A129" s="2" t="s">
        <v>777</v>
      </c>
      <c r="B129" s="2" t="s">
        <v>778</v>
      </c>
      <c r="C129" s="2" t="s">
        <v>48</v>
      </c>
      <c r="D129" s="2" t="s">
        <v>475</v>
      </c>
      <c r="E129" s="2" t="s">
        <v>2896</v>
      </c>
      <c r="F129" s="2" t="s">
        <v>54</v>
      </c>
      <c r="G129" s="2" t="s">
        <v>15</v>
      </c>
      <c r="H129" s="2" t="s">
        <v>44</v>
      </c>
      <c r="I129" s="2" t="s">
        <v>12</v>
      </c>
      <c r="J129" s="2" t="s">
        <v>12</v>
      </c>
      <c r="K129" s="2" t="s">
        <v>12</v>
      </c>
      <c r="L129" s="2" t="s">
        <v>12</v>
      </c>
      <c r="M129" s="2" t="s">
        <v>12</v>
      </c>
      <c r="N129" s="2" t="s">
        <v>12</v>
      </c>
      <c r="O129" s="2" t="s">
        <v>12</v>
      </c>
    </row>
    <row r="130" spans="1:15">
      <c r="A130" s="2" t="s">
        <v>777</v>
      </c>
      <c r="B130" s="2" t="s">
        <v>778</v>
      </c>
      <c r="C130" s="2" t="s">
        <v>48</v>
      </c>
      <c r="D130" s="2" t="s">
        <v>475</v>
      </c>
      <c r="E130" s="2" t="s">
        <v>2901</v>
      </c>
      <c r="F130" s="2" t="s">
        <v>56</v>
      </c>
      <c r="G130" s="2" t="s">
        <v>15</v>
      </c>
      <c r="H130" s="2" t="s">
        <v>44</v>
      </c>
      <c r="I130" s="2" t="s">
        <v>12</v>
      </c>
      <c r="J130" s="2" t="s">
        <v>12</v>
      </c>
      <c r="K130" s="2" t="s">
        <v>12</v>
      </c>
      <c r="L130" s="2" t="s">
        <v>12</v>
      </c>
      <c r="M130" s="2" t="s">
        <v>12</v>
      </c>
      <c r="N130" s="2" t="s">
        <v>12</v>
      </c>
      <c r="O130" s="2" t="s">
        <v>12</v>
      </c>
    </row>
    <row r="131" spans="1:15">
      <c r="A131" s="2" t="s">
        <v>777</v>
      </c>
      <c r="B131" s="2" t="s">
        <v>778</v>
      </c>
      <c r="C131" s="2" t="s">
        <v>48</v>
      </c>
      <c r="D131" s="2" t="s">
        <v>475</v>
      </c>
      <c r="E131" s="2" t="s">
        <v>2904</v>
      </c>
      <c r="F131" s="2" t="s">
        <v>57</v>
      </c>
      <c r="G131" s="2" t="s">
        <v>33</v>
      </c>
      <c r="H131" s="2" t="s">
        <v>44</v>
      </c>
      <c r="I131" s="2" t="s">
        <v>12</v>
      </c>
      <c r="J131" s="2" t="s">
        <v>12</v>
      </c>
      <c r="K131" s="2" t="s">
        <v>12</v>
      </c>
      <c r="L131" s="2" t="s">
        <v>12</v>
      </c>
      <c r="M131" s="2" t="s">
        <v>12</v>
      </c>
      <c r="N131" s="2" t="s">
        <v>12</v>
      </c>
      <c r="O131" s="2" t="s">
        <v>12</v>
      </c>
    </row>
    <row r="132" spans="1:15">
      <c r="A132" s="2" t="s">
        <v>779</v>
      </c>
      <c r="B132" s="2" t="s">
        <v>780</v>
      </c>
      <c r="C132" s="2" t="s">
        <v>11</v>
      </c>
      <c r="D132" s="2" t="s">
        <v>441</v>
      </c>
      <c r="E132" s="2" t="s">
        <v>2870</v>
      </c>
      <c r="F132" s="2" t="s">
        <v>458</v>
      </c>
      <c r="G132" s="2" t="s">
        <v>15</v>
      </c>
      <c r="H132" s="2" t="s">
        <v>719</v>
      </c>
      <c r="I132" s="2">
        <v>1</v>
      </c>
      <c r="J132" s="2">
        <v>948</v>
      </c>
      <c r="K132" s="2">
        <v>1146</v>
      </c>
      <c r="L132" s="2">
        <v>164</v>
      </c>
      <c r="M132" s="2" t="s">
        <v>12</v>
      </c>
      <c r="N132" s="2">
        <v>102</v>
      </c>
      <c r="O132" s="2">
        <v>2360</v>
      </c>
    </row>
    <row r="133" spans="1:15">
      <c r="A133" s="2" t="s">
        <v>779</v>
      </c>
      <c r="B133" s="2" t="s">
        <v>780</v>
      </c>
      <c r="C133" s="2" t="s">
        <v>11</v>
      </c>
      <c r="D133" s="2" t="s">
        <v>441</v>
      </c>
      <c r="E133" s="2" t="s">
        <v>2882</v>
      </c>
      <c r="F133" s="2" t="s">
        <v>268</v>
      </c>
      <c r="G133" s="2" t="s">
        <v>15</v>
      </c>
      <c r="H133" s="2" t="s">
        <v>719</v>
      </c>
      <c r="I133" s="2">
        <v>1</v>
      </c>
      <c r="J133" s="2">
        <v>528</v>
      </c>
      <c r="K133" s="2">
        <v>1080</v>
      </c>
      <c r="L133" s="2">
        <v>1036</v>
      </c>
      <c r="M133" s="2" t="s">
        <v>12</v>
      </c>
      <c r="N133" s="2">
        <v>308</v>
      </c>
      <c r="O133" s="2">
        <v>2952</v>
      </c>
    </row>
    <row r="134" spans="1:15">
      <c r="A134" s="2" t="s">
        <v>779</v>
      </c>
      <c r="B134" s="2" t="s">
        <v>780</v>
      </c>
      <c r="C134" s="2" t="s">
        <v>11</v>
      </c>
      <c r="D134" s="2" t="s">
        <v>441</v>
      </c>
      <c r="E134" s="2" t="s">
        <v>2886</v>
      </c>
      <c r="F134" s="2" t="s">
        <v>270</v>
      </c>
      <c r="G134" s="2" t="s">
        <v>15</v>
      </c>
      <c r="H134" s="2" t="s">
        <v>719</v>
      </c>
      <c r="I134" s="2">
        <v>1</v>
      </c>
      <c r="J134" s="2">
        <v>576</v>
      </c>
      <c r="K134" s="2">
        <v>828</v>
      </c>
      <c r="L134" s="2">
        <v>624</v>
      </c>
      <c r="M134" s="2" t="s">
        <v>12</v>
      </c>
      <c r="N134" s="2">
        <v>854</v>
      </c>
      <c r="O134" s="2">
        <v>2882</v>
      </c>
    </row>
    <row r="135" spans="1:15">
      <c r="A135" s="2" t="s">
        <v>779</v>
      </c>
      <c r="B135" s="2" t="s">
        <v>780</v>
      </c>
      <c r="C135" s="2" t="s">
        <v>11</v>
      </c>
      <c r="D135" s="2" t="s">
        <v>441</v>
      </c>
      <c r="E135" s="2" t="s">
        <v>2896</v>
      </c>
      <c r="F135" s="2" t="s">
        <v>272</v>
      </c>
      <c r="G135" s="2" t="s">
        <v>33</v>
      </c>
      <c r="H135" s="2" t="s">
        <v>719</v>
      </c>
      <c r="I135" s="2">
        <v>1</v>
      </c>
      <c r="J135" s="2">
        <v>964</v>
      </c>
      <c r="K135" s="2">
        <v>1350</v>
      </c>
      <c r="L135" s="2">
        <v>552</v>
      </c>
      <c r="M135" s="2" t="s">
        <v>12</v>
      </c>
      <c r="N135" s="2">
        <v>834</v>
      </c>
      <c r="O135" s="2">
        <v>3700</v>
      </c>
    </row>
    <row r="136" spans="1:15">
      <c r="A136" s="2" t="s">
        <v>779</v>
      </c>
      <c r="B136" s="2" t="s">
        <v>780</v>
      </c>
      <c r="C136" s="2" t="s">
        <v>11</v>
      </c>
      <c r="D136" s="2" t="s">
        <v>441</v>
      </c>
      <c r="E136" s="2" t="s">
        <v>2901</v>
      </c>
      <c r="F136" s="2" t="s">
        <v>274</v>
      </c>
      <c r="G136" s="2" t="s">
        <v>225</v>
      </c>
      <c r="H136" s="2" t="s">
        <v>44</v>
      </c>
      <c r="I136" s="2" t="s">
        <v>12</v>
      </c>
      <c r="J136" s="2" t="s">
        <v>12</v>
      </c>
      <c r="K136" s="2" t="s">
        <v>12</v>
      </c>
      <c r="L136" s="2" t="s">
        <v>12</v>
      </c>
      <c r="M136" s="2" t="s">
        <v>12</v>
      </c>
      <c r="N136" s="2" t="s">
        <v>12</v>
      </c>
      <c r="O136" s="2" t="s">
        <v>12</v>
      </c>
    </row>
    <row r="137" spans="1:15">
      <c r="A137" s="2" t="s">
        <v>781</v>
      </c>
      <c r="B137" s="2" t="s">
        <v>782</v>
      </c>
      <c r="C137" s="2" t="s">
        <v>112</v>
      </c>
      <c r="D137" s="2" t="s">
        <v>457</v>
      </c>
      <c r="E137" s="2" t="s">
        <v>2870</v>
      </c>
      <c r="F137" s="2" t="s">
        <v>783</v>
      </c>
      <c r="G137" s="2" t="s">
        <v>15</v>
      </c>
      <c r="H137" s="2" t="s">
        <v>719</v>
      </c>
      <c r="I137" s="2">
        <v>1</v>
      </c>
      <c r="J137" s="2">
        <v>1120</v>
      </c>
      <c r="K137" s="2">
        <v>1890</v>
      </c>
      <c r="L137" s="2">
        <v>1420</v>
      </c>
      <c r="M137" s="2" t="s">
        <v>12</v>
      </c>
      <c r="N137" s="2" t="s">
        <v>12</v>
      </c>
      <c r="O137" s="2">
        <v>4430</v>
      </c>
    </row>
    <row r="138" spans="1:15">
      <c r="A138" s="2" t="s">
        <v>781</v>
      </c>
      <c r="B138" s="2" t="s">
        <v>782</v>
      </c>
      <c r="C138" s="2" t="s">
        <v>112</v>
      </c>
      <c r="D138" s="2" t="s">
        <v>457</v>
      </c>
      <c r="E138" s="2" t="s">
        <v>2882</v>
      </c>
      <c r="F138" s="2" t="s">
        <v>784</v>
      </c>
      <c r="G138" s="2" t="s">
        <v>15</v>
      </c>
      <c r="H138" s="2" t="s">
        <v>719</v>
      </c>
      <c r="I138" s="2">
        <v>1</v>
      </c>
      <c r="J138" s="2">
        <v>1220</v>
      </c>
      <c r="K138" s="2">
        <v>2190</v>
      </c>
      <c r="L138" s="2">
        <v>740</v>
      </c>
      <c r="M138" s="2" t="s">
        <v>12</v>
      </c>
      <c r="N138" s="2" t="s">
        <v>12</v>
      </c>
      <c r="O138" s="2">
        <v>4150</v>
      </c>
    </row>
    <row r="139" spans="1:15">
      <c r="A139" s="2" t="s">
        <v>781</v>
      </c>
      <c r="B139" s="2" t="s">
        <v>782</v>
      </c>
      <c r="C139" s="2" t="s">
        <v>112</v>
      </c>
      <c r="D139" s="2" t="s">
        <v>457</v>
      </c>
      <c r="E139" s="2" t="s">
        <v>2886</v>
      </c>
      <c r="F139" s="2" t="s">
        <v>785</v>
      </c>
      <c r="G139" s="2" t="s">
        <v>15</v>
      </c>
      <c r="H139" s="2" t="s">
        <v>719</v>
      </c>
      <c r="I139" s="2">
        <v>1</v>
      </c>
      <c r="J139" s="2">
        <v>1520</v>
      </c>
      <c r="K139" s="2">
        <v>2340</v>
      </c>
      <c r="L139" s="2">
        <v>440</v>
      </c>
      <c r="M139" s="2" t="s">
        <v>12</v>
      </c>
      <c r="N139" s="2" t="s">
        <v>12</v>
      </c>
      <c r="O139" s="2">
        <v>4300</v>
      </c>
    </row>
    <row r="140" spans="1:15">
      <c r="A140" s="2" t="s">
        <v>781</v>
      </c>
      <c r="B140" s="2" t="s">
        <v>782</v>
      </c>
      <c r="C140" s="2" t="s">
        <v>112</v>
      </c>
      <c r="D140" s="2" t="s">
        <v>457</v>
      </c>
      <c r="E140" s="2" t="s">
        <v>2896</v>
      </c>
      <c r="F140" s="2" t="s">
        <v>373</v>
      </c>
      <c r="G140" s="2" t="s">
        <v>33</v>
      </c>
      <c r="H140" s="2" t="s">
        <v>719</v>
      </c>
      <c r="I140" s="2">
        <v>1</v>
      </c>
      <c r="J140" s="2">
        <v>1620</v>
      </c>
      <c r="K140" s="2">
        <v>2100</v>
      </c>
      <c r="L140" s="2">
        <v>340</v>
      </c>
      <c r="M140" s="2" t="s">
        <v>12</v>
      </c>
      <c r="N140" s="2" t="s">
        <v>12</v>
      </c>
      <c r="O140" s="2">
        <v>4060</v>
      </c>
    </row>
    <row r="141" spans="1:15">
      <c r="A141" s="2" t="s">
        <v>786</v>
      </c>
      <c r="B141" s="2" t="s">
        <v>787</v>
      </c>
      <c r="C141" s="2" t="s">
        <v>76</v>
      </c>
      <c r="D141" s="2" t="s">
        <v>446</v>
      </c>
      <c r="E141" s="2" t="s">
        <v>2870</v>
      </c>
      <c r="F141" s="2" t="s">
        <v>26</v>
      </c>
      <c r="G141" s="2" t="s">
        <v>15</v>
      </c>
      <c r="H141" s="2" t="s">
        <v>719</v>
      </c>
      <c r="I141" s="2">
        <v>1</v>
      </c>
      <c r="J141" s="2">
        <v>492</v>
      </c>
      <c r="K141" s="2">
        <v>1632</v>
      </c>
      <c r="L141" s="2">
        <v>1864</v>
      </c>
      <c r="M141" s="2" t="s">
        <v>12</v>
      </c>
      <c r="N141" s="2">
        <v>1368</v>
      </c>
      <c r="O141" s="2">
        <v>5356</v>
      </c>
    </row>
    <row r="142" spans="1:15">
      <c r="A142" s="2" t="s">
        <v>786</v>
      </c>
      <c r="B142" s="2" t="s">
        <v>787</v>
      </c>
      <c r="C142" s="2" t="s">
        <v>76</v>
      </c>
      <c r="D142" s="2" t="s">
        <v>446</v>
      </c>
      <c r="E142" s="2" t="s">
        <v>2882</v>
      </c>
      <c r="F142" s="2" t="s">
        <v>29</v>
      </c>
      <c r="G142" s="2" t="s">
        <v>15</v>
      </c>
      <c r="H142" s="2" t="s">
        <v>16</v>
      </c>
      <c r="I142" s="2">
        <v>1.23</v>
      </c>
      <c r="J142" s="2">
        <v>360</v>
      </c>
      <c r="K142" s="2">
        <v>1068</v>
      </c>
      <c r="L142" s="2">
        <v>2276</v>
      </c>
      <c r="M142" s="2" t="s">
        <v>12</v>
      </c>
      <c r="N142" s="2">
        <v>3674</v>
      </c>
      <c r="O142" s="2">
        <v>7378</v>
      </c>
    </row>
    <row r="143" spans="1:15">
      <c r="A143" s="2" t="s">
        <v>786</v>
      </c>
      <c r="B143" s="2" t="s">
        <v>787</v>
      </c>
      <c r="C143" s="2" t="s">
        <v>76</v>
      </c>
      <c r="D143" s="2" t="s">
        <v>446</v>
      </c>
      <c r="E143" s="2" t="s">
        <v>2886</v>
      </c>
      <c r="F143" s="2" t="s">
        <v>32</v>
      </c>
      <c r="G143" s="2" t="s">
        <v>33</v>
      </c>
      <c r="H143" s="2" t="s">
        <v>44</v>
      </c>
      <c r="I143" s="2">
        <v>0.5</v>
      </c>
      <c r="J143" s="2" t="s">
        <v>12</v>
      </c>
      <c r="K143" s="2" t="s">
        <v>12</v>
      </c>
      <c r="L143" s="2">
        <v>16</v>
      </c>
      <c r="M143" s="2" t="s">
        <v>12</v>
      </c>
      <c r="N143" s="2" t="s">
        <v>12</v>
      </c>
      <c r="O143" s="2">
        <v>16</v>
      </c>
    </row>
    <row r="144" spans="1:15">
      <c r="A144" s="2" t="s">
        <v>788</v>
      </c>
      <c r="B144" s="2" t="s">
        <v>789</v>
      </c>
      <c r="C144" s="2" t="s">
        <v>11</v>
      </c>
      <c r="D144" s="2" t="s">
        <v>441</v>
      </c>
      <c r="E144" s="2" t="s">
        <v>2870</v>
      </c>
      <c r="F144" s="2" t="s">
        <v>332</v>
      </c>
      <c r="G144" s="2" t="s">
        <v>15</v>
      </c>
      <c r="H144" s="2" t="s">
        <v>719</v>
      </c>
      <c r="I144" s="2">
        <v>1</v>
      </c>
      <c r="J144" s="2">
        <v>68</v>
      </c>
      <c r="K144" s="2">
        <v>168</v>
      </c>
      <c r="L144" s="2">
        <v>372</v>
      </c>
      <c r="M144" s="2" t="s">
        <v>12</v>
      </c>
      <c r="N144" s="2">
        <v>2956</v>
      </c>
      <c r="O144" s="2">
        <v>3564</v>
      </c>
    </row>
    <row r="145" spans="1:15">
      <c r="A145" s="2" t="s">
        <v>788</v>
      </c>
      <c r="B145" s="2" t="s">
        <v>789</v>
      </c>
      <c r="C145" s="2" t="s">
        <v>11</v>
      </c>
      <c r="D145" s="2" t="s">
        <v>441</v>
      </c>
      <c r="E145" s="2" t="s">
        <v>2882</v>
      </c>
      <c r="F145" s="2" t="s">
        <v>334</v>
      </c>
      <c r="G145" s="2" t="s">
        <v>15</v>
      </c>
      <c r="H145" s="2" t="s">
        <v>719</v>
      </c>
      <c r="I145" s="2">
        <v>1</v>
      </c>
      <c r="J145" s="2">
        <v>852</v>
      </c>
      <c r="K145" s="2">
        <v>1068</v>
      </c>
      <c r="L145" s="2">
        <v>196</v>
      </c>
      <c r="M145" s="2" t="s">
        <v>12</v>
      </c>
      <c r="N145" s="2">
        <v>1104</v>
      </c>
      <c r="O145" s="2">
        <v>3220</v>
      </c>
    </row>
    <row r="146" spans="1:15">
      <c r="A146" s="2" t="s">
        <v>788</v>
      </c>
      <c r="B146" s="2" t="s">
        <v>789</v>
      </c>
      <c r="C146" s="2" t="s">
        <v>11</v>
      </c>
      <c r="D146" s="2" t="s">
        <v>441</v>
      </c>
      <c r="E146" s="2" t="s">
        <v>2886</v>
      </c>
      <c r="F146" s="2" t="s">
        <v>336</v>
      </c>
      <c r="G146" s="2" t="s">
        <v>15</v>
      </c>
      <c r="H146" s="2" t="s">
        <v>719</v>
      </c>
      <c r="I146" s="2">
        <v>1</v>
      </c>
      <c r="J146" s="2">
        <v>1104</v>
      </c>
      <c r="K146" s="2">
        <v>1542</v>
      </c>
      <c r="L146" s="2">
        <v>1044</v>
      </c>
      <c r="M146" s="2" t="s">
        <v>12</v>
      </c>
      <c r="N146" s="2">
        <v>292</v>
      </c>
      <c r="O146" s="2">
        <v>3982</v>
      </c>
    </row>
    <row r="147" spans="1:15">
      <c r="A147" s="2" t="s">
        <v>788</v>
      </c>
      <c r="B147" s="2" t="s">
        <v>789</v>
      </c>
      <c r="C147" s="2" t="s">
        <v>11</v>
      </c>
      <c r="D147" s="2" t="s">
        <v>441</v>
      </c>
      <c r="E147" s="2" t="s">
        <v>2896</v>
      </c>
      <c r="F147" s="2" t="s">
        <v>337</v>
      </c>
      <c r="G147" s="2" t="s">
        <v>15</v>
      </c>
      <c r="H147" s="2" t="s">
        <v>719</v>
      </c>
      <c r="I147" s="2">
        <v>1</v>
      </c>
      <c r="J147" s="2">
        <v>864</v>
      </c>
      <c r="K147" s="2">
        <v>1590</v>
      </c>
      <c r="L147" s="2">
        <v>1008</v>
      </c>
      <c r="M147" s="2" t="s">
        <v>12</v>
      </c>
      <c r="N147" s="2">
        <v>672</v>
      </c>
      <c r="O147" s="2">
        <v>4134</v>
      </c>
    </row>
    <row r="148" spans="1:15">
      <c r="A148" s="2" t="s">
        <v>788</v>
      </c>
      <c r="B148" s="2" t="s">
        <v>789</v>
      </c>
      <c r="C148" s="2" t="s">
        <v>11</v>
      </c>
      <c r="D148" s="2" t="s">
        <v>441</v>
      </c>
      <c r="E148" s="2" t="s">
        <v>2901</v>
      </c>
      <c r="F148" s="2" t="s">
        <v>338</v>
      </c>
      <c r="G148" s="2" t="s">
        <v>15</v>
      </c>
      <c r="H148" s="2" t="s">
        <v>44</v>
      </c>
      <c r="I148" s="2">
        <v>0.57999999999999996</v>
      </c>
      <c r="J148" s="2">
        <v>48</v>
      </c>
      <c r="K148" s="2">
        <v>246</v>
      </c>
      <c r="L148" s="2">
        <v>356</v>
      </c>
      <c r="M148" s="2" t="s">
        <v>12</v>
      </c>
      <c r="N148" s="2">
        <v>508</v>
      </c>
      <c r="O148" s="2">
        <v>1158</v>
      </c>
    </row>
    <row r="149" spans="1:15">
      <c r="A149" s="2" t="s">
        <v>788</v>
      </c>
      <c r="B149" s="2" t="s">
        <v>789</v>
      </c>
      <c r="C149" s="2" t="s">
        <v>11</v>
      </c>
      <c r="D149" s="2" t="s">
        <v>441</v>
      </c>
      <c r="E149" s="2" t="s">
        <v>2904</v>
      </c>
      <c r="F149" s="2" t="s">
        <v>339</v>
      </c>
      <c r="G149" s="2" t="s">
        <v>33</v>
      </c>
      <c r="H149" s="2" t="s">
        <v>44</v>
      </c>
      <c r="I149" s="2" t="s">
        <v>12</v>
      </c>
      <c r="J149" s="2" t="s">
        <v>12</v>
      </c>
      <c r="K149" s="2" t="s">
        <v>12</v>
      </c>
      <c r="L149" s="2" t="s">
        <v>12</v>
      </c>
      <c r="M149" s="2" t="s">
        <v>12</v>
      </c>
      <c r="N149" s="2" t="s">
        <v>12</v>
      </c>
      <c r="O149" s="2" t="s">
        <v>12</v>
      </c>
    </row>
    <row r="150" spans="1:15">
      <c r="A150" s="2" t="s">
        <v>790</v>
      </c>
      <c r="B150" s="2" t="s">
        <v>791</v>
      </c>
      <c r="C150" s="2" t="s">
        <v>76</v>
      </c>
      <c r="D150" s="2" t="s">
        <v>475</v>
      </c>
      <c r="E150" s="2" t="s">
        <v>2870</v>
      </c>
      <c r="F150" s="2" t="s">
        <v>14</v>
      </c>
      <c r="G150" s="2" t="s">
        <v>15</v>
      </c>
      <c r="H150" s="2" t="s">
        <v>719</v>
      </c>
      <c r="I150" s="2">
        <v>1</v>
      </c>
      <c r="J150" s="2">
        <v>608</v>
      </c>
      <c r="K150" s="2">
        <v>960</v>
      </c>
      <c r="L150" s="2">
        <v>528</v>
      </c>
      <c r="M150" s="2" t="s">
        <v>12</v>
      </c>
      <c r="N150" s="2">
        <v>40</v>
      </c>
      <c r="O150" s="2">
        <v>2136</v>
      </c>
    </row>
    <row r="151" spans="1:15">
      <c r="A151" s="2" t="s">
        <v>790</v>
      </c>
      <c r="B151" s="2" t="s">
        <v>791</v>
      </c>
      <c r="C151" s="2" t="s">
        <v>76</v>
      </c>
      <c r="D151" s="2" t="s">
        <v>475</v>
      </c>
      <c r="E151" s="2" t="s">
        <v>2882</v>
      </c>
      <c r="F151" s="2" t="s">
        <v>19</v>
      </c>
      <c r="G151" s="2" t="s">
        <v>15</v>
      </c>
      <c r="H151" s="2" t="s">
        <v>719</v>
      </c>
      <c r="I151" s="2">
        <v>1</v>
      </c>
      <c r="J151" s="2">
        <v>864</v>
      </c>
      <c r="K151" s="2">
        <v>1188</v>
      </c>
      <c r="L151" s="2">
        <v>928</v>
      </c>
      <c r="M151" s="2" t="s">
        <v>12</v>
      </c>
      <c r="N151" s="2">
        <v>120</v>
      </c>
      <c r="O151" s="2">
        <v>3100</v>
      </c>
    </row>
    <row r="152" spans="1:15">
      <c r="A152" s="2" t="s">
        <v>790</v>
      </c>
      <c r="B152" s="2" t="s">
        <v>791</v>
      </c>
      <c r="C152" s="2" t="s">
        <v>76</v>
      </c>
      <c r="D152" s="2" t="s">
        <v>475</v>
      </c>
      <c r="E152" s="2" t="s">
        <v>2886</v>
      </c>
      <c r="F152" s="2" t="s">
        <v>23</v>
      </c>
      <c r="G152" s="2" t="s">
        <v>15</v>
      </c>
      <c r="H152" s="2" t="s">
        <v>719</v>
      </c>
      <c r="I152" s="2">
        <v>1</v>
      </c>
      <c r="J152" s="2">
        <v>640</v>
      </c>
      <c r="K152" s="2">
        <v>1104</v>
      </c>
      <c r="L152" s="2">
        <v>1496</v>
      </c>
      <c r="M152" s="2" t="s">
        <v>12</v>
      </c>
      <c r="N152" s="2">
        <v>176</v>
      </c>
      <c r="O152" s="2">
        <v>3416</v>
      </c>
    </row>
    <row r="153" spans="1:15">
      <c r="A153" s="2" t="s">
        <v>790</v>
      </c>
      <c r="B153" s="2" t="s">
        <v>791</v>
      </c>
      <c r="C153" s="2" t="s">
        <v>76</v>
      </c>
      <c r="D153" s="2" t="s">
        <v>475</v>
      </c>
      <c r="E153" s="2" t="s">
        <v>2896</v>
      </c>
      <c r="F153" s="2" t="s">
        <v>26</v>
      </c>
      <c r="G153" s="2" t="s">
        <v>15</v>
      </c>
      <c r="H153" s="2" t="s">
        <v>16</v>
      </c>
      <c r="I153" s="2">
        <v>1.5</v>
      </c>
      <c r="J153" s="2">
        <v>2048</v>
      </c>
      <c r="K153" s="2">
        <v>2904</v>
      </c>
      <c r="L153" s="2">
        <v>2280</v>
      </c>
      <c r="M153" s="2" t="s">
        <v>12</v>
      </c>
      <c r="N153" s="2">
        <v>1840</v>
      </c>
      <c r="O153" s="2">
        <v>9072</v>
      </c>
    </row>
    <row r="154" spans="1:15">
      <c r="A154" s="2" t="s">
        <v>790</v>
      </c>
      <c r="B154" s="2" t="s">
        <v>791</v>
      </c>
      <c r="C154" s="2" t="s">
        <v>76</v>
      </c>
      <c r="D154" s="2" t="s">
        <v>475</v>
      </c>
      <c r="E154" s="2" t="s">
        <v>2901</v>
      </c>
      <c r="F154" s="2" t="s">
        <v>29</v>
      </c>
      <c r="G154" s="2" t="s">
        <v>15</v>
      </c>
      <c r="H154" s="2" t="s">
        <v>16</v>
      </c>
      <c r="I154" s="2">
        <v>1.03</v>
      </c>
      <c r="J154" s="2">
        <v>1048</v>
      </c>
      <c r="K154" s="2">
        <v>2016</v>
      </c>
      <c r="L154" s="2">
        <v>1712</v>
      </c>
      <c r="M154" s="2" t="s">
        <v>12</v>
      </c>
      <c r="N154" s="2">
        <v>1384</v>
      </c>
      <c r="O154" s="2">
        <v>6160</v>
      </c>
    </row>
    <row r="155" spans="1:15">
      <c r="A155" s="2" t="s">
        <v>790</v>
      </c>
      <c r="B155" s="2" t="s">
        <v>791</v>
      </c>
      <c r="C155" s="2" t="s">
        <v>76</v>
      </c>
      <c r="D155" s="2" t="s">
        <v>475</v>
      </c>
      <c r="E155" s="2" t="s">
        <v>2904</v>
      </c>
      <c r="F155" s="2" t="s">
        <v>32</v>
      </c>
      <c r="G155" s="2" t="s">
        <v>33</v>
      </c>
      <c r="H155" s="2" t="s">
        <v>44</v>
      </c>
      <c r="I155" s="2" t="s">
        <v>12</v>
      </c>
      <c r="J155" s="2" t="s">
        <v>12</v>
      </c>
      <c r="K155" s="2" t="s">
        <v>12</v>
      </c>
      <c r="L155" s="2" t="s">
        <v>12</v>
      </c>
      <c r="M155" s="2" t="s">
        <v>12</v>
      </c>
      <c r="N155" s="2" t="s">
        <v>12</v>
      </c>
      <c r="O155" s="2" t="s">
        <v>12</v>
      </c>
    </row>
    <row r="156" spans="1:15">
      <c r="A156" s="2" t="s">
        <v>792</v>
      </c>
      <c r="B156" s="2" t="s">
        <v>793</v>
      </c>
      <c r="C156" s="2" t="s">
        <v>76</v>
      </c>
      <c r="D156" s="2" t="s">
        <v>446</v>
      </c>
      <c r="E156" s="2" t="s">
        <v>2870</v>
      </c>
      <c r="F156" s="2" t="s">
        <v>14</v>
      </c>
      <c r="G156" s="2" t="s">
        <v>15</v>
      </c>
      <c r="H156" s="2" t="s">
        <v>719</v>
      </c>
      <c r="I156" s="2">
        <v>1</v>
      </c>
      <c r="J156" s="2">
        <v>1200</v>
      </c>
      <c r="K156" s="2">
        <v>1920</v>
      </c>
      <c r="L156" s="2">
        <v>1140</v>
      </c>
      <c r="M156" s="2" t="s">
        <v>12</v>
      </c>
      <c r="N156" s="2">
        <v>390</v>
      </c>
      <c r="O156" s="2">
        <v>4650</v>
      </c>
    </row>
    <row r="157" spans="1:15">
      <c r="A157" s="2" t="s">
        <v>792</v>
      </c>
      <c r="B157" s="2" t="s">
        <v>793</v>
      </c>
      <c r="C157" s="2" t="s">
        <v>76</v>
      </c>
      <c r="D157" s="2" t="s">
        <v>446</v>
      </c>
      <c r="E157" s="2" t="s">
        <v>2882</v>
      </c>
      <c r="F157" s="2" t="s">
        <v>19</v>
      </c>
      <c r="G157" s="2" t="s">
        <v>15</v>
      </c>
      <c r="H157" s="2" t="s">
        <v>719</v>
      </c>
      <c r="I157" s="2">
        <v>1</v>
      </c>
      <c r="J157" s="2">
        <v>1320</v>
      </c>
      <c r="K157" s="2">
        <v>1860</v>
      </c>
      <c r="L157" s="2">
        <v>1120</v>
      </c>
      <c r="M157" s="2" t="s">
        <v>12</v>
      </c>
      <c r="N157" s="2">
        <v>250</v>
      </c>
      <c r="O157" s="2">
        <v>4550</v>
      </c>
    </row>
    <row r="158" spans="1:15">
      <c r="A158" s="2" t="s">
        <v>792</v>
      </c>
      <c r="B158" s="2" t="s">
        <v>793</v>
      </c>
      <c r="C158" s="2" t="s">
        <v>76</v>
      </c>
      <c r="D158" s="2" t="s">
        <v>446</v>
      </c>
      <c r="E158" s="2" t="s">
        <v>2886</v>
      </c>
      <c r="F158" s="2" t="s">
        <v>23</v>
      </c>
      <c r="G158" s="2" t="s">
        <v>15</v>
      </c>
      <c r="H158" s="2" t="s">
        <v>719</v>
      </c>
      <c r="I158" s="2">
        <v>1</v>
      </c>
      <c r="J158" s="2">
        <v>1340</v>
      </c>
      <c r="K158" s="2">
        <v>1770</v>
      </c>
      <c r="L158" s="2">
        <v>1040</v>
      </c>
      <c r="M158" s="2" t="s">
        <v>12</v>
      </c>
      <c r="N158" s="2">
        <v>790</v>
      </c>
      <c r="O158" s="2">
        <v>4940</v>
      </c>
    </row>
    <row r="159" spans="1:15">
      <c r="A159" s="2" t="s">
        <v>792</v>
      </c>
      <c r="B159" s="2" t="s">
        <v>793</v>
      </c>
      <c r="C159" s="2" t="s">
        <v>76</v>
      </c>
      <c r="D159" s="2" t="s">
        <v>446</v>
      </c>
      <c r="E159" s="2" t="s">
        <v>2896</v>
      </c>
      <c r="F159" s="2" t="s">
        <v>26</v>
      </c>
      <c r="G159" s="2" t="s">
        <v>15</v>
      </c>
      <c r="H159" s="2" t="s">
        <v>719</v>
      </c>
      <c r="I159" s="2">
        <v>1</v>
      </c>
      <c r="J159" s="2">
        <v>620</v>
      </c>
      <c r="K159" s="2">
        <v>1230</v>
      </c>
      <c r="L159" s="2">
        <v>820</v>
      </c>
      <c r="M159" s="2" t="s">
        <v>12</v>
      </c>
      <c r="N159" s="2">
        <v>680</v>
      </c>
      <c r="O159" s="2">
        <v>3350</v>
      </c>
    </row>
    <row r="160" spans="1:15">
      <c r="A160" s="2" t="s">
        <v>792</v>
      </c>
      <c r="B160" s="2" t="s">
        <v>793</v>
      </c>
      <c r="C160" s="2" t="s">
        <v>76</v>
      </c>
      <c r="D160" s="2" t="s">
        <v>446</v>
      </c>
      <c r="E160" s="2" t="s">
        <v>2901</v>
      </c>
      <c r="F160" s="2" t="s">
        <v>29</v>
      </c>
      <c r="G160" s="2" t="s">
        <v>15</v>
      </c>
      <c r="H160" s="2" t="s">
        <v>719</v>
      </c>
      <c r="I160" s="2">
        <v>1</v>
      </c>
      <c r="J160" s="2">
        <v>360</v>
      </c>
      <c r="K160" s="2">
        <v>960</v>
      </c>
      <c r="L160" s="2">
        <v>460</v>
      </c>
      <c r="M160" s="2" t="s">
        <v>12</v>
      </c>
      <c r="N160" s="2">
        <v>310</v>
      </c>
      <c r="O160" s="2">
        <v>2090</v>
      </c>
    </row>
    <row r="161" spans="1:15">
      <c r="A161" s="2" t="s">
        <v>792</v>
      </c>
      <c r="B161" s="2" t="s">
        <v>793</v>
      </c>
      <c r="C161" s="2" t="s">
        <v>76</v>
      </c>
      <c r="D161" s="2" t="s">
        <v>446</v>
      </c>
      <c r="E161" s="2" t="s">
        <v>2904</v>
      </c>
      <c r="F161" s="2" t="s">
        <v>32</v>
      </c>
      <c r="G161" s="2" t="s">
        <v>33</v>
      </c>
      <c r="H161" s="2" t="s">
        <v>44</v>
      </c>
      <c r="I161" s="2" t="s">
        <v>12</v>
      </c>
      <c r="J161" s="2" t="s">
        <v>12</v>
      </c>
      <c r="K161" s="2" t="s">
        <v>12</v>
      </c>
      <c r="L161" s="2" t="s">
        <v>12</v>
      </c>
      <c r="M161" s="2" t="s">
        <v>12</v>
      </c>
      <c r="N161" s="2" t="s">
        <v>12</v>
      </c>
      <c r="O161" s="2" t="s">
        <v>12</v>
      </c>
    </row>
    <row r="162" spans="1:15">
      <c r="A162" s="2" t="s">
        <v>794</v>
      </c>
      <c r="B162" s="2" t="s">
        <v>795</v>
      </c>
      <c r="C162" s="2" t="s">
        <v>76</v>
      </c>
      <c r="D162" s="2" t="s">
        <v>441</v>
      </c>
      <c r="E162" s="2" t="s">
        <v>2870</v>
      </c>
      <c r="F162" s="2" t="s">
        <v>796</v>
      </c>
      <c r="G162" s="2" t="s">
        <v>15</v>
      </c>
      <c r="H162" s="2" t="s">
        <v>719</v>
      </c>
      <c r="I162" s="2">
        <v>1</v>
      </c>
      <c r="J162" s="2">
        <v>144</v>
      </c>
      <c r="K162" s="2">
        <v>360</v>
      </c>
      <c r="L162" s="2">
        <v>1672</v>
      </c>
      <c r="M162" s="2" t="s">
        <v>12</v>
      </c>
      <c r="N162" s="2">
        <v>1052</v>
      </c>
      <c r="O162" s="2">
        <v>3228</v>
      </c>
    </row>
    <row r="163" spans="1:15">
      <c r="A163" s="2" t="s">
        <v>794</v>
      </c>
      <c r="B163" s="2" t="s">
        <v>795</v>
      </c>
      <c r="C163" s="2" t="s">
        <v>76</v>
      </c>
      <c r="D163" s="2" t="s">
        <v>441</v>
      </c>
      <c r="E163" s="2" t="s">
        <v>2882</v>
      </c>
      <c r="F163" s="2" t="s">
        <v>404</v>
      </c>
      <c r="G163" s="2" t="s">
        <v>33</v>
      </c>
      <c r="H163" s="2" t="s">
        <v>44</v>
      </c>
      <c r="I163" s="2">
        <v>0.5</v>
      </c>
      <c r="J163" s="2">
        <v>16</v>
      </c>
      <c r="K163" s="2">
        <v>24</v>
      </c>
      <c r="L163" s="2">
        <v>160</v>
      </c>
      <c r="M163" s="2" t="s">
        <v>12</v>
      </c>
      <c r="N163" s="2" t="s">
        <v>12</v>
      </c>
      <c r="O163" s="2">
        <v>200</v>
      </c>
    </row>
    <row r="164" spans="1:15">
      <c r="A164" s="2" t="s">
        <v>797</v>
      </c>
      <c r="B164" s="2" t="s">
        <v>798</v>
      </c>
      <c r="C164" s="2" t="s">
        <v>290</v>
      </c>
      <c r="D164" s="2" t="s">
        <v>457</v>
      </c>
      <c r="E164" s="2" t="s">
        <v>2870</v>
      </c>
      <c r="F164" s="2" t="s">
        <v>122</v>
      </c>
      <c r="G164" s="2" t="s">
        <v>15</v>
      </c>
      <c r="H164" s="2" t="s">
        <v>719</v>
      </c>
      <c r="I164" s="2">
        <v>1</v>
      </c>
      <c r="J164" s="2">
        <v>1360</v>
      </c>
      <c r="K164" s="2">
        <v>2706</v>
      </c>
      <c r="L164" s="2">
        <v>1000</v>
      </c>
      <c r="M164" s="2" t="s">
        <v>12</v>
      </c>
      <c r="N164" s="2">
        <v>404</v>
      </c>
      <c r="O164" s="2">
        <v>5470</v>
      </c>
    </row>
    <row r="165" spans="1:15">
      <c r="A165" s="2" t="s">
        <v>797</v>
      </c>
      <c r="B165" s="2" t="s">
        <v>798</v>
      </c>
      <c r="C165" s="2" t="s">
        <v>290</v>
      </c>
      <c r="D165" s="2" t="s">
        <v>457</v>
      </c>
      <c r="E165" s="2" t="s">
        <v>2882</v>
      </c>
      <c r="F165" s="2" t="s">
        <v>124</v>
      </c>
      <c r="G165" s="2" t="s">
        <v>15</v>
      </c>
      <c r="H165" s="2" t="s">
        <v>44</v>
      </c>
      <c r="I165" s="2">
        <v>0.71</v>
      </c>
      <c r="J165" s="2">
        <v>432</v>
      </c>
      <c r="K165" s="2">
        <v>690</v>
      </c>
      <c r="L165" s="2">
        <v>164</v>
      </c>
      <c r="M165" s="2" t="s">
        <v>12</v>
      </c>
      <c r="N165" s="2">
        <v>138</v>
      </c>
      <c r="O165" s="2">
        <v>1424</v>
      </c>
    </row>
    <row r="166" spans="1:15">
      <c r="A166" s="2" t="s">
        <v>797</v>
      </c>
      <c r="B166" s="2" t="s">
        <v>798</v>
      </c>
      <c r="C166" s="2" t="s">
        <v>290</v>
      </c>
      <c r="D166" s="2" t="s">
        <v>457</v>
      </c>
      <c r="E166" s="2" t="s">
        <v>2886</v>
      </c>
      <c r="F166" s="2" t="s">
        <v>126</v>
      </c>
      <c r="G166" s="2" t="s">
        <v>15</v>
      </c>
      <c r="H166" s="2" t="s">
        <v>719</v>
      </c>
      <c r="I166" s="2">
        <v>1</v>
      </c>
      <c r="J166" s="2">
        <v>1240</v>
      </c>
      <c r="K166" s="2">
        <v>744</v>
      </c>
      <c r="L166" s="2">
        <v>1824</v>
      </c>
      <c r="M166" s="2" t="s">
        <v>12</v>
      </c>
      <c r="N166" s="2">
        <v>398</v>
      </c>
      <c r="O166" s="2">
        <v>4206</v>
      </c>
    </row>
    <row r="167" spans="1:15">
      <c r="A167" s="2" t="s">
        <v>797</v>
      </c>
      <c r="B167" s="2" t="s">
        <v>798</v>
      </c>
      <c r="C167" s="2" t="s">
        <v>290</v>
      </c>
      <c r="D167" s="2" t="s">
        <v>457</v>
      </c>
      <c r="E167" s="2" t="s">
        <v>2896</v>
      </c>
      <c r="F167" s="2" t="s">
        <v>128</v>
      </c>
      <c r="G167" s="2" t="s">
        <v>15</v>
      </c>
      <c r="H167" s="2" t="s">
        <v>16</v>
      </c>
      <c r="I167" s="2">
        <v>1.5</v>
      </c>
      <c r="J167" s="2">
        <v>2668</v>
      </c>
      <c r="K167" s="2">
        <v>5478</v>
      </c>
      <c r="L167" s="2">
        <v>948</v>
      </c>
      <c r="M167" s="2" t="s">
        <v>12</v>
      </c>
      <c r="N167" s="2">
        <v>234</v>
      </c>
      <c r="O167" s="2">
        <v>9328</v>
      </c>
    </row>
    <row r="168" spans="1:15">
      <c r="A168" s="2" t="s">
        <v>797</v>
      </c>
      <c r="B168" s="2" t="s">
        <v>798</v>
      </c>
      <c r="C168" s="2" t="s">
        <v>290</v>
      </c>
      <c r="D168" s="2" t="s">
        <v>457</v>
      </c>
      <c r="E168" s="2" t="s">
        <v>2901</v>
      </c>
      <c r="F168" s="2" t="s">
        <v>130</v>
      </c>
      <c r="G168" s="2" t="s">
        <v>15</v>
      </c>
      <c r="H168" s="2" t="s">
        <v>16</v>
      </c>
      <c r="I168" s="2">
        <v>1.5</v>
      </c>
      <c r="J168" s="2">
        <v>2016</v>
      </c>
      <c r="K168" s="2">
        <v>2784</v>
      </c>
      <c r="L168" s="2">
        <v>3752</v>
      </c>
      <c r="M168" s="2" t="s">
        <v>12</v>
      </c>
      <c r="N168" s="2">
        <v>1456</v>
      </c>
      <c r="O168" s="2">
        <v>10008</v>
      </c>
    </row>
    <row r="169" spans="1:15">
      <c r="A169" s="2" t="s">
        <v>797</v>
      </c>
      <c r="B169" s="2" t="s">
        <v>798</v>
      </c>
      <c r="C169" s="2" t="s">
        <v>290</v>
      </c>
      <c r="D169" s="2" t="s">
        <v>457</v>
      </c>
      <c r="E169" s="2" t="s">
        <v>2904</v>
      </c>
      <c r="F169" s="2" t="s">
        <v>132</v>
      </c>
      <c r="G169" s="2" t="s">
        <v>33</v>
      </c>
      <c r="H169" s="2" t="s">
        <v>44</v>
      </c>
      <c r="I169" s="2" t="s">
        <v>12</v>
      </c>
      <c r="J169" s="2" t="s">
        <v>12</v>
      </c>
      <c r="K169" s="2" t="s">
        <v>12</v>
      </c>
      <c r="L169" s="2" t="s">
        <v>12</v>
      </c>
      <c r="M169" s="2" t="s">
        <v>12</v>
      </c>
      <c r="N169" s="2" t="s">
        <v>12</v>
      </c>
      <c r="O169" s="2" t="s">
        <v>12</v>
      </c>
    </row>
    <row r="170" spans="1:15">
      <c r="A170" s="2" t="s">
        <v>799</v>
      </c>
      <c r="B170" s="2" t="s">
        <v>800</v>
      </c>
      <c r="C170" s="2" t="s">
        <v>76</v>
      </c>
      <c r="D170" s="2" t="s">
        <v>461</v>
      </c>
      <c r="E170" s="2" t="s">
        <v>2870</v>
      </c>
      <c r="F170" s="2" t="s">
        <v>37</v>
      </c>
      <c r="G170" s="2" t="s">
        <v>15</v>
      </c>
      <c r="H170" s="2" t="s">
        <v>719</v>
      </c>
      <c r="I170" s="2">
        <v>1</v>
      </c>
      <c r="J170" s="2">
        <v>1132</v>
      </c>
      <c r="K170" s="2">
        <v>1758</v>
      </c>
      <c r="L170" s="2">
        <v>728</v>
      </c>
      <c r="M170" s="2" t="s">
        <v>12</v>
      </c>
      <c r="N170" s="2">
        <v>528</v>
      </c>
      <c r="O170" s="2">
        <v>4146</v>
      </c>
    </row>
    <row r="171" spans="1:15">
      <c r="A171" s="2" t="s">
        <v>799</v>
      </c>
      <c r="B171" s="2" t="s">
        <v>800</v>
      </c>
      <c r="C171" s="2" t="s">
        <v>76</v>
      </c>
      <c r="D171" s="2" t="s">
        <v>461</v>
      </c>
      <c r="E171" s="2" t="s">
        <v>2882</v>
      </c>
      <c r="F171" s="2" t="s">
        <v>39</v>
      </c>
      <c r="G171" s="2" t="s">
        <v>15</v>
      </c>
      <c r="H171" s="2" t="s">
        <v>16</v>
      </c>
      <c r="I171" s="2">
        <v>1.17</v>
      </c>
      <c r="J171" s="2">
        <v>2248</v>
      </c>
      <c r="K171" s="2">
        <v>2646</v>
      </c>
      <c r="L171" s="2">
        <v>1664</v>
      </c>
      <c r="M171" s="2" t="s">
        <v>12</v>
      </c>
      <c r="N171" s="2">
        <v>440</v>
      </c>
      <c r="O171" s="2">
        <v>6998</v>
      </c>
    </row>
    <row r="172" spans="1:15">
      <c r="A172" s="2" t="s">
        <v>799</v>
      </c>
      <c r="B172" s="2" t="s">
        <v>800</v>
      </c>
      <c r="C172" s="2" t="s">
        <v>76</v>
      </c>
      <c r="D172" s="2" t="s">
        <v>461</v>
      </c>
      <c r="E172" s="2" t="s">
        <v>2886</v>
      </c>
      <c r="F172" s="2" t="s">
        <v>41</v>
      </c>
      <c r="G172" s="2" t="s">
        <v>15</v>
      </c>
      <c r="H172" s="2" t="s">
        <v>16</v>
      </c>
      <c r="I172" s="2">
        <v>1.5</v>
      </c>
      <c r="J172" s="2">
        <v>2408</v>
      </c>
      <c r="K172" s="2">
        <v>3702</v>
      </c>
      <c r="L172" s="2">
        <v>2004</v>
      </c>
      <c r="M172" s="2" t="s">
        <v>12</v>
      </c>
      <c r="N172" s="2">
        <v>952</v>
      </c>
      <c r="O172" s="2">
        <v>9066</v>
      </c>
    </row>
    <row r="173" spans="1:15">
      <c r="A173" s="2" t="s">
        <v>799</v>
      </c>
      <c r="B173" s="2" t="s">
        <v>800</v>
      </c>
      <c r="C173" s="2" t="s">
        <v>76</v>
      </c>
      <c r="D173" s="2" t="s">
        <v>461</v>
      </c>
      <c r="E173" s="2" t="s">
        <v>2896</v>
      </c>
      <c r="F173" s="2" t="s">
        <v>43</v>
      </c>
      <c r="G173" s="2" t="s">
        <v>33</v>
      </c>
      <c r="H173" s="2" t="s">
        <v>44</v>
      </c>
      <c r="I173" s="2">
        <v>0.5</v>
      </c>
      <c r="J173" s="2">
        <v>76</v>
      </c>
      <c r="K173" s="2">
        <v>84</v>
      </c>
      <c r="L173" s="2" t="s">
        <v>12</v>
      </c>
      <c r="M173" s="2" t="s">
        <v>12</v>
      </c>
      <c r="N173" s="2">
        <v>80</v>
      </c>
      <c r="O173" s="2">
        <v>240</v>
      </c>
    </row>
    <row r="174" spans="1:15">
      <c r="A174" s="2" t="s">
        <v>801</v>
      </c>
      <c r="B174" s="2" t="s">
        <v>802</v>
      </c>
      <c r="C174" s="2" t="s">
        <v>76</v>
      </c>
      <c r="D174" s="2" t="s">
        <v>475</v>
      </c>
      <c r="E174" s="2" t="s">
        <v>2870</v>
      </c>
      <c r="F174" s="2" t="s">
        <v>14</v>
      </c>
      <c r="G174" s="2" t="s">
        <v>15</v>
      </c>
      <c r="H174" s="2" t="s">
        <v>44</v>
      </c>
      <c r="I174" s="2" t="s">
        <v>12</v>
      </c>
      <c r="J174" s="2" t="s">
        <v>12</v>
      </c>
      <c r="K174" s="2" t="s">
        <v>12</v>
      </c>
      <c r="L174" s="2" t="s">
        <v>12</v>
      </c>
      <c r="M174" s="2" t="s">
        <v>12</v>
      </c>
      <c r="N174" s="2" t="s">
        <v>12</v>
      </c>
      <c r="O174" s="2" t="s">
        <v>12</v>
      </c>
    </row>
    <row r="175" spans="1:15">
      <c r="A175" s="2" t="s">
        <v>801</v>
      </c>
      <c r="B175" s="2" t="s">
        <v>802</v>
      </c>
      <c r="C175" s="2" t="s">
        <v>76</v>
      </c>
      <c r="D175" s="2" t="s">
        <v>475</v>
      </c>
      <c r="E175" s="2" t="s">
        <v>2882</v>
      </c>
      <c r="F175" s="2" t="s">
        <v>19</v>
      </c>
      <c r="G175" s="2" t="s">
        <v>15</v>
      </c>
      <c r="H175" s="2" t="s">
        <v>44</v>
      </c>
      <c r="I175" s="2" t="s">
        <v>12</v>
      </c>
      <c r="J175" s="2" t="s">
        <v>12</v>
      </c>
      <c r="K175" s="2" t="s">
        <v>12</v>
      </c>
      <c r="L175" s="2" t="s">
        <v>12</v>
      </c>
      <c r="M175" s="2" t="s">
        <v>12</v>
      </c>
      <c r="N175" s="2" t="s">
        <v>12</v>
      </c>
      <c r="O175" s="2" t="s">
        <v>12</v>
      </c>
    </row>
    <row r="176" spans="1:15">
      <c r="A176" s="2" t="s">
        <v>801</v>
      </c>
      <c r="B176" s="2" t="s">
        <v>802</v>
      </c>
      <c r="C176" s="2" t="s">
        <v>76</v>
      </c>
      <c r="D176" s="2" t="s">
        <v>475</v>
      </c>
      <c r="E176" s="2" t="s">
        <v>2886</v>
      </c>
      <c r="F176" s="2" t="s">
        <v>23</v>
      </c>
      <c r="G176" s="2" t="s">
        <v>15</v>
      </c>
      <c r="H176" s="2" t="s">
        <v>44</v>
      </c>
      <c r="I176" s="2" t="s">
        <v>12</v>
      </c>
      <c r="J176" s="2" t="s">
        <v>12</v>
      </c>
      <c r="K176" s="2" t="s">
        <v>12</v>
      </c>
      <c r="L176" s="2" t="s">
        <v>12</v>
      </c>
      <c r="M176" s="2" t="s">
        <v>12</v>
      </c>
      <c r="N176" s="2" t="s">
        <v>12</v>
      </c>
      <c r="O176" s="2" t="s">
        <v>12</v>
      </c>
    </row>
    <row r="177" spans="1:15">
      <c r="A177" s="2" t="s">
        <v>801</v>
      </c>
      <c r="B177" s="2" t="s">
        <v>802</v>
      </c>
      <c r="C177" s="2" t="s">
        <v>76</v>
      </c>
      <c r="D177" s="2" t="s">
        <v>475</v>
      </c>
      <c r="E177" s="2" t="s">
        <v>2896</v>
      </c>
      <c r="F177" s="2" t="s">
        <v>26</v>
      </c>
      <c r="G177" s="2" t="s">
        <v>15</v>
      </c>
      <c r="H177" s="2" t="s">
        <v>44</v>
      </c>
      <c r="I177" s="2" t="s">
        <v>12</v>
      </c>
      <c r="J177" s="2" t="s">
        <v>12</v>
      </c>
      <c r="K177" s="2" t="s">
        <v>12</v>
      </c>
      <c r="L177" s="2" t="s">
        <v>12</v>
      </c>
      <c r="M177" s="2" t="s">
        <v>12</v>
      </c>
      <c r="N177" s="2" t="s">
        <v>12</v>
      </c>
      <c r="O177" s="2" t="s">
        <v>12</v>
      </c>
    </row>
    <row r="178" spans="1:15">
      <c r="A178" s="2" t="s">
        <v>801</v>
      </c>
      <c r="B178" s="2" t="s">
        <v>802</v>
      </c>
      <c r="C178" s="2" t="s">
        <v>76</v>
      </c>
      <c r="D178" s="2" t="s">
        <v>475</v>
      </c>
      <c r="E178" s="2" t="s">
        <v>2901</v>
      </c>
      <c r="F178" s="2" t="s">
        <v>29</v>
      </c>
      <c r="G178" s="2" t="s">
        <v>15</v>
      </c>
      <c r="H178" s="2" t="s">
        <v>44</v>
      </c>
      <c r="I178" s="2" t="s">
        <v>12</v>
      </c>
      <c r="J178" s="2" t="s">
        <v>12</v>
      </c>
      <c r="K178" s="2" t="s">
        <v>12</v>
      </c>
      <c r="L178" s="2" t="s">
        <v>12</v>
      </c>
      <c r="M178" s="2" t="s">
        <v>12</v>
      </c>
      <c r="N178" s="2" t="s">
        <v>12</v>
      </c>
      <c r="O178" s="2" t="s">
        <v>12</v>
      </c>
    </row>
    <row r="179" spans="1:15">
      <c r="A179" s="2" t="s">
        <v>801</v>
      </c>
      <c r="B179" s="2" t="s">
        <v>802</v>
      </c>
      <c r="C179" s="2" t="s">
        <v>76</v>
      </c>
      <c r="D179" s="2" t="s">
        <v>475</v>
      </c>
      <c r="E179" s="2" t="s">
        <v>2904</v>
      </c>
      <c r="F179" s="2" t="s">
        <v>32</v>
      </c>
      <c r="G179" s="2" t="s">
        <v>33</v>
      </c>
      <c r="H179" s="2" t="s">
        <v>44</v>
      </c>
      <c r="I179" s="2" t="s">
        <v>12</v>
      </c>
      <c r="J179" s="2" t="s">
        <v>12</v>
      </c>
      <c r="K179" s="2" t="s">
        <v>12</v>
      </c>
      <c r="L179" s="2" t="s">
        <v>12</v>
      </c>
      <c r="M179" s="2" t="s">
        <v>12</v>
      </c>
      <c r="N179" s="2" t="s">
        <v>12</v>
      </c>
      <c r="O179" s="2" t="s">
        <v>12</v>
      </c>
    </row>
    <row r="180" spans="1:15">
      <c r="A180" s="2" t="s">
        <v>803</v>
      </c>
      <c r="B180" s="2" t="s">
        <v>804</v>
      </c>
      <c r="C180" s="2" t="s">
        <v>76</v>
      </c>
      <c r="D180" s="2" t="s">
        <v>441</v>
      </c>
      <c r="E180" s="2" t="s">
        <v>2870</v>
      </c>
      <c r="F180" s="2" t="s">
        <v>465</v>
      </c>
      <c r="G180" s="2" t="s">
        <v>33</v>
      </c>
      <c r="H180" s="2" t="s">
        <v>44</v>
      </c>
      <c r="I180" s="2" t="s">
        <v>12</v>
      </c>
      <c r="J180" s="2" t="s">
        <v>12</v>
      </c>
      <c r="K180" s="2" t="s">
        <v>12</v>
      </c>
      <c r="L180" s="2" t="s">
        <v>12</v>
      </c>
      <c r="M180" s="2" t="s">
        <v>12</v>
      </c>
      <c r="N180" s="2" t="s">
        <v>12</v>
      </c>
      <c r="O180" s="2" t="s">
        <v>12</v>
      </c>
    </row>
    <row r="181" spans="1:15">
      <c r="A181" s="2" t="s">
        <v>805</v>
      </c>
      <c r="B181" s="2" t="s">
        <v>806</v>
      </c>
      <c r="C181" s="2" t="s">
        <v>290</v>
      </c>
      <c r="D181" s="2" t="s">
        <v>446</v>
      </c>
      <c r="E181" s="2" t="s">
        <v>2870</v>
      </c>
      <c r="F181" s="2" t="s">
        <v>807</v>
      </c>
      <c r="G181" s="2" t="s">
        <v>15</v>
      </c>
      <c r="H181" s="2" t="s">
        <v>44</v>
      </c>
      <c r="I181" s="2" t="s">
        <v>12</v>
      </c>
      <c r="J181" s="2" t="s">
        <v>12</v>
      </c>
      <c r="K181" s="2" t="s">
        <v>12</v>
      </c>
      <c r="L181" s="2" t="s">
        <v>12</v>
      </c>
      <c r="M181" s="2" t="s">
        <v>12</v>
      </c>
      <c r="N181" s="2" t="s">
        <v>12</v>
      </c>
      <c r="O181" s="2" t="s">
        <v>12</v>
      </c>
    </row>
    <row r="182" spans="1:15">
      <c r="A182" s="2" t="s">
        <v>805</v>
      </c>
      <c r="B182" s="2" t="s">
        <v>806</v>
      </c>
      <c r="C182" s="2" t="s">
        <v>290</v>
      </c>
      <c r="D182" s="2" t="s">
        <v>446</v>
      </c>
      <c r="E182" s="2" t="s">
        <v>2882</v>
      </c>
      <c r="F182" s="2" t="s">
        <v>464</v>
      </c>
      <c r="G182" s="2" t="s">
        <v>15</v>
      </c>
      <c r="H182" s="2" t="s">
        <v>44</v>
      </c>
      <c r="I182" s="2" t="s">
        <v>12</v>
      </c>
      <c r="J182" s="2" t="s">
        <v>12</v>
      </c>
      <c r="K182" s="2" t="s">
        <v>12</v>
      </c>
      <c r="L182" s="2" t="s">
        <v>12</v>
      </c>
      <c r="M182" s="2" t="s">
        <v>12</v>
      </c>
      <c r="N182" s="2" t="s">
        <v>12</v>
      </c>
      <c r="O182" s="2" t="s">
        <v>12</v>
      </c>
    </row>
    <row r="183" spans="1:15">
      <c r="A183" s="2" t="s">
        <v>805</v>
      </c>
      <c r="B183" s="2" t="s">
        <v>806</v>
      </c>
      <c r="C183" s="2" t="s">
        <v>290</v>
      </c>
      <c r="D183" s="2" t="s">
        <v>446</v>
      </c>
      <c r="E183" s="2" t="s">
        <v>2886</v>
      </c>
      <c r="F183" s="2" t="s">
        <v>465</v>
      </c>
      <c r="G183" s="2" t="s">
        <v>33</v>
      </c>
      <c r="H183" s="2" t="s">
        <v>44</v>
      </c>
      <c r="I183" s="2" t="s">
        <v>12</v>
      </c>
      <c r="J183" s="2" t="s">
        <v>12</v>
      </c>
      <c r="K183" s="2" t="s">
        <v>12</v>
      </c>
      <c r="L183" s="2" t="s">
        <v>12</v>
      </c>
      <c r="M183" s="2" t="s">
        <v>12</v>
      </c>
      <c r="N183" s="2" t="s">
        <v>12</v>
      </c>
      <c r="O183" s="2" t="s">
        <v>12</v>
      </c>
    </row>
    <row r="184" spans="1:15">
      <c r="A184" s="2" t="s">
        <v>808</v>
      </c>
      <c r="B184" s="2" t="s">
        <v>809</v>
      </c>
      <c r="C184" s="2" t="s">
        <v>76</v>
      </c>
      <c r="D184" s="2" t="s">
        <v>446</v>
      </c>
      <c r="E184" s="2" t="s">
        <v>2870</v>
      </c>
      <c r="F184" s="2" t="s">
        <v>37</v>
      </c>
      <c r="G184" s="2" t="s">
        <v>15</v>
      </c>
      <c r="H184" s="2" t="s">
        <v>44</v>
      </c>
      <c r="I184" s="2" t="s">
        <v>12</v>
      </c>
      <c r="J184" s="2" t="s">
        <v>12</v>
      </c>
      <c r="K184" s="2" t="s">
        <v>12</v>
      </c>
      <c r="L184" s="2" t="s">
        <v>12</v>
      </c>
      <c r="M184" s="2" t="s">
        <v>12</v>
      </c>
      <c r="N184" s="2" t="s">
        <v>12</v>
      </c>
      <c r="O184" s="2" t="s">
        <v>12</v>
      </c>
    </row>
    <row r="185" spans="1:15">
      <c r="A185" s="2" t="s">
        <v>808</v>
      </c>
      <c r="B185" s="2" t="s">
        <v>809</v>
      </c>
      <c r="C185" s="2" t="s">
        <v>76</v>
      </c>
      <c r="D185" s="2" t="s">
        <v>446</v>
      </c>
      <c r="E185" s="2" t="s">
        <v>2882</v>
      </c>
      <c r="F185" s="2" t="s">
        <v>39</v>
      </c>
      <c r="G185" s="2" t="s">
        <v>15</v>
      </c>
      <c r="H185" s="2" t="s">
        <v>44</v>
      </c>
      <c r="I185" s="2" t="s">
        <v>12</v>
      </c>
      <c r="J185" s="2" t="s">
        <v>12</v>
      </c>
      <c r="K185" s="2" t="s">
        <v>12</v>
      </c>
      <c r="L185" s="2" t="s">
        <v>12</v>
      </c>
      <c r="M185" s="2" t="s">
        <v>12</v>
      </c>
      <c r="N185" s="2" t="s">
        <v>12</v>
      </c>
      <c r="O185" s="2" t="s">
        <v>12</v>
      </c>
    </row>
    <row r="186" spans="1:15">
      <c r="A186" s="2" t="s">
        <v>808</v>
      </c>
      <c r="B186" s="2" t="s">
        <v>809</v>
      </c>
      <c r="C186" s="2" t="s">
        <v>76</v>
      </c>
      <c r="D186" s="2" t="s">
        <v>446</v>
      </c>
      <c r="E186" s="2" t="s">
        <v>2886</v>
      </c>
      <c r="F186" s="2" t="s">
        <v>41</v>
      </c>
      <c r="G186" s="2" t="s">
        <v>15</v>
      </c>
      <c r="H186" s="2" t="s">
        <v>44</v>
      </c>
      <c r="I186" s="2" t="s">
        <v>12</v>
      </c>
      <c r="J186" s="2" t="s">
        <v>12</v>
      </c>
      <c r="K186" s="2" t="s">
        <v>12</v>
      </c>
      <c r="L186" s="2" t="s">
        <v>12</v>
      </c>
      <c r="M186" s="2" t="s">
        <v>12</v>
      </c>
      <c r="N186" s="2" t="s">
        <v>12</v>
      </c>
      <c r="O186" s="2" t="s">
        <v>12</v>
      </c>
    </row>
    <row r="187" spans="1:15">
      <c r="A187" s="2" t="s">
        <v>808</v>
      </c>
      <c r="B187" s="2" t="s">
        <v>809</v>
      </c>
      <c r="C187" s="2" t="s">
        <v>76</v>
      </c>
      <c r="D187" s="2" t="s">
        <v>446</v>
      </c>
      <c r="E187" s="2" t="s">
        <v>2896</v>
      </c>
      <c r="F187" s="2" t="s">
        <v>43</v>
      </c>
      <c r="G187" s="2" t="s">
        <v>33</v>
      </c>
      <c r="H187" s="2" t="s">
        <v>44</v>
      </c>
      <c r="I187" s="2" t="s">
        <v>12</v>
      </c>
      <c r="J187" s="2" t="s">
        <v>12</v>
      </c>
      <c r="K187" s="2" t="s">
        <v>12</v>
      </c>
      <c r="L187" s="2" t="s">
        <v>12</v>
      </c>
      <c r="M187" s="2" t="s">
        <v>12</v>
      </c>
      <c r="N187" s="2" t="s">
        <v>12</v>
      </c>
      <c r="O187" s="2" t="s">
        <v>12</v>
      </c>
    </row>
    <row r="188" spans="1:15">
      <c r="A188" s="2" t="s">
        <v>810</v>
      </c>
      <c r="B188" s="2" t="s">
        <v>811</v>
      </c>
      <c r="C188" s="2" t="s">
        <v>112</v>
      </c>
      <c r="D188" s="2" t="s">
        <v>441</v>
      </c>
      <c r="E188" s="2" t="s">
        <v>2870</v>
      </c>
      <c r="F188" s="2" t="s">
        <v>268</v>
      </c>
      <c r="G188" s="2" t="s">
        <v>15</v>
      </c>
      <c r="H188" s="2" t="s">
        <v>44</v>
      </c>
      <c r="I188" s="2" t="s">
        <v>12</v>
      </c>
      <c r="J188" s="2" t="s">
        <v>12</v>
      </c>
      <c r="K188" s="2" t="s">
        <v>12</v>
      </c>
      <c r="L188" s="2" t="s">
        <v>12</v>
      </c>
      <c r="M188" s="2" t="s">
        <v>12</v>
      </c>
      <c r="N188" s="2" t="s">
        <v>12</v>
      </c>
      <c r="O188" s="2" t="s">
        <v>12</v>
      </c>
    </row>
    <row r="189" spans="1:15">
      <c r="A189" s="2" t="s">
        <v>810</v>
      </c>
      <c r="B189" s="2" t="s">
        <v>811</v>
      </c>
      <c r="C189" s="2" t="s">
        <v>112</v>
      </c>
      <c r="D189" s="2" t="s">
        <v>441</v>
      </c>
      <c r="E189" s="2" t="s">
        <v>2882</v>
      </c>
      <c r="F189" s="2" t="s">
        <v>270</v>
      </c>
      <c r="G189" s="2" t="s">
        <v>15</v>
      </c>
      <c r="H189" s="2" t="s">
        <v>44</v>
      </c>
      <c r="I189" s="2" t="s">
        <v>12</v>
      </c>
      <c r="J189" s="2" t="s">
        <v>12</v>
      </c>
      <c r="K189" s="2" t="s">
        <v>12</v>
      </c>
      <c r="L189" s="2" t="s">
        <v>12</v>
      </c>
      <c r="M189" s="2" t="s">
        <v>12</v>
      </c>
      <c r="N189" s="2" t="s">
        <v>12</v>
      </c>
      <c r="O189" s="2" t="s">
        <v>12</v>
      </c>
    </row>
    <row r="190" spans="1:15">
      <c r="A190" s="2" t="s">
        <v>810</v>
      </c>
      <c r="B190" s="2" t="s">
        <v>811</v>
      </c>
      <c r="C190" s="2" t="s">
        <v>112</v>
      </c>
      <c r="D190" s="2" t="s">
        <v>441</v>
      </c>
      <c r="E190" s="2" t="s">
        <v>2886</v>
      </c>
      <c r="F190" s="2" t="s">
        <v>272</v>
      </c>
      <c r="G190" s="2" t="s">
        <v>33</v>
      </c>
      <c r="H190" s="2" t="s">
        <v>44</v>
      </c>
      <c r="I190" s="2" t="s">
        <v>12</v>
      </c>
      <c r="J190" s="2" t="s">
        <v>12</v>
      </c>
      <c r="K190" s="2" t="s">
        <v>12</v>
      </c>
      <c r="L190" s="2" t="s">
        <v>12</v>
      </c>
      <c r="M190" s="2" t="s">
        <v>12</v>
      </c>
      <c r="N190" s="2" t="s">
        <v>12</v>
      </c>
      <c r="O190" s="2" t="s">
        <v>12</v>
      </c>
    </row>
    <row r="191" spans="1:15">
      <c r="A191" s="2" t="s">
        <v>810</v>
      </c>
      <c r="B191" s="2" t="s">
        <v>811</v>
      </c>
      <c r="C191" s="2" t="s">
        <v>112</v>
      </c>
      <c r="D191" s="2" t="s">
        <v>441</v>
      </c>
      <c r="E191" s="2" t="s">
        <v>2896</v>
      </c>
      <c r="F191" s="2" t="s">
        <v>274</v>
      </c>
      <c r="G191" s="2" t="s">
        <v>225</v>
      </c>
      <c r="H191" s="2" t="s">
        <v>44</v>
      </c>
      <c r="I191" s="2" t="s">
        <v>12</v>
      </c>
      <c r="J191" s="2" t="s">
        <v>12</v>
      </c>
      <c r="K191" s="2" t="s">
        <v>12</v>
      </c>
      <c r="L191" s="2" t="s">
        <v>12</v>
      </c>
      <c r="M191" s="2" t="s">
        <v>12</v>
      </c>
      <c r="N191" s="2" t="s">
        <v>12</v>
      </c>
      <c r="O191" s="2" t="s">
        <v>12</v>
      </c>
    </row>
    <row r="192" spans="1:15">
      <c r="A192" s="2" t="s">
        <v>812</v>
      </c>
      <c r="B192" s="2" t="s">
        <v>813</v>
      </c>
      <c r="C192" s="2" t="s">
        <v>48</v>
      </c>
      <c r="D192" s="2" t="s">
        <v>441</v>
      </c>
      <c r="E192" s="2" t="s">
        <v>2870</v>
      </c>
      <c r="F192" s="2" t="s">
        <v>814</v>
      </c>
      <c r="G192" s="2" t="s">
        <v>15</v>
      </c>
      <c r="H192" s="2" t="s">
        <v>44</v>
      </c>
      <c r="I192" s="2" t="s">
        <v>12</v>
      </c>
      <c r="J192" s="2" t="s">
        <v>12</v>
      </c>
      <c r="K192" s="2" t="s">
        <v>12</v>
      </c>
      <c r="L192" s="2" t="s">
        <v>12</v>
      </c>
      <c r="M192" s="2" t="s">
        <v>12</v>
      </c>
      <c r="N192" s="2" t="s">
        <v>12</v>
      </c>
      <c r="O192" s="2" t="s">
        <v>12</v>
      </c>
    </row>
    <row r="193" spans="1:15">
      <c r="A193" s="2" t="s">
        <v>812</v>
      </c>
      <c r="B193" s="2" t="s">
        <v>813</v>
      </c>
      <c r="C193" s="2" t="s">
        <v>48</v>
      </c>
      <c r="D193" s="2" t="s">
        <v>441</v>
      </c>
      <c r="E193" s="2" t="s">
        <v>2882</v>
      </c>
      <c r="F193" s="2" t="s">
        <v>815</v>
      </c>
      <c r="G193" s="2" t="s">
        <v>15</v>
      </c>
      <c r="H193" s="2" t="s">
        <v>44</v>
      </c>
      <c r="I193" s="2" t="s">
        <v>12</v>
      </c>
      <c r="J193" s="2" t="s">
        <v>12</v>
      </c>
      <c r="K193" s="2" t="s">
        <v>12</v>
      </c>
      <c r="L193" s="2" t="s">
        <v>12</v>
      </c>
      <c r="M193" s="2" t="s">
        <v>12</v>
      </c>
      <c r="N193" s="2" t="s">
        <v>12</v>
      </c>
      <c r="O193" s="2" t="s">
        <v>12</v>
      </c>
    </row>
    <row r="194" spans="1:15">
      <c r="A194" s="2" t="s">
        <v>812</v>
      </c>
      <c r="B194" s="2" t="s">
        <v>813</v>
      </c>
      <c r="C194" s="2" t="s">
        <v>48</v>
      </c>
      <c r="D194" s="2" t="s">
        <v>441</v>
      </c>
      <c r="E194" s="2" t="s">
        <v>2886</v>
      </c>
      <c r="F194" s="2" t="s">
        <v>670</v>
      </c>
      <c r="G194" s="2" t="s">
        <v>33</v>
      </c>
      <c r="H194" s="2" t="s">
        <v>44</v>
      </c>
      <c r="I194" s="2" t="s">
        <v>12</v>
      </c>
      <c r="J194" s="2" t="s">
        <v>12</v>
      </c>
      <c r="K194" s="2" t="s">
        <v>12</v>
      </c>
      <c r="L194" s="2" t="s">
        <v>12</v>
      </c>
      <c r="M194" s="2" t="s">
        <v>12</v>
      </c>
      <c r="N194" s="2" t="s">
        <v>12</v>
      </c>
      <c r="O194" s="2" t="s">
        <v>12</v>
      </c>
    </row>
    <row r="195" spans="1:15">
      <c r="A195" s="2" t="s">
        <v>812</v>
      </c>
      <c r="B195" s="2" t="s">
        <v>813</v>
      </c>
      <c r="C195" s="2" t="s">
        <v>48</v>
      </c>
      <c r="D195" s="2" t="s">
        <v>441</v>
      </c>
      <c r="E195" s="2" t="s">
        <v>2896</v>
      </c>
      <c r="F195" s="2" t="s">
        <v>671</v>
      </c>
      <c r="G195" s="2" t="s">
        <v>225</v>
      </c>
      <c r="H195" s="2" t="s">
        <v>44</v>
      </c>
      <c r="I195" s="2" t="s">
        <v>12</v>
      </c>
      <c r="J195" s="2" t="s">
        <v>12</v>
      </c>
      <c r="K195" s="2" t="s">
        <v>12</v>
      </c>
      <c r="L195" s="2" t="s">
        <v>12</v>
      </c>
      <c r="M195" s="2" t="s">
        <v>12</v>
      </c>
      <c r="N195" s="2" t="s">
        <v>12</v>
      </c>
      <c r="O195" s="2" t="s">
        <v>12</v>
      </c>
    </row>
    <row r="196" spans="1:15">
      <c r="A196" s="2" t="s">
        <v>816</v>
      </c>
      <c r="B196" s="2" t="s">
        <v>817</v>
      </c>
      <c r="C196" s="2" t="s">
        <v>112</v>
      </c>
      <c r="D196" s="2" t="s">
        <v>475</v>
      </c>
      <c r="E196" s="2" t="s">
        <v>2870</v>
      </c>
      <c r="F196" s="2" t="s">
        <v>336</v>
      </c>
      <c r="G196" s="2" t="s">
        <v>15</v>
      </c>
      <c r="H196" s="2" t="s">
        <v>44</v>
      </c>
      <c r="I196" s="2">
        <v>0.6</v>
      </c>
      <c r="J196" s="2">
        <v>400</v>
      </c>
      <c r="K196" s="2">
        <v>600</v>
      </c>
      <c r="L196" s="2">
        <v>200</v>
      </c>
      <c r="M196" s="2" t="s">
        <v>12</v>
      </c>
      <c r="N196" s="2" t="s">
        <v>12</v>
      </c>
      <c r="O196" s="2">
        <v>1200</v>
      </c>
    </row>
    <row r="197" spans="1:15">
      <c r="A197" s="2" t="s">
        <v>816</v>
      </c>
      <c r="B197" s="2" t="s">
        <v>817</v>
      </c>
      <c r="C197" s="2" t="s">
        <v>112</v>
      </c>
      <c r="D197" s="2" t="s">
        <v>475</v>
      </c>
      <c r="E197" s="2" t="s">
        <v>2882</v>
      </c>
      <c r="F197" s="2" t="s">
        <v>337</v>
      </c>
      <c r="G197" s="2" t="s">
        <v>15</v>
      </c>
      <c r="H197" s="2" t="s">
        <v>719</v>
      </c>
      <c r="I197" s="2">
        <v>1</v>
      </c>
      <c r="J197" s="2">
        <v>600</v>
      </c>
      <c r="K197" s="2">
        <v>1110</v>
      </c>
      <c r="L197" s="2">
        <v>380</v>
      </c>
      <c r="M197" s="2" t="s">
        <v>12</v>
      </c>
      <c r="N197" s="2" t="s">
        <v>12</v>
      </c>
      <c r="O197" s="2">
        <v>2090</v>
      </c>
    </row>
    <row r="198" spans="1:15">
      <c r="A198" s="2" t="s">
        <v>816</v>
      </c>
      <c r="B198" s="2" t="s">
        <v>817</v>
      </c>
      <c r="C198" s="2" t="s">
        <v>112</v>
      </c>
      <c r="D198" s="2" t="s">
        <v>475</v>
      </c>
      <c r="E198" s="2" t="s">
        <v>2886</v>
      </c>
      <c r="F198" s="2" t="s">
        <v>338</v>
      </c>
      <c r="G198" s="2" t="s">
        <v>15</v>
      </c>
      <c r="H198" s="2" t="s">
        <v>719</v>
      </c>
      <c r="I198" s="2">
        <v>1</v>
      </c>
      <c r="J198" s="2">
        <v>1020</v>
      </c>
      <c r="K198" s="2">
        <v>1530</v>
      </c>
      <c r="L198" s="2">
        <v>180</v>
      </c>
      <c r="M198" s="2" t="s">
        <v>12</v>
      </c>
      <c r="N198" s="2" t="s">
        <v>12</v>
      </c>
      <c r="O198" s="2">
        <v>2730</v>
      </c>
    </row>
    <row r="199" spans="1:15">
      <c r="A199" s="2" t="s">
        <v>816</v>
      </c>
      <c r="B199" s="2" t="s">
        <v>817</v>
      </c>
      <c r="C199" s="2" t="s">
        <v>112</v>
      </c>
      <c r="D199" s="2" t="s">
        <v>475</v>
      </c>
      <c r="E199" s="2" t="s">
        <v>2896</v>
      </c>
      <c r="F199" s="2" t="s">
        <v>339</v>
      </c>
      <c r="G199" s="2" t="s">
        <v>33</v>
      </c>
      <c r="H199" s="2" t="s">
        <v>44</v>
      </c>
      <c r="I199" s="2">
        <v>0.7</v>
      </c>
      <c r="J199" s="2">
        <v>680</v>
      </c>
      <c r="K199" s="2">
        <v>720</v>
      </c>
      <c r="L199" s="2" t="s">
        <v>12</v>
      </c>
      <c r="M199" s="2" t="s">
        <v>12</v>
      </c>
      <c r="N199" s="2" t="s">
        <v>12</v>
      </c>
      <c r="O199" s="2">
        <v>1400</v>
      </c>
    </row>
    <row r="200" spans="1:15">
      <c r="A200" s="2" t="s">
        <v>818</v>
      </c>
      <c r="B200" s="2" t="s">
        <v>819</v>
      </c>
      <c r="C200" s="2" t="s">
        <v>76</v>
      </c>
      <c r="D200" s="2" t="s">
        <v>446</v>
      </c>
      <c r="E200" s="2" t="s">
        <v>2870</v>
      </c>
      <c r="F200" s="2" t="s">
        <v>820</v>
      </c>
      <c r="G200" s="2" t="s">
        <v>15</v>
      </c>
      <c r="H200" s="2" t="s">
        <v>44</v>
      </c>
      <c r="I200" s="2">
        <v>0.5</v>
      </c>
      <c r="J200" s="2">
        <v>96</v>
      </c>
      <c r="K200" s="2">
        <v>324</v>
      </c>
      <c r="L200" s="2">
        <v>24</v>
      </c>
      <c r="M200" s="2" t="s">
        <v>12</v>
      </c>
      <c r="N200" s="2">
        <v>24</v>
      </c>
      <c r="O200" s="2">
        <v>468</v>
      </c>
    </row>
    <row r="201" spans="1:15">
      <c r="A201" s="2" t="s">
        <v>818</v>
      </c>
      <c r="B201" s="2" t="s">
        <v>819</v>
      </c>
      <c r="C201" s="2" t="s">
        <v>76</v>
      </c>
      <c r="D201" s="2" t="s">
        <v>446</v>
      </c>
      <c r="E201" s="2" t="s">
        <v>2882</v>
      </c>
      <c r="F201" s="2" t="s">
        <v>821</v>
      </c>
      <c r="G201" s="2" t="s">
        <v>15</v>
      </c>
      <c r="H201" s="2" t="s">
        <v>44</v>
      </c>
      <c r="I201" s="2">
        <v>0.5</v>
      </c>
      <c r="J201" s="2" t="s">
        <v>12</v>
      </c>
      <c r="K201" s="2">
        <v>36</v>
      </c>
      <c r="L201" s="2">
        <v>48</v>
      </c>
      <c r="M201" s="2" t="s">
        <v>12</v>
      </c>
      <c r="N201" s="2">
        <v>24</v>
      </c>
      <c r="O201" s="2">
        <v>108</v>
      </c>
    </row>
    <row r="202" spans="1:15">
      <c r="A202" s="2" t="s">
        <v>818</v>
      </c>
      <c r="B202" s="2" t="s">
        <v>819</v>
      </c>
      <c r="C202" s="2" t="s">
        <v>76</v>
      </c>
      <c r="D202" s="2" t="s">
        <v>446</v>
      </c>
      <c r="E202" s="2" t="s">
        <v>2886</v>
      </c>
      <c r="F202" s="2" t="s">
        <v>822</v>
      </c>
      <c r="G202" s="2" t="s">
        <v>33</v>
      </c>
      <c r="H202" s="2" t="s">
        <v>44</v>
      </c>
      <c r="I202" s="2">
        <v>0.5</v>
      </c>
      <c r="J202" s="2" t="s">
        <v>12</v>
      </c>
      <c r="K202" s="2" t="s">
        <v>12</v>
      </c>
      <c r="L202" s="2">
        <v>24</v>
      </c>
      <c r="M202" s="2" t="s">
        <v>12</v>
      </c>
      <c r="N202" s="2" t="s">
        <v>12</v>
      </c>
      <c r="O202" s="2">
        <v>24</v>
      </c>
    </row>
    <row r="203" spans="1:15">
      <c r="A203" s="2" t="s">
        <v>823</v>
      </c>
      <c r="B203" s="2" t="s">
        <v>824</v>
      </c>
      <c r="C203" s="2" t="s">
        <v>76</v>
      </c>
      <c r="D203" s="2" t="s">
        <v>446</v>
      </c>
      <c r="E203" s="2" t="s">
        <v>2870</v>
      </c>
      <c r="F203" s="2" t="s">
        <v>458</v>
      </c>
      <c r="G203" s="2" t="s">
        <v>15</v>
      </c>
      <c r="H203" s="2" t="s">
        <v>44</v>
      </c>
      <c r="I203" s="2" t="s">
        <v>12</v>
      </c>
      <c r="J203" s="2" t="s">
        <v>12</v>
      </c>
      <c r="K203" s="2" t="s">
        <v>12</v>
      </c>
      <c r="L203" s="2" t="s">
        <v>12</v>
      </c>
      <c r="M203" s="2" t="s">
        <v>12</v>
      </c>
      <c r="N203" s="2" t="s">
        <v>12</v>
      </c>
      <c r="O203" s="2" t="s">
        <v>12</v>
      </c>
    </row>
    <row r="204" spans="1:15">
      <c r="A204" s="2" t="s">
        <v>823</v>
      </c>
      <c r="B204" s="2" t="s">
        <v>824</v>
      </c>
      <c r="C204" s="2" t="s">
        <v>76</v>
      </c>
      <c r="D204" s="2" t="s">
        <v>446</v>
      </c>
      <c r="E204" s="2" t="s">
        <v>2882</v>
      </c>
      <c r="F204" s="2" t="s">
        <v>268</v>
      </c>
      <c r="G204" s="2" t="s">
        <v>15</v>
      </c>
      <c r="H204" s="2" t="s">
        <v>44</v>
      </c>
      <c r="I204" s="2" t="s">
        <v>12</v>
      </c>
      <c r="J204" s="2" t="s">
        <v>12</v>
      </c>
      <c r="K204" s="2" t="s">
        <v>12</v>
      </c>
      <c r="L204" s="2" t="s">
        <v>12</v>
      </c>
      <c r="M204" s="2" t="s">
        <v>12</v>
      </c>
      <c r="N204" s="2" t="s">
        <v>12</v>
      </c>
      <c r="O204" s="2" t="s">
        <v>12</v>
      </c>
    </row>
    <row r="205" spans="1:15">
      <c r="A205" s="2" t="s">
        <v>823</v>
      </c>
      <c r="B205" s="2" t="s">
        <v>824</v>
      </c>
      <c r="C205" s="2" t="s">
        <v>76</v>
      </c>
      <c r="D205" s="2" t="s">
        <v>446</v>
      </c>
      <c r="E205" s="2" t="s">
        <v>2886</v>
      </c>
      <c r="F205" s="2" t="s">
        <v>270</v>
      </c>
      <c r="G205" s="2" t="s">
        <v>15</v>
      </c>
      <c r="H205" s="2" t="s">
        <v>44</v>
      </c>
      <c r="I205" s="2" t="s">
        <v>12</v>
      </c>
      <c r="J205" s="2" t="s">
        <v>12</v>
      </c>
      <c r="K205" s="2" t="s">
        <v>12</v>
      </c>
      <c r="L205" s="2" t="s">
        <v>12</v>
      </c>
      <c r="M205" s="2" t="s">
        <v>12</v>
      </c>
      <c r="N205" s="2" t="s">
        <v>12</v>
      </c>
      <c r="O205" s="2" t="s">
        <v>12</v>
      </c>
    </row>
    <row r="206" spans="1:15">
      <c r="A206" s="2" t="s">
        <v>823</v>
      </c>
      <c r="B206" s="2" t="s">
        <v>824</v>
      </c>
      <c r="C206" s="2" t="s">
        <v>76</v>
      </c>
      <c r="D206" s="2" t="s">
        <v>446</v>
      </c>
      <c r="E206" s="2" t="s">
        <v>2896</v>
      </c>
      <c r="F206" s="2" t="s">
        <v>272</v>
      </c>
      <c r="G206" s="2" t="s">
        <v>33</v>
      </c>
      <c r="H206" s="2" t="s">
        <v>44</v>
      </c>
      <c r="I206" s="2" t="s">
        <v>12</v>
      </c>
      <c r="J206" s="2" t="s">
        <v>12</v>
      </c>
      <c r="K206" s="2" t="s">
        <v>12</v>
      </c>
      <c r="L206" s="2" t="s">
        <v>12</v>
      </c>
      <c r="M206" s="2" t="s">
        <v>12</v>
      </c>
      <c r="N206" s="2" t="s">
        <v>12</v>
      </c>
      <c r="O206" s="2" t="s">
        <v>12</v>
      </c>
    </row>
    <row r="207" spans="1:15">
      <c r="A207" s="2" t="s">
        <v>823</v>
      </c>
      <c r="B207" s="2" t="s">
        <v>824</v>
      </c>
      <c r="C207" s="2" t="s">
        <v>76</v>
      </c>
      <c r="D207" s="2" t="s">
        <v>446</v>
      </c>
      <c r="E207" s="2" t="s">
        <v>2901</v>
      </c>
      <c r="F207" s="2" t="s">
        <v>274</v>
      </c>
      <c r="G207" s="2" t="s">
        <v>225</v>
      </c>
      <c r="H207" s="2" t="s">
        <v>44</v>
      </c>
      <c r="I207" s="2" t="s">
        <v>12</v>
      </c>
      <c r="J207" s="2" t="s">
        <v>12</v>
      </c>
      <c r="K207" s="2" t="s">
        <v>12</v>
      </c>
      <c r="L207" s="2" t="s">
        <v>12</v>
      </c>
      <c r="M207" s="2" t="s">
        <v>12</v>
      </c>
      <c r="N207" s="2" t="s">
        <v>12</v>
      </c>
      <c r="O207" s="2" t="s">
        <v>12</v>
      </c>
    </row>
    <row r="208" spans="1:15">
      <c r="A208" s="2" t="s">
        <v>825</v>
      </c>
      <c r="B208" s="2" t="s">
        <v>826</v>
      </c>
      <c r="C208" s="2" t="s">
        <v>76</v>
      </c>
      <c r="D208" s="2" t="s">
        <v>461</v>
      </c>
      <c r="E208" s="2" t="s">
        <v>2870</v>
      </c>
      <c r="F208" s="2" t="s">
        <v>26</v>
      </c>
      <c r="G208" s="2" t="s">
        <v>15</v>
      </c>
      <c r="H208" s="2" t="s">
        <v>44</v>
      </c>
      <c r="I208" s="2" t="s">
        <v>12</v>
      </c>
      <c r="J208" s="2" t="s">
        <v>12</v>
      </c>
      <c r="K208" s="2" t="s">
        <v>12</v>
      </c>
      <c r="L208" s="2" t="s">
        <v>12</v>
      </c>
      <c r="M208" s="2" t="s">
        <v>12</v>
      </c>
      <c r="N208" s="2" t="s">
        <v>12</v>
      </c>
      <c r="O208" s="2" t="s">
        <v>12</v>
      </c>
    </row>
    <row r="209" spans="1:15">
      <c r="A209" s="2" t="s">
        <v>825</v>
      </c>
      <c r="B209" s="2" t="s">
        <v>826</v>
      </c>
      <c r="C209" s="2" t="s">
        <v>76</v>
      </c>
      <c r="D209" s="2" t="s">
        <v>461</v>
      </c>
      <c r="E209" s="2" t="s">
        <v>2882</v>
      </c>
      <c r="F209" s="2" t="s">
        <v>29</v>
      </c>
      <c r="G209" s="2" t="s">
        <v>15</v>
      </c>
      <c r="H209" s="2" t="s">
        <v>44</v>
      </c>
      <c r="I209" s="2" t="s">
        <v>12</v>
      </c>
      <c r="J209" s="2" t="s">
        <v>12</v>
      </c>
      <c r="K209" s="2" t="s">
        <v>12</v>
      </c>
      <c r="L209" s="2" t="s">
        <v>12</v>
      </c>
      <c r="M209" s="2" t="s">
        <v>12</v>
      </c>
      <c r="N209" s="2" t="s">
        <v>12</v>
      </c>
      <c r="O209" s="2" t="s">
        <v>12</v>
      </c>
    </row>
    <row r="210" spans="1:15">
      <c r="A210" s="2" t="s">
        <v>825</v>
      </c>
      <c r="B210" s="2" t="s">
        <v>826</v>
      </c>
      <c r="C210" s="2" t="s">
        <v>76</v>
      </c>
      <c r="D210" s="2" t="s">
        <v>461</v>
      </c>
      <c r="E210" s="2" t="s">
        <v>2886</v>
      </c>
      <c r="F210" s="2" t="s">
        <v>32</v>
      </c>
      <c r="G210" s="2" t="s">
        <v>33</v>
      </c>
      <c r="H210" s="2" t="s">
        <v>44</v>
      </c>
      <c r="I210" s="2" t="s">
        <v>12</v>
      </c>
      <c r="J210" s="2" t="s">
        <v>12</v>
      </c>
      <c r="K210" s="2" t="s">
        <v>12</v>
      </c>
      <c r="L210" s="2" t="s">
        <v>12</v>
      </c>
      <c r="M210" s="2" t="s">
        <v>12</v>
      </c>
      <c r="N210" s="2" t="s">
        <v>12</v>
      </c>
      <c r="O210" s="2" t="s">
        <v>12</v>
      </c>
    </row>
    <row r="211" spans="1:15">
      <c r="A211" s="2" t="s">
        <v>827</v>
      </c>
      <c r="B211" s="2" t="s">
        <v>828</v>
      </c>
      <c r="C211" s="2" t="s">
        <v>48</v>
      </c>
      <c r="D211" s="2" t="s">
        <v>446</v>
      </c>
      <c r="E211" s="2" t="s">
        <v>2870</v>
      </c>
      <c r="F211" s="2" t="s">
        <v>449</v>
      </c>
      <c r="G211" s="2" t="s">
        <v>15</v>
      </c>
      <c r="H211" s="2" t="s">
        <v>44</v>
      </c>
      <c r="I211" s="2" t="s">
        <v>12</v>
      </c>
      <c r="J211" s="2" t="s">
        <v>12</v>
      </c>
      <c r="K211" s="2" t="s">
        <v>12</v>
      </c>
      <c r="L211" s="2" t="s">
        <v>12</v>
      </c>
      <c r="M211" s="2" t="s">
        <v>12</v>
      </c>
      <c r="N211" s="2" t="s">
        <v>12</v>
      </c>
      <c r="O211" s="2" t="s">
        <v>12</v>
      </c>
    </row>
    <row r="212" spans="1:15">
      <c r="A212" s="2" t="s">
        <v>827</v>
      </c>
      <c r="B212" s="2" t="s">
        <v>828</v>
      </c>
      <c r="C212" s="2" t="s">
        <v>48</v>
      </c>
      <c r="D212" s="2" t="s">
        <v>446</v>
      </c>
      <c r="E212" s="2" t="s">
        <v>2882</v>
      </c>
      <c r="F212" s="2" t="s">
        <v>450</v>
      </c>
      <c r="G212" s="2" t="s">
        <v>15</v>
      </c>
      <c r="H212" s="2" t="s">
        <v>44</v>
      </c>
      <c r="I212" s="2" t="s">
        <v>12</v>
      </c>
      <c r="J212" s="2" t="s">
        <v>12</v>
      </c>
      <c r="K212" s="2" t="s">
        <v>12</v>
      </c>
      <c r="L212" s="2" t="s">
        <v>12</v>
      </c>
      <c r="M212" s="2" t="s">
        <v>12</v>
      </c>
      <c r="N212" s="2" t="s">
        <v>12</v>
      </c>
      <c r="O212" s="2" t="s">
        <v>12</v>
      </c>
    </row>
    <row r="213" spans="1:15">
      <c r="A213" s="2" t="s">
        <v>827</v>
      </c>
      <c r="B213" s="2" t="s">
        <v>828</v>
      </c>
      <c r="C213" s="2" t="s">
        <v>48</v>
      </c>
      <c r="D213" s="2" t="s">
        <v>446</v>
      </c>
      <c r="E213" s="2" t="s">
        <v>2886</v>
      </c>
      <c r="F213" s="2" t="s">
        <v>451</v>
      </c>
      <c r="G213" s="2" t="s">
        <v>15</v>
      </c>
      <c r="H213" s="2" t="s">
        <v>44</v>
      </c>
      <c r="I213" s="2" t="s">
        <v>12</v>
      </c>
      <c r="J213" s="2" t="s">
        <v>12</v>
      </c>
      <c r="K213" s="2" t="s">
        <v>12</v>
      </c>
      <c r="L213" s="2" t="s">
        <v>12</v>
      </c>
      <c r="M213" s="2" t="s">
        <v>12</v>
      </c>
      <c r="N213" s="2" t="s">
        <v>12</v>
      </c>
      <c r="O213" s="2" t="s">
        <v>12</v>
      </c>
    </row>
    <row r="214" spans="1:15">
      <c r="A214" s="2" t="s">
        <v>827</v>
      </c>
      <c r="B214" s="2" t="s">
        <v>828</v>
      </c>
      <c r="C214" s="2" t="s">
        <v>48</v>
      </c>
      <c r="D214" s="2" t="s">
        <v>446</v>
      </c>
      <c r="E214" s="2" t="s">
        <v>2896</v>
      </c>
      <c r="F214" s="2" t="s">
        <v>452</v>
      </c>
      <c r="G214" s="2" t="s">
        <v>33</v>
      </c>
      <c r="H214" s="2" t="s">
        <v>44</v>
      </c>
      <c r="I214" s="2" t="s">
        <v>12</v>
      </c>
      <c r="J214" s="2" t="s">
        <v>12</v>
      </c>
      <c r="K214" s="2" t="s">
        <v>12</v>
      </c>
      <c r="L214" s="2" t="s">
        <v>12</v>
      </c>
      <c r="M214" s="2" t="s">
        <v>12</v>
      </c>
      <c r="N214" s="2" t="s">
        <v>12</v>
      </c>
      <c r="O214" s="2" t="s">
        <v>12</v>
      </c>
    </row>
    <row r="215" spans="1:15">
      <c r="A215" s="2" t="s">
        <v>829</v>
      </c>
      <c r="B215" s="2" t="s">
        <v>830</v>
      </c>
      <c r="C215" s="2" t="s">
        <v>112</v>
      </c>
      <c r="D215" s="2" t="s">
        <v>446</v>
      </c>
      <c r="E215" s="2" t="s">
        <v>2870</v>
      </c>
      <c r="F215" s="2" t="s">
        <v>759</v>
      </c>
      <c r="G215" s="2" t="s">
        <v>15</v>
      </c>
      <c r="H215" s="2" t="s">
        <v>44</v>
      </c>
      <c r="I215" s="2">
        <v>0.5</v>
      </c>
      <c r="J215" s="2">
        <v>120</v>
      </c>
      <c r="K215" s="2">
        <v>600</v>
      </c>
      <c r="L215" s="2">
        <v>20</v>
      </c>
      <c r="M215" s="2" t="s">
        <v>12</v>
      </c>
      <c r="N215" s="2" t="s">
        <v>12</v>
      </c>
      <c r="O215" s="2">
        <v>740</v>
      </c>
    </row>
    <row r="216" spans="1:15">
      <c r="A216" s="2" t="s">
        <v>829</v>
      </c>
      <c r="B216" s="2" t="s">
        <v>830</v>
      </c>
      <c r="C216" s="2" t="s">
        <v>112</v>
      </c>
      <c r="D216" s="2" t="s">
        <v>446</v>
      </c>
      <c r="E216" s="2" t="s">
        <v>2882</v>
      </c>
      <c r="F216" s="2" t="s">
        <v>760</v>
      </c>
      <c r="G216" s="2" t="s">
        <v>15</v>
      </c>
      <c r="H216" s="2" t="s">
        <v>44</v>
      </c>
      <c r="I216" s="2">
        <v>0.72</v>
      </c>
      <c r="J216" s="2">
        <v>680</v>
      </c>
      <c r="K216" s="2">
        <v>750</v>
      </c>
      <c r="L216" s="2" t="s">
        <v>12</v>
      </c>
      <c r="M216" s="2" t="s">
        <v>12</v>
      </c>
      <c r="N216" s="2" t="s">
        <v>12</v>
      </c>
      <c r="O216" s="2">
        <v>1430</v>
      </c>
    </row>
    <row r="217" spans="1:15">
      <c r="A217" s="2" t="s">
        <v>829</v>
      </c>
      <c r="B217" s="2" t="s">
        <v>830</v>
      </c>
      <c r="C217" s="2" t="s">
        <v>112</v>
      </c>
      <c r="D217" s="2" t="s">
        <v>446</v>
      </c>
      <c r="E217" s="2" t="s">
        <v>2886</v>
      </c>
      <c r="F217" s="2" t="s">
        <v>761</v>
      </c>
      <c r="G217" s="2" t="s">
        <v>15</v>
      </c>
      <c r="H217" s="2" t="s">
        <v>719</v>
      </c>
      <c r="I217" s="2">
        <v>1</v>
      </c>
      <c r="J217" s="2">
        <v>1580</v>
      </c>
      <c r="K217" s="2">
        <v>2190</v>
      </c>
      <c r="L217" s="2" t="s">
        <v>12</v>
      </c>
      <c r="M217" s="2" t="s">
        <v>12</v>
      </c>
      <c r="N217" s="2" t="s">
        <v>12</v>
      </c>
      <c r="O217" s="2">
        <v>3770</v>
      </c>
    </row>
    <row r="218" spans="1:15">
      <c r="A218" s="2" t="s">
        <v>829</v>
      </c>
      <c r="B218" s="2" t="s">
        <v>830</v>
      </c>
      <c r="C218" s="2" t="s">
        <v>112</v>
      </c>
      <c r="D218" s="2" t="s">
        <v>446</v>
      </c>
      <c r="E218" s="2" t="s">
        <v>2896</v>
      </c>
      <c r="F218" s="2" t="s">
        <v>762</v>
      </c>
      <c r="G218" s="2" t="s">
        <v>15</v>
      </c>
      <c r="H218" s="2" t="s">
        <v>719</v>
      </c>
      <c r="I218" s="2">
        <v>1</v>
      </c>
      <c r="J218" s="2">
        <v>1280</v>
      </c>
      <c r="K218" s="2">
        <v>2520</v>
      </c>
      <c r="L218" s="2" t="s">
        <v>12</v>
      </c>
      <c r="M218" s="2" t="s">
        <v>12</v>
      </c>
      <c r="N218" s="2" t="s">
        <v>12</v>
      </c>
      <c r="O218" s="2">
        <v>3800</v>
      </c>
    </row>
    <row r="219" spans="1:15">
      <c r="A219" s="2" t="s">
        <v>829</v>
      </c>
      <c r="B219" s="2" t="s">
        <v>830</v>
      </c>
      <c r="C219" s="2" t="s">
        <v>112</v>
      </c>
      <c r="D219" s="2" t="s">
        <v>446</v>
      </c>
      <c r="E219" s="2" t="s">
        <v>2901</v>
      </c>
      <c r="F219" s="2" t="s">
        <v>763</v>
      </c>
      <c r="G219" s="2" t="s">
        <v>33</v>
      </c>
      <c r="H219" s="2" t="s">
        <v>719</v>
      </c>
      <c r="I219" s="2">
        <v>1</v>
      </c>
      <c r="J219" s="2">
        <v>1220</v>
      </c>
      <c r="K219" s="2">
        <v>1290</v>
      </c>
      <c r="L219" s="2" t="s">
        <v>12</v>
      </c>
      <c r="M219" s="2" t="s">
        <v>12</v>
      </c>
      <c r="N219" s="2" t="s">
        <v>12</v>
      </c>
      <c r="O219" s="2">
        <v>2510</v>
      </c>
    </row>
    <row r="220" spans="1:15">
      <c r="A220" s="2" t="s">
        <v>831</v>
      </c>
      <c r="B220" s="2" t="s">
        <v>832</v>
      </c>
      <c r="C220" s="2" t="s">
        <v>48</v>
      </c>
      <c r="D220" s="2" t="s">
        <v>446</v>
      </c>
      <c r="E220" s="2" t="s">
        <v>2870</v>
      </c>
      <c r="F220" s="2" t="s">
        <v>807</v>
      </c>
      <c r="G220" s="2" t="s">
        <v>15</v>
      </c>
      <c r="H220" s="2" t="s">
        <v>44</v>
      </c>
      <c r="I220" s="2" t="s">
        <v>12</v>
      </c>
      <c r="J220" s="2" t="s">
        <v>12</v>
      </c>
      <c r="K220" s="2" t="s">
        <v>12</v>
      </c>
      <c r="L220" s="2" t="s">
        <v>12</v>
      </c>
      <c r="M220" s="2" t="s">
        <v>12</v>
      </c>
      <c r="N220" s="2" t="s">
        <v>12</v>
      </c>
      <c r="O220" s="2" t="s">
        <v>12</v>
      </c>
    </row>
    <row r="221" spans="1:15">
      <c r="A221" s="2" t="s">
        <v>831</v>
      </c>
      <c r="B221" s="2" t="s">
        <v>832</v>
      </c>
      <c r="C221" s="2" t="s">
        <v>48</v>
      </c>
      <c r="D221" s="2" t="s">
        <v>446</v>
      </c>
      <c r="E221" s="2" t="s">
        <v>2882</v>
      </c>
      <c r="F221" s="2" t="s">
        <v>464</v>
      </c>
      <c r="G221" s="2" t="s">
        <v>15</v>
      </c>
      <c r="H221" s="2" t="s">
        <v>44</v>
      </c>
      <c r="I221" s="2" t="s">
        <v>12</v>
      </c>
      <c r="J221" s="2" t="s">
        <v>12</v>
      </c>
      <c r="K221" s="2" t="s">
        <v>12</v>
      </c>
      <c r="L221" s="2" t="s">
        <v>12</v>
      </c>
      <c r="M221" s="2" t="s">
        <v>12</v>
      </c>
      <c r="N221" s="2" t="s">
        <v>12</v>
      </c>
      <c r="O221" s="2" t="s">
        <v>12</v>
      </c>
    </row>
    <row r="222" spans="1:15">
      <c r="A222" s="2" t="s">
        <v>831</v>
      </c>
      <c r="B222" s="2" t="s">
        <v>832</v>
      </c>
      <c r="C222" s="2" t="s">
        <v>48</v>
      </c>
      <c r="D222" s="2" t="s">
        <v>446</v>
      </c>
      <c r="E222" s="2" t="s">
        <v>2886</v>
      </c>
      <c r="F222" s="2" t="s">
        <v>465</v>
      </c>
      <c r="G222" s="2" t="s">
        <v>33</v>
      </c>
      <c r="H222" s="2" t="s">
        <v>44</v>
      </c>
      <c r="I222" s="2" t="s">
        <v>12</v>
      </c>
      <c r="J222" s="2" t="s">
        <v>12</v>
      </c>
      <c r="K222" s="2" t="s">
        <v>12</v>
      </c>
      <c r="L222" s="2" t="s">
        <v>12</v>
      </c>
      <c r="M222" s="2" t="s">
        <v>12</v>
      </c>
      <c r="N222" s="2" t="s">
        <v>12</v>
      </c>
      <c r="O222" s="2" t="s">
        <v>12</v>
      </c>
    </row>
    <row r="223" spans="1:15">
      <c r="A223" s="2" t="s">
        <v>833</v>
      </c>
      <c r="B223" s="2" t="s">
        <v>834</v>
      </c>
      <c r="C223" s="2" t="s">
        <v>48</v>
      </c>
      <c r="D223" s="2" t="s">
        <v>446</v>
      </c>
      <c r="E223" s="2" t="s">
        <v>2870</v>
      </c>
      <c r="F223" s="2" t="s">
        <v>835</v>
      </c>
      <c r="G223" s="2" t="s">
        <v>15</v>
      </c>
      <c r="H223" s="2" t="s">
        <v>44</v>
      </c>
      <c r="I223" s="2" t="s">
        <v>12</v>
      </c>
      <c r="J223" s="2" t="s">
        <v>12</v>
      </c>
      <c r="K223" s="2" t="s">
        <v>12</v>
      </c>
      <c r="L223" s="2" t="s">
        <v>12</v>
      </c>
      <c r="M223" s="2" t="s">
        <v>12</v>
      </c>
      <c r="N223" s="2" t="s">
        <v>12</v>
      </c>
      <c r="O223" s="2" t="s">
        <v>12</v>
      </c>
    </row>
    <row r="224" spans="1:15">
      <c r="A224" s="2" t="s">
        <v>833</v>
      </c>
      <c r="B224" s="2" t="s">
        <v>834</v>
      </c>
      <c r="C224" s="2" t="s">
        <v>48</v>
      </c>
      <c r="D224" s="2" t="s">
        <v>446</v>
      </c>
      <c r="E224" s="2" t="s">
        <v>2882</v>
      </c>
      <c r="F224" s="2" t="s">
        <v>836</v>
      </c>
      <c r="G224" s="2" t="s">
        <v>15</v>
      </c>
      <c r="H224" s="2" t="s">
        <v>44</v>
      </c>
      <c r="I224" s="2" t="s">
        <v>12</v>
      </c>
      <c r="J224" s="2" t="s">
        <v>12</v>
      </c>
      <c r="K224" s="2" t="s">
        <v>12</v>
      </c>
      <c r="L224" s="2" t="s">
        <v>12</v>
      </c>
      <c r="M224" s="2" t="s">
        <v>12</v>
      </c>
      <c r="N224" s="2" t="s">
        <v>12</v>
      </c>
      <c r="O224" s="2" t="s">
        <v>12</v>
      </c>
    </row>
    <row r="225" spans="1:15">
      <c r="A225" s="2" t="s">
        <v>833</v>
      </c>
      <c r="B225" s="2" t="s">
        <v>834</v>
      </c>
      <c r="C225" s="2" t="s">
        <v>48</v>
      </c>
      <c r="D225" s="2" t="s">
        <v>446</v>
      </c>
      <c r="E225" s="2" t="s">
        <v>2886</v>
      </c>
      <c r="F225" s="2" t="s">
        <v>113</v>
      </c>
      <c r="G225" s="2" t="s">
        <v>15</v>
      </c>
      <c r="H225" s="2" t="s">
        <v>44</v>
      </c>
      <c r="I225" s="2" t="s">
        <v>12</v>
      </c>
      <c r="J225" s="2" t="s">
        <v>12</v>
      </c>
      <c r="K225" s="2" t="s">
        <v>12</v>
      </c>
      <c r="L225" s="2" t="s">
        <v>12</v>
      </c>
      <c r="M225" s="2" t="s">
        <v>12</v>
      </c>
      <c r="N225" s="2" t="s">
        <v>12</v>
      </c>
      <c r="O225" s="2" t="s">
        <v>12</v>
      </c>
    </row>
    <row r="226" spans="1:15">
      <c r="A226" s="2" t="s">
        <v>833</v>
      </c>
      <c r="B226" s="2" t="s">
        <v>834</v>
      </c>
      <c r="C226" s="2" t="s">
        <v>48</v>
      </c>
      <c r="D226" s="2" t="s">
        <v>446</v>
      </c>
      <c r="E226" s="2" t="s">
        <v>2896</v>
      </c>
      <c r="F226" s="2" t="s">
        <v>115</v>
      </c>
      <c r="G226" s="2" t="s">
        <v>15</v>
      </c>
      <c r="H226" s="2" t="s">
        <v>44</v>
      </c>
      <c r="I226" s="2" t="s">
        <v>12</v>
      </c>
      <c r="J226" s="2" t="s">
        <v>12</v>
      </c>
      <c r="K226" s="2" t="s">
        <v>12</v>
      </c>
      <c r="L226" s="2" t="s">
        <v>12</v>
      </c>
      <c r="M226" s="2" t="s">
        <v>12</v>
      </c>
      <c r="N226" s="2" t="s">
        <v>12</v>
      </c>
      <c r="O226" s="2" t="s">
        <v>12</v>
      </c>
    </row>
    <row r="227" spans="1:15">
      <c r="A227" s="2" t="s">
        <v>833</v>
      </c>
      <c r="B227" s="2" t="s">
        <v>834</v>
      </c>
      <c r="C227" s="2" t="s">
        <v>48</v>
      </c>
      <c r="D227" s="2" t="s">
        <v>446</v>
      </c>
      <c r="E227" s="2" t="s">
        <v>2901</v>
      </c>
      <c r="F227" s="2" t="s">
        <v>117</v>
      </c>
      <c r="G227" s="2" t="s">
        <v>15</v>
      </c>
      <c r="H227" s="2" t="s">
        <v>44</v>
      </c>
      <c r="I227" s="2" t="s">
        <v>12</v>
      </c>
      <c r="J227" s="2" t="s">
        <v>12</v>
      </c>
      <c r="K227" s="2" t="s">
        <v>12</v>
      </c>
      <c r="L227" s="2" t="s">
        <v>12</v>
      </c>
      <c r="M227" s="2" t="s">
        <v>12</v>
      </c>
      <c r="N227" s="2" t="s">
        <v>12</v>
      </c>
      <c r="O227" s="2" t="s">
        <v>12</v>
      </c>
    </row>
    <row r="228" spans="1:15">
      <c r="A228" s="2" t="s">
        <v>833</v>
      </c>
      <c r="B228" s="2" t="s">
        <v>834</v>
      </c>
      <c r="C228" s="2" t="s">
        <v>48</v>
      </c>
      <c r="D228" s="2" t="s">
        <v>446</v>
      </c>
      <c r="E228" s="2" t="s">
        <v>2904</v>
      </c>
      <c r="F228" s="2" t="s">
        <v>119</v>
      </c>
      <c r="G228" s="2" t="s">
        <v>33</v>
      </c>
      <c r="H228" s="2" t="s">
        <v>44</v>
      </c>
      <c r="I228" s="2" t="s">
        <v>12</v>
      </c>
      <c r="J228" s="2" t="s">
        <v>12</v>
      </c>
      <c r="K228" s="2" t="s">
        <v>12</v>
      </c>
      <c r="L228" s="2" t="s">
        <v>12</v>
      </c>
      <c r="M228" s="2" t="s">
        <v>12</v>
      </c>
      <c r="N228" s="2" t="s">
        <v>12</v>
      </c>
      <c r="O228" s="2" t="s">
        <v>12</v>
      </c>
    </row>
    <row r="229" spans="1:15">
      <c r="A229" s="2" t="s">
        <v>837</v>
      </c>
      <c r="B229" s="2" t="s">
        <v>838</v>
      </c>
      <c r="C229" s="2" t="s">
        <v>48</v>
      </c>
      <c r="D229" s="2" t="s">
        <v>446</v>
      </c>
      <c r="E229" s="2" t="s">
        <v>2870</v>
      </c>
      <c r="F229" s="2" t="s">
        <v>37</v>
      </c>
      <c r="G229" s="2" t="s">
        <v>15</v>
      </c>
      <c r="H229" s="2" t="s">
        <v>44</v>
      </c>
      <c r="I229" s="2" t="s">
        <v>12</v>
      </c>
      <c r="J229" s="2" t="s">
        <v>12</v>
      </c>
      <c r="K229" s="2" t="s">
        <v>12</v>
      </c>
      <c r="L229" s="2" t="s">
        <v>12</v>
      </c>
      <c r="M229" s="2" t="s">
        <v>12</v>
      </c>
      <c r="N229" s="2" t="s">
        <v>12</v>
      </c>
      <c r="O229" s="2" t="s">
        <v>12</v>
      </c>
    </row>
    <row r="230" spans="1:15">
      <c r="A230" s="2" t="s">
        <v>837</v>
      </c>
      <c r="B230" s="2" t="s">
        <v>838</v>
      </c>
      <c r="C230" s="2" t="s">
        <v>48</v>
      </c>
      <c r="D230" s="2" t="s">
        <v>446</v>
      </c>
      <c r="E230" s="2" t="s">
        <v>2882</v>
      </c>
      <c r="F230" s="2" t="s">
        <v>39</v>
      </c>
      <c r="G230" s="2" t="s">
        <v>15</v>
      </c>
      <c r="H230" s="2" t="s">
        <v>44</v>
      </c>
      <c r="I230" s="2" t="s">
        <v>12</v>
      </c>
      <c r="J230" s="2" t="s">
        <v>12</v>
      </c>
      <c r="K230" s="2" t="s">
        <v>12</v>
      </c>
      <c r="L230" s="2" t="s">
        <v>12</v>
      </c>
      <c r="M230" s="2" t="s">
        <v>12</v>
      </c>
      <c r="N230" s="2" t="s">
        <v>12</v>
      </c>
      <c r="O230" s="2" t="s">
        <v>12</v>
      </c>
    </row>
    <row r="231" spans="1:15">
      <c r="A231" s="2" t="s">
        <v>837</v>
      </c>
      <c r="B231" s="2" t="s">
        <v>838</v>
      </c>
      <c r="C231" s="2" t="s">
        <v>48</v>
      </c>
      <c r="D231" s="2" t="s">
        <v>446</v>
      </c>
      <c r="E231" s="2" t="s">
        <v>2886</v>
      </c>
      <c r="F231" s="2" t="s">
        <v>41</v>
      </c>
      <c r="G231" s="2" t="s">
        <v>15</v>
      </c>
      <c r="H231" s="2" t="s">
        <v>44</v>
      </c>
      <c r="I231" s="2" t="s">
        <v>12</v>
      </c>
      <c r="J231" s="2" t="s">
        <v>12</v>
      </c>
      <c r="K231" s="2" t="s">
        <v>12</v>
      </c>
      <c r="L231" s="2" t="s">
        <v>12</v>
      </c>
      <c r="M231" s="2" t="s">
        <v>12</v>
      </c>
      <c r="N231" s="2" t="s">
        <v>12</v>
      </c>
      <c r="O231" s="2" t="s">
        <v>12</v>
      </c>
    </row>
    <row r="232" spans="1:15">
      <c r="A232" s="2" t="s">
        <v>837</v>
      </c>
      <c r="B232" s="2" t="s">
        <v>838</v>
      </c>
      <c r="C232" s="2" t="s">
        <v>48</v>
      </c>
      <c r="D232" s="2" t="s">
        <v>446</v>
      </c>
      <c r="E232" s="2" t="s">
        <v>2896</v>
      </c>
      <c r="F232" s="2" t="s">
        <v>43</v>
      </c>
      <c r="G232" s="2" t="s">
        <v>33</v>
      </c>
      <c r="H232" s="2" t="s">
        <v>44</v>
      </c>
      <c r="I232" s="2" t="s">
        <v>12</v>
      </c>
      <c r="J232" s="2" t="s">
        <v>12</v>
      </c>
      <c r="K232" s="2" t="s">
        <v>12</v>
      </c>
      <c r="L232" s="2" t="s">
        <v>12</v>
      </c>
      <c r="M232" s="2" t="s">
        <v>12</v>
      </c>
      <c r="N232" s="2" t="s">
        <v>12</v>
      </c>
      <c r="O232" s="2" t="s">
        <v>12</v>
      </c>
    </row>
    <row r="233" spans="1:15">
      <c r="A233" s="2" t="s">
        <v>839</v>
      </c>
      <c r="B233" s="2" t="s">
        <v>840</v>
      </c>
      <c r="C233" s="2" t="s">
        <v>48</v>
      </c>
      <c r="D233" s="2" t="s">
        <v>446</v>
      </c>
      <c r="E233" s="2" t="s">
        <v>2870</v>
      </c>
      <c r="F233" s="2" t="s">
        <v>449</v>
      </c>
      <c r="G233" s="2" t="s">
        <v>15</v>
      </c>
      <c r="H233" s="2" t="s">
        <v>44</v>
      </c>
      <c r="I233" s="2" t="s">
        <v>12</v>
      </c>
      <c r="J233" s="2" t="s">
        <v>12</v>
      </c>
      <c r="K233" s="2" t="s">
        <v>12</v>
      </c>
      <c r="L233" s="2" t="s">
        <v>12</v>
      </c>
      <c r="M233" s="2" t="s">
        <v>12</v>
      </c>
      <c r="N233" s="2" t="s">
        <v>12</v>
      </c>
      <c r="O233" s="2" t="s">
        <v>12</v>
      </c>
    </row>
    <row r="234" spans="1:15">
      <c r="A234" s="2" t="s">
        <v>839</v>
      </c>
      <c r="B234" s="2" t="s">
        <v>840</v>
      </c>
      <c r="C234" s="2" t="s">
        <v>48</v>
      </c>
      <c r="D234" s="2" t="s">
        <v>446</v>
      </c>
      <c r="E234" s="2" t="s">
        <v>2882</v>
      </c>
      <c r="F234" s="2" t="s">
        <v>450</v>
      </c>
      <c r="G234" s="2" t="s">
        <v>15</v>
      </c>
      <c r="H234" s="2" t="s">
        <v>44</v>
      </c>
      <c r="I234" s="2" t="s">
        <v>12</v>
      </c>
      <c r="J234" s="2" t="s">
        <v>12</v>
      </c>
      <c r="K234" s="2" t="s">
        <v>12</v>
      </c>
      <c r="L234" s="2" t="s">
        <v>12</v>
      </c>
      <c r="M234" s="2" t="s">
        <v>12</v>
      </c>
      <c r="N234" s="2" t="s">
        <v>12</v>
      </c>
      <c r="O234" s="2" t="s">
        <v>12</v>
      </c>
    </row>
    <row r="235" spans="1:15">
      <c r="A235" s="2" t="s">
        <v>839</v>
      </c>
      <c r="B235" s="2" t="s">
        <v>840</v>
      </c>
      <c r="C235" s="2" t="s">
        <v>48</v>
      </c>
      <c r="D235" s="2" t="s">
        <v>446</v>
      </c>
      <c r="E235" s="2" t="s">
        <v>2886</v>
      </c>
      <c r="F235" s="2" t="s">
        <v>451</v>
      </c>
      <c r="G235" s="2" t="s">
        <v>15</v>
      </c>
      <c r="H235" s="2" t="s">
        <v>44</v>
      </c>
      <c r="I235" s="2" t="s">
        <v>12</v>
      </c>
      <c r="J235" s="2" t="s">
        <v>12</v>
      </c>
      <c r="K235" s="2" t="s">
        <v>12</v>
      </c>
      <c r="L235" s="2" t="s">
        <v>12</v>
      </c>
      <c r="M235" s="2" t="s">
        <v>12</v>
      </c>
      <c r="N235" s="2" t="s">
        <v>12</v>
      </c>
      <c r="O235" s="2" t="s">
        <v>12</v>
      </c>
    </row>
    <row r="236" spans="1:15">
      <c r="A236" s="2" t="s">
        <v>839</v>
      </c>
      <c r="B236" s="2" t="s">
        <v>840</v>
      </c>
      <c r="C236" s="2" t="s">
        <v>48</v>
      </c>
      <c r="D236" s="2" t="s">
        <v>446</v>
      </c>
      <c r="E236" s="2" t="s">
        <v>2896</v>
      </c>
      <c r="F236" s="2" t="s">
        <v>452</v>
      </c>
      <c r="G236" s="2" t="s">
        <v>33</v>
      </c>
      <c r="H236" s="2" t="s">
        <v>44</v>
      </c>
      <c r="I236" s="2" t="s">
        <v>12</v>
      </c>
      <c r="J236" s="2" t="s">
        <v>12</v>
      </c>
      <c r="K236" s="2" t="s">
        <v>12</v>
      </c>
      <c r="L236" s="2" t="s">
        <v>12</v>
      </c>
      <c r="M236" s="2" t="s">
        <v>12</v>
      </c>
      <c r="N236" s="2" t="s">
        <v>12</v>
      </c>
      <c r="O236" s="2" t="s">
        <v>12</v>
      </c>
    </row>
    <row r="237" spans="1:15">
      <c r="A237" s="2" t="s">
        <v>841</v>
      </c>
      <c r="B237" s="2" t="s">
        <v>842</v>
      </c>
      <c r="C237" s="2" t="s">
        <v>290</v>
      </c>
      <c r="D237" s="2" t="s">
        <v>446</v>
      </c>
      <c r="E237" s="2" t="s">
        <v>2870</v>
      </c>
      <c r="F237" s="2" t="s">
        <v>531</v>
      </c>
      <c r="G237" s="2" t="s">
        <v>15</v>
      </c>
      <c r="H237" s="2" t="s">
        <v>44</v>
      </c>
      <c r="I237" s="2" t="s">
        <v>12</v>
      </c>
      <c r="J237" s="2" t="s">
        <v>12</v>
      </c>
      <c r="K237" s="2" t="s">
        <v>12</v>
      </c>
      <c r="L237" s="2" t="s">
        <v>12</v>
      </c>
      <c r="M237" s="2" t="s">
        <v>12</v>
      </c>
      <c r="N237" s="2" t="s">
        <v>12</v>
      </c>
      <c r="O237" s="2" t="s">
        <v>12</v>
      </c>
    </row>
    <row r="238" spans="1:15">
      <c r="A238" s="2" t="s">
        <v>841</v>
      </c>
      <c r="B238" s="2" t="s">
        <v>842</v>
      </c>
      <c r="C238" s="2" t="s">
        <v>290</v>
      </c>
      <c r="D238" s="2" t="s">
        <v>446</v>
      </c>
      <c r="E238" s="2" t="s">
        <v>2882</v>
      </c>
      <c r="F238" s="2" t="s">
        <v>302</v>
      </c>
      <c r="G238" s="2" t="s">
        <v>33</v>
      </c>
      <c r="H238" s="2" t="s">
        <v>44</v>
      </c>
      <c r="I238" s="2" t="s">
        <v>12</v>
      </c>
      <c r="J238" s="2" t="s">
        <v>12</v>
      </c>
      <c r="K238" s="2" t="s">
        <v>12</v>
      </c>
      <c r="L238" s="2" t="s">
        <v>12</v>
      </c>
      <c r="M238" s="2" t="s">
        <v>12</v>
      </c>
      <c r="N238" s="2" t="s">
        <v>12</v>
      </c>
      <c r="O238" s="2" t="s">
        <v>12</v>
      </c>
    </row>
    <row r="239" spans="1:15">
      <c r="A239" s="2" t="s">
        <v>841</v>
      </c>
      <c r="B239" s="2" t="s">
        <v>842</v>
      </c>
      <c r="C239" s="2" t="s">
        <v>290</v>
      </c>
      <c r="D239" s="2" t="s">
        <v>446</v>
      </c>
      <c r="E239" s="2" t="s">
        <v>2886</v>
      </c>
      <c r="F239" s="2" t="s">
        <v>303</v>
      </c>
      <c r="G239" s="2" t="s">
        <v>225</v>
      </c>
      <c r="H239" s="2" t="s">
        <v>44</v>
      </c>
      <c r="I239" s="2" t="s">
        <v>12</v>
      </c>
      <c r="J239" s="2" t="s">
        <v>12</v>
      </c>
      <c r="K239" s="2" t="s">
        <v>12</v>
      </c>
      <c r="L239" s="2" t="s">
        <v>12</v>
      </c>
      <c r="M239" s="2" t="s">
        <v>12</v>
      </c>
      <c r="N239" s="2" t="s">
        <v>12</v>
      </c>
      <c r="O239" s="2" t="s">
        <v>12</v>
      </c>
    </row>
    <row r="240" spans="1:15">
      <c r="A240" s="2" t="s">
        <v>843</v>
      </c>
      <c r="B240" s="2" t="s">
        <v>844</v>
      </c>
      <c r="C240" s="2" t="s">
        <v>48</v>
      </c>
      <c r="D240" s="2" t="s">
        <v>475</v>
      </c>
      <c r="E240" s="2" t="s">
        <v>2870</v>
      </c>
      <c r="F240" s="2" t="s">
        <v>531</v>
      </c>
      <c r="G240" s="2" t="s">
        <v>15</v>
      </c>
      <c r="H240" s="2" t="s">
        <v>44</v>
      </c>
      <c r="I240" s="2" t="s">
        <v>12</v>
      </c>
      <c r="J240" s="2" t="s">
        <v>12</v>
      </c>
      <c r="K240" s="2" t="s">
        <v>12</v>
      </c>
      <c r="L240" s="2" t="s">
        <v>12</v>
      </c>
      <c r="M240" s="2" t="s">
        <v>12</v>
      </c>
      <c r="N240" s="2" t="s">
        <v>12</v>
      </c>
      <c r="O240" s="2" t="s">
        <v>12</v>
      </c>
    </row>
    <row r="241" spans="1:15">
      <c r="A241" s="2" t="s">
        <v>843</v>
      </c>
      <c r="B241" s="2" t="s">
        <v>844</v>
      </c>
      <c r="C241" s="2" t="s">
        <v>48</v>
      </c>
      <c r="D241" s="2" t="s">
        <v>475</v>
      </c>
      <c r="E241" s="2" t="s">
        <v>2882</v>
      </c>
      <c r="F241" s="2" t="s">
        <v>302</v>
      </c>
      <c r="G241" s="2" t="s">
        <v>33</v>
      </c>
      <c r="H241" s="2" t="s">
        <v>44</v>
      </c>
      <c r="I241" s="2" t="s">
        <v>12</v>
      </c>
      <c r="J241" s="2" t="s">
        <v>12</v>
      </c>
      <c r="K241" s="2" t="s">
        <v>12</v>
      </c>
      <c r="L241" s="2" t="s">
        <v>12</v>
      </c>
      <c r="M241" s="2" t="s">
        <v>12</v>
      </c>
      <c r="N241" s="2" t="s">
        <v>12</v>
      </c>
      <c r="O241" s="2" t="s">
        <v>12</v>
      </c>
    </row>
    <row r="242" spans="1:15">
      <c r="A242" s="2" t="s">
        <v>843</v>
      </c>
      <c r="B242" s="2" t="s">
        <v>844</v>
      </c>
      <c r="C242" s="2" t="s">
        <v>48</v>
      </c>
      <c r="D242" s="2" t="s">
        <v>475</v>
      </c>
      <c r="E242" s="2" t="s">
        <v>2886</v>
      </c>
      <c r="F242" s="2" t="s">
        <v>303</v>
      </c>
      <c r="G242" s="2" t="s">
        <v>225</v>
      </c>
      <c r="H242" s="2" t="s">
        <v>44</v>
      </c>
      <c r="I242" s="2" t="s">
        <v>12</v>
      </c>
      <c r="J242" s="2" t="s">
        <v>12</v>
      </c>
      <c r="K242" s="2" t="s">
        <v>12</v>
      </c>
      <c r="L242" s="2" t="s">
        <v>12</v>
      </c>
      <c r="M242" s="2" t="s">
        <v>12</v>
      </c>
      <c r="N242" s="2" t="s">
        <v>12</v>
      </c>
      <c r="O242" s="2" t="s">
        <v>12</v>
      </c>
    </row>
    <row r="243" spans="1:15">
      <c r="A243" s="2" t="s">
        <v>845</v>
      </c>
      <c r="B243" s="2" t="s">
        <v>846</v>
      </c>
      <c r="C243" s="2" t="s">
        <v>847</v>
      </c>
      <c r="D243" s="2" t="s">
        <v>446</v>
      </c>
      <c r="E243" s="2" t="s">
        <v>2870</v>
      </c>
      <c r="F243" s="2" t="s">
        <v>332</v>
      </c>
      <c r="G243" s="2" t="s">
        <v>15</v>
      </c>
      <c r="H243" s="2" t="s">
        <v>44</v>
      </c>
      <c r="I243" s="2" t="s">
        <v>12</v>
      </c>
      <c r="J243" s="2" t="s">
        <v>12</v>
      </c>
      <c r="K243" s="2" t="s">
        <v>12</v>
      </c>
      <c r="L243" s="2" t="s">
        <v>12</v>
      </c>
      <c r="M243" s="2" t="s">
        <v>12</v>
      </c>
      <c r="N243" s="2" t="s">
        <v>12</v>
      </c>
      <c r="O243" s="2" t="s">
        <v>12</v>
      </c>
    </row>
    <row r="244" spans="1:15">
      <c r="A244" s="2" t="s">
        <v>845</v>
      </c>
      <c r="B244" s="2" t="s">
        <v>846</v>
      </c>
      <c r="C244" s="2" t="s">
        <v>847</v>
      </c>
      <c r="D244" s="2" t="s">
        <v>446</v>
      </c>
      <c r="E244" s="2" t="s">
        <v>2882</v>
      </c>
      <c r="F244" s="2" t="s">
        <v>334</v>
      </c>
      <c r="G244" s="2" t="s">
        <v>15</v>
      </c>
      <c r="H244" s="2" t="s">
        <v>44</v>
      </c>
      <c r="I244" s="2" t="s">
        <v>12</v>
      </c>
      <c r="J244" s="2" t="s">
        <v>12</v>
      </c>
      <c r="K244" s="2" t="s">
        <v>12</v>
      </c>
      <c r="L244" s="2" t="s">
        <v>12</v>
      </c>
      <c r="M244" s="2" t="s">
        <v>12</v>
      </c>
      <c r="N244" s="2" t="s">
        <v>12</v>
      </c>
      <c r="O244" s="2" t="s">
        <v>12</v>
      </c>
    </row>
    <row r="245" spans="1:15">
      <c r="A245" s="2" t="s">
        <v>845</v>
      </c>
      <c r="B245" s="2" t="s">
        <v>846</v>
      </c>
      <c r="C245" s="2" t="s">
        <v>847</v>
      </c>
      <c r="D245" s="2" t="s">
        <v>446</v>
      </c>
      <c r="E245" s="2" t="s">
        <v>2886</v>
      </c>
      <c r="F245" s="2" t="s">
        <v>336</v>
      </c>
      <c r="G245" s="2" t="s">
        <v>15</v>
      </c>
      <c r="H245" s="2" t="s">
        <v>44</v>
      </c>
      <c r="I245" s="2" t="s">
        <v>12</v>
      </c>
      <c r="J245" s="2" t="s">
        <v>12</v>
      </c>
      <c r="K245" s="2" t="s">
        <v>12</v>
      </c>
      <c r="L245" s="2" t="s">
        <v>12</v>
      </c>
      <c r="M245" s="2" t="s">
        <v>12</v>
      </c>
      <c r="N245" s="2" t="s">
        <v>12</v>
      </c>
      <c r="O245" s="2" t="s">
        <v>12</v>
      </c>
    </row>
    <row r="246" spans="1:15">
      <c r="A246" s="2" t="s">
        <v>845</v>
      </c>
      <c r="B246" s="2" t="s">
        <v>846</v>
      </c>
      <c r="C246" s="2" t="s">
        <v>847</v>
      </c>
      <c r="D246" s="2" t="s">
        <v>446</v>
      </c>
      <c r="E246" s="2" t="s">
        <v>2896</v>
      </c>
      <c r="F246" s="2" t="s">
        <v>337</v>
      </c>
      <c r="G246" s="2" t="s">
        <v>15</v>
      </c>
      <c r="H246" s="2" t="s">
        <v>44</v>
      </c>
      <c r="I246" s="2" t="s">
        <v>12</v>
      </c>
      <c r="J246" s="2" t="s">
        <v>12</v>
      </c>
      <c r="K246" s="2" t="s">
        <v>12</v>
      </c>
      <c r="L246" s="2" t="s">
        <v>12</v>
      </c>
      <c r="M246" s="2" t="s">
        <v>12</v>
      </c>
      <c r="N246" s="2" t="s">
        <v>12</v>
      </c>
      <c r="O246" s="2" t="s">
        <v>12</v>
      </c>
    </row>
    <row r="247" spans="1:15">
      <c r="A247" s="2" t="s">
        <v>845</v>
      </c>
      <c r="B247" s="2" t="s">
        <v>846</v>
      </c>
      <c r="C247" s="2" t="s">
        <v>847</v>
      </c>
      <c r="D247" s="2" t="s">
        <v>446</v>
      </c>
      <c r="E247" s="2" t="s">
        <v>2901</v>
      </c>
      <c r="F247" s="2" t="s">
        <v>338</v>
      </c>
      <c r="G247" s="2" t="s">
        <v>15</v>
      </c>
      <c r="H247" s="2" t="s">
        <v>44</v>
      </c>
      <c r="I247" s="2" t="s">
        <v>12</v>
      </c>
      <c r="J247" s="2" t="s">
        <v>12</v>
      </c>
      <c r="K247" s="2" t="s">
        <v>12</v>
      </c>
      <c r="L247" s="2" t="s">
        <v>12</v>
      </c>
      <c r="M247" s="2" t="s">
        <v>12</v>
      </c>
      <c r="N247" s="2" t="s">
        <v>12</v>
      </c>
      <c r="O247" s="2" t="s">
        <v>12</v>
      </c>
    </row>
    <row r="248" spans="1:15">
      <c r="A248" s="2" t="s">
        <v>845</v>
      </c>
      <c r="B248" s="2" t="s">
        <v>846</v>
      </c>
      <c r="C248" s="2" t="s">
        <v>847</v>
      </c>
      <c r="D248" s="2" t="s">
        <v>446</v>
      </c>
      <c r="E248" s="2" t="s">
        <v>2904</v>
      </c>
      <c r="F248" s="2" t="s">
        <v>339</v>
      </c>
      <c r="G248" s="2" t="s">
        <v>33</v>
      </c>
      <c r="H248" s="2" t="s">
        <v>44</v>
      </c>
      <c r="I248" s="2" t="s">
        <v>12</v>
      </c>
      <c r="J248" s="2" t="s">
        <v>12</v>
      </c>
      <c r="K248" s="2" t="s">
        <v>12</v>
      </c>
      <c r="L248" s="2" t="s">
        <v>12</v>
      </c>
      <c r="M248" s="2" t="s">
        <v>12</v>
      </c>
      <c r="N248" s="2" t="s">
        <v>12</v>
      </c>
      <c r="O248" s="2" t="s">
        <v>12</v>
      </c>
    </row>
    <row r="249" spans="1:15">
      <c r="A249" s="2" t="s">
        <v>848</v>
      </c>
      <c r="B249" s="2" t="s">
        <v>849</v>
      </c>
      <c r="C249" s="2" t="s">
        <v>290</v>
      </c>
      <c r="D249" s="2" t="s">
        <v>446</v>
      </c>
      <c r="E249" s="2" t="s">
        <v>2870</v>
      </c>
      <c r="F249" s="2" t="s">
        <v>14</v>
      </c>
      <c r="G249" s="2" t="s">
        <v>15</v>
      </c>
      <c r="H249" s="2" t="s">
        <v>44</v>
      </c>
      <c r="I249" s="2" t="s">
        <v>12</v>
      </c>
      <c r="J249" s="2" t="s">
        <v>12</v>
      </c>
      <c r="K249" s="2" t="s">
        <v>12</v>
      </c>
      <c r="L249" s="2" t="s">
        <v>12</v>
      </c>
      <c r="M249" s="2" t="s">
        <v>12</v>
      </c>
      <c r="N249" s="2" t="s">
        <v>12</v>
      </c>
      <c r="O249" s="2" t="s">
        <v>12</v>
      </c>
    </row>
    <row r="250" spans="1:15">
      <c r="A250" s="2" t="s">
        <v>848</v>
      </c>
      <c r="B250" s="2" t="s">
        <v>849</v>
      </c>
      <c r="C250" s="2" t="s">
        <v>290</v>
      </c>
      <c r="D250" s="2" t="s">
        <v>446</v>
      </c>
      <c r="E250" s="2" t="s">
        <v>2882</v>
      </c>
      <c r="F250" s="2" t="s">
        <v>19</v>
      </c>
      <c r="G250" s="2" t="s">
        <v>15</v>
      </c>
      <c r="H250" s="2" t="s">
        <v>44</v>
      </c>
      <c r="I250" s="2" t="s">
        <v>12</v>
      </c>
      <c r="J250" s="2" t="s">
        <v>12</v>
      </c>
      <c r="K250" s="2" t="s">
        <v>12</v>
      </c>
      <c r="L250" s="2" t="s">
        <v>12</v>
      </c>
      <c r="M250" s="2" t="s">
        <v>12</v>
      </c>
      <c r="N250" s="2" t="s">
        <v>12</v>
      </c>
      <c r="O250" s="2" t="s">
        <v>12</v>
      </c>
    </row>
    <row r="251" spans="1:15">
      <c r="A251" s="2" t="s">
        <v>848</v>
      </c>
      <c r="B251" s="2" t="s">
        <v>849</v>
      </c>
      <c r="C251" s="2" t="s">
        <v>290</v>
      </c>
      <c r="D251" s="2" t="s">
        <v>446</v>
      </c>
      <c r="E251" s="2" t="s">
        <v>2886</v>
      </c>
      <c r="F251" s="2" t="s">
        <v>23</v>
      </c>
      <c r="G251" s="2" t="s">
        <v>15</v>
      </c>
      <c r="H251" s="2" t="s">
        <v>44</v>
      </c>
      <c r="I251" s="2" t="s">
        <v>12</v>
      </c>
      <c r="J251" s="2" t="s">
        <v>12</v>
      </c>
      <c r="K251" s="2" t="s">
        <v>12</v>
      </c>
      <c r="L251" s="2" t="s">
        <v>12</v>
      </c>
      <c r="M251" s="2" t="s">
        <v>12</v>
      </c>
      <c r="N251" s="2" t="s">
        <v>12</v>
      </c>
      <c r="O251" s="2" t="s">
        <v>12</v>
      </c>
    </row>
    <row r="252" spans="1:15">
      <c r="A252" s="2" t="s">
        <v>848</v>
      </c>
      <c r="B252" s="2" t="s">
        <v>849</v>
      </c>
      <c r="C252" s="2" t="s">
        <v>290</v>
      </c>
      <c r="D252" s="2" t="s">
        <v>446</v>
      </c>
      <c r="E252" s="2" t="s">
        <v>2896</v>
      </c>
      <c r="F252" s="2" t="s">
        <v>26</v>
      </c>
      <c r="G252" s="2" t="s">
        <v>15</v>
      </c>
      <c r="H252" s="2" t="s">
        <v>44</v>
      </c>
      <c r="I252" s="2" t="s">
        <v>12</v>
      </c>
      <c r="J252" s="2" t="s">
        <v>12</v>
      </c>
      <c r="K252" s="2" t="s">
        <v>12</v>
      </c>
      <c r="L252" s="2" t="s">
        <v>12</v>
      </c>
      <c r="M252" s="2" t="s">
        <v>12</v>
      </c>
      <c r="N252" s="2" t="s">
        <v>12</v>
      </c>
      <c r="O252" s="2" t="s">
        <v>12</v>
      </c>
    </row>
    <row r="253" spans="1:15">
      <c r="A253" s="2" t="s">
        <v>848</v>
      </c>
      <c r="B253" s="2" t="s">
        <v>849</v>
      </c>
      <c r="C253" s="2" t="s">
        <v>290</v>
      </c>
      <c r="D253" s="2" t="s">
        <v>446</v>
      </c>
      <c r="E253" s="2" t="s">
        <v>2901</v>
      </c>
      <c r="F253" s="2" t="s">
        <v>29</v>
      </c>
      <c r="G253" s="2" t="s">
        <v>15</v>
      </c>
      <c r="H253" s="2" t="s">
        <v>44</v>
      </c>
      <c r="I253" s="2" t="s">
        <v>12</v>
      </c>
      <c r="J253" s="2" t="s">
        <v>12</v>
      </c>
      <c r="K253" s="2" t="s">
        <v>12</v>
      </c>
      <c r="L253" s="2" t="s">
        <v>12</v>
      </c>
      <c r="M253" s="2" t="s">
        <v>12</v>
      </c>
      <c r="N253" s="2" t="s">
        <v>12</v>
      </c>
      <c r="O253" s="2" t="s">
        <v>12</v>
      </c>
    </row>
    <row r="254" spans="1:15">
      <c r="A254" s="2" t="s">
        <v>848</v>
      </c>
      <c r="B254" s="2" t="s">
        <v>849</v>
      </c>
      <c r="C254" s="2" t="s">
        <v>290</v>
      </c>
      <c r="D254" s="2" t="s">
        <v>446</v>
      </c>
      <c r="E254" s="2" t="s">
        <v>2904</v>
      </c>
      <c r="F254" s="2" t="s">
        <v>32</v>
      </c>
      <c r="G254" s="2" t="s">
        <v>33</v>
      </c>
      <c r="H254" s="2" t="s">
        <v>44</v>
      </c>
      <c r="I254" s="2" t="s">
        <v>12</v>
      </c>
      <c r="J254" s="2" t="s">
        <v>12</v>
      </c>
      <c r="K254" s="2" t="s">
        <v>12</v>
      </c>
      <c r="L254" s="2" t="s">
        <v>12</v>
      </c>
      <c r="M254" s="2" t="s">
        <v>12</v>
      </c>
      <c r="N254" s="2" t="s">
        <v>12</v>
      </c>
      <c r="O254" s="2" t="s">
        <v>12</v>
      </c>
    </row>
    <row r="255" spans="1:15">
      <c r="A255" s="2" t="s">
        <v>850</v>
      </c>
      <c r="B255" s="2" t="s">
        <v>851</v>
      </c>
      <c r="C255" s="2" t="s">
        <v>290</v>
      </c>
      <c r="D255" s="2" t="s">
        <v>446</v>
      </c>
      <c r="E255" s="2" t="s">
        <v>2870</v>
      </c>
      <c r="F255" s="2" t="s">
        <v>14</v>
      </c>
      <c r="G255" s="2" t="s">
        <v>15</v>
      </c>
      <c r="H255" s="2" t="s">
        <v>44</v>
      </c>
      <c r="I255" s="2" t="s">
        <v>12</v>
      </c>
      <c r="J255" s="2" t="s">
        <v>12</v>
      </c>
      <c r="K255" s="2" t="s">
        <v>12</v>
      </c>
      <c r="L255" s="2" t="s">
        <v>12</v>
      </c>
      <c r="M255" s="2" t="s">
        <v>12</v>
      </c>
      <c r="N255" s="2" t="s">
        <v>12</v>
      </c>
      <c r="O255" s="2" t="s">
        <v>12</v>
      </c>
    </row>
    <row r="256" spans="1:15">
      <c r="A256" s="2" t="s">
        <v>850</v>
      </c>
      <c r="B256" s="2" t="s">
        <v>851</v>
      </c>
      <c r="C256" s="2" t="s">
        <v>290</v>
      </c>
      <c r="D256" s="2" t="s">
        <v>446</v>
      </c>
      <c r="E256" s="2" t="s">
        <v>2882</v>
      </c>
      <c r="F256" s="2" t="s">
        <v>19</v>
      </c>
      <c r="G256" s="2" t="s">
        <v>15</v>
      </c>
      <c r="H256" s="2" t="s">
        <v>44</v>
      </c>
      <c r="I256" s="2" t="s">
        <v>12</v>
      </c>
      <c r="J256" s="2" t="s">
        <v>12</v>
      </c>
      <c r="K256" s="2" t="s">
        <v>12</v>
      </c>
      <c r="L256" s="2" t="s">
        <v>12</v>
      </c>
      <c r="M256" s="2" t="s">
        <v>12</v>
      </c>
      <c r="N256" s="2" t="s">
        <v>12</v>
      </c>
      <c r="O256" s="2" t="s">
        <v>12</v>
      </c>
    </row>
    <row r="257" spans="1:15">
      <c r="A257" s="2" t="s">
        <v>850</v>
      </c>
      <c r="B257" s="2" t="s">
        <v>851</v>
      </c>
      <c r="C257" s="2" t="s">
        <v>290</v>
      </c>
      <c r="D257" s="2" t="s">
        <v>446</v>
      </c>
      <c r="E257" s="2" t="s">
        <v>2886</v>
      </c>
      <c r="F257" s="2" t="s">
        <v>23</v>
      </c>
      <c r="G257" s="2" t="s">
        <v>15</v>
      </c>
      <c r="H257" s="2" t="s">
        <v>44</v>
      </c>
      <c r="I257" s="2" t="s">
        <v>12</v>
      </c>
      <c r="J257" s="2" t="s">
        <v>12</v>
      </c>
      <c r="K257" s="2" t="s">
        <v>12</v>
      </c>
      <c r="L257" s="2" t="s">
        <v>12</v>
      </c>
      <c r="M257" s="2" t="s">
        <v>12</v>
      </c>
      <c r="N257" s="2" t="s">
        <v>12</v>
      </c>
      <c r="O257" s="2" t="s">
        <v>12</v>
      </c>
    </row>
    <row r="258" spans="1:15">
      <c r="A258" s="2" t="s">
        <v>850</v>
      </c>
      <c r="B258" s="2" t="s">
        <v>851</v>
      </c>
      <c r="C258" s="2" t="s">
        <v>290</v>
      </c>
      <c r="D258" s="2" t="s">
        <v>446</v>
      </c>
      <c r="E258" s="2" t="s">
        <v>2896</v>
      </c>
      <c r="F258" s="2" t="s">
        <v>26</v>
      </c>
      <c r="G258" s="2" t="s">
        <v>15</v>
      </c>
      <c r="H258" s="2" t="s">
        <v>44</v>
      </c>
      <c r="I258" s="2" t="s">
        <v>12</v>
      </c>
      <c r="J258" s="2" t="s">
        <v>12</v>
      </c>
      <c r="K258" s="2" t="s">
        <v>12</v>
      </c>
      <c r="L258" s="2" t="s">
        <v>12</v>
      </c>
      <c r="M258" s="2" t="s">
        <v>12</v>
      </c>
      <c r="N258" s="2" t="s">
        <v>12</v>
      </c>
      <c r="O258" s="2" t="s">
        <v>12</v>
      </c>
    </row>
    <row r="259" spans="1:15">
      <c r="A259" s="2" t="s">
        <v>850</v>
      </c>
      <c r="B259" s="2" t="s">
        <v>851</v>
      </c>
      <c r="C259" s="2" t="s">
        <v>290</v>
      </c>
      <c r="D259" s="2" t="s">
        <v>446</v>
      </c>
      <c r="E259" s="2" t="s">
        <v>2901</v>
      </c>
      <c r="F259" s="2" t="s">
        <v>29</v>
      </c>
      <c r="G259" s="2" t="s">
        <v>15</v>
      </c>
      <c r="H259" s="2" t="s">
        <v>44</v>
      </c>
      <c r="I259" s="2" t="s">
        <v>12</v>
      </c>
      <c r="J259" s="2" t="s">
        <v>12</v>
      </c>
      <c r="K259" s="2" t="s">
        <v>12</v>
      </c>
      <c r="L259" s="2" t="s">
        <v>12</v>
      </c>
      <c r="M259" s="2" t="s">
        <v>12</v>
      </c>
      <c r="N259" s="2" t="s">
        <v>12</v>
      </c>
      <c r="O259" s="2" t="s">
        <v>12</v>
      </c>
    </row>
    <row r="260" spans="1:15">
      <c r="A260" s="2" t="s">
        <v>850</v>
      </c>
      <c r="B260" s="2" t="s">
        <v>851</v>
      </c>
      <c r="C260" s="2" t="s">
        <v>290</v>
      </c>
      <c r="D260" s="2" t="s">
        <v>446</v>
      </c>
      <c r="E260" s="2" t="s">
        <v>2904</v>
      </c>
      <c r="F260" s="2" t="s">
        <v>32</v>
      </c>
      <c r="G260" s="2" t="s">
        <v>33</v>
      </c>
      <c r="H260" s="2" t="s">
        <v>44</v>
      </c>
      <c r="I260" s="2" t="s">
        <v>12</v>
      </c>
      <c r="J260" s="2" t="s">
        <v>12</v>
      </c>
      <c r="K260" s="2" t="s">
        <v>12</v>
      </c>
      <c r="L260" s="2" t="s">
        <v>12</v>
      </c>
      <c r="M260" s="2" t="s">
        <v>12</v>
      </c>
      <c r="N260" s="2" t="s">
        <v>12</v>
      </c>
      <c r="O260" s="2" t="s">
        <v>12</v>
      </c>
    </row>
    <row r="261" spans="1:15">
      <c r="A261" s="2" t="s">
        <v>852</v>
      </c>
      <c r="B261" s="2" t="s">
        <v>853</v>
      </c>
      <c r="C261" s="2" t="s">
        <v>250</v>
      </c>
      <c r="D261" s="2" t="s">
        <v>446</v>
      </c>
      <c r="E261" s="2" t="s">
        <v>2870</v>
      </c>
      <c r="F261" s="2" t="s">
        <v>26</v>
      </c>
      <c r="G261" s="2" t="s">
        <v>15</v>
      </c>
      <c r="H261" s="2" t="s">
        <v>44</v>
      </c>
      <c r="I261" s="2" t="s">
        <v>12</v>
      </c>
      <c r="J261" s="2" t="s">
        <v>12</v>
      </c>
      <c r="K261" s="2" t="s">
        <v>12</v>
      </c>
      <c r="L261" s="2" t="s">
        <v>12</v>
      </c>
      <c r="M261" s="2" t="s">
        <v>12</v>
      </c>
      <c r="N261" s="2" t="s">
        <v>12</v>
      </c>
      <c r="O261" s="2" t="s">
        <v>12</v>
      </c>
    </row>
    <row r="262" spans="1:15">
      <c r="A262" s="2" t="s">
        <v>852</v>
      </c>
      <c r="B262" s="2" t="s">
        <v>853</v>
      </c>
      <c r="C262" s="2" t="s">
        <v>250</v>
      </c>
      <c r="D262" s="2" t="s">
        <v>446</v>
      </c>
      <c r="E262" s="2" t="s">
        <v>2882</v>
      </c>
      <c r="F262" s="2" t="s">
        <v>29</v>
      </c>
      <c r="G262" s="2" t="s">
        <v>15</v>
      </c>
      <c r="H262" s="2" t="s">
        <v>44</v>
      </c>
      <c r="I262" s="2" t="s">
        <v>12</v>
      </c>
      <c r="J262" s="2" t="s">
        <v>12</v>
      </c>
      <c r="K262" s="2" t="s">
        <v>12</v>
      </c>
      <c r="L262" s="2" t="s">
        <v>12</v>
      </c>
      <c r="M262" s="2" t="s">
        <v>12</v>
      </c>
      <c r="N262" s="2" t="s">
        <v>12</v>
      </c>
      <c r="O262" s="2" t="s">
        <v>12</v>
      </c>
    </row>
    <row r="263" spans="1:15">
      <c r="A263" s="2" t="s">
        <v>852</v>
      </c>
      <c r="B263" s="2" t="s">
        <v>853</v>
      </c>
      <c r="C263" s="2" t="s">
        <v>250</v>
      </c>
      <c r="D263" s="2" t="s">
        <v>446</v>
      </c>
      <c r="E263" s="2" t="s">
        <v>2886</v>
      </c>
      <c r="F263" s="2" t="s">
        <v>32</v>
      </c>
      <c r="G263" s="2" t="s">
        <v>33</v>
      </c>
      <c r="H263" s="2" t="s">
        <v>44</v>
      </c>
      <c r="I263" s="2" t="s">
        <v>12</v>
      </c>
      <c r="J263" s="2" t="s">
        <v>12</v>
      </c>
      <c r="K263" s="2" t="s">
        <v>12</v>
      </c>
      <c r="L263" s="2" t="s">
        <v>12</v>
      </c>
      <c r="M263" s="2" t="s">
        <v>12</v>
      </c>
      <c r="N263" s="2" t="s">
        <v>12</v>
      </c>
      <c r="O263" s="2" t="s">
        <v>12</v>
      </c>
    </row>
    <row r="264" spans="1:15">
      <c r="A264" s="2" t="s">
        <v>854</v>
      </c>
      <c r="B264" s="2" t="s">
        <v>855</v>
      </c>
      <c r="C264" s="2" t="s">
        <v>48</v>
      </c>
      <c r="D264" s="2" t="s">
        <v>446</v>
      </c>
      <c r="E264" s="2" t="s">
        <v>2870</v>
      </c>
      <c r="F264" s="2" t="s">
        <v>758</v>
      </c>
      <c r="G264" s="2" t="s">
        <v>15</v>
      </c>
      <c r="H264" s="2" t="s">
        <v>44</v>
      </c>
      <c r="I264" s="2">
        <v>0.5</v>
      </c>
      <c r="J264" s="2">
        <v>60</v>
      </c>
      <c r="K264" s="2">
        <v>60</v>
      </c>
      <c r="L264" s="2">
        <v>40</v>
      </c>
      <c r="M264" s="2" t="s">
        <v>12</v>
      </c>
      <c r="N264" s="2">
        <v>50</v>
      </c>
      <c r="O264" s="2">
        <v>210</v>
      </c>
    </row>
    <row r="265" spans="1:15">
      <c r="A265" s="2" t="s">
        <v>854</v>
      </c>
      <c r="B265" s="2" t="s">
        <v>855</v>
      </c>
      <c r="C265" s="2" t="s">
        <v>48</v>
      </c>
      <c r="D265" s="2" t="s">
        <v>446</v>
      </c>
      <c r="E265" s="2" t="s">
        <v>2882</v>
      </c>
      <c r="F265" s="2" t="s">
        <v>759</v>
      </c>
      <c r="G265" s="2" t="s">
        <v>15</v>
      </c>
      <c r="H265" s="2" t="s">
        <v>719</v>
      </c>
      <c r="I265" s="2">
        <v>1</v>
      </c>
      <c r="J265" s="2">
        <v>1360</v>
      </c>
      <c r="K265" s="2">
        <v>1950</v>
      </c>
      <c r="L265" s="2">
        <v>700</v>
      </c>
      <c r="M265" s="2" t="s">
        <v>12</v>
      </c>
      <c r="N265" s="2">
        <v>270</v>
      </c>
      <c r="O265" s="2">
        <v>4280</v>
      </c>
    </row>
    <row r="266" spans="1:15">
      <c r="A266" s="2" t="s">
        <v>854</v>
      </c>
      <c r="B266" s="2" t="s">
        <v>855</v>
      </c>
      <c r="C266" s="2" t="s">
        <v>48</v>
      </c>
      <c r="D266" s="2" t="s">
        <v>446</v>
      </c>
      <c r="E266" s="2" t="s">
        <v>2886</v>
      </c>
      <c r="F266" s="2" t="s">
        <v>760</v>
      </c>
      <c r="G266" s="2" t="s">
        <v>15</v>
      </c>
      <c r="H266" s="2" t="s">
        <v>16</v>
      </c>
      <c r="I266" s="2">
        <v>1.22</v>
      </c>
      <c r="J266" s="2">
        <v>1890</v>
      </c>
      <c r="K266" s="2">
        <v>2715</v>
      </c>
      <c r="L266" s="2">
        <v>1450</v>
      </c>
      <c r="M266" s="2" t="s">
        <v>12</v>
      </c>
      <c r="N266" s="2">
        <v>1239</v>
      </c>
      <c r="O266" s="2">
        <v>7294</v>
      </c>
    </row>
    <row r="267" spans="1:15">
      <c r="A267" s="2" t="s">
        <v>854</v>
      </c>
      <c r="B267" s="2" t="s">
        <v>855</v>
      </c>
      <c r="C267" s="2" t="s">
        <v>48</v>
      </c>
      <c r="D267" s="2" t="s">
        <v>446</v>
      </c>
      <c r="E267" s="2" t="s">
        <v>2896</v>
      </c>
      <c r="F267" s="2" t="s">
        <v>761</v>
      </c>
      <c r="G267" s="2" t="s">
        <v>15</v>
      </c>
      <c r="H267" s="2" t="s">
        <v>16</v>
      </c>
      <c r="I267" s="2">
        <v>1.27</v>
      </c>
      <c r="J267" s="2">
        <v>1520</v>
      </c>
      <c r="K267" s="2">
        <v>2670</v>
      </c>
      <c r="L267" s="2">
        <v>2410</v>
      </c>
      <c r="M267" s="2" t="s">
        <v>12</v>
      </c>
      <c r="N267" s="2">
        <v>1004</v>
      </c>
      <c r="O267" s="2">
        <v>7604</v>
      </c>
    </row>
    <row r="268" spans="1:15">
      <c r="A268" s="2" t="s">
        <v>854</v>
      </c>
      <c r="B268" s="2" t="s">
        <v>855</v>
      </c>
      <c r="C268" s="2" t="s">
        <v>48</v>
      </c>
      <c r="D268" s="2" t="s">
        <v>446</v>
      </c>
      <c r="E268" s="2" t="s">
        <v>2901</v>
      </c>
      <c r="F268" s="2" t="s">
        <v>762</v>
      </c>
      <c r="G268" s="2" t="s">
        <v>15</v>
      </c>
      <c r="H268" s="2" t="s">
        <v>719</v>
      </c>
      <c r="I268" s="2">
        <v>1</v>
      </c>
      <c r="J268" s="2">
        <v>1260</v>
      </c>
      <c r="K268" s="2">
        <v>1800</v>
      </c>
      <c r="L268" s="2">
        <v>1300</v>
      </c>
      <c r="M268" s="2" t="s">
        <v>12</v>
      </c>
      <c r="N268" s="2">
        <v>1054</v>
      </c>
      <c r="O268" s="2">
        <v>5414</v>
      </c>
    </row>
    <row r="269" spans="1:15">
      <c r="A269" s="2" t="s">
        <v>854</v>
      </c>
      <c r="B269" s="2" t="s">
        <v>855</v>
      </c>
      <c r="C269" s="2" t="s">
        <v>48</v>
      </c>
      <c r="D269" s="2" t="s">
        <v>446</v>
      </c>
      <c r="E269" s="2" t="s">
        <v>2904</v>
      </c>
      <c r="F269" s="2" t="s">
        <v>763</v>
      </c>
      <c r="G269" s="2" t="s">
        <v>33</v>
      </c>
      <c r="H269" s="2" t="s">
        <v>44</v>
      </c>
      <c r="I269" s="2" t="s">
        <v>12</v>
      </c>
      <c r="J269" s="2" t="s">
        <v>12</v>
      </c>
      <c r="K269" s="2" t="s">
        <v>12</v>
      </c>
      <c r="L269" s="2" t="s">
        <v>12</v>
      </c>
      <c r="M269" s="2" t="s">
        <v>12</v>
      </c>
      <c r="N269" s="2" t="s">
        <v>12</v>
      </c>
      <c r="O269" s="2" t="s">
        <v>12</v>
      </c>
    </row>
    <row r="270" spans="1:15">
      <c r="A270" s="2" t="s">
        <v>856</v>
      </c>
      <c r="B270" s="2" t="s">
        <v>857</v>
      </c>
      <c r="C270" s="2" t="s">
        <v>76</v>
      </c>
      <c r="D270" s="2" t="s">
        <v>461</v>
      </c>
      <c r="E270" s="2" t="s">
        <v>2870</v>
      </c>
      <c r="F270" s="2" t="s">
        <v>49</v>
      </c>
      <c r="G270" s="2" t="s">
        <v>15</v>
      </c>
      <c r="H270" s="2" t="s">
        <v>44</v>
      </c>
      <c r="I270" s="2" t="s">
        <v>12</v>
      </c>
      <c r="J270" s="2" t="s">
        <v>12</v>
      </c>
      <c r="K270" s="2" t="s">
        <v>12</v>
      </c>
      <c r="L270" s="2" t="s">
        <v>12</v>
      </c>
      <c r="M270" s="2" t="s">
        <v>12</v>
      </c>
      <c r="N270" s="2" t="s">
        <v>12</v>
      </c>
      <c r="O270" s="2" t="s">
        <v>12</v>
      </c>
    </row>
    <row r="271" spans="1:15">
      <c r="A271" s="2" t="s">
        <v>856</v>
      </c>
      <c r="B271" s="2" t="s">
        <v>857</v>
      </c>
      <c r="C271" s="2" t="s">
        <v>76</v>
      </c>
      <c r="D271" s="2" t="s">
        <v>461</v>
      </c>
      <c r="E271" s="2" t="s">
        <v>2882</v>
      </c>
      <c r="F271" s="2" t="s">
        <v>51</v>
      </c>
      <c r="G271" s="2" t="s">
        <v>15</v>
      </c>
      <c r="H271" s="2" t="s">
        <v>44</v>
      </c>
      <c r="I271" s="2" t="s">
        <v>12</v>
      </c>
      <c r="J271" s="2" t="s">
        <v>12</v>
      </c>
      <c r="K271" s="2" t="s">
        <v>12</v>
      </c>
      <c r="L271" s="2" t="s">
        <v>12</v>
      </c>
      <c r="M271" s="2" t="s">
        <v>12</v>
      </c>
      <c r="N271" s="2" t="s">
        <v>12</v>
      </c>
      <c r="O271" s="2" t="s">
        <v>12</v>
      </c>
    </row>
    <row r="272" spans="1:15">
      <c r="A272" s="2" t="s">
        <v>856</v>
      </c>
      <c r="B272" s="2" t="s">
        <v>857</v>
      </c>
      <c r="C272" s="2" t="s">
        <v>76</v>
      </c>
      <c r="D272" s="2" t="s">
        <v>461</v>
      </c>
      <c r="E272" s="2" t="s">
        <v>2886</v>
      </c>
      <c r="F272" s="2" t="s">
        <v>52</v>
      </c>
      <c r="G272" s="2" t="s">
        <v>15</v>
      </c>
      <c r="H272" s="2" t="s">
        <v>44</v>
      </c>
      <c r="I272" s="2" t="s">
        <v>12</v>
      </c>
      <c r="J272" s="2" t="s">
        <v>12</v>
      </c>
      <c r="K272" s="2" t="s">
        <v>12</v>
      </c>
      <c r="L272" s="2" t="s">
        <v>12</v>
      </c>
      <c r="M272" s="2" t="s">
        <v>12</v>
      </c>
      <c r="N272" s="2" t="s">
        <v>12</v>
      </c>
      <c r="O272" s="2" t="s">
        <v>12</v>
      </c>
    </row>
    <row r="273" spans="1:15">
      <c r="A273" s="2" t="s">
        <v>856</v>
      </c>
      <c r="B273" s="2" t="s">
        <v>857</v>
      </c>
      <c r="C273" s="2" t="s">
        <v>76</v>
      </c>
      <c r="D273" s="2" t="s">
        <v>461</v>
      </c>
      <c r="E273" s="2" t="s">
        <v>2896</v>
      </c>
      <c r="F273" s="2" t="s">
        <v>54</v>
      </c>
      <c r="G273" s="2" t="s">
        <v>15</v>
      </c>
      <c r="H273" s="2" t="s">
        <v>44</v>
      </c>
      <c r="I273" s="2" t="s">
        <v>12</v>
      </c>
      <c r="J273" s="2" t="s">
        <v>12</v>
      </c>
      <c r="K273" s="2" t="s">
        <v>12</v>
      </c>
      <c r="L273" s="2" t="s">
        <v>12</v>
      </c>
      <c r="M273" s="2" t="s">
        <v>12</v>
      </c>
      <c r="N273" s="2" t="s">
        <v>12</v>
      </c>
      <c r="O273" s="2" t="s">
        <v>12</v>
      </c>
    </row>
    <row r="274" spans="1:15">
      <c r="A274" s="2" t="s">
        <v>856</v>
      </c>
      <c r="B274" s="2" t="s">
        <v>857</v>
      </c>
      <c r="C274" s="2" t="s">
        <v>76</v>
      </c>
      <c r="D274" s="2" t="s">
        <v>461</v>
      </c>
      <c r="E274" s="2" t="s">
        <v>2901</v>
      </c>
      <c r="F274" s="2" t="s">
        <v>56</v>
      </c>
      <c r="G274" s="2" t="s">
        <v>15</v>
      </c>
      <c r="H274" s="2" t="s">
        <v>44</v>
      </c>
      <c r="I274" s="2" t="s">
        <v>12</v>
      </c>
      <c r="J274" s="2" t="s">
        <v>12</v>
      </c>
      <c r="K274" s="2" t="s">
        <v>12</v>
      </c>
      <c r="L274" s="2" t="s">
        <v>12</v>
      </c>
      <c r="M274" s="2" t="s">
        <v>12</v>
      </c>
      <c r="N274" s="2" t="s">
        <v>12</v>
      </c>
      <c r="O274" s="2" t="s">
        <v>12</v>
      </c>
    </row>
    <row r="275" spans="1:15">
      <c r="A275" s="2" t="s">
        <v>856</v>
      </c>
      <c r="B275" s="2" t="s">
        <v>857</v>
      </c>
      <c r="C275" s="2" t="s">
        <v>76</v>
      </c>
      <c r="D275" s="2" t="s">
        <v>461</v>
      </c>
      <c r="E275" s="2" t="s">
        <v>2904</v>
      </c>
      <c r="F275" s="2" t="s">
        <v>57</v>
      </c>
      <c r="G275" s="2" t="s">
        <v>33</v>
      </c>
      <c r="H275" s="2" t="s">
        <v>44</v>
      </c>
      <c r="I275" s="2" t="s">
        <v>12</v>
      </c>
      <c r="J275" s="2" t="s">
        <v>12</v>
      </c>
      <c r="K275" s="2" t="s">
        <v>12</v>
      </c>
      <c r="L275" s="2" t="s">
        <v>12</v>
      </c>
      <c r="M275" s="2" t="s">
        <v>12</v>
      </c>
      <c r="N275" s="2" t="s">
        <v>12</v>
      </c>
      <c r="O275" s="2" t="s">
        <v>12</v>
      </c>
    </row>
    <row r="276" spans="1:15">
      <c r="A276" s="2" t="s">
        <v>858</v>
      </c>
      <c r="B276" s="2" t="s">
        <v>859</v>
      </c>
      <c r="C276" s="2" t="s">
        <v>76</v>
      </c>
      <c r="D276" s="2" t="s">
        <v>446</v>
      </c>
      <c r="E276" s="2" t="s">
        <v>2870</v>
      </c>
      <c r="F276" s="2" t="s">
        <v>26</v>
      </c>
      <c r="G276" s="2" t="s">
        <v>15</v>
      </c>
      <c r="H276" s="2" t="s">
        <v>44</v>
      </c>
      <c r="I276" s="2">
        <v>0.5</v>
      </c>
      <c r="J276" s="2">
        <v>20</v>
      </c>
      <c r="K276" s="2">
        <v>120</v>
      </c>
      <c r="L276" s="2">
        <v>100</v>
      </c>
      <c r="M276" s="2" t="s">
        <v>12</v>
      </c>
      <c r="N276" s="2">
        <v>80</v>
      </c>
      <c r="O276" s="2">
        <v>320</v>
      </c>
    </row>
    <row r="277" spans="1:15">
      <c r="A277" s="2" t="s">
        <v>858</v>
      </c>
      <c r="B277" s="2" t="s">
        <v>859</v>
      </c>
      <c r="C277" s="2" t="s">
        <v>76</v>
      </c>
      <c r="D277" s="2" t="s">
        <v>446</v>
      </c>
      <c r="E277" s="2" t="s">
        <v>2882</v>
      </c>
      <c r="F277" s="2" t="s">
        <v>29</v>
      </c>
      <c r="G277" s="2" t="s">
        <v>15</v>
      </c>
      <c r="H277" s="2" t="s">
        <v>44</v>
      </c>
      <c r="I277" s="2">
        <v>0.5</v>
      </c>
      <c r="J277" s="2" t="s">
        <v>12</v>
      </c>
      <c r="K277" s="2">
        <v>60</v>
      </c>
      <c r="L277" s="2">
        <v>200</v>
      </c>
      <c r="M277" s="2" t="s">
        <v>12</v>
      </c>
      <c r="N277" s="2">
        <v>50</v>
      </c>
      <c r="O277" s="2">
        <v>310</v>
      </c>
    </row>
    <row r="278" spans="1:15">
      <c r="A278" s="2" t="s">
        <v>858</v>
      </c>
      <c r="B278" s="2" t="s">
        <v>859</v>
      </c>
      <c r="C278" s="2" t="s">
        <v>76</v>
      </c>
      <c r="D278" s="2" t="s">
        <v>446</v>
      </c>
      <c r="E278" s="2" t="s">
        <v>2886</v>
      </c>
      <c r="F278" s="2" t="s">
        <v>32</v>
      </c>
      <c r="G278" s="2" t="s">
        <v>33</v>
      </c>
      <c r="H278" s="2" t="s">
        <v>44</v>
      </c>
      <c r="I278" s="2" t="s">
        <v>12</v>
      </c>
      <c r="J278" s="2" t="s">
        <v>12</v>
      </c>
      <c r="K278" s="2" t="s">
        <v>12</v>
      </c>
      <c r="L278" s="2" t="s">
        <v>12</v>
      </c>
      <c r="M278" s="2" t="s">
        <v>12</v>
      </c>
      <c r="N278" s="2" t="s">
        <v>12</v>
      </c>
      <c r="O278" s="2" t="s">
        <v>12</v>
      </c>
    </row>
    <row r="279" spans="1:15">
      <c r="A279" s="2" t="s">
        <v>860</v>
      </c>
      <c r="B279" s="2" t="s">
        <v>861</v>
      </c>
      <c r="C279" s="2" t="s">
        <v>48</v>
      </c>
      <c r="D279" s="2" t="s">
        <v>446</v>
      </c>
      <c r="E279" s="2" t="s">
        <v>2870</v>
      </c>
      <c r="F279" s="2" t="s">
        <v>54</v>
      </c>
      <c r="G279" s="2" t="s">
        <v>15</v>
      </c>
      <c r="H279" s="2" t="s">
        <v>44</v>
      </c>
      <c r="I279" s="2" t="s">
        <v>12</v>
      </c>
      <c r="J279" s="2" t="s">
        <v>12</v>
      </c>
      <c r="K279" s="2" t="s">
        <v>12</v>
      </c>
      <c r="L279" s="2" t="s">
        <v>12</v>
      </c>
      <c r="M279" s="2" t="s">
        <v>12</v>
      </c>
      <c r="N279" s="2" t="s">
        <v>12</v>
      </c>
      <c r="O279" s="2" t="s">
        <v>12</v>
      </c>
    </row>
    <row r="280" spans="1:15">
      <c r="A280" s="2" t="s">
        <v>860</v>
      </c>
      <c r="B280" s="2" t="s">
        <v>861</v>
      </c>
      <c r="C280" s="2" t="s">
        <v>48</v>
      </c>
      <c r="D280" s="2" t="s">
        <v>446</v>
      </c>
      <c r="E280" s="2" t="s">
        <v>2882</v>
      </c>
      <c r="F280" s="2" t="s">
        <v>56</v>
      </c>
      <c r="G280" s="2" t="s">
        <v>15</v>
      </c>
      <c r="H280" s="2" t="s">
        <v>44</v>
      </c>
      <c r="I280" s="2" t="s">
        <v>12</v>
      </c>
      <c r="J280" s="2" t="s">
        <v>12</v>
      </c>
      <c r="K280" s="2" t="s">
        <v>12</v>
      </c>
      <c r="L280" s="2" t="s">
        <v>12</v>
      </c>
      <c r="M280" s="2" t="s">
        <v>12</v>
      </c>
      <c r="N280" s="2" t="s">
        <v>12</v>
      </c>
      <c r="O280" s="2" t="s">
        <v>12</v>
      </c>
    </row>
    <row r="281" spans="1:15">
      <c r="A281" s="2" t="s">
        <v>860</v>
      </c>
      <c r="B281" s="2" t="s">
        <v>861</v>
      </c>
      <c r="C281" s="2" t="s">
        <v>48</v>
      </c>
      <c r="D281" s="2" t="s">
        <v>446</v>
      </c>
      <c r="E281" s="2" t="s">
        <v>2886</v>
      </c>
      <c r="F281" s="2" t="s">
        <v>57</v>
      </c>
      <c r="G281" s="2" t="s">
        <v>33</v>
      </c>
      <c r="H281" s="2" t="s">
        <v>44</v>
      </c>
      <c r="I281" s="2" t="s">
        <v>12</v>
      </c>
      <c r="J281" s="2" t="s">
        <v>12</v>
      </c>
      <c r="K281" s="2" t="s">
        <v>12</v>
      </c>
      <c r="L281" s="2" t="s">
        <v>12</v>
      </c>
      <c r="M281" s="2" t="s">
        <v>12</v>
      </c>
      <c r="N281" s="2" t="s">
        <v>12</v>
      </c>
      <c r="O281" s="2" t="s">
        <v>12</v>
      </c>
    </row>
    <row r="282" spans="1:15">
      <c r="A282" s="2" t="s">
        <v>862</v>
      </c>
      <c r="B282" s="2" t="s">
        <v>863</v>
      </c>
      <c r="C282" s="2" t="s">
        <v>76</v>
      </c>
      <c r="D282" s="2" t="s">
        <v>461</v>
      </c>
      <c r="E282" s="2" t="s">
        <v>2870</v>
      </c>
      <c r="F282" s="2" t="s">
        <v>122</v>
      </c>
      <c r="G282" s="2" t="s">
        <v>15</v>
      </c>
      <c r="H282" s="2" t="s">
        <v>44</v>
      </c>
      <c r="I282" s="2" t="s">
        <v>12</v>
      </c>
      <c r="J282" s="2" t="s">
        <v>12</v>
      </c>
      <c r="K282" s="2" t="s">
        <v>12</v>
      </c>
      <c r="L282" s="2" t="s">
        <v>12</v>
      </c>
      <c r="M282" s="2" t="s">
        <v>12</v>
      </c>
      <c r="N282" s="2" t="s">
        <v>12</v>
      </c>
      <c r="O282" s="2" t="s">
        <v>12</v>
      </c>
    </row>
    <row r="283" spans="1:15">
      <c r="A283" s="2" t="s">
        <v>862</v>
      </c>
      <c r="B283" s="2" t="s">
        <v>863</v>
      </c>
      <c r="C283" s="2" t="s">
        <v>76</v>
      </c>
      <c r="D283" s="2" t="s">
        <v>461</v>
      </c>
      <c r="E283" s="2" t="s">
        <v>2882</v>
      </c>
      <c r="F283" s="2" t="s">
        <v>124</v>
      </c>
      <c r="G283" s="2" t="s">
        <v>15</v>
      </c>
      <c r="H283" s="2" t="s">
        <v>44</v>
      </c>
      <c r="I283" s="2" t="s">
        <v>12</v>
      </c>
      <c r="J283" s="2" t="s">
        <v>12</v>
      </c>
      <c r="K283" s="2" t="s">
        <v>12</v>
      </c>
      <c r="L283" s="2" t="s">
        <v>12</v>
      </c>
      <c r="M283" s="2" t="s">
        <v>12</v>
      </c>
      <c r="N283" s="2" t="s">
        <v>12</v>
      </c>
      <c r="O283" s="2" t="s">
        <v>12</v>
      </c>
    </row>
    <row r="284" spans="1:15">
      <c r="A284" s="2" t="s">
        <v>862</v>
      </c>
      <c r="B284" s="2" t="s">
        <v>863</v>
      </c>
      <c r="C284" s="2" t="s">
        <v>76</v>
      </c>
      <c r="D284" s="2" t="s">
        <v>461</v>
      </c>
      <c r="E284" s="2" t="s">
        <v>2886</v>
      </c>
      <c r="F284" s="2" t="s">
        <v>126</v>
      </c>
      <c r="G284" s="2" t="s">
        <v>15</v>
      </c>
      <c r="H284" s="2" t="s">
        <v>44</v>
      </c>
      <c r="I284" s="2" t="s">
        <v>12</v>
      </c>
      <c r="J284" s="2" t="s">
        <v>12</v>
      </c>
      <c r="K284" s="2" t="s">
        <v>12</v>
      </c>
      <c r="L284" s="2" t="s">
        <v>12</v>
      </c>
      <c r="M284" s="2" t="s">
        <v>12</v>
      </c>
      <c r="N284" s="2" t="s">
        <v>12</v>
      </c>
      <c r="O284" s="2" t="s">
        <v>12</v>
      </c>
    </row>
    <row r="285" spans="1:15">
      <c r="A285" s="2" t="s">
        <v>862</v>
      </c>
      <c r="B285" s="2" t="s">
        <v>863</v>
      </c>
      <c r="C285" s="2" t="s">
        <v>76</v>
      </c>
      <c r="D285" s="2" t="s">
        <v>461</v>
      </c>
      <c r="E285" s="2" t="s">
        <v>2896</v>
      </c>
      <c r="F285" s="2" t="s">
        <v>128</v>
      </c>
      <c r="G285" s="2" t="s">
        <v>15</v>
      </c>
      <c r="H285" s="2" t="s">
        <v>44</v>
      </c>
      <c r="I285" s="2" t="s">
        <v>12</v>
      </c>
      <c r="J285" s="2" t="s">
        <v>12</v>
      </c>
      <c r="K285" s="2" t="s">
        <v>12</v>
      </c>
      <c r="L285" s="2" t="s">
        <v>12</v>
      </c>
      <c r="M285" s="2" t="s">
        <v>12</v>
      </c>
      <c r="N285" s="2" t="s">
        <v>12</v>
      </c>
      <c r="O285" s="2" t="s">
        <v>12</v>
      </c>
    </row>
    <row r="286" spans="1:15">
      <c r="A286" s="2" t="s">
        <v>862</v>
      </c>
      <c r="B286" s="2" t="s">
        <v>863</v>
      </c>
      <c r="C286" s="2" t="s">
        <v>76</v>
      </c>
      <c r="D286" s="2" t="s">
        <v>461</v>
      </c>
      <c r="E286" s="2" t="s">
        <v>2901</v>
      </c>
      <c r="F286" s="2" t="s">
        <v>130</v>
      </c>
      <c r="G286" s="2" t="s">
        <v>15</v>
      </c>
      <c r="H286" s="2" t="s">
        <v>44</v>
      </c>
      <c r="I286" s="2" t="s">
        <v>12</v>
      </c>
      <c r="J286" s="2" t="s">
        <v>12</v>
      </c>
      <c r="K286" s="2" t="s">
        <v>12</v>
      </c>
      <c r="L286" s="2" t="s">
        <v>12</v>
      </c>
      <c r="M286" s="2" t="s">
        <v>12</v>
      </c>
      <c r="N286" s="2" t="s">
        <v>12</v>
      </c>
      <c r="O286" s="2" t="s">
        <v>12</v>
      </c>
    </row>
    <row r="287" spans="1:15">
      <c r="A287" s="2" t="s">
        <v>862</v>
      </c>
      <c r="B287" s="2" t="s">
        <v>863</v>
      </c>
      <c r="C287" s="2" t="s">
        <v>76</v>
      </c>
      <c r="D287" s="2" t="s">
        <v>461</v>
      </c>
      <c r="E287" s="2" t="s">
        <v>2904</v>
      </c>
      <c r="F287" s="2" t="s">
        <v>132</v>
      </c>
      <c r="G287" s="2" t="s">
        <v>33</v>
      </c>
      <c r="H287" s="2" t="s">
        <v>44</v>
      </c>
      <c r="I287" s="2" t="s">
        <v>12</v>
      </c>
      <c r="J287" s="2" t="s">
        <v>12</v>
      </c>
      <c r="K287" s="2" t="s">
        <v>12</v>
      </c>
      <c r="L287" s="2" t="s">
        <v>12</v>
      </c>
      <c r="M287" s="2" t="s">
        <v>12</v>
      </c>
      <c r="N287" s="2" t="s">
        <v>12</v>
      </c>
      <c r="O287" s="2" t="s">
        <v>12</v>
      </c>
    </row>
    <row r="288" spans="1:15">
      <c r="A288" s="2" t="s">
        <v>864</v>
      </c>
      <c r="B288" s="2" t="s">
        <v>865</v>
      </c>
      <c r="C288" s="2" t="s">
        <v>76</v>
      </c>
      <c r="D288" s="2" t="s">
        <v>475</v>
      </c>
      <c r="E288" s="2" t="s">
        <v>2870</v>
      </c>
      <c r="F288" s="2" t="s">
        <v>37</v>
      </c>
      <c r="G288" s="2" t="s">
        <v>15</v>
      </c>
      <c r="H288" s="2" t="s">
        <v>44</v>
      </c>
      <c r="I288" s="2" t="s">
        <v>12</v>
      </c>
      <c r="J288" s="2" t="s">
        <v>12</v>
      </c>
      <c r="K288" s="2" t="s">
        <v>12</v>
      </c>
      <c r="L288" s="2" t="s">
        <v>12</v>
      </c>
      <c r="M288" s="2" t="s">
        <v>12</v>
      </c>
      <c r="N288" s="2" t="s">
        <v>12</v>
      </c>
      <c r="O288" s="2" t="s">
        <v>12</v>
      </c>
    </row>
    <row r="289" spans="1:15">
      <c r="A289" s="2" t="s">
        <v>864</v>
      </c>
      <c r="B289" s="2" t="s">
        <v>865</v>
      </c>
      <c r="C289" s="2" t="s">
        <v>76</v>
      </c>
      <c r="D289" s="2" t="s">
        <v>475</v>
      </c>
      <c r="E289" s="2" t="s">
        <v>2882</v>
      </c>
      <c r="F289" s="2" t="s">
        <v>39</v>
      </c>
      <c r="G289" s="2" t="s">
        <v>15</v>
      </c>
      <c r="H289" s="2" t="s">
        <v>44</v>
      </c>
      <c r="I289" s="2" t="s">
        <v>12</v>
      </c>
      <c r="J289" s="2" t="s">
        <v>12</v>
      </c>
      <c r="K289" s="2" t="s">
        <v>12</v>
      </c>
      <c r="L289" s="2" t="s">
        <v>12</v>
      </c>
      <c r="M289" s="2" t="s">
        <v>12</v>
      </c>
      <c r="N289" s="2" t="s">
        <v>12</v>
      </c>
      <c r="O289" s="2" t="s">
        <v>12</v>
      </c>
    </row>
    <row r="290" spans="1:15">
      <c r="A290" s="2" t="s">
        <v>864</v>
      </c>
      <c r="B290" s="2" t="s">
        <v>865</v>
      </c>
      <c r="C290" s="2" t="s">
        <v>76</v>
      </c>
      <c r="D290" s="2" t="s">
        <v>475</v>
      </c>
      <c r="E290" s="2" t="s">
        <v>2886</v>
      </c>
      <c r="F290" s="2" t="s">
        <v>41</v>
      </c>
      <c r="G290" s="2" t="s">
        <v>15</v>
      </c>
      <c r="H290" s="2" t="s">
        <v>44</v>
      </c>
      <c r="I290" s="2" t="s">
        <v>12</v>
      </c>
      <c r="J290" s="2" t="s">
        <v>12</v>
      </c>
      <c r="K290" s="2" t="s">
        <v>12</v>
      </c>
      <c r="L290" s="2" t="s">
        <v>12</v>
      </c>
      <c r="M290" s="2" t="s">
        <v>12</v>
      </c>
      <c r="N290" s="2" t="s">
        <v>12</v>
      </c>
      <c r="O290" s="2" t="s">
        <v>12</v>
      </c>
    </row>
    <row r="291" spans="1:15">
      <c r="A291" s="2" t="s">
        <v>864</v>
      </c>
      <c r="B291" s="2" t="s">
        <v>865</v>
      </c>
      <c r="C291" s="2" t="s">
        <v>76</v>
      </c>
      <c r="D291" s="2" t="s">
        <v>475</v>
      </c>
      <c r="E291" s="2" t="s">
        <v>2896</v>
      </c>
      <c r="F291" s="2" t="s">
        <v>43</v>
      </c>
      <c r="G291" s="2" t="s">
        <v>33</v>
      </c>
      <c r="H291" s="2" t="s">
        <v>44</v>
      </c>
      <c r="I291" s="2" t="s">
        <v>12</v>
      </c>
      <c r="J291" s="2" t="s">
        <v>12</v>
      </c>
      <c r="K291" s="2" t="s">
        <v>12</v>
      </c>
      <c r="L291" s="2" t="s">
        <v>12</v>
      </c>
      <c r="M291" s="2" t="s">
        <v>12</v>
      </c>
      <c r="N291" s="2" t="s">
        <v>12</v>
      </c>
      <c r="O291" s="2" t="s">
        <v>12</v>
      </c>
    </row>
    <row r="292" spans="1:15">
      <c r="A292" s="2" t="s">
        <v>866</v>
      </c>
      <c r="B292" s="2" t="s">
        <v>867</v>
      </c>
      <c r="C292" s="2" t="s">
        <v>76</v>
      </c>
      <c r="D292" s="2" t="s">
        <v>441</v>
      </c>
      <c r="E292" s="2" t="s">
        <v>2870</v>
      </c>
      <c r="F292" s="2" t="s">
        <v>37</v>
      </c>
      <c r="G292" s="2" t="s">
        <v>15</v>
      </c>
      <c r="H292" s="2" t="s">
        <v>44</v>
      </c>
      <c r="I292" s="2" t="s">
        <v>12</v>
      </c>
      <c r="J292" s="2" t="s">
        <v>12</v>
      </c>
      <c r="K292" s="2" t="s">
        <v>12</v>
      </c>
      <c r="L292" s="2" t="s">
        <v>12</v>
      </c>
      <c r="M292" s="2" t="s">
        <v>12</v>
      </c>
      <c r="N292" s="2" t="s">
        <v>12</v>
      </c>
      <c r="O292" s="2" t="s">
        <v>12</v>
      </c>
    </row>
    <row r="293" spans="1:15">
      <c r="A293" s="2" t="s">
        <v>866</v>
      </c>
      <c r="B293" s="2" t="s">
        <v>867</v>
      </c>
      <c r="C293" s="2" t="s">
        <v>76</v>
      </c>
      <c r="D293" s="2" t="s">
        <v>441</v>
      </c>
      <c r="E293" s="2" t="s">
        <v>2882</v>
      </c>
      <c r="F293" s="2" t="s">
        <v>39</v>
      </c>
      <c r="G293" s="2" t="s">
        <v>15</v>
      </c>
      <c r="H293" s="2" t="s">
        <v>44</v>
      </c>
      <c r="I293" s="2" t="s">
        <v>12</v>
      </c>
      <c r="J293" s="2" t="s">
        <v>12</v>
      </c>
      <c r="K293" s="2" t="s">
        <v>12</v>
      </c>
      <c r="L293" s="2" t="s">
        <v>12</v>
      </c>
      <c r="M293" s="2" t="s">
        <v>12</v>
      </c>
      <c r="N293" s="2" t="s">
        <v>12</v>
      </c>
      <c r="O293" s="2" t="s">
        <v>12</v>
      </c>
    </row>
    <row r="294" spans="1:15">
      <c r="A294" s="2" t="s">
        <v>866</v>
      </c>
      <c r="B294" s="2" t="s">
        <v>867</v>
      </c>
      <c r="C294" s="2" t="s">
        <v>76</v>
      </c>
      <c r="D294" s="2" t="s">
        <v>441</v>
      </c>
      <c r="E294" s="2" t="s">
        <v>2886</v>
      </c>
      <c r="F294" s="2" t="s">
        <v>41</v>
      </c>
      <c r="G294" s="2" t="s">
        <v>15</v>
      </c>
      <c r="H294" s="2" t="s">
        <v>44</v>
      </c>
      <c r="I294" s="2" t="s">
        <v>12</v>
      </c>
      <c r="J294" s="2" t="s">
        <v>12</v>
      </c>
      <c r="K294" s="2" t="s">
        <v>12</v>
      </c>
      <c r="L294" s="2" t="s">
        <v>12</v>
      </c>
      <c r="M294" s="2" t="s">
        <v>12</v>
      </c>
      <c r="N294" s="2" t="s">
        <v>12</v>
      </c>
      <c r="O294" s="2" t="s">
        <v>12</v>
      </c>
    </row>
    <row r="295" spans="1:15">
      <c r="A295" s="2" t="s">
        <v>866</v>
      </c>
      <c r="B295" s="2" t="s">
        <v>867</v>
      </c>
      <c r="C295" s="2" t="s">
        <v>76</v>
      </c>
      <c r="D295" s="2" t="s">
        <v>441</v>
      </c>
      <c r="E295" s="2" t="s">
        <v>2896</v>
      </c>
      <c r="F295" s="2" t="s">
        <v>43</v>
      </c>
      <c r="G295" s="2" t="s">
        <v>33</v>
      </c>
      <c r="H295" s="2" t="s">
        <v>44</v>
      </c>
      <c r="I295" s="2" t="s">
        <v>12</v>
      </c>
      <c r="J295" s="2" t="s">
        <v>12</v>
      </c>
      <c r="K295" s="2" t="s">
        <v>12</v>
      </c>
      <c r="L295" s="2" t="s">
        <v>12</v>
      </c>
      <c r="M295" s="2" t="s">
        <v>12</v>
      </c>
      <c r="N295" s="2" t="s">
        <v>12</v>
      </c>
      <c r="O295" s="2" t="s">
        <v>12</v>
      </c>
    </row>
    <row r="296" spans="1:15">
      <c r="A296" s="2" t="s">
        <v>868</v>
      </c>
      <c r="B296" s="2" t="s">
        <v>869</v>
      </c>
      <c r="C296" s="2" t="s">
        <v>48</v>
      </c>
      <c r="D296" s="2" t="s">
        <v>446</v>
      </c>
      <c r="E296" s="2" t="s">
        <v>2870</v>
      </c>
      <c r="F296" s="2" t="s">
        <v>54</v>
      </c>
      <c r="G296" s="2" t="s">
        <v>15</v>
      </c>
      <c r="H296" s="2" t="s">
        <v>44</v>
      </c>
      <c r="I296" s="2" t="s">
        <v>12</v>
      </c>
      <c r="J296" s="2" t="s">
        <v>12</v>
      </c>
      <c r="K296" s="2" t="s">
        <v>12</v>
      </c>
      <c r="L296" s="2" t="s">
        <v>12</v>
      </c>
      <c r="M296" s="2" t="s">
        <v>12</v>
      </c>
      <c r="N296" s="2" t="s">
        <v>12</v>
      </c>
      <c r="O296" s="2" t="s">
        <v>12</v>
      </c>
    </row>
    <row r="297" spans="1:15">
      <c r="A297" s="2" t="s">
        <v>868</v>
      </c>
      <c r="B297" s="2" t="s">
        <v>869</v>
      </c>
      <c r="C297" s="2" t="s">
        <v>48</v>
      </c>
      <c r="D297" s="2" t="s">
        <v>446</v>
      </c>
      <c r="E297" s="2" t="s">
        <v>2882</v>
      </c>
      <c r="F297" s="2" t="s">
        <v>56</v>
      </c>
      <c r="G297" s="2" t="s">
        <v>15</v>
      </c>
      <c r="H297" s="2" t="s">
        <v>44</v>
      </c>
      <c r="I297" s="2" t="s">
        <v>12</v>
      </c>
      <c r="J297" s="2" t="s">
        <v>12</v>
      </c>
      <c r="K297" s="2" t="s">
        <v>12</v>
      </c>
      <c r="L297" s="2" t="s">
        <v>12</v>
      </c>
      <c r="M297" s="2" t="s">
        <v>12</v>
      </c>
      <c r="N297" s="2" t="s">
        <v>12</v>
      </c>
      <c r="O297" s="2" t="s">
        <v>12</v>
      </c>
    </row>
    <row r="298" spans="1:15">
      <c r="A298" s="2" t="s">
        <v>868</v>
      </c>
      <c r="B298" s="2" t="s">
        <v>869</v>
      </c>
      <c r="C298" s="2" t="s">
        <v>48</v>
      </c>
      <c r="D298" s="2" t="s">
        <v>446</v>
      </c>
      <c r="E298" s="2" t="s">
        <v>2886</v>
      </c>
      <c r="F298" s="2" t="s">
        <v>57</v>
      </c>
      <c r="G298" s="2" t="s">
        <v>33</v>
      </c>
      <c r="H298" s="2" t="s">
        <v>44</v>
      </c>
      <c r="I298" s="2" t="s">
        <v>12</v>
      </c>
      <c r="J298" s="2" t="s">
        <v>12</v>
      </c>
      <c r="K298" s="2" t="s">
        <v>12</v>
      </c>
      <c r="L298" s="2" t="s">
        <v>12</v>
      </c>
      <c r="M298" s="2" t="s">
        <v>12</v>
      </c>
      <c r="N298" s="2" t="s">
        <v>12</v>
      </c>
      <c r="O298" s="2" t="s">
        <v>12</v>
      </c>
    </row>
    <row r="299" spans="1:15">
      <c r="A299" s="2" t="s">
        <v>870</v>
      </c>
      <c r="B299" s="2" t="s">
        <v>871</v>
      </c>
      <c r="C299" s="2" t="s">
        <v>112</v>
      </c>
      <c r="D299" s="2" t="s">
        <v>475</v>
      </c>
      <c r="E299" s="2" t="s">
        <v>2870</v>
      </c>
      <c r="F299" s="2" t="s">
        <v>760</v>
      </c>
      <c r="G299" s="2" t="s">
        <v>15</v>
      </c>
      <c r="H299" s="2" t="s">
        <v>44</v>
      </c>
      <c r="I299" s="2">
        <v>0.83</v>
      </c>
      <c r="J299" s="2">
        <v>420</v>
      </c>
      <c r="K299" s="2">
        <v>870</v>
      </c>
      <c r="L299" s="2">
        <v>360</v>
      </c>
      <c r="M299" s="2" t="s">
        <v>12</v>
      </c>
      <c r="N299" s="2" t="s">
        <v>12</v>
      </c>
      <c r="O299" s="2">
        <v>1650</v>
      </c>
    </row>
    <row r="300" spans="1:15">
      <c r="A300" s="2" t="s">
        <v>870</v>
      </c>
      <c r="B300" s="2" t="s">
        <v>871</v>
      </c>
      <c r="C300" s="2" t="s">
        <v>112</v>
      </c>
      <c r="D300" s="2" t="s">
        <v>475</v>
      </c>
      <c r="E300" s="2" t="s">
        <v>2882</v>
      </c>
      <c r="F300" s="2" t="s">
        <v>761</v>
      </c>
      <c r="G300" s="2" t="s">
        <v>15</v>
      </c>
      <c r="H300" s="2" t="s">
        <v>719</v>
      </c>
      <c r="I300" s="2">
        <v>1</v>
      </c>
      <c r="J300" s="2">
        <v>640</v>
      </c>
      <c r="K300" s="2">
        <v>1500</v>
      </c>
      <c r="L300" s="2">
        <v>740</v>
      </c>
      <c r="M300" s="2" t="s">
        <v>12</v>
      </c>
      <c r="N300" s="2" t="s">
        <v>12</v>
      </c>
      <c r="O300" s="2">
        <v>2880</v>
      </c>
    </row>
    <row r="301" spans="1:15">
      <c r="A301" s="2" t="s">
        <v>870</v>
      </c>
      <c r="B301" s="2" t="s">
        <v>871</v>
      </c>
      <c r="C301" s="2" t="s">
        <v>112</v>
      </c>
      <c r="D301" s="2" t="s">
        <v>475</v>
      </c>
      <c r="E301" s="2" t="s">
        <v>2886</v>
      </c>
      <c r="F301" s="2" t="s">
        <v>762</v>
      </c>
      <c r="G301" s="2" t="s">
        <v>15</v>
      </c>
      <c r="H301" s="2" t="s">
        <v>719</v>
      </c>
      <c r="I301" s="2">
        <v>1</v>
      </c>
      <c r="J301" s="2">
        <v>1060</v>
      </c>
      <c r="K301" s="2">
        <v>1560</v>
      </c>
      <c r="L301" s="2">
        <v>200</v>
      </c>
      <c r="M301" s="2" t="s">
        <v>12</v>
      </c>
      <c r="N301" s="2" t="s">
        <v>12</v>
      </c>
      <c r="O301" s="2">
        <v>2820</v>
      </c>
    </row>
    <row r="302" spans="1:15">
      <c r="A302" s="2" t="s">
        <v>870</v>
      </c>
      <c r="B302" s="2" t="s">
        <v>871</v>
      </c>
      <c r="C302" s="2" t="s">
        <v>112</v>
      </c>
      <c r="D302" s="2" t="s">
        <v>475</v>
      </c>
      <c r="E302" s="2" t="s">
        <v>2896</v>
      </c>
      <c r="F302" s="2" t="s">
        <v>763</v>
      </c>
      <c r="G302" s="2" t="s">
        <v>33</v>
      </c>
      <c r="H302" s="2" t="s">
        <v>44</v>
      </c>
      <c r="I302" s="2">
        <v>0.74</v>
      </c>
      <c r="J302" s="2">
        <v>600</v>
      </c>
      <c r="K302" s="2">
        <v>870</v>
      </c>
      <c r="L302" s="2" t="s">
        <v>12</v>
      </c>
      <c r="M302" s="2" t="s">
        <v>12</v>
      </c>
      <c r="N302" s="2" t="s">
        <v>12</v>
      </c>
      <c r="O302" s="2">
        <v>1470</v>
      </c>
    </row>
    <row r="303" spans="1:15">
      <c r="A303" s="2" t="s">
        <v>872</v>
      </c>
      <c r="B303" s="2" t="s">
        <v>873</v>
      </c>
      <c r="C303" s="2" t="s">
        <v>76</v>
      </c>
      <c r="D303" s="2" t="s">
        <v>441</v>
      </c>
      <c r="E303" s="2" t="s">
        <v>2870</v>
      </c>
      <c r="F303" s="2" t="s">
        <v>26</v>
      </c>
      <c r="G303" s="2" t="s">
        <v>15</v>
      </c>
      <c r="H303" s="2" t="s">
        <v>44</v>
      </c>
      <c r="I303" s="2" t="s">
        <v>12</v>
      </c>
      <c r="J303" s="2" t="s">
        <v>12</v>
      </c>
      <c r="K303" s="2" t="s">
        <v>12</v>
      </c>
      <c r="L303" s="2" t="s">
        <v>12</v>
      </c>
      <c r="M303" s="2" t="s">
        <v>12</v>
      </c>
      <c r="N303" s="2" t="s">
        <v>12</v>
      </c>
      <c r="O303" s="2" t="s">
        <v>12</v>
      </c>
    </row>
    <row r="304" spans="1:15">
      <c r="A304" s="2" t="s">
        <v>872</v>
      </c>
      <c r="B304" s="2" t="s">
        <v>873</v>
      </c>
      <c r="C304" s="2" t="s">
        <v>76</v>
      </c>
      <c r="D304" s="2" t="s">
        <v>441</v>
      </c>
      <c r="E304" s="2" t="s">
        <v>2882</v>
      </c>
      <c r="F304" s="2" t="s">
        <v>29</v>
      </c>
      <c r="G304" s="2" t="s">
        <v>15</v>
      </c>
      <c r="H304" s="2" t="s">
        <v>44</v>
      </c>
      <c r="I304" s="2" t="s">
        <v>12</v>
      </c>
      <c r="J304" s="2" t="s">
        <v>12</v>
      </c>
      <c r="K304" s="2" t="s">
        <v>12</v>
      </c>
      <c r="L304" s="2" t="s">
        <v>12</v>
      </c>
      <c r="M304" s="2" t="s">
        <v>12</v>
      </c>
      <c r="N304" s="2" t="s">
        <v>12</v>
      </c>
      <c r="O304" s="2" t="s">
        <v>12</v>
      </c>
    </row>
    <row r="305" spans="1:15">
      <c r="A305" s="2" t="s">
        <v>872</v>
      </c>
      <c r="B305" s="2" t="s">
        <v>873</v>
      </c>
      <c r="C305" s="2" t="s">
        <v>76</v>
      </c>
      <c r="D305" s="2" t="s">
        <v>441</v>
      </c>
      <c r="E305" s="2" t="s">
        <v>2886</v>
      </c>
      <c r="F305" s="2" t="s">
        <v>32</v>
      </c>
      <c r="G305" s="2" t="s">
        <v>33</v>
      </c>
      <c r="H305" s="2" t="s">
        <v>44</v>
      </c>
      <c r="I305" s="2" t="s">
        <v>12</v>
      </c>
      <c r="J305" s="2" t="s">
        <v>12</v>
      </c>
      <c r="K305" s="2" t="s">
        <v>12</v>
      </c>
      <c r="L305" s="2" t="s">
        <v>12</v>
      </c>
      <c r="M305" s="2" t="s">
        <v>12</v>
      </c>
      <c r="N305" s="2" t="s">
        <v>12</v>
      </c>
      <c r="O305" s="2" t="s">
        <v>12</v>
      </c>
    </row>
    <row r="306" spans="1:15">
      <c r="A306" s="2" t="s">
        <v>874</v>
      </c>
      <c r="B306" s="2" t="s">
        <v>875</v>
      </c>
      <c r="C306" s="2" t="s">
        <v>112</v>
      </c>
      <c r="D306" s="2" t="s">
        <v>446</v>
      </c>
      <c r="E306" s="2" t="s">
        <v>2870</v>
      </c>
      <c r="F306" s="2" t="s">
        <v>336</v>
      </c>
      <c r="G306" s="2" t="s">
        <v>15</v>
      </c>
      <c r="H306" s="2" t="s">
        <v>44</v>
      </c>
      <c r="I306" s="2" t="s">
        <v>12</v>
      </c>
      <c r="J306" s="2" t="s">
        <v>12</v>
      </c>
      <c r="K306" s="2" t="s">
        <v>12</v>
      </c>
      <c r="L306" s="2" t="s">
        <v>12</v>
      </c>
      <c r="M306" s="2" t="s">
        <v>12</v>
      </c>
      <c r="N306" s="2" t="s">
        <v>12</v>
      </c>
      <c r="O306" s="2" t="s">
        <v>12</v>
      </c>
    </row>
    <row r="307" spans="1:15">
      <c r="A307" s="2" t="s">
        <v>874</v>
      </c>
      <c r="B307" s="2" t="s">
        <v>875</v>
      </c>
      <c r="C307" s="2" t="s">
        <v>112</v>
      </c>
      <c r="D307" s="2" t="s">
        <v>446</v>
      </c>
      <c r="E307" s="2" t="s">
        <v>2882</v>
      </c>
      <c r="F307" s="2" t="s">
        <v>337</v>
      </c>
      <c r="G307" s="2" t="s">
        <v>15</v>
      </c>
      <c r="H307" s="2" t="s">
        <v>44</v>
      </c>
      <c r="I307" s="2" t="s">
        <v>12</v>
      </c>
      <c r="J307" s="2" t="s">
        <v>12</v>
      </c>
      <c r="K307" s="2" t="s">
        <v>12</v>
      </c>
      <c r="L307" s="2" t="s">
        <v>12</v>
      </c>
      <c r="M307" s="2" t="s">
        <v>12</v>
      </c>
      <c r="N307" s="2" t="s">
        <v>12</v>
      </c>
      <c r="O307" s="2" t="s">
        <v>12</v>
      </c>
    </row>
    <row r="308" spans="1:15">
      <c r="A308" s="2" t="s">
        <v>874</v>
      </c>
      <c r="B308" s="2" t="s">
        <v>875</v>
      </c>
      <c r="C308" s="2" t="s">
        <v>112</v>
      </c>
      <c r="D308" s="2" t="s">
        <v>446</v>
      </c>
      <c r="E308" s="2" t="s">
        <v>2886</v>
      </c>
      <c r="F308" s="2" t="s">
        <v>338</v>
      </c>
      <c r="G308" s="2" t="s">
        <v>15</v>
      </c>
      <c r="H308" s="2" t="s">
        <v>44</v>
      </c>
      <c r="I308" s="2" t="s">
        <v>12</v>
      </c>
      <c r="J308" s="2" t="s">
        <v>12</v>
      </c>
      <c r="K308" s="2" t="s">
        <v>12</v>
      </c>
      <c r="L308" s="2" t="s">
        <v>12</v>
      </c>
      <c r="M308" s="2" t="s">
        <v>12</v>
      </c>
      <c r="N308" s="2" t="s">
        <v>12</v>
      </c>
      <c r="O308" s="2" t="s">
        <v>12</v>
      </c>
    </row>
    <row r="309" spans="1:15">
      <c r="A309" s="2" t="s">
        <v>874</v>
      </c>
      <c r="B309" s="2" t="s">
        <v>875</v>
      </c>
      <c r="C309" s="2" t="s">
        <v>112</v>
      </c>
      <c r="D309" s="2" t="s">
        <v>446</v>
      </c>
      <c r="E309" s="2" t="s">
        <v>2896</v>
      </c>
      <c r="F309" s="2" t="s">
        <v>339</v>
      </c>
      <c r="G309" s="2" t="s">
        <v>33</v>
      </c>
      <c r="H309" s="2" t="s">
        <v>44</v>
      </c>
      <c r="I309" s="2" t="s">
        <v>12</v>
      </c>
      <c r="J309" s="2" t="s">
        <v>12</v>
      </c>
      <c r="K309" s="2" t="s">
        <v>12</v>
      </c>
      <c r="L309" s="2" t="s">
        <v>12</v>
      </c>
      <c r="M309" s="2" t="s">
        <v>12</v>
      </c>
      <c r="N309" s="2" t="s">
        <v>12</v>
      </c>
      <c r="O309" s="2" t="s">
        <v>12</v>
      </c>
    </row>
    <row r="310" spans="1:15">
      <c r="A310" s="2" t="s">
        <v>876</v>
      </c>
      <c r="B310" s="2" t="s">
        <v>877</v>
      </c>
      <c r="C310" s="2" t="s">
        <v>76</v>
      </c>
      <c r="D310" s="2" t="s">
        <v>441</v>
      </c>
      <c r="E310" s="2" t="s">
        <v>2870</v>
      </c>
      <c r="F310" s="2" t="s">
        <v>37</v>
      </c>
      <c r="G310" s="2" t="s">
        <v>15</v>
      </c>
      <c r="H310" s="2" t="s">
        <v>44</v>
      </c>
      <c r="I310" s="2" t="s">
        <v>12</v>
      </c>
      <c r="J310" s="2" t="s">
        <v>12</v>
      </c>
      <c r="K310" s="2" t="s">
        <v>12</v>
      </c>
      <c r="L310" s="2" t="s">
        <v>12</v>
      </c>
      <c r="M310" s="2" t="s">
        <v>12</v>
      </c>
      <c r="N310" s="2" t="s">
        <v>12</v>
      </c>
      <c r="O310" s="2" t="s">
        <v>12</v>
      </c>
    </row>
    <row r="311" spans="1:15">
      <c r="A311" s="2" t="s">
        <v>876</v>
      </c>
      <c r="B311" s="2" t="s">
        <v>877</v>
      </c>
      <c r="C311" s="2" t="s">
        <v>76</v>
      </c>
      <c r="D311" s="2" t="s">
        <v>441</v>
      </c>
      <c r="E311" s="2" t="s">
        <v>2882</v>
      </c>
      <c r="F311" s="2" t="s">
        <v>39</v>
      </c>
      <c r="G311" s="2" t="s">
        <v>15</v>
      </c>
      <c r="H311" s="2" t="s">
        <v>44</v>
      </c>
      <c r="I311" s="2" t="s">
        <v>12</v>
      </c>
      <c r="J311" s="2" t="s">
        <v>12</v>
      </c>
      <c r="K311" s="2" t="s">
        <v>12</v>
      </c>
      <c r="L311" s="2" t="s">
        <v>12</v>
      </c>
      <c r="M311" s="2" t="s">
        <v>12</v>
      </c>
      <c r="N311" s="2" t="s">
        <v>12</v>
      </c>
      <c r="O311" s="2" t="s">
        <v>12</v>
      </c>
    </row>
    <row r="312" spans="1:15">
      <c r="A312" s="2" t="s">
        <v>876</v>
      </c>
      <c r="B312" s="2" t="s">
        <v>877</v>
      </c>
      <c r="C312" s="2" t="s">
        <v>76</v>
      </c>
      <c r="D312" s="2" t="s">
        <v>441</v>
      </c>
      <c r="E312" s="2" t="s">
        <v>2886</v>
      </c>
      <c r="F312" s="2" t="s">
        <v>41</v>
      </c>
      <c r="G312" s="2" t="s">
        <v>15</v>
      </c>
      <c r="H312" s="2" t="s">
        <v>44</v>
      </c>
      <c r="I312" s="2" t="s">
        <v>12</v>
      </c>
      <c r="J312" s="2" t="s">
        <v>12</v>
      </c>
      <c r="K312" s="2" t="s">
        <v>12</v>
      </c>
      <c r="L312" s="2" t="s">
        <v>12</v>
      </c>
      <c r="M312" s="2" t="s">
        <v>12</v>
      </c>
      <c r="N312" s="2" t="s">
        <v>12</v>
      </c>
      <c r="O312" s="2" t="s">
        <v>12</v>
      </c>
    </row>
    <row r="313" spans="1:15">
      <c r="A313" s="2" t="s">
        <v>876</v>
      </c>
      <c r="B313" s="2" t="s">
        <v>877</v>
      </c>
      <c r="C313" s="2" t="s">
        <v>76</v>
      </c>
      <c r="D313" s="2" t="s">
        <v>441</v>
      </c>
      <c r="E313" s="2" t="s">
        <v>2896</v>
      </c>
      <c r="F313" s="2" t="s">
        <v>43</v>
      </c>
      <c r="G313" s="2" t="s">
        <v>33</v>
      </c>
      <c r="H313" s="2" t="s">
        <v>44</v>
      </c>
      <c r="I313" s="2" t="s">
        <v>12</v>
      </c>
      <c r="J313" s="2" t="s">
        <v>12</v>
      </c>
      <c r="K313" s="2" t="s">
        <v>12</v>
      </c>
      <c r="L313" s="2" t="s">
        <v>12</v>
      </c>
      <c r="M313" s="2" t="s">
        <v>12</v>
      </c>
      <c r="N313" s="2" t="s">
        <v>12</v>
      </c>
      <c r="O313" s="2" t="s">
        <v>12</v>
      </c>
    </row>
    <row r="314" spans="1:15">
      <c r="A314" s="2" t="s">
        <v>878</v>
      </c>
      <c r="B314" s="2" t="s">
        <v>879</v>
      </c>
      <c r="C314" s="2" t="s">
        <v>48</v>
      </c>
      <c r="D314" s="2" t="s">
        <v>446</v>
      </c>
      <c r="E314" s="2" t="s">
        <v>2870</v>
      </c>
      <c r="F314" s="2" t="s">
        <v>14</v>
      </c>
      <c r="G314" s="2" t="s">
        <v>15</v>
      </c>
      <c r="H314" s="2" t="s">
        <v>44</v>
      </c>
      <c r="I314" s="2" t="s">
        <v>12</v>
      </c>
      <c r="J314" s="2" t="s">
        <v>12</v>
      </c>
      <c r="K314" s="2" t="s">
        <v>12</v>
      </c>
      <c r="L314" s="2" t="s">
        <v>12</v>
      </c>
      <c r="M314" s="2" t="s">
        <v>12</v>
      </c>
      <c r="N314" s="2" t="s">
        <v>12</v>
      </c>
      <c r="O314" s="2" t="s">
        <v>12</v>
      </c>
    </row>
    <row r="315" spans="1:15">
      <c r="A315" s="2" t="s">
        <v>878</v>
      </c>
      <c r="B315" s="2" t="s">
        <v>879</v>
      </c>
      <c r="C315" s="2" t="s">
        <v>48</v>
      </c>
      <c r="D315" s="2" t="s">
        <v>446</v>
      </c>
      <c r="E315" s="2" t="s">
        <v>2882</v>
      </c>
      <c r="F315" s="2" t="s">
        <v>19</v>
      </c>
      <c r="G315" s="2" t="s">
        <v>15</v>
      </c>
      <c r="H315" s="2" t="s">
        <v>44</v>
      </c>
      <c r="I315" s="2" t="s">
        <v>12</v>
      </c>
      <c r="J315" s="2" t="s">
        <v>12</v>
      </c>
      <c r="K315" s="2" t="s">
        <v>12</v>
      </c>
      <c r="L315" s="2" t="s">
        <v>12</v>
      </c>
      <c r="M315" s="2" t="s">
        <v>12</v>
      </c>
      <c r="N315" s="2" t="s">
        <v>12</v>
      </c>
      <c r="O315" s="2" t="s">
        <v>12</v>
      </c>
    </row>
    <row r="316" spans="1:15">
      <c r="A316" s="2" t="s">
        <v>878</v>
      </c>
      <c r="B316" s="2" t="s">
        <v>879</v>
      </c>
      <c r="C316" s="2" t="s">
        <v>48</v>
      </c>
      <c r="D316" s="2" t="s">
        <v>446</v>
      </c>
      <c r="E316" s="2" t="s">
        <v>2886</v>
      </c>
      <c r="F316" s="2" t="s">
        <v>23</v>
      </c>
      <c r="G316" s="2" t="s">
        <v>15</v>
      </c>
      <c r="H316" s="2" t="s">
        <v>44</v>
      </c>
      <c r="I316" s="2" t="s">
        <v>12</v>
      </c>
      <c r="J316" s="2" t="s">
        <v>12</v>
      </c>
      <c r="K316" s="2" t="s">
        <v>12</v>
      </c>
      <c r="L316" s="2" t="s">
        <v>12</v>
      </c>
      <c r="M316" s="2" t="s">
        <v>12</v>
      </c>
      <c r="N316" s="2" t="s">
        <v>12</v>
      </c>
      <c r="O316" s="2" t="s">
        <v>12</v>
      </c>
    </row>
    <row r="317" spans="1:15">
      <c r="A317" s="2" t="s">
        <v>878</v>
      </c>
      <c r="B317" s="2" t="s">
        <v>879</v>
      </c>
      <c r="C317" s="2" t="s">
        <v>48</v>
      </c>
      <c r="D317" s="2" t="s">
        <v>446</v>
      </c>
      <c r="E317" s="2" t="s">
        <v>2896</v>
      </c>
      <c r="F317" s="2" t="s">
        <v>26</v>
      </c>
      <c r="G317" s="2" t="s">
        <v>15</v>
      </c>
      <c r="H317" s="2" t="s">
        <v>44</v>
      </c>
      <c r="I317" s="2" t="s">
        <v>12</v>
      </c>
      <c r="J317" s="2" t="s">
        <v>12</v>
      </c>
      <c r="K317" s="2" t="s">
        <v>12</v>
      </c>
      <c r="L317" s="2" t="s">
        <v>12</v>
      </c>
      <c r="M317" s="2" t="s">
        <v>12</v>
      </c>
      <c r="N317" s="2" t="s">
        <v>12</v>
      </c>
      <c r="O317" s="2" t="s">
        <v>12</v>
      </c>
    </row>
    <row r="318" spans="1:15">
      <c r="A318" s="2" t="s">
        <v>878</v>
      </c>
      <c r="B318" s="2" t="s">
        <v>879</v>
      </c>
      <c r="C318" s="2" t="s">
        <v>48</v>
      </c>
      <c r="D318" s="2" t="s">
        <v>446</v>
      </c>
      <c r="E318" s="2" t="s">
        <v>2901</v>
      </c>
      <c r="F318" s="2" t="s">
        <v>29</v>
      </c>
      <c r="G318" s="2" t="s">
        <v>15</v>
      </c>
      <c r="H318" s="2" t="s">
        <v>44</v>
      </c>
      <c r="I318" s="2" t="s">
        <v>12</v>
      </c>
      <c r="J318" s="2" t="s">
        <v>12</v>
      </c>
      <c r="K318" s="2" t="s">
        <v>12</v>
      </c>
      <c r="L318" s="2" t="s">
        <v>12</v>
      </c>
      <c r="M318" s="2" t="s">
        <v>12</v>
      </c>
      <c r="N318" s="2" t="s">
        <v>12</v>
      </c>
      <c r="O318" s="2" t="s">
        <v>12</v>
      </c>
    </row>
    <row r="319" spans="1:15">
      <c r="A319" s="2" t="s">
        <v>878</v>
      </c>
      <c r="B319" s="2" t="s">
        <v>879</v>
      </c>
      <c r="C319" s="2" t="s">
        <v>48</v>
      </c>
      <c r="D319" s="2" t="s">
        <v>446</v>
      </c>
      <c r="E319" s="2" t="s">
        <v>2904</v>
      </c>
      <c r="F319" s="2" t="s">
        <v>32</v>
      </c>
      <c r="G319" s="2" t="s">
        <v>33</v>
      </c>
      <c r="H319" s="2" t="s">
        <v>44</v>
      </c>
      <c r="I319" s="2" t="s">
        <v>12</v>
      </c>
      <c r="J319" s="2" t="s">
        <v>12</v>
      </c>
      <c r="K319" s="2" t="s">
        <v>12</v>
      </c>
      <c r="L319" s="2" t="s">
        <v>12</v>
      </c>
      <c r="M319" s="2" t="s">
        <v>12</v>
      </c>
      <c r="N319" s="2" t="s">
        <v>12</v>
      </c>
      <c r="O319" s="2" t="s">
        <v>12</v>
      </c>
    </row>
    <row r="320" spans="1:15">
      <c r="A320" s="2" t="s">
        <v>880</v>
      </c>
      <c r="B320" s="2" t="s">
        <v>881</v>
      </c>
      <c r="C320" s="2" t="s">
        <v>76</v>
      </c>
      <c r="D320" s="2" t="s">
        <v>441</v>
      </c>
      <c r="E320" s="2" t="s">
        <v>2870</v>
      </c>
      <c r="F320" s="2" t="s">
        <v>26</v>
      </c>
      <c r="G320" s="2" t="s">
        <v>15</v>
      </c>
      <c r="H320" s="2" t="s">
        <v>44</v>
      </c>
      <c r="I320" s="2" t="s">
        <v>12</v>
      </c>
      <c r="J320" s="2" t="s">
        <v>12</v>
      </c>
      <c r="K320" s="2" t="s">
        <v>12</v>
      </c>
      <c r="L320" s="2" t="s">
        <v>12</v>
      </c>
      <c r="M320" s="2" t="s">
        <v>12</v>
      </c>
      <c r="N320" s="2" t="s">
        <v>12</v>
      </c>
      <c r="O320" s="2" t="s">
        <v>12</v>
      </c>
    </row>
    <row r="321" spans="1:15">
      <c r="A321" s="2" t="s">
        <v>880</v>
      </c>
      <c r="B321" s="2" t="s">
        <v>881</v>
      </c>
      <c r="C321" s="2" t="s">
        <v>76</v>
      </c>
      <c r="D321" s="2" t="s">
        <v>441</v>
      </c>
      <c r="E321" s="2" t="s">
        <v>2882</v>
      </c>
      <c r="F321" s="2" t="s">
        <v>29</v>
      </c>
      <c r="G321" s="2" t="s">
        <v>15</v>
      </c>
      <c r="H321" s="2" t="s">
        <v>44</v>
      </c>
      <c r="I321" s="2" t="s">
        <v>12</v>
      </c>
      <c r="J321" s="2" t="s">
        <v>12</v>
      </c>
      <c r="K321" s="2" t="s">
        <v>12</v>
      </c>
      <c r="L321" s="2" t="s">
        <v>12</v>
      </c>
      <c r="M321" s="2" t="s">
        <v>12</v>
      </c>
      <c r="N321" s="2" t="s">
        <v>12</v>
      </c>
      <c r="O321" s="2" t="s">
        <v>12</v>
      </c>
    </row>
    <row r="322" spans="1:15">
      <c r="A322" s="2" t="s">
        <v>880</v>
      </c>
      <c r="B322" s="2" t="s">
        <v>881</v>
      </c>
      <c r="C322" s="2" t="s">
        <v>76</v>
      </c>
      <c r="D322" s="2" t="s">
        <v>441</v>
      </c>
      <c r="E322" s="2" t="s">
        <v>2886</v>
      </c>
      <c r="F322" s="2" t="s">
        <v>32</v>
      </c>
      <c r="G322" s="2" t="s">
        <v>33</v>
      </c>
      <c r="H322" s="2" t="s">
        <v>44</v>
      </c>
      <c r="I322" s="2" t="s">
        <v>12</v>
      </c>
      <c r="J322" s="2" t="s">
        <v>12</v>
      </c>
      <c r="K322" s="2" t="s">
        <v>12</v>
      </c>
      <c r="L322" s="2" t="s">
        <v>12</v>
      </c>
      <c r="M322" s="2" t="s">
        <v>12</v>
      </c>
      <c r="N322" s="2" t="s">
        <v>12</v>
      </c>
      <c r="O322" s="2" t="s">
        <v>12</v>
      </c>
    </row>
    <row r="323" spans="1:15">
      <c r="A323" s="2" t="s">
        <v>882</v>
      </c>
      <c r="B323" s="2" t="s">
        <v>883</v>
      </c>
      <c r="C323" s="2" t="s">
        <v>76</v>
      </c>
      <c r="D323" s="2" t="s">
        <v>441</v>
      </c>
      <c r="E323" s="2" t="s">
        <v>2870</v>
      </c>
      <c r="F323" s="2" t="s">
        <v>26</v>
      </c>
      <c r="G323" s="2" t="s">
        <v>15</v>
      </c>
      <c r="H323" s="2" t="s">
        <v>44</v>
      </c>
      <c r="I323" s="2" t="s">
        <v>12</v>
      </c>
      <c r="J323" s="2" t="s">
        <v>12</v>
      </c>
      <c r="K323" s="2" t="s">
        <v>12</v>
      </c>
      <c r="L323" s="2" t="s">
        <v>12</v>
      </c>
      <c r="M323" s="2" t="s">
        <v>12</v>
      </c>
      <c r="N323" s="2" t="s">
        <v>12</v>
      </c>
      <c r="O323" s="2" t="s">
        <v>12</v>
      </c>
    </row>
    <row r="324" spans="1:15">
      <c r="A324" s="2" t="s">
        <v>882</v>
      </c>
      <c r="B324" s="2" t="s">
        <v>883</v>
      </c>
      <c r="C324" s="2" t="s">
        <v>76</v>
      </c>
      <c r="D324" s="2" t="s">
        <v>441</v>
      </c>
      <c r="E324" s="2" t="s">
        <v>2882</v>
      </c>
      <c r="F324" s="2" t="s">
        <v>29</v>
      </c>
      <c r="G324" s="2" t="s">
        <v>15</v>
      </c>
      <c r="H324" s="2" t="s">
        <v>44</v>
      </c>
      <c r="I324" s="2" t="s">
        <v>12</v>
      </c>
      <c r="J324" s="2" t="s">
        <v>12</v>
      </c>
      <c r="K324" s="2" t="s">
        <v>12</v>
      </c>
      <c r="L324" s="2" t="s">
        <v>12</v>
      </c>
      <c r="M324" s="2" t="s">
        <v>12</v>
      </c>
      <c r="N324" s="2" t="s">
        <v>12</v>
      </c>
      <c r="O324" s="2" t="s">
        <v>12</v>
      </c>
    </row>
    <row r="325" spans="1:15">
      <c r="A325" s="2" t="s">
        <v>882</v>
      </c>
      <c r="B325" s="2" t="s">
        <v>883</v>
      </c>
      <c r="C325" s="2" t="s">
        <v>76</v>
      </c>
      <c r="D325" s="2" t="s">
        <v>441</v>
      </c>
      <c r="E325" s="2" t="s">
        <v>2886</v>
      </c>
      <c r="F325" s="2" t="s">
        <v>32</v>
      </c>
      <c r="G325" s="2" t="s">
        <v>33</v>
      </c>
      <c r="H325" s="2" t="s">
        <v>44</v>
      </c>
      <c r="I325" s="2" t="s">
        <v>12</v>
      </c>
      <c r="J325" s="2" t="s">
        <v>12</v>
      </c>
      <c r="K325" s="2" t="s">
        <v>12</v>
      </c>
      <c r="L325" s="2" t="s">
        <v>12</v>
      </c>
      <c r="M325" s="2" t="s">
        <v>12</v>
      </c>
      <c r="N325" s="2" t="s">
        <v>12</v>
      </c>
      <c r="O325" s="2" t="s">
        <v>12</v>
      </c>
    </row>
    <row r="326" spans="1:15">
      <c r="A326" s="2" t="s">
        <v>884</v>
      </c>
      <c r="B326" s="2" t="s">
        <v>885</v>
      </c>
      <c r="C326" s="2" t="s">
        <v>48</v>
      </c>
      <c r="D326" s="2" t="s">
        <v>500</v>
      </c>
      <c r="E326" s="2" t="s">
        <v>2870</v>
      </c>
      <c r="F326" s="2" t="s">
        <v>14</v>
      </c>
      <c r="G326" s="2" t="s">
        <v>15</v>
      </c>
      <c r="H326" s="2" t="s">
        <v>44</v>
      </c>
      <c r="I326" s="2">
        <v>0.5</v>
      </c>
      <c r="J326" s="2" t="s">
        <v>12</v>
      </c>
      <c r="K326" s="2">
        <v>36</v>
      </c>
      <c r="L326" s="2" t="s">
        <v>12</v>
      </c>
      <c r="M326" s="2" t="s">
        <v>12</v>
      </c>
      <c r="N326" s="2" t="s">
        <v>12</v>
      </c>
      <c r="O326" s="2">
        <v>36</v>
      </c>
    </row>
    <row r="327" spans="1:15">
      <c r="A327" s="2" t="s">
        <v>884</v>
      </c>
      <c r="B327" s="2" t="s">
        <v>885</v>
      </c>
      <c r="C327" s="2" t="s">
        <v>48</v>
      </c>
      <c r="D327" s="2" t="s">
        <v>500</v>
      </c>
      <c r="E327" s="2" t="s">
        <v>2882</v>
      </c>
      <c r="F327" s="2" t="s">
        <v>19</v>
      </c>
      <c r="G327" s="2" t="s">
        <v>15</v>
      </c>
      <c r="H327" s="2" t="s">
        <v>44</v>
      </c>
      <c r="I327" s="2">
        <v>0.5</v>
      </c>
      <c r="J327" s="2">
        <v>32</v>
      </c>
      <c r="K327" s="2">
        <v>48</v>
      </c>
      <c r="L327" s="2">
        <v>32</v>
      </c>
      <c r="M327" s="2" t="s">
        <v>12</v>
      </c>
      <c r="N327" s="2">
        <v>8</v>
      </c>
      <c r="O327" s="2">
        <v>120</v>
      </c>
    </row>
    <row r="328" spans="1:15">
      <c r="A328" s="2" t="s">
        <v>884</v>
      </c>
      <c r="B328" s="2" t="s">
        <v>885</v>
      </c>
      <c r="C328" s="2" t="s">
        <v>48</v>
      </c>
      <c r="D328" s="2" t="s">
        <v>500</v>
      </c>
      <c r="E328" s="2" t="s">
        <v>2886</v>
      </c>
      <c r="F328" s="2" t="s">
        <v>23</v>
      </c>
      <c r="G328" s="2" t="s">
        <v>15</v>
      </c>
      <c r="H328" s="2" t="s">
        <v>44</v>
      </c>
      <c r="I328" s="2">
        <v>0.5</v>
      </c>
      <c r="J328" s="2">
        <v>308</v>
      </c>
      <c r="K328" s="2">
        <v>276</v>
      </c>
      <c r="L328" s="2">
        <v>100</v>
      </c>
      <c r="M328" s="2" t="s">
        <v>12</v>
      </c>
      <c r="N328" s="2">
        <v>64</v>
      </c>
      <c r="O328" s="2">
        <v>748</v>
      </c>
    </row>
    <row r="329" spans="1:15">
      <c r="A329" s="2" t="s">
        <v>884</v>
      </c>
      <c r="B329" s="2" t="s">
        <v>885</v>
      </c>
      <c r="C329" s="2" t="s">
        <v>48</v>
      </c>
      <c r="D329" s="2" t="s">
        <v>500</v>
      </c>
      <c r="E329" s="2" t="s">
        <v>2896</v>
      </c>
      <c r="F329" s="2" t="s">
        <v>26</v>
      </c>
      <c r="G329" s="2" t="s">
        <v>15</v>
      </c>
      <c r="H329" s="2" t="s">
        <v>16</v>
      </c>
      <c r="I329" s="2">
        <v>1.35</v>
      </c>
      <c r="J329" s="2">
        <v>2888</v>
      </c>
      <c r="K329" s="2">
        <v>3696</v>
      </c>
      <c r="L329" s="2">
        <v>580</v>
      </c>
      <c r="M329" s="2" t="s">
        <v>12</v>
      </c>
      <c r="N329" s="2">
        <v>944</v>
      </c>
      <c r="O329" s="2">
        <v>8108</v>
      </c>
    </row>
    <row r="330" spans="1:15">
      <c r="A330" s="2" t="s">
        <v>884</v>
      </c>
      <c r="B330" s="2" t="s">
        <v>885</v>
      </c>
      <c r="C330" s="2" t="s">
        <v>48</v>
      </c>
      <c r="D330" s="2" t="s">
        <v>500</v>
      </c>
      <c r="E330" s="2" t="s">
        <v>2901</v>
      </c>
      <c r="F330" s="2" t="s">
        <v>29</v>
      </c>
      <c r="G330" s="2" t="s">
        <v>15</v>
      </c>
      <c r="H330" s="2" t="s">
        <v>16</v>
      </c>
      <c r="I330" s="2">
        <v>1.5</v>
      </c>
      <c r="J330" s="2">
        <v>2640</v>
      </c>
      <c r="K330" s="2">
        <v>4362</v>
      </c>
      <c r="L330" s="2">
        <v>1376</v>
      </c>
      <c r="M330" s="2" t="s">
        <v>12</v>
      </c>
      <c r="N330" s="2">
        <v>1372</v>
      </c>
      <c r="O330" s="2">
        <v>9750</v>
      </c>
    </row>
    <row r="331" spans="1:15">
      <c r="A331" s="2" t="s">
        <v>884</v>
      </c>
      <c r="B331" s="2" t="s">
        <v>885</v>
      </c>
      <c r="C331" s="2" t="s">
        <v>48</v>
      </c>
      <c r="D331" s="2" t="s">
        <v>500</v>
      </c>
      <c r="E331" s="2" t="s">
        <v>2904</v>
      </c>
      <c r="F331" s="2" t="s">
        <v>32</v>
      </c>
      <c r="G331" s="2" t="s">
        <v>33</v>
      </c>
      <c r="H331" s="2" t="s">
        <v>44</v>
      </c>
      <c r="I331" s="2" t="s">
        <v>12</v>
      </c>
      <c r="J331" s="2" t="s">
        <v>12</v>
      </c>
      <c r="K331" s="2" t="s">
        <v>12</v>
      </c>
      <c r="L331" s="2" t="s">
        <v>12</v>
      </c>
      <c r="M331" s="2" t="s">
        <v>12</v>
      </c>
      <c r="N331" s="2" t="s">
        <v>12</v>
      </c>
      <c r="O331" s="2" t="s">
        <v>12</v>
      </c>
    </row>
    <row r="332" spans="1:15">
      <c r="A332" s="2" t="s">
        <v>886</v>
      </c>
      <c r="B332" s="2" t="s">
        <v>887</v>
      </c>
      <c r="C332" s="2" t="s">
        <v>76</v>
      </c>
      <c r="D332" s="2" t="s">
        <v>461</v>
      </c>
      <c r="E332" s="2" t="s">
        <v>2870</v>
      </c>
      <c r="F332" s="2" t="s">
        <v>26</v>
      </c>
      <c r="G332" s="2" t="s">
        <v>15</v>
      </c>
      <c r="H332" s="2" t="s">
        <v>44</v>
      </c>
      <c r="I332" s="2" t="s">
        <v>12</v>
      </c>
      <c r="J332" s="2" t="s">
        <v>12</v>
      </c>
      <c r="K332" s="2" t="s">
        <v>12</v>
      </c>
      <c r="L332" s="2" t="s">
        <v>12</v>
      </c>
      <c r="M332" s="2" t="s">
        <v>12</v>
      </c>
      <c r="N332" s="2" t="s">
        <v>12</v>
      </c>
      <c r="O332" s="2" t="s">
        <v>12</v>
      </c>
    </row>
    <row r="333" spans="1:15">
      <c r="A333" s="2" t="s">
        <v>886</v>
      </c>
      <c r="B333" s="2" t="s">
        <v>887</v>
      </c>
      <c r="C333" s="2" t="s">
        <v>76</v>
      </c>
      <c r="D333" s="2" t="s">
        <v>461</v>
      </c>
      <c r="E333" s="2" t="s">
        <v>2882</v>
      </c>
      <c r="F333" s="2" t="s">
        <v>29</v>
      </c>
      <c r="G333" s="2" t="s">
        <v>15</v>
      </c>
      <c r="H333" s="2" t="s">
        <v>44</v>
      </c>
      <c r="I333" s="2" t="s">
        <v>12</v>
      </c>
      <c r="J333" s="2" t="s">
        <v>12</v>
      </c>
      <c r="K333" s="2" t="s">
        <v>12</v>
      </c>
      <c r="L333" s="2" t="s">
        <v>12</v>
      </c>
      <c r="M333" s="2" t="s">
        <v>12</v>
      </c>
      <c r="N333" s="2" t="s">
        <v>12</v>
      </c>
      <c r="O333" s="2" t="s">
        <v>12</v>
      </c>
    </row>
    <row r="334" spans="1:15">
      <c r="A334" s="2" t="s">
        <v>886</v>
      </c>
      <c r="B334" s="2" t="s">
        <v>887</v>
      </c>
      <c r="C334" s="2" t="s">
        <v>76</v>
      </c>
      <c r="D334" s="2" t="s">
        <v>461</v>
      </c>
      <c r="E334" s="2" t="s">
        <v>2886</v>
      </c>
      <c r="F334" s="2" t="s">
        <v>32</v>
      </c>
      <c r="G334" s="2" t="s">
        <v>33</v>
      </c>
      <c r="H334" s="2" t="s">
        <v>44</v>
      </c>
      <c r="I334" s="2" t="s">
        <v>12</v>
      </c>
      <c r="J334" s="2" t="s">
        <v>12</v>
      </c>
      <c r="K334" s="2" t="s">
        <v>12</v>
      </c>
      <c r="L334" s="2" t="s">
        <v>12</v>
      </c>
      <c r="M334" s="2" t="s">
        <v>12</v>
      </c>
      <c r="N334" s="2" t="s">
        <v>12</v>
      </c>
      <c r="O334" s="2" t="s">
        <v>12</v>
      </c>
    </row>
    <row r="335" spans="1:15">
      <c r="A335" s="2" t="s">
        <v>888</v>
      </c>
      <c r="B335" s="2" t="s">
        <v>889</v>
      </c>
      <c r="C335" s="2" t="s">
        <v>11</v>
      </c>
      <c r="D335" s="2" t="s">
        <v>446</v>
      </c>
      <c r="E335" s="2" t="s">
        <v>2870</v>
      </c>
      <c r="F335" s="2" t="s">
        <v>71</v>
      </c>
      <c r="G335" s="2" t="s">
        <v>15</v>
      </c>
      <c r="H335" s="2" t="s">
        <v>44</v>
      </c>
      <c r="I335" s="2" t="s">
        <v>12</v>
      </c>
      <c r="J335" s="2" t="s">
        <v>12</v>
      </c>
      <c r="K335" s="2" t="s">
        <v>12</v>
      </c>
      <c r="L335" s="2" t="s">
        <v>12</v>
      </c>
      <c r="M335" s="2" t="s">
        <v>12</v>
      </c>
      <c r="N335" s="2" t="s">
        <v>12</v>
      </c>
      <c r="O335" s="2" t="s">
        <v>12</v>
      </c>
    </row>
    <row r="336" spans="1:15">
      <c r="A336" s="2" t="s">
        <v>888</v>
      </c>
      <c r="B336" s="2" t="s">
        <v>889</v>
      </c>
      <c r="C336" s="2" t="s">
        <v>11</v>
      </c>
      <c r="D336" s="2" t="s">
        <v>446</v>
      </c>
      <c r="E336" s="2" t="s">
        <v>2882</v>
      </c>
      <c r="F336" s="2" t="s">
        <v>73</v>
      </c>
      <c r="G336" s="2" t="s">
        <v>33</v>
      </c>
      <c r="H336" s="2" t="s">
        <v>44</v>
      </c>
      <c r="I336" s="2" t="s">
        <v>12</v>
      </c>
      <c r="J336" s="2" t="s">
        <v>12</v>
      </c>
      <c r="K336" s="2" t="s">
        <v>12</v>
      </c>
      <c r="L336" s="2" t="s">
        <v>12</v>
      </c>
      <c r="M336" s="2" t="s">
        <v>12</v>
      </c>
      <c r="N336" s="2" t="s">
        <v>12</v>
      </c>
      <c r="O336" s="2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B8391-56E2-4146-AE5F-AD99D09FC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Data 9-9-26</vt:lpstr>
      <vt:lpstr>Master Data 14-9-2026</vt:lpstr>
      <vt:lpstr>Tagihan</vt:lpstr>
      <vt:lpstr>ID Project</vt:lpstr>
      <vt:lpstr>Sheet1</vt:lpstr>
      <vt:lpstr>DC_Detail</vt:lpstr>
      <vt:lpstr>QC_Detail</vt:lpstr>
      <vt:lpstr>SE_Detail</vt:lpstr>
      <vt:lpstr>PE_Detail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2026-09-04T03:36:00Z</dcterms:created>
  <dcterms:modified xsi:type="dcterms:W3CDTF">2026-09-22T04:49:59Z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A2C5B278EA834BC69B78CC45BF7D1CDB_12</vt:lpwstr>
  </property>
  <property fmtid="{D5CDD505-2E9C-101B-9397-08002B2CF9AE}" pid="3" name="KSOProductBuildVer">
    <vt:lpwstr>2057-12.2.0.23206</vt:lpwstr>
  </property>
</Properties>
</file>